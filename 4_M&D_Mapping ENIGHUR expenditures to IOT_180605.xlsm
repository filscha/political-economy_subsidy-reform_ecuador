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filterPrivacy="1" codeName="DieseArbeitsmappe" defaultThemeVersion="124226"/>
  <xr:revisionPtr revIDLastSave="0" documentId="13_ncr:1_{54507C6F-3E68-4E1B-8B9C-3CF02EB9D242}" xr6:coauthVersionLast="34" xr6:coauthVersionMax="34" xr10:uidLastSave="{00000000-0000-0000-0000-000000000000}"/>
  <bookViews>
    <workbookView xWindow="0" yWindow="0" windowWidth="22995" windowHeight="9150" firstSheet="1" activeTab="1" xr2:uid="{00000000-000D-0000-FFFF-FFFF00000000}"/>
  </bookViews>
  <sheets>
    <sheet name="BM for paper" sheetId="22" r:id="rId1"/>
    <sheet name="Bridge matrix" sheetId="8" r:id="rId2"/>
    <sheet name="&gt;&gt;Dictionaries&gt;&gt;" sheetId="19" r:id="rId3"/>
    <sheet name="Dictionary ENI-IOT" sheetId="14" r:id="rId4"/>
    <sheet name="Dictionary Categories" sheetId="21" r:id="rId5"/>
    <sheet name="Dictionary Subcategories" sheetId="18" r:id="rId6"/>
    <sheet name="&gt;&gt;data&gt;&gt;" sheetId="11" r:id="rId7"/>
    <sheet name="ENIGHUR Consumption items" sheetId="9" r:id="rId8"/>
    <sheet name="symmetric IOT 245 2012" sheetId="4" r:id="rId9"/>
  </sheets>
  <definedNames>
    <definedName name="_xlnm._FilterDatabase" localSheetId="1" hidden="1">'Bridge matrix'!$A$2:$L$570</definedName>
    <definedName name="_xlnm._FilterDatabase" localSheetId="3" hidden="1">'Dictionary ENI-IOT'!$A$1:$E$3602</definedName>
    <definedName name="_xlnm._FilterDatabase" localSheetId="7" hidden="1">'ENIGHUR Consumption items'!$A$1:$O$705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571" i="8" l="1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2" i="8"/>
  <c r="O273" i="8"/>
  <c r="O274" i="8"/>
  <c r="O275" i="8"/>
  <c r="O276" i="8"/>
  <c r="O277" i="8"/>
  <c r="O278" i="8"/>
  <c r="O279" i="8"/>
  <c r="O280" i="8"/>
  <c r="O281" i="8"/>
  <c r="O282" i="8"/>
  <c r="O283" i="8"/>
  <c r="O284" i="8"/>
  <c r="O285" i="8"/>
  <c r="O286" i="8"/>
  <c r="O287" i="8"/>
  <c r="O288" i="8"/>
  <c r="O289" i="8"/>
  <c r="O290" i="8"/>
  <c r="O291" i="8"/>
  <c r="O292" i="8"/>
  <c r="O293" i="8"/>
  <c r="O294" i="8"/>
  <c r="O295" i="8"/>
  <c r="O296" i="8"/>
  <c r="O297" i="8"/>
  <c r="O298" i="8"/>
  <c r="O299" i="8"/>
  <c r="O300" i="8"/>
  <c r="O301" i="8"/>
  <c r="O302" i="8"/>
  <c r="O303" i="8"/>
  <c r="O304" i="8"/>
  <c r="O305" i="8"/>
  <c r="O306" i="8"/>
  <c r="O307" i="8"/>
  <c r="O308" i="8"/>
  <c r="O309" i="8"/>
  <c r="O310" i="8"/>
  <c r="O311" i="8"/>
  <c r="O312" i="8"/>
  <c r="O313" i="8"/>
  <c r="O314" i="8"/>
  <c r="O315" i="8"/>
  <c r="O316" i="8"/>
  <c r="O317" i="8"/>
  <c r="O318" i="8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334" i="8"/>
  <c r="O335" i="8"/>
  <c r="O336" i="8"/>
  <c r="O337" i="8"/>
  <c r="O338" i="8"/>
  <c r="O339" i="8"/>
  <c r="O340" i="8"/>
  <c r="O341" i="8"/>
  <c r="O342" i="8"/>
  <c r="O343" i="8"/>
  <c r="O344" i="8"/>
  <c r="O345" i="8"/>
  <c r="O346" i="8"/>
  <c r="O347" i="8"/>
  <c r="O348" i="8"/>
  <c r="O349" i="8"/>
  <c r="O350" i="8"/>
  <c r="O351" i="8"/>
  <c r="O352" i="8"/>
  <c r="O353" i="8"/>
  <c r="O354" i="8"/>
  <c r="O355" i="8"/>
  <c r="O356" i="8"/>
  <c r="O357" i="8"/>
  <c r="O358" i="8"/>
  <c r="O359" i="8"/>
  <c r="O360" i="8"/>
  <c r="O361" i="8"/>
  <c r="O362" i="8"/>
  <c r="O363" i="8"/>
  <c r="O364" i="8"/>
  <c r="O365" i="8"/>
  <c r="O366" i="8"/>
  <c r="O367" i="8"/>
  <c r="O368" i="8"/>
  <c r="O369" i="8"/>
  <c r="O370" i="8"/>
  <c r="O371" i="8"/>
  <c r="O372" i="8"/>
  <c r="O373" i="8"/>
  <c r="O374" i="8"/>
  <c r="O375" i="8"/>
  <c r="O376" i="8"/>
  <c r="O377" i="8"/>
  <c r="O378" i="8"/>
  <c r="O379" i="8"/>
  <c r="O380" i="8"/>
  <c r="O381" i="8"/>
  <c r="O382" i="8"/>
  <c r="O383" i="8"/>
  <c r="O384" i="8"/>
  <c r="O385" i="8"/>
  <c r="O386" i="8"/>
  <c r="O387" i="8"/>
  <c r="O388" i="8"/>
  <c r="O389" i="8"/>
  <c r="O390" i="8"/>
  <c r="O391" i="8"/>
  <c r="O392" i="8"/>
  <c r="O393" i="8"/>
  <c r="O394" i="8"/>
  <c r="O395" i="8"/>
  <c r="O396" i="8"/>
  <c r="O397" i="8"/>
  <c r="O398" i="8"/>
  <c r="O399" i="8"/>
  <c r="O400" i="8"/>
  <c r="O401" i="8"/>
  <c r="O402" i="8"/>
  <c r="O403" i="8"/>
  <c r="O404" i="8"/>
  <c r="O405" i="8"/>
  <c r="O406" i="8"/>
  <c r="O407" i="8"/>
  <c r="O408" i="8"/>
  <c r="O409" i="8"/>
  <c r="O410" i="8"/>
  <c r="O411" i="8"/>
  <c r="O412" i="8"/>
  <c r="O413" i="8"/>
  <c r="O414" i="8"/>
  <c r="O415" i="8"/>
  <c r="O416" i="8"/>
  <c r="O417" i="8"/>
  <c r="O418" i="8"/>
  <c r="O419" i="8"/>
  <c r="O420" i="8"/>
  <c r="O421" i="8"/>
  <c r="O422" i="8"/>
  <c r="O423" i="8"/>
  <c r="O424" i="8"/>
  <c r="O425" i="8"/>
  <c r="O426" i="8"/>
  <c r="O427" i="8"/>
  <c r="O428" i="8"/>
  <c r="O429" i="8"/>
  <c r="O430" i="8"/>
  <c r="O431" i="8"/>
  <c r="O432" i="8"/>
  <c r="O433" i="8"/>
  <c r="O434" i="8"/>
  <c r="O435" i="8"/>
  <c r="O436" i="8"/>
  <c r="O437" i="8"/>
  <c r="O438" i="8"/>
  <c r="O439" i="8"/>
  <c r="O440" i="8"/>
  <c r="O441" i="8"/>
  <c r="O442" i="8"/>
  <c r="O443" i="8"/>
  <c r="O444" i="8"/>
  <c r="O445" i="8"/>
  <c r="O446" i="8"/>
  <c r="O447" i="8"/>
  <c r="O448" i="8"/>
  <c r="O449" i="8"/>
  <c r="O450" i="8"/>
  <c r="O451" i="8"/>
  <c r="O452" i="8"/>
  <c r="O453" i="8"/>
  <c r="O454" i="8"/>
  <c r="O455" i="8"/>
  <c r="O456" i="8"/>
  <c r="O457" i="8"/>
  <c r="O458" i="8"/>
  <c r="O459" i="8"/>
  <c r="O460" i="8"/>
  <c r="O461" i="8"/>
  <c r="O462" i="8"/>
  <c r="O463" i="8"/>
  <c r="O464" i="8"/>
  <c r="O465" i="8"/>
  <c r="O466" i="8"/>
  <c r="O467" i="8"/>
  <c r="O468" i="8"/>
  <c r="O469" i="8"/>
  <c r="O470" i="8"/>
  <c r="O471" i="8"/>
  <c r="O472" i="8"/>
  <c r="O473" i="8"/>
  <c r="O474" i="8"/>
  <c r="O475" i="8"/>
  <c r="O476" i="8"/>
  <c r="O477" i="8"/>
  <c r="O478" i="8"/>
  <c r="O479" i="8"/>
  <c r="O480" i="8"/>
  <c r="O481" i="8"/>
  <c r="O482" i="8"/>
  <c r="O483" i="8"/>
  <c r="O484" i="8"/>
  <c r="O485" i="8"/>
  <c r="O486" i="8"/>
  <c r="O487" i="8"/>
  <c r="O488" i="8"/>
  <c r="O489" i="8"/>
  <c r="O490" i="8"/>
  <c r="O491" i="8"/>
  <c r="O492" i="8"/>
  <c r="O493" i="8"/>
  <c r="O494" i="8"/>
  <c r="O495" i="8"/>
  <c r="O496" i="8"/>
  <c r="O497" i="8"/>
  <c r="O498" i="8"/>
  <c r="O499" i="8"/>
  <c r="O500" i="8"/>
  <c r="O501" i="8"/>
  <c r="O502" i="8"/>
  <c r="O503" i="8"/>
  <c r="O504" i="8"/>
  <c r="O505" i="8"/>
  <c r="O506" i="8"/>
  <c r="O507" i="8"/>
  <c r="O508" i="8"/>
  <c r="O509" i="8"/>
  <c r="O510" i="8"/>
  <c r="O511" i="8"/>
  <c r="O512" i="8"/>
  <c r="O513" i="8"/>
  <c r="O514" i="8"/>
  <c r="O515" i="8"/>
  <c r="O516" i="8"/>
  <c r="O517" i="8"/>
  <c r="O518" i="8"/>
  <c r="O519" i="8"/>
  <c r="O520" i="8"/>
  <c r="O521" i="8"/>
  <c r="O522" i="8"/>
  <c r="O523" i="8"/>
  <c r="O524" i="8"/>
  <c r="O525" i="8"/>
  <c r="O526" i="8"/>
  <c r="O527" i="8"/>
  <c r="O528" i="8"/>
  <c r="O529" i="8"/>
  <c r="O530" i="8"/>
  <c r="O531" i="8"/>
  <c r="O532" i="8"/>
  <c r="O533" i="8"/>
  <c r="O534" i="8"/>
  <c r="O535" i="8"/>
  <c r="O536" i="8"/>
  <c r="O537" i="8"/>
  <c r="O538" i="8"/>
  <c r="O539" i="8"/>
  <c r="O540" i="8"/>
  <c r="O541" i="8"/>
  <c r="O542" i="8"/>
  <c r="O543" i="8"/>
  <c r="O544" i="8"/>
  <c r="O545" i="8"/>
  <c r="O546" i="8"/>
  <c r="O547" i="8"/>
  <c r="O548" i="8"/>
  <c r="O549" i="8"/>
  <c r="O550" i="8"/>
  <c r="O551" i="8"/>
  <c r="O552" i="8"/>
  <c r="O553" i="8"/>
  <c r="O554" i="8"/>
  <c r="O555" i="8"/>
  <c r="O556" i="8"/>
  <c r="O557" i="8"/>
  <c r="O558" i="8"/>
  <c r="O559" i="8"/>
  <c r="O560" i="8"/>
  <c r="O561" i="8"/>
  <c r="O562" i="8"/>
  <c r="O563" i="8"/>
  <c r="O564" i="8"/>
  <c r="O565" i="8"/>
  <c r="O566" i="8"/>
  <c r="O567" i="8"/>
  <c r="O568" i="8"/>
  <c r="O569" i="8"/>
  <c r="O570" i="8"/>
  <c r="O4" i="8"/>
  <c r="O5" i="8"/>
  <c r="O6" i="8"/>
  <c r="O7" i="8"/>
  <c r="O8" i="8"/>
  <c r="O9" i="8"/>
  <c r="O10" i="8"/>
  <c r="O11" i="8"/>
  <c r="O3" i="8"/>
  <c r="E459" i="8" l="1"/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3" i="8"/>
  <c r="F1" i="8" l="1"/>
  <c r="G570" i="22" l="1"/>
  <c r="E570" i="22"/>
  <c r="D570" i="22"/>
  <c r="G569" i="22"/>
  <c r="E569" i="22"/>
  <c r="D569" i="22"/>
  <c r="G568" i="22"/>
  <c r="E568" i="22"/>
  <c r="D568" i="22"/>
  <c r="G567" i="22"/>
  <c r="E567" i="22"/>
  <c r="D567" i="22"/>
  <c r="G566" i="22"/>
  <c r="E566" i="22"/>
  <c r="D566" i="22"/>
  <c r="G565" i="22"/>
  <c r="E565" i="22"/>
  <c r="D565" i="22"/>
  <c r="G564" i="22"/>
  <c r="E564" i="22"/>
  <c r="D564" i="22"/>
  <c r="G563" i="22"/>
  <c r="E563" i="22"/>
  <c r="D563" i="22"/>
  <c r="G562" i="22"/>
  <c r="E562" i="22"/>
  <c r="D562" i="22"/>
  <c r="G561" i="22"/>
  <c r="E561" i="22"/>
  <c r="D561" i="22"/>
  <c r="G560" i="22"/>
  <c r="E560" i="22"/>
  <c r="D560" i="22"/>
  <c r="G559" i="22"/>
  <c r="E559" i="22"/>
  <c r="D559" i="22"/>
  <c r="G558" i="22"/>
  <c r="E558" i="22"/>
  <c r="D558" i="22"/>
  <c r="G557" i="22"/>
  <c r="E557" i="22"/>
  <c r="D557" i="22"/>
  <c r="B557" i="22"/>
  <c r="A557" i="22"/>
  <c r="G556" i="22"/>
  <c r="E556" i="22"/>
  <c r="D556" i="22"/>
  <c r="B556" i="22"/>
  <c r="A556" i="22"/>
  <c r="G555" i="22"/>
  <c r="E555" i="22"/>
  <c r="D555" i="22"/>
  <c r="B555" i="22"/>
  <c r="A555" i="22"/>
  <c r="G554" i="22"/>
  <c r="E554" i="22"/>
  <c r="D554" i="22"/>
  <c r="B554" i="22"/>
  <c r="A554" i="22"/>
  <c r="G553" i="22"/>
  <c r="E553" i="22"/>
  <c r="D553" i="22"/>
  <c r="B553" i="22"/>
  <c r="A553" i="22"/>
  <c r="G552" i="22"/>
  <c r="E552" i="22"/>
  <c r="D552" i="22"/>
  <c r="B552" i="22"/>
  <c r="A552" i="22"/>
  <c r="G551" i="22"/>
  <c r="E551" i="22"/>
  <c r="D551" i="22"/>
  <c r="B551" i="22"/>
  <c r="A551" i="22"/>
  <c r="G550" i="22"/>
  <c r="E550" i="22"/>
  <c r="D550" i="22"/>
  <c r="B550" i="22"/>
  <c r="A550" i="22"/>
  <c r="G549" i="22"/>
  <c r="E549" i="22"/>
  <c r="D549" i="22"/>
  <c r="B549" i="22"/>
  <c r="A549" i="22"/>
  <c r="G548" i="22"/>
  <c r="E548" i="22"/>
  <c r="D548" i="22"/>
  <c r="B548" i="22"/>
  <c r="A548" i="22"/>
  <c r="G547" i="22"/>
  <c r="E547" i="22"/>
  <c r="D547" i="22"/>
  <c r="B547" i="22"/>
  <c r="A547" i="22"/>
  <c r="G546" i="22"/>
  <c r="E546" i="22"/>
  <c r="D546" i="22"/>
  <c r="B546" i="22"/>
  <c r="A546" i="22"/>
  <c r="G545" i="22"/>
  <c r="E545" i="22"/>
  <c r="D545" i="22"/>
  <c r="B545" i="22"/>
  <c r="A545" i="22"/>
  <c r="G544" i="22"/>
  <c r="E544" i="22"/>
  <c r="D544" i="22"/>
  <c r="B544" i="22"/>
  <c r="A544" i="22"/>
  <c r="G543" i="22"/>
  <c r="E543" i="22"/>
  <c r="D543" i="22"/>
  <c r="B543" i="22"/>
  <c r="A543" i="22"/>
  <c r="G542" i="22"/>
  <c r="E542" i="22"/>
  <c r="D542" i="22"/>
  <c r="B542" i="22"/>
  <c r="A542" i="22"/>
  <c r="G541" i="22"/>
  <c r="E541" i="22"/>
  <c r="D541" i="22"/>
  <c r="B541" i="22"/>
  <c r="A541" i="22"/>
  <c r="G540" i="22"/>
  <c r="E540" i="22"/>
  <c r="D540" i="22"/>
  <c r="B540" i="22"/>
  <c r="A540" i="22"/>
  <c r="G539" i="22"/>
  <c r="E539" i="22"/>
  <c r="D539" i="22"/>
  <c r="B539" i="22"/>
  <c r="A539" i="22"/>
  <c r="G538" i="22"/>
  <c r="E538" i="22"/>
  <c r="D538" i="22"/>
  <c r="B538" i="22"/>
  <c r="A538" i="22"/>
  <c r="G537" i="22"/>
  <c r="E537" i="22"/>
  <c r="D537" i="22"/>
  <c r="B537" i="22"/>
  <c r="A537" i="22"/>
  <c r="G536" i="22"/>
  <c r="E536" i="22"/>
  <c r="D536" i="22"/>
  <c r="B536" i="22"/>
  <c r="A536" i="22"/>
  <c r="G535" i="22"/>
  <c r="E535" i="22"/>
  <c r="D535" i="22"/>
  <c r="B535" i="22"/>
  <c r="A535" i="22"/>
  <c r="G534" i="22"/>
  <c r="E534" i="22"/>
  <c r="D534" i="22"/>
  <c r="B534" i="22"/>
  <c r="A534" i="22"/>
  <c r="G533" i="22"/>
  <c r="E533" i="22"/>
  <c r="D533" i="22"/>
  <c r="B533" i="22"/>
  <c r="A533" i="22"/>
  <c r="G532" i="22"/>
  <c r="E532" i="22"/>
  <c r="D532" i="22"/>
  <c r="B532" i="22"/>
  <c r="A532" i="22"/>
  <c r="G531" i="22"/>
  <c r="E531" i="22"/>
  <c r="D531" i="22"/>
  <c r="B531" i="22"/>
  <c r="A531" i="22"/>
  <c r="G530" i="22"/>
  <c r="E530" i="22"/>
  <c r="D530" i="22"/>
  <c r="B530" i="22"/>
  <c r="A530" i="22"/>
  <c r="G529" i="22"/>
  <c r="E529" i="22"/>
  <c r="D529" i="22"/>
  <c r="B529" i="22"/>
  <c r="A529" i="22"/>
  <c r="G528" i="22"/>
  <c r="E528" i="22"/>
  <c r="D528" i="22"/>
  <c r="B528" i="22"/>
  <c r="A528" i="22"/>
  <c r="G527" i="22"/>
  <c r="E527" i="22"/>
  <c r="D527" i="22"/>
  <c r="B527" i="22"/>
  <c r="A527" i="22"/>
  <c r="G526" i="22"/>
  <c r="E526" i="22"/>
  <c r="D526" i="22"/>
  <c r="B526" i="22"/>
  <c r="A526" i="22"/>
  <c r="G525" i="22"/>
  <c r="E525" i="22"/>
  <c r="D525" i="22"/>
  <c r="B525" i="22"/>
  <c r="A525" i="22"/>
  <c r="G524" i="22"/>
  <c r="E524" i="22"/>
  <c r="D524" i="22"/>
  <c r="B524" i="22"/>
  <c r="A524" i="22"/>
  <c r="G523" i="22"/>
  <c r="E523" i="22"/>
  <c r="D523" i="22"/>
  <c r="B523" i="22"/>
  <c r="A523" i="22"/>
  <c r="G522" i="22"/>
  <c r="E522" i="22"/>
  <c r="D522" i="22"/>
  <c r="B522" i="22"/>
  <c r="A522" i="22"/>
  <c r="G521" i="22"/>
  <c r="E521" i="22"/>
  <c r="D521" i="22"/>
  <c r="B521" i="22"/>
  <c r="A521" i="22"/>
  <c r="G520" i="22"/>
  <c r="E520" i="22"/>
  <c r="D520" i="22"/>
  <c r="B520" i="22"/>
  <c r="A520" i="22"/>
  <c r="G519" i="22"/>
  <c r="E519" i="22"/>
  <c r="D519" i="22"/>
  <c r="B519" i="22"/>
  <c r="A519" i="22"/>
  <c r="G518" i="22"/>
  <c r="E518" i="22"/>
  <c r="D518" i="22"/>
  <c r="B518" i="22"/>
  <c r="A518" i="22"/>
  <c r="G517" i="22"/>
  <c r="E517" i="22"/>
  <c r="D517" i="22"/>
  <c r="B517" i="22"/>
  <c r="A517" i="22"/>
  <c r="G516" i="22"/>
  <c r="E516" i="22"/>
  <c r="D516" i="22"/>
  <c r="B516" i="22"/>
  <c r="A516" i="22"/>
  <c r="G515" i="22"/>
  <c r="E515" i="22"/>
  <c r="D515" i="22"/>
  <c r="B515" i="22"/>
  <c r="A515" i="22"/>
  <c r="G514" i="22"/>
  <c r="E514" i="22"/>
  <c r="D514" i="22"/>
  <c r="B514" i="22"/>
  <c r="A514" i="22"/>
  <c r="G513" i="22"/>
  <c r="E513" i="22"/>
  <c r="D513" i="22"/>
  <c r="B513" i="22"/>
  <c r="A513" i="22"/>
  <c r="G512" i="22"/>
  <c r="E512" i="22"/>
  <c r="D512" i="22"/>
  <c r="B512" i="22"/>
  <c r="A512" i="22"/>
  <c r="G511" i="22"/>
  <c r="E511" i="22"/>
  <c r="D511" i="22"/>
  <c r="B511" i="22"/>
  <c r="A511" i="22"/>
  <c r="G510" i="22"/>
  <c r="E510" i="22"/>
  <c r="D510" i="22"/>
  <c r="B510" i="22"/>
  <c r="A510" i="22"/>
  <c r="G509" i="22"/>
  <c r="E509" i="22"/>
  <c r="D509" i="22"/>
  <c r="B509" i="22"/>
  <c r="A509" i="22"/>
  <c r="G508" i="22"/>
  <c r="E508" i="22"/>
  <c r="D508" i="22"/>
  <c r="B508" i="22"/>
  <c r="A508" i="22"/>
  <c r="G507" i="22"/>
  <c r="E507" i="22"/>
  <c r="D507" i="22"/>
  <c r="B507" i="22"/>
  <c r="A507" i="22"/>
  <c r="G506" i="22"/>
  <c r="E506" i="22"/>
  <c r="D506" i="22"/>
  <c r="B506" i="22"/>
  <c r="A506" i="22"/>
  <c r="G505" i="22"/>
  <c r="E505" i="22"/>
  <c r="D505" i="22"/>
  <c r="B505" i="22"/>
  <c r="A505" i="22"/>
  <c r="G504" i="22"/>
  <c r="E504" i="22"/>
  <c r="D504" i="22"/>
  <c r="B504" i="22"/>
  <c r="A504" i="22"/>
  <c r="G503" i="22"/>
  <c r="E503" i="22"/>
  <c r="D503" i="22"/>
  <c r="B503" i="22"/>
  <c r="A503" i="22"/>
  <c r="G502" i="22"/>
  <c r="E502" i="22"/>
  <c r="D502" i="22"/>
  <c r="B502" i="22"/>
  <c r="A502" i="22"/>
  <c r="G501" i="22"/>
  <c r="E501" i="22"/>
  <c r="D501" i="22"/>
  <c r="B501" i="22"/>
  <c r="A501" i="22"/>
  <c r="G500" i="22"/>
  <c r="E500" i="22"/>
  <c r="D500" i="22"/>
  <c r="B500" i="22"/>
  <c r="A500" i="22"/>
  <c r="G499" i="22"/>
  <c r="E499" i="22"/>
  <c r="D499" i="22"/>
  <c r="B499" i="22"/>
  <c r="A499" i="22"/>
  <c r="G498" i="22"/>
  <c r="E498" i="22"/>
  <c r="D498" i="22"/>
  <c r="B498" i="22"/>
  <c r="A498" i="22"/>
  <c r="G497" i="22"/>
  <c r="E497" i="22"/>
  <c r="D497" i="22"/>
  <c r="B497" i="22"/>
  <c r="A497" i="22"/>
  <c r="G496" i="22"/>
  <c r="E496" i="22"/>
  <c r="D496" i="22"/>
  <c r="B496" i="22"/>
  <c r="A496" i="22"/>
  <c r="G495" i="22"/>
  <c r="E495" i="22"/>
  <c r="D495" i="22"/>
  <c r="B495" i="22"/>
  <c r="A495" i="22"/>
  <c r="G494" i="22"/>
  <c r="E494" i="22"/>
  <c r="D494" i="22"/>
  <c r="B494" i="22"/>
  <c r="A494" i="22"/>
  <c r="G493" i="22"/>
  <c r="E493" i="22"/>
  <c r="D493" i="22"/>
  <c r="B493" i="22"/>
  <c r="A493" i="22"/>
  <c r="G492" i="22"/>
  <c r="E492" i="22"/>
  <c r="D492" i="22"/>
  <c r="B492" i="22"/>
  <c r="A492" i="22"/>
  <c r="G491" i="22"/>
  <c r="E491" i="22"/>
  <c r="D491" i="22"/>
  <c r="B491" i="22"/>
  <c r="A491" i="22"/>
  <c r="G490" i="22"/>
  <c r="E490" i="22"/>
  <c r="D490" i="22"/>
  <c r="B490" i="22"/>
  <c r="A490" i="22"/>
  <c r="G489" i="22"/>
  <c r="E489" i="22"/>
  <c r="D489" i="22"/>
  <c r="B489" i="22"/>
  <c r="A489" i="22"/>
  <c r="G488" i="22"/>
  <c r="E488" i="22"/>
  <c r="D488" i="22"/>
  <c r="B488" i="22"/>
  <c r="A488" i="22"/>
  <c r="G487" i="22"/>
  <c r="E487" i="22"/>
  <c r="D487" i="22"/>
  <c r="B487" i="22"/>
  <c r="A487" i="22"/>
  <c r="G486" i="22"/>
  <c r="E486" i="22"/>
  <c r="D486" i="22"/>
  <c r="B486" i="22"/>
  <c r="A486" i="22"/>
  <c r="G485" i="22"/>
  <c r="E485" i="22"/>
  <c r="D485" i="22"/>
  <c r="B485" i="22"/>
  <c r="A485" i="22"/>
  <c r="G484" i="22"/>
  <c r="E484" i="22"/>
  <c r="D484" i="22"/>
  <c r="B484" i="22"/>
  <c r="A484" i="22"/>
  <c r="G483" i="22"/>
  <c r="E483" i="22"/>
  <c r="D483" i="22"/>
  <c r="B483" i="22"/>
  <c r="A483" i="22"/>
  <c r="G482" i="22"/>
  <c r="E482" i="22"/>
  <c r="D482" i="22"/>
  <c r="B482" i="22"/>
  <c r="A482" i="22"/>
  <c r="G481" i="22"/>
  <c r="E481" i="22"/>
  <c r="D481" i="22"/>
  <c r="B481" i="22"/>
  <c r="A481" i="22"/>
  <c r="G480" i="22"/>
  <c r="E480" i="22"/>
  <c r="D480" i="22"/>
  <c r="B480" i="22"/>
  <c r="A480" i="22"/>
  <c r="G479" i="22"/>
  <c r="E479" i="22"/>
  <c r="D479" i="22"/>
  <c r="B479" i="22"/>
  <c r="A479" i="22"/>
  <c r="G478" i="22"/>
  <c r="E478" i="22"/>
  <c r="D478" i="22"/>
  <c r="B478" i="22"/>
  <c r="A478" i="22"/>
  <c r="G477" i="22"/>
  <c r="E477" i="22"/>
  <c r="D477" i="22"/>
  <c r="B477" i="22"/>
  <c r="A477" i="22"/>
  <c r="G476" i="22"/>
  <c r="E476" i="22"/>
  <c r="D476" i="22"/>
  <c r="B476" i="22"/>
  <c r="A476" i="22"/>
  <c r="G475" i="22"/>
  <c r="E475" i="22"/>
  <c r="D475" i="22"/>
  <c r="B475" i="22"/>
  <c r="A475" i="22"/>
  <c r="G474" i="22"/>
  <c r="E474" i="22"/>
  <c r="D474" i="22"/>
  <c r="B474" i="22"/>
  <c r="A474" i="22"/>
  <c r="G473" i="22"/>
  <c r="E473" i="22"/>
  <c r="D473" i="22"/>
  <c r="B473" i="22"/>
  <c r="A473" i="22"/>
  <c r="G472" i="22"/>
  <c r="E472" i="22"/>
  <c r="D472" i="22"/>
  <c r="B472" i="22"/>
  <c r="A472" i="22"/>
  <c r="G471" i="22"/>
  <c r="E471" i="22"/>
  <c r="D471" i="22"/>
  <c r="B471" i="22"/>
  <c r="A471" i="22"/>
  <c r="G470" i="22"/>
  <c r="E470" i="22"/>
  <c r="D470" i="22"/>
  <c r="B470" i="22"/>
  <c r="A470" i="22"/>
  <c r="G469" i="22"/>
  <c r="E469" i="22"/>
  <c r="D469" i="22"/>
  <c r="B469" i="22"/>
  <c r="A469" i="22"/>
  <c r="G468" i="22"/>
  <c r="E468" i="22"/>
  <c r="D468" i="22"/>
  <c r="B468" i="22"/>
  <c r="A468" i="22"/>
  <c r="G467" i="22"/>
  <c r="E467" i="22"/>
  <c r="D467" i="22"/>
  <c r="B467" i="22"/>
  <c r="A467" i="22"/>
  <c r="G466" i="22"/>
  <c r="E466" i="22"/>
  <c r="D466" i="22"/>
  <c r="B466" i="22"/>
  <c r="A466" i="22"/>
  <c r="G465" i="22"/>
  <c r="E465" i="22"/>
  <c r="D465" i="22"/>
  <c r="B465" i="22"/>
  <c r="A465" i="22"/>
  <c r="G464" i="22"/>
  <c r="E464" i="22"/>
  <c r="D464" i="22"/>
  <c r="B464" i="22"/>
  <c r="A464" i="22"/>
  <c r="G463" i="22"/>
  <c r="E463" i="22"/>
  <c r="D463" i="22"/>
  <c r="B463" i="22"/>
  <c r="A463" i="22"/>
  <c r="G462" i="22"/>
  <c r="E462" i="22"/>
  <c r="D462" i="22"/>
  <c r="B462" i="22"/>
  <c r="A462" i="22"/>
  <c r="G461" i="22"/>
  <c r="E461" i="22"/>
  <c r="D461" i="22"/>
  <c r="B461" i="22"/>
  <c r="A461" i="22"/>
  <c r="G460" i="22"/>
  <c r="E460" i="22"/>
  <c r="D460" i="22"/>
  <c r="B460" i="22"/>
  <c r="A460" i="22"/>
  <c r="G459" i="22"/>
  <c r="E459" i="22"/>
  <c r="D459" i="22"/>
  <c r="B459" i="22"/>
  <c r="A459" i="22"/>
  <c r="G458" i="22"/>
  <c r="E458" i="22"/>
  <c r="D458" i="22"/>
  <c r="B458" i="22"/>
  <c r="A458" i="22"/>
  <c r="G457" i="22"/>
  <c r="E457" i="22"/>
  <c r="D457" i="22"/>
  <c r="B457" i="22"/>
  <c r="A457" i="22"/>
  <c r="G456" i="22"/>
  <c r="E456" i="22"/>
  <c r="D456" i="22"/>
  <c r="B456" i="22"/>
  <c r="A456" i="22"/>
  <c r="G455" i="22"/>
  <c r="E455" i="22"/>
  <c r="D455" i="22"/>
  <c r="B455" i="22"/>
  <c r="A455" i="22"/>
  <c r="G454" i="22"/>
  <c r="E454" i="22"/>
  <c r="D454" i="22"/>
  <c r="G453" i="22"/>
  <c r="E453" i="22"/>
  <c r="D453" i="22"/>
  <c r="B453" i="22"/>
  <c r="A453" i="22"/>
  <c r="G452" i="22"/>
  <c r="E452" i="22"/>
  <c r="D452" i="22"/>
  <c r="B452" i="22"/>
  <c r="A452" i="22"/>
  <c r="G451" i="22"/>
  <c r="E451" i="22"/>
  <c r="D451" i="22"/>
  <c r="B451" i="22"/>
  <c r="A451" i="22"/>
  <c r="G450" i="22"/>
  <c r="E450" i="22"/>
  <c r="D450" i="22"/>
  <c r="B450" i="22"/>
  <c r="A450" i="22"/>
  <c r="G449" i="22"/>
  <c r="E449" i="22"/>
  <c r="D449" i="22"/>
  <c r="B449" i="22"/>
  <c r="A449" i="22"/>
  <c r="G448" i="22"/>
  <c r="E448" i="22"/>
  <c r="D448" i="22"/>
  <c r="B448" i="22"/>
  <c r="A448" i="22"/>
  <c r="G447" i="22"/>
  <c r="E447" i="22"/>
  <c r="D447" i="22"/>
  <c r="B447" i="22"/>
  <c r="A447" i="22"/>
  <c r="G446" i="22"/>
  <c r="E446" i="22"/>
  <c r="D446" i="22"/>
  <c r="B446" i="22"/>
  <c r="A446" i="22"/>
  <c r="G445" i="22"/>
  <c r="E445" i="22"/>
  <c r="D445" i="22"/>
  <c r="B445" i="22"/>
  <c r="A445" i="22"/>
  <c r="G444" i="22"/>
  <c r="E444" i="22"/>
  <c r="D444" i="22"/>
  <c r="B444" i="22"/>
  <c r="A444" i="22"/>
  <c r="G443" i="22"/>
  <c r="E443" i="22"/>
  <c r="D443" i="22"/>
  <c r="B443" i="22"/>
  <c r="A443" i="22"/>
  <c r="G442" i="22"/>
  <c r="E442" i="22"/>
  <c r="D442" i="22"/>
  <c r="B442" i="22"/>
  <c r="A442" i="22"/>
  <c r="G441" i="22"/>
  <c r="E441" i="22"/>
  <c r="D441" i="22"/>
  <c r="B441" i="22"/>
  <c r="A441" i="22"/>
  <c r="G440" i="22"/>
  <c r="E440" i="22"/>
  <c r="D440" i="22"/>
  <c r="B440" i="22"/>
  <c r="A440" i="22"/>
  <c r="G439" i="22"/>
  <c r="E439" i="22"/>
  <c r="D439" i="22"/>
  <c r="B439" i="22"/>
  <c r="A439" i="22"/>
  <c r="G438" i="22"/>
  <c r="E438" i="22"/>
  <c r="D438" i="22"/>
  <c r="B438" i="22"/>
  <c r="A438" i="22"/>
  <c r="G437" i="22"/>
  <c r="E437" i="22"/>
  <c r="D437" i="22"/>
  <c r="B437" i="22"/>
  <c r="A437" i="22"/>
  <c r="G436" i="22"/>
  <c r="E436" i="22"/>
  <c r="D436" i="22"/>
  <c r="B436" i="22"/>
  <c r="A436" i="22"/>
  <c r="G435" i="22"/>
  <c r="E435" i="22"/>
  <c r="D435" i="22"/>
  <c r="B435" i="22"/>
  <c r="A435" i="22"/>
  <c r="G434" i="22"/>
  <c r="E434" i="22"/>
  <c r="D434" i="22"/>
  <c r="B434" i="22"/>
  <c r="A434" i="22"/>
  <c r="G433" i="22"/>
  <c r="E433" i="22"/>
  <c r="D433" i="22"/>
  <c r="B433" i="22"/>
  <c r="A433" i="22"/>
  <c r="G432" i="22"/>
  <c r="E432" i="22"/>
  <c r="D432" i="22"/>
  <c r="B432" i="22"/>
  <c r="A432" i="22"/>
  <c r="G431" i="22"/>
  <c r="E431" i="22"/>
  <c r="D431" i="22"/>
  <c r="B431" i="22"/>
  <c r="A431" i="22"/>
  <c r="G430" i="22"/>
  <c r="E430" i="22"/>
  <c r="D430" i="22"/>
  <c r="B430" i="22"/>
  <c r="A430" i="22"/>
  <c r="G429" i="22"/>
  <c r="E429" i="22"/>
  <c r="D429" i="22"/>
  <c r="B429" i="22"/>
  <c r="A429" i="22"/>
  <c r="G428" i="22"/>
  <c r="E428" i="22"/>
  <c r="D428" i="22"/>
  <c r="B428" i="22"/>
  <c r="A428" i="22"/>
  <c r="G427" i="22"/>
  <c r="E427" i="22"/>
  <c r="D427" i="22"/>
  <c r="B427" i="22"/>
  <c r="A427" i="22"/>
  <c r="G426" i="22"/>
  <c r="E426" i="22"/>
  <c r="D426" i="22"/>
  <c r="B426" i="22"/>
  <c r="A426" i="22"/>
  <c r="G425" i="22"/>
  <c r="E425" i="22"/>
  <c r="D425" i="22"/>
  <c r="B425" i="22"/>
  <c r="A425" i="22"/>
  <c r="G424" i="22"/>
  <c r="E424" i="22"/>
  <c r="D424" i="22"/>
  <c r="B424" i="22"/>
  <c r="A424" i="22"/>
  <c r="G423" i="22"/>
  <c r="E423" i="22"/>
  <c r="D423" i="22"/>
  <c r="B423" i="22"/>
  <c r="A423" i="22"/>
  <c r="G422" i="22"/>
  <c r="E422" i="22"/>
  <c r="D422" i="22"/>
  <c r="B422" i="22"/>
  <c r="A422" i="22"/>
  <c r="G421" i="22"/>
  <c r="E421" i="22"/>
  <c r="D421" i="22"/>
  <c r="B421" i="22"/>
  <c r="A421" i="22"/>
  <c r="G420" i="22"/>
  <c r="E420" i="22"/>
  <c r="D420" i="22"/>
  <c r="B420" i="22"/>
  <c r="A420" i="22"/>
  <c r="G419" i="22"/>
  <c r="E419" i="22"/>
  <c r="D419" i="22"/>
  <c r="B419" i="22"/>
  <c r="A419" i="22"/>
  <c r="G418" i="22"/>
  <c r="E418" i="22"/>
  <c r="D418" i="22"/>
  <c r="B418" i="22"/>
  <c r="A418" i="22"/>
  <c r="G417" i="22"/>
  <c r="E417" i="22"/>
  <c r="D417" i="22"/>
  <c r="B417" i="22"/>
  <c r="A417" i="22"/>
  <c r="G416" i="22"/>
  <c r="E416" i="22"/>
  <c r="D416" i="22"/>
  <c r="B416" i="22"/>
  <c r="A416" i="22"/>
  <c r="G415" i="22"/>
  <c r="E415" i="22"/>
  <c r="D415" i="22"/>
  <c r="B415" i="22"/>
  <c r="A415" i="22"/>
  <c r="G414" i="22"/>
  <c r="E414" i="22"/>
  <c r="D414" i="22"/>
  <c r="B414" i="22"/>
  <c r="A414" i="22"/>
  <c r="G413" i="22"/>
  <c r="E413" i="22"/>
  <c r="D413" i="22"/>
  <c r="B413" i="22"/>
  <c r="A413" i="22"/>
  <c r="G412" i="22"/>
  <c r="E412" i="22"/>
  <c r="D412" i="22"/>
  <c r="B412" i="22"/>
  <c r="A412" i="22"/>
  <c r="G411" i="22"/>
  <c r="E411" i="22"/>
  <c r="D411" i="22"/>
  <c r="B411" i="22"/>
  <c r="A411" i="22"/>
  <c r="G410" i="22"/>
  <c r="E410" i="22"/>
  <c r="D410" i="22"/>
  <c r="B410" i="22"/>
  <c r="A410" i="22"/>
  <c r="G409" i="22"/>
  <c r="E409" i="22"/>
  <c r="D409" i="22"/>
  <c r="B409" i="22"/>
  <c r="A409" i="22"/>
  <c r="G408" i="22"/>
  <c r="E408" i="22"/>
  <c r="D408" i="22"/>
  <c r="B408" i="22"/>
  <c r="A408" i="22"/>
  <c r="G407" i="22"/>
  <c r="E407" i="22"/>
  <c r="D407" i="22"/>
  <c r="B407" i="22"/>
  <c r="A407" i="22"/>
  <c r="G406" i="22"/>
  <c r="E406" i="22"/>
  <c r="D406" i="22"/>
  <c r="B406" i="22"/>
  <c r="A406" i="22"/>
  <c r="G405" i="22"/>
  <c r="E405" i="22"/>
  <c r="D405" i="22"/>
  <c r="B405" i="22"/>
  <c r="A405" i="22"/>
  <c r="G404" i="22"/>
  <c r="E404" i="22"/>
  <c r="D404" i="22"/>
  <c r="B404" i="22"/>
  <c r="A404" i="22"/>
  <c r="G403" i="22"/>
  <c r="E403" i="22"/>
  <c r="D403" i="22"/>
  <c r="B403" i="22"/>
  <c r="A403" i="22"/>
  <c r="G402" i="22"/>
  <c r="E402" i="22"/>
  <c r="D402" i="22"/>
  <c r="B402" i="22"/>
  <c r="A402" i="22"/>
  <c r="G401" i="22"/>
  <c r="E401" i="22"/>
  <c r="D401" i="22"/>
  <c r="B401" i="22"/>
  <c r="A401" i="22"/>
  <c r="G400" i="22"/>
  <c r="E400" i="22"/>
  <c r="D400" i="22"/>
  <c r="B400" i="22"/>
  <c r="A400" i="22"/>
  <c r="G399" i="22"/>
  <c r="E399" i="22"/>
  <c r="D399" i="22"/>
  <c r="B399" i="22"/>
  <c r="A399" i="22"/>
  <c r="G398" i="22"/>
  <c r="E398" i="22"/>
  <c r="D398" i="22"/>
  <c r="B398" i="22"/>
  <c r="A398" i="22"/>
  <c r="G397" i="22"/>
  <c r="E397" i="22"/>
  <c r="D397" i="22"/>
  <c r="B397" i="22"/>
  <c r="A397" i="22"/>
  <c r="G396" i="22"/>
  <c r="E396" i="22"/>
  <c r="D396" i="22"/>
  <c r="B396" i="22"/>
  <c r="A396" i="22"/>
  <c r="G395" i="22"/>
  <c r="E395" i="22"/>
  <c r="D395" i="22"/>
  <c r="B395" i="22"/>
  <c r="A395" i="22"/>
  <c r="G394" i="22"/>
  <c r="E394" i="22"/>
  <c r="D394" i="22"/>
  <c r="B394" i="22"/>
  <c r="A394" i="22"/>
  <c r="G393" i="22"/>
  <c r="E393" i="22"/>
  <c r="D393" i="22"/>
  <c r="B393" i="22"/>
  <c r="A393" i="22"/>
  <c r="G392" i="22"/>
  <c r="E392" i="22"/>
  <c r="D392" i="22"/>
  <c r="B392" i="22"/>
  <c r="A392" i="22"/>
  <c r="G391" i="22"/>
  <c r="E391" i="22"/>
  <c r="D391" i="22"/>
  <c r="B391" i="22"/>
  <c r="A391" i="22"/>
  <c r="G390" i="22"/>
  <c r="E390" i="22"/>
  <c r="D390" i="22"/>
  <c r="B390" i="22"/>
  <c r="A390" i="22"/>
  <c r="G389" i="22"/>
  <c r="E389" i="22"/>
  <c r="D389" i="22"/>
  <c r="B389" i="22"/>
  <c r="A389" i="22"/>
  <c r="G388" i="22"/>
  <c r="E388" i="22"/>
  <c r="D388" i="22"/>
  <c r="B388" i="22"/>
  <c r="A388" i="22"/>
  <c r="G387" i="22"/>
  <c r="E387" i="22"/>
  <c r="D387" i="22"/>
  <c r="B387" i="22"/>
  <c r="A387" i="22"/>
  <c r="G386" i="22"/>
  <c r="E386" i="22"/>
  <c r="D386" i="22"/>
  <c r="B386" i="22"/>
  <c r="A386" i="22"/>
  <c r="G385" i="22"/>
  <c r="E385" i="22"/>
  <c r="D385" i="22"/>
  <c r="B385" i="22"/>
  <c r="A385" i="22"/>
  <c r="G384" i="22"/>
  <c r="E384" i="22"/>
  <c r="D384" i="22"/>
  <c r="B384" i="22"/>
  <c r="A384" i="22"/>
  <c r="G383" i="22"/>
  <c r="E383" i="22"/>
  <c r="D383" i="22"/>
  <c r="B383" i="22"/>
  <c r="A383" i="22"/>
  <c r="G382" i="22"/>
  <c r="E382" i="22"/>
  <c r="D382" i="22"/>
  <c r="B382" i="22"/>
  <c r="A382" i="22"/>
  <c r="G381" i="22"/>
  <c r="E381" i="22"/>
  <c r="D381" i="22"/>
  <c r="B381" i="22"/>
  <c r="A381" i="22"/>
  <c r="G380" i="22"/>
  <c r="E380" i="22"/>
  <c r="D380" i="22"/>
  <c r="B380" i="22"/>
  <c r="A380" i="22"/>
  <c r="G379" i="22"/>
  <c r="E379" i="22"/>
  <c r="D379" i="22"/>
  <c r="B379" i="22"/>
  <c r="A379" i="22"/>
  <c r="G378" i="22"/>
  <c r="E378" i="22"/>
  <c r="D378" i="22"/>
  <c r="B378" i="22"/>
  <c r="A378" i="22"/>
  <c r="G377" i="22"/>
  <c r="E377" i="22"/>
  <c r="D377" i="22"/>
  <c r="B377" i="22"/>
  <c r="A377" i="22"/>
  <c r="G376" i="22"/>
  <c r="E376" i="22"/>
  <c r="D376" i="22"/>
  <c r="B376" i="22"/>
  <c r="A376" i="22"/>
  <c r="G375" i="22"/>
  <c r="E375" i="22"/>
  <c r="D375" i="22"/>
  <c r="B375" i="22"/>
  <c r="A375" i="22"/>
  <c r="G374" i="22"/>
  <c r="E374" i="22"/>
  <c r="D374" i="22"/>
  <c r="B374" i="22"/>
  <c r="A374" i="22"/>
  <c r="G373" i="22"/>
  <c r="E373" i="22"/>
  <c r="D373" i="22"/>
  <c r="B373" i="22"/>
  <c r="A373" i="22"/>
  <c r="G372" i="22"/>
  <c r="E372" i="22"/>
  <c r="D372" i="22"/>
  <c r="B372" i="22"/>
  <c r="A372" i="22"/>
  <c r="G371" i="22"/>
  <c r="E371" i="22"/>
  <c r="D371" i="22"/>
  <c r="B371" i="22"/>
  <c r="A371" i="22"/>
  <c r="G370" i="22"/>
  <c r="E370" i="22"/>
  <c r="D370" i="22"/>
  <c r="B370" i="22"/>
  <c r="A370" i="22"/>
  <c r="G369" i="22"/>
  <c r="E369" i="22"/>
  <c r="D369" i="22"/>
  <c r="B369" i="22"/>
  <c r="A369" i="22"/>
  <c r="G368" i="22"/>
  <c r="E368" i="22"/>
  <c r="D368" i="22"/>
  <c r="B368" i="22"/>
  <c r="A368" i="22"/>
  <c r="G367" i="22"/>
  <c r="E367" i="22"/>
  <c r="D367" i="22"/>
  <c r="B367" i="22"/>
  <c r="A367" i="22"/>
  <c r="G366" i="22"/>
  <c r="E366" i="22"/>
  <c r="D366" i="22"/>
  <c r="B366" i="22"/>
  <c r="A366" i="22"/>
  <c r="G365" i="22"/>
  <c r="E365" i="22"/>
  <c r="D365" i="22"/>
  <c r="B365" i="22"/>
  <c r="A365" i="22"/>
  <c r="G364" i="22"/>
  <c r="E364" i="22"/>
  <c r="D364" i="22"/>
  <c r="B364" i="22"/>
  <c r="A364" i="22"/>
  <c r="G363" i="22"/>
  <c r="E363" i="22"/>
  <c r="D363" i="22"/>
  <c r="B363" i="22"/>
  <c r="A363" i="22"/>
  <c r="G362" i="22"/>
  <c r="E362" i="22"/>
  <c r="D362" i="22"/>
  <c r="B362" i="22"/>
  <c r="A362" i="22"/>
  <c r="G361" i="22"/>
  <c r="E361" i="22"/>
  <c r="D361" i="22"/>
  <c r="B361" i="22"/>
  <c r="A361" i="22"/>
  <c r="G360" i="22"/>
  <c r="E360" i="22"/>
  <c r="D360" i="22"/>
  <c r="B360" i="22"/>
  <c r="A360" i="22"/>
  <c r="G359" i="22"/>
  <c r="E359" i="22"/>
  <c r="D359" i="22"/>
  <c r="B359" i="22"/>
  <c r="A359" i="22"/>
  <c r="G358" i="22"/>
  <c r="E358" i="22"/>
  <c r="D358" i="22"/>
  <c r="B358" i="22"/>
  <c r="A358" i="22"/>
  <c r="G357" i="22"/>
  <c r="E357" i="22"/>
  <c r="D357" i="22"/>
  <c r="B357" i="22"/>
  <c r="A357" i="22"/>
  <c r="G356" i="22"/>
  <c r="E356" i="22"/>
  <c r="D356" i="22"/>
  <c r="B356" i="22"/>
  <c r="A356" i="22"/>
  <c r="G355" i="22"/>
  <c r="E355" i="22"/>
  <c r="D355" i="22"/>
  <c r="B355" i="22"/>
  <c r="A355" i="22"/>
  <c r="G354" i="22"/>
  <c r="E354" i="22"/>
  <c r="D354" i="22"/>
  <c r="B354" i="22"/>
  <c r="A354" i="22"/>
  <c r="G353" i="22"/>
  <c r="E353" i="22"/>
  <c r="D353" i="22"/>
  <c r="B353" i="22"/>
  <c r="A353" i="22"/>
  <c r="G352" i="22"/>
  <c r="E352" i="22"/>
  <c r="D352" i="22"/>
  <c r="B352" i="22"/>
  <c r="A352" i="22"/>
  <c r="G351" i="22"/>
  <c r="E351" i="22"/>
  <c r="D351" i="22"/>
  <c r="B351" i="22"/>
  <c r="A351" i="22"/>
  <c r="G350" i="22"/>
  <c r="E350" i="22"/>
  <c r="D350" i="22"/>
  <c r="B350" i="22"/>
  <c r="A350" i="22"/>
  <c r="G349" i="22"/>
  <c r="E349" i="22"/>
  <c r="D349" i="22"/>
  <c r="B349" i="22"/>
  <c r="A349" i="22"/>
  <c r="G348" i="22"/>
  <c r="E348" i="22"/>
  <c r="D348" i="22"/>
  <c r="B348" i="22"/>
  <c r="A348" i="22"/>
  <c r="G347" i="22"/>
  <c r="E347" i="22"/>
  <c r="D347" i="22"/>
  <c r="B347" i="22"/>
  <c r="A347" i="22"/>
  <c r="G346" i="22"/>
  <c r="E346" i="22"/>
  <c r="D346" i="22"/>
  <c r="B346" i="22"/>
  <c r="A346" i="22"/>
  <c r="G345" i="22"/>
  <c r="E345" i="22"/>
  <c r="D345" i="22"/>
  <c r="B345" i="22"/>
  <c r="A345" i="22"/>
  <c r="G344" i="22"/>
  <c r="E344" i="22"/>
  <c r="D344" i="22"/>
  <c r="B344" i="22"/>
  <c r="A344" i="22"/>
  <c r="G343" i="22"/>
  <c r="E343" i="22"/>
  <c r="D343" i="22"/>
  <c r="B343" i="22"/>
  <c r="A343" i="22"/>
  <c r="G342" i="22"/>
  <c r="E342" i="22"/>
  <c r="D342" i="22"/>
  <c r="B342" i="22"/>
  <c r="A342" i="22"/>
  <c r="G341" i="22"/>
  <c r="E341" i="22"/>
  <c r="D341" i="22"/>
  <c r="B341" i="22"/>
  <c r="A341" i="22"/>
  <c r="G340" i="22"/>
  <c r="E340" i="22"/>
  <c r="D340" i="22"/>
  <c r="B340" i="22"/>
  <c r="A340" i="22"/>
  <c r="G339" i="22"/>
  <c r="E339" i="22"/>
  <c r="D339" i="22"/>
  <c r="B339" i="22"/>
  <c r="A339" i="22"/>
  <c r="G338" i="22"/>
  <c r="E338" i="22"/>
  <c r="D338" i="22"/>
  <c r="B338" i="22"/>
  <c r="A338" i="22"/>
  <c r="G337" i="22"/>
  <c r="E337" i="22"/>
  <c r="D337" i="22"/>
  <c r="B337" i="22"/>
  <c r="A337" i="22"/>
  <c r="G336" i="22"/>
  <c r="E336" i="22"/>
  <c r="D336" i="22"/>
  <c r="B336" i="22"/>
  <c r="A336" i="22"/>
  <c r="G335" i="22"/>
  <c r="E335" i="22"/>
  <c r="D335" i="22"/>
  <c r="B335" i="22"/>
  <c r="A335" i="22"/>
  <c r="G334" i="22"/>
  <c r="E334" i="22"/>
  <c r="D334" i="22"/>
  <c r="B334" i="22"/>
  <c r="A334" i="22"/>
  <c r="G333" i="22"/>
  <c r="E333" i="22"/>
  <c r="D333" i="22"/>
  <c r="B333" i="22"/>
  <c r="A333" i="22"/>
  <c r="G332" i="22"/>
  <c r="E332" i="22"/>
  <c r="D332" i="22"/>
  <c r="B332" i="22"/>
  <c r="A332" i="22"/>
  <c r="G331" i="22"/>
  <c r="E331" i="22"/>
  <c r="D331" i="22"/>
  <c r="B331" i="22"/>
  <c r="A331" i="22"/>
  <c r="G330" i="22"/>
  <c r="E330" i="22"/>
  <c r="D330" i="22"/>
  <c r="B330" i="22"/>
  <c r="A330" i="22"/>
  <c r="G329" i="22"/>
  <c r="E329" i="22"/>
  <c r="D329" i="22"/>
  <c r="B329" i="22"/>
  <c r="A329" i="22"/>
  <c r="G328" i="22"/>
  <c r="E328" i="22"/>
  <c r="D328" i="22"/>
  <c r="B328" i="22"/>
  <c r="A328" i="22"/>
  <c r="G327" i="22"/>
  <c r="E327" i="22"/>
  <c r="D327" i="22"/>
  <c r="B327" i="22"/>
  <c r="A327" i="22"/>
  <c r="G326" i="22"/>
  <c r="E326" i="22"/>
  <c r="D326" i="22"/>
  <c r="B326" i="22"/>
  <c r="A326" i="22"/>
  <c r="G325" i="22"/>
  <c r="E325" i="22"/>
  <c r="D325" i="22"/>
  <c r="B325" i="22"/>
  <c r="A325" i="22"/>
  <c r="G324" i="22"/>
  <c r="E324" i="22"/>
  <c r="D324" i="22"/>
  <c r="B324" i="22"/>
  <c r="A324" i="22"/>
  <c r="G323" i="22"/>
  <c r="E323" i="22"/>
  <c r="D323" i="22"/>
  <c r="B323" i="22"/>
  <c r="A323" i="22"/>
  <c r="G322" i="22"/>
  <c r="E322" i="22"/>
  <c r="D322" i="22"/>
  <c r="B322" i="22"/>
  <c r="A322" i="22"/>
  <c r="G321" i="22"/>
  <c r="E321" i="22"/>
  <c r="D321" i="22"/>
  <c r="B321" i="22"/>
  <c r="A321" i="22"/>
  <c r="G320" i="22"/>
  <c r="E320" i="22"/>
  <c r="D320" i="22"/>
  <c r="B320" i="22"/>
  <c r="A320" i="22"/>
  <c r="G319" i="22"/>
  <c r="E319" i="22"/>
  <c r="D319" i="22"/>
  <c r="B319" i="22"/>
  <c r="A319" i="22"/>
  <c r="G318" i="22"/>
  <c r="E318" i="22"/>
  <c r="D318" i="22"/>
  <c r="B318" i="22"/>
  <c r="A318" i="22"/>
  <c r="G317" i="22"/>
  <c r="E317" i="22"/>
  <c r="D317" i="22"/>
  <c r="B317" i="22"/>
  <c r="A317" i="22"/>
  <c r="G316" i="22"/>
  <c r="E316" i="22"/>
  <c r="D316" i="22"/>
  <c r="B316" i="22"/>
  <c r="A316" i="22"/>
  <c r="G315" i="22"/>
  <c r="E315" i="22"/>
  <c r="D315" i="22"/>
  <c r="B315" i="22"/>
  <c r="A315" i="22"/>
  <c r="G314" i="22"/>
  <c r="E314" i="22"/>
  <c r="D314" i="22"/>
  <c r="B314" i="22"/>
  <c r="A314" i="22"/>
  <c r="G313" i="22"/>
  <c r="E313" i="22"/>
  <c r="D313" i="22"/>
  <c r="B313" i="22"/>
  <c r="A313" i="22"/>
  <c r="G312" i="22"/>
  <c r="E312" i="22"/>
  <c r="D312" i="22"/>
  <c r="B312" i="22"/>
  <c r="A312" i="22"/>
  <c r="G311" i="22"/>
  <c r="E311" i="22"/>
  <c r="D311" i="22"/>
  <c r="B311" i="22"/>
  <c r="A311" i="22"/>
  <c r="G310" i="22"/>
  <c r="E310" i="22"/>
  <c r="D310" i="22"/>
  <c r="B310" i="22"/>
  <c r="A310" i="22"/>
  <c r="G309" i="22"/>
  <c r="E309" i="22"/>
  <c r="D309" i="22"/>
  <c r="B309" i="22"/>
  <c r="A309" i="22"/>
  <c r="G308" i="22"/>
  <c r="E308" i="22"/>
  <c r="D308" i="22"/>
  <c r="B308" i="22"/>
  <c r="A308" i="22"/>
  <c r="G307" i="22"/>
  <c r="E307" i="22"/>
  <c r="D307" i="22"/>
  <c r="B307" i="22"/>
  <c r="A307" i="22"/>
  <c r="G306" i="22"/>
  <c r="E306" i="22"/>
  <c r="D306" i="22"/>
  <c r="B306" i="22"/>
  <c r="A306" i="22"/>
  <c r="G305" i="22"/>
  <c r="E305" i="22"/>
  <c r="D305" i="22"/>
  <c r="B305" i="22"/>
  <c r="A305" i="22"/>
  <c r="G304" i="22"/>
  <c r="E304" i="22"/>
  <c r="D304" i="22"/>
  <c r="B304" i="22"/>
  <c r="A304" i="22"/>
  <c r="G303" i="22"/>
  <c r="E303" i="22"/>
  <c r="D303" i="22"/>
  <c r="B303" i="22"/>
  <c r="A303" i="22"/>
  <c r="G302" i="22"/>
  <c r="E302" i="22"/>
  <c r="D302" i="22"/>
  <c r="B302" i="22"/>
  <c r="A302" i="22"/>
  <c r="G301" i="22"/>
  <c r="E301" i="22"/>
  <c r="D301" i="22"/>
  <c r="B301" i="22"/>
  <c r="A301" i="22"/>
  <c r="G300" i="22"/>
  <c r="E300" i="22"/>
  <c r="D300" i="22"/>
  <c r="B300" i="22"/>
  <c r="A300" i="22"/>
  <c r="G299" i="22"/>
  <c r="E299" i="22"/>
  <c r="D299" i="22"/>
  <c r="B299" i="22"/>
  <c r="A299" i="22"/>
  <c r="G298" i="22"/>
  <c r="E298" i="22"/>
  <c r="D298" i="22"/>
  <c r="B298" i="22"/>
  <c r="A298" i="22"/>
  <c r="G297" i="22"/>
  <c r="E297" i="22"/>
  <c r="D297" i="22"/>
  <c r="B297" i="22"/>
  <c r="A297" i="22"/>
  <c r="G296" i="22"/>
  <c r="E296" i="22"/>
  <c r="D296" i="22"/>
  <c r="B296" i="22"/>
  <c r="A296" i="22"/>
  <c r="G295" i="22"/>
  <c r="E295" i="22"/>
  <c r="D295" i="22"/>
  <c r="B295" i="22"/>
  <c r="A295" i="22"/>
  <c r="G294" i="22"/>
  <c r="E294" i="22"/>
  <c r="D294" i="22"/>
  <c r="B294" i="22"/>
  <c r="A294" i="22"/>
  <c r="G293" i="22"/>
  <c r="E293" i="22"/>
  <c r="D293" i="22"/>
  <c r="B293" i="22"/>
  <c r="A293" i="22"/>
  <c r="G292" i="22"/>
  <c r="E292" i="22"/>
  <c r="D292" i="22"/>
  <c r="B292" i="22"/>
  <c r="A292" i="22"/>
  <c r="G291" i="22"/>
  <c r="E291" i="22"/>
  <c r="D291" i="22"/>
  <c r="B291" i="22"/>
  <c r="A291" i="22"/>
  <c r="G290" i="22"/>
  <c r="E290" i="22"/>
  <c r="D290" i="22"/>
  <c r="B290" i="22"/>
  <c r="A290" i="22"/>
  <c r="G289" i="22"/>
  <c r="E289" i="22"/>
  <c r="D289" i="22"/>
  <c r="B289" i="22"/>
  <c r="A289" i="22"/>
  <c r="G288" i="22"/>
  <c r="E288" i="22"/>
  <c r="D288" i="22"/>
  <c r="B288" i="22"/>
  <c r="A288" i="22"/>
  <c r="G287" i="22"/>
  <c r="E287" i="22"/>
  <c r="D287" i="22"/>
  <c r="B287" i="22"/>
  <c r="A287" i="22"/>
  <c r="G286" i="22"/>
  <c r="E286" i="22"/>
  <c r="D286" i="22"/>
  <c r="B286" i="22"/>
  <c r="A286" i="22"/>
  <c r="G285" i="22"/>
  <c r="E285" i="22"/>
  <c r="D285" i="22"/>
  <c r="B285" i="22"/>
  <c r="A285" i="22"/>
  <c r="G284" i="22"/>
  <c r="E284" i="22"/>
  <c r="D284" i="22"/>
  <c r="B284" i="22"/>
  <c r="A284" i="22"/>
  <c r="G283" i="22"/>
  <c r="E283" i="22"/>
  <c r="D283" i="22"/>
  <c r="B283" i="22"/>
  <c r="A283" i="22"/>
  <c r="G282" i="22"/>
  <c r="E282" i="22"/>
  <c r="D282" i="22"/>
  <c r="B282" i="22"/>
  <c r="A282" i="22"/>
  <c r="G281" i="22"/>
  <c r="E281" i="22"/>
  <c r="D281" i="22"/>
  <c r="B281" i="22"/>
  <c r="A281" i="22"/>
  <c r="G280" i="22"/>
  <c r="E280" i="22"/>
  <c r="D280" i="22"/>
  <c r="B280" i="22"/>
  <c r="A280" i="22"/>
  <c r="G279" i="22"/>
  <c r="E279" i="22"/>
  <c r="D279" i="22"/>
  <c r="B279" i="22"/>
  <c r="A279" i="22"/>
  <c r="G278" i="22"/>
  <c r="E278" i="22"/>
  <c r="D278" i="22"/>
  <c r="B278" i="22"/>
  <c r="A278" i="22"/>
  <c r="G277" i="22"/>
  <c r="E277" i="22"/>
  <c r="D277" i="22"/>
  <c r="B277" i="22"/>
  <c r="A277" i="22"/>
  <c r="G276" i="22"/>
  <c r="E276" i="22"/>
  <c r="D276" i="22"/>
  <c r="B276" i="22"/>
  <c r="A276" i="22"/>
  <c r="G275" i="22"/>
  <c r="E275" i="22"/>
  <c r="D275" i="22"/>
  <c r="B275" i="22"/>
  <c r="A275" i="22"/>
  <c r="G274" i="22"/>
  <c r="E274" i="22"/>
  <c r="D274" i="22"/>
  <c r="B274" i="22"/>
  <c r="A274" i="22"/>
  <c r="G273" i="22"/>
  <c r="E273" i="22"/>
  <c r="D273" i="22"/>
  <c r="B273" i="22"/>
  <c r="A273" i="22"/>
  <c r="G272" i="22"/>
  <c r="E272" i="22"/>
  <c r="D272" i="22"/>
  <c r="B272" i="22"/>
  <c r="A272" i="22"/>
  <c r="G271" i="22"/>
  <c r="E271" i="22"/>
  <c r="D271" i="22"/>
  <c r="B271" i="22"/>
  <c r="A271" i="22"/>
  <c r="G270" i="22"/>
  <c r="E270" i="22"/>
  <c r="D270" i="22"/>
  <c r="B270" i="22"/>
  <c r="A270" i="22"/>
  <c r="G269" i="22"/>
  <c r="E269" i="22"/>
  <c r="D269" i="22"/>
  <c r="B269" i="22"/>
  <c r="A269" i="22"/>
  <c r="G268" i="22"/>
  <c r="E268" i="22"/>
  <c r="D268" i="22"/>
  <c r="B268" i="22"/>
  <c r="A268" i="22"/>
  <c r="G267" i="22"/>
  <c r="E267" i="22"/>
  <c r="D267" i="22"/>
  <c r="B267" i="22"/>
  <c r="A267" i="22"/>
  <c r="G266" i="22"/>
  <c r="E266" i="22"/>
  <c r="D266" i="22"/>
  <c r="B266" i="22"/>
  <c r="A266" i="22"/>
  <c r="G265" i="22"/>
  <c r="E265" i="22"/>
  <c r="D265" i="22"/>
  <c r="B265" i="22"/>
  <c r="A265" i="22"/>
  <c r="G264" i="22"/>
  <c r="E264" i="22"/>
  <c r="D264" i="22"/>
  <c r="B264" i="22"/>
  <c r="A264" i="22"/>
  <c r="G263" i="22"/>
  <c r="E263" i="22"/>
  <c r="D263" i="22"/>
  <c r="B263" i="22"/>
  <c r="A263" i="22"/>
  <c r="G262" i="22"/>
  <c r="E262" i="22"/>
  <c r="D262" i="22"/>
  <c r="B262" i="22"/>
  <c r="A262" i="22"/>
  <c r="G261" i="22"/>
  <c r="E261" i="22"/>
  <c r="D261" i="22"/>
  <c r="B261" i="22"/>
  <c r="A261" i="22"/>
  <c r="G260" i="22"/>
  <c r="E260" i="22"/>
  <c r="D260" i="22"/>
  <c r="B260" i="22"/>
  <c r="A260" i="22"/>
  <c r="G259" i="22"/>
  <c r="E259" i="22"/>
  <c r="D259" i="22"/>
  <c r="B259" i="22"/>
  <c r="A259" i="22"/>
  <c r="G258" i="22"/>
  <c r="E258" i="22"/>
  <c r="D258" i="22"/>
  <c r="B258" i="22"/>
  <c r="A258" i="22"/>
  <c r="G257" i="22"/>
  <c r="E257" i="22"/>
  <c r="D257" i="22"/>
  <c r="B257" i="22"/>
  <c r="A257" i="22"/>
  <c r="G256" i="22"/>
  <c r="E256" i="22"/>
  <c r="D256" i="22"/>
  <c r="B256" i="22"/>
  <c r="A256" i="22"/>
  <c r="G255" i="22"/>
  <c r="E255" i="22"/>
  <c r="D255" i="22"/>
  <c r="B255" i="22"/>
  <c r="A255" i="22"/>
  <c r="G254" i="22"/>
  <c r="E254" i="22"/>
  <c r="D254" i="22"/>
  <c r="B254" i="22"/>
  <c r="A254" i="22"/>
  <c r="G253" i="22"/>
  <c r="E253" i="22"/>
  <c r="D253" i="22"/>
  <c r="B253" i="22"/>
  <c r="A253" i="22"/>
  <c r="G252" i="22"/>
  <c r="E252" i="22"/>
  <c r="D252" i="22"/>
  <c r="B252" i="22"/>
  <c r="A252" i="22"/>
  <c r="G251" i="22"/>
  <c r="E251" i="22"/>
  <c r="D251" i="22"/>
  <c r="B251" i="22"/>
  <c r="A251" i="22"/>
  <c r="G250" i="22"/>
  <c r="E250" i="22"/>
  <c r="D250" i="22"/>
  <c r="B250" i="22"/>
  <c r="A250" i="22"/>
  <c r="G249" i="22"/>
  <c r="E249" i="22"/>
  <c r="D249" i="22"/>
  <c r="B249" i="22"/>
  <c r="A249" i="22"/>
  <c r="G248" i="22"/>
  <c r="E248" i="22"/>
  <c r="D248" i="22"/>
  <c r="B248" i="22"/>
  <c r="A248" i="22"/>
  <c r="G247" i="22"/>
  <c r="E247" i="22"/>
  <c r="D247" i="22"/>
  <c r="B247" i="22"/>
  <c r="A247" i="22"/>
  <c r="G246" i="22"/>
  <c r="E246" i="22"/>
  <c r="D246" i="22"/>
  <c r="B246" i="22"/>
  <c r="A246" i="22"/>
  <c r="G245" i="22"/>
  <c r="E245" i="22"/>
  <c r="D245" i="22"/>
  <c r="B245" i="22"/>
  <c r="A245" i="22"/>
  <c r="G244" i="22"/>
  <c r="E244" i="22"/>
  <c r="D244" i="22"/>
  <c r="B244" i="22"/>
  <c r="A244" i="22"/>
  <c r="G243" i="22"/>
  <c r="E243" i="22"/>
  <c r="D243" i="22"/>
  <c r="B243" i="22"/>
  <c r="A243" i="22"/>
  <c r="G242" i="22"/>
  <c r="E242" i="22"/>
  <c r="D242" i="22"/>
  <c r="B242" i="22"/>
  <c r="A242" i="22"/>
  <c r="G241" i="22"/>
  <c r="E241" i="22"/>
  <c r="D241" i="22"/>
  <c r="B241" i="22"/>
  <c r="A241" i="22"/>
  <c r="G240" i="22"/>
  <c r="E240" i="22"/>
  <c r="D240" i="22"/>
  <c r="B240" i="22"/>
  <c r="A240" i="22"/>
  <c r="G239" i="22"/>
  <c r="E239" i="22"/>
  <c r="D239" i="22"/>
  <c r="B239" i="22"/>
  <c r="A239" i="22"/>
  <c r="G238" i="22"/>
  <c r="E238" i="22"/>
  <c r="D238" i="22"/>
  <c r="B238" i="22"/>
  <c r="A238" i="22"/>
  <c r="G237" i="22"/>
  <c r="E237" i="22"/>
  <c r="D237" i="22"/>
  <c r="B237" i="22"/>
  <c r="A237" i="22"/>
  <c r="G236" i="22"/>
  <c r="E236" i="22"/>
  <c r="D236" i="22"/>
  <c r="B236" i="22"/>
  <c r="A236" i="22"/>
  <c r="G235" i="22"/>
  <c r="E235" i="22"/>
  <c r="D235" i="22"/>
  <c r="B235" i="22"/>
  <c r="A235" i="22"/>
  <c r="G234" i="22"/>
  <c r="E234" i="22"/>
  <c r="D234" i="22"/>
  <c r="B234" i="22"/>
  <c r="A234" i="22"/>
  <c r="G233" i="22"/>
  <c r="E233" i="22"/>
  <c r="D233" i="22"/>
  <c r="B233" i="22"/>
  <c r="A233" i="22"/>
  <c r="G232" i="22"/>
  <c r="E232" i="22"/>
  <c r="D232" i="22"/>
  <c r="B232" i="22"/>
  <c r="A232" i="22"/>
  <c r="G231" i="22"/>
  <c r="E231" i="22"/>
  <c r="D231" i="22"/>
  <c r="B231" i="22"/>
  <c r="A231" i="22"/>
  <c r="G230" i="22"/>
  <c r="E230" i="22"/>
  <c r="D230" i="22"/>
  <c r="B230" i="22"/>
  <c r="A230" i="22"/>
  <c r="G229" i="22"/>
  <c r="E229" i="22"/>
  <c r="D229" i="22"/>
  <c r="B229" i="22"/>
  <c r="A229" i="22"/>
  <c r="G228" i="22"/>
  <c r="E228" i="22"/>
  <c r="D228" i="22"/>
  <c r="B228" i="22"/>
  <c r="A228" i="22"/>
  <c r="G227" i="22"/>
  <c r="E227" i="22"/>
  <c r="D227" i="22"/>
  <c r="B227" i="22"/>
  <c r="A227" i="22"/>
  <c r="G226" i="22"/>
  <c r="E226" i="22"/>
  <c r="D226" i="22"/>
  <c r="B226" i="22"/>
  <c r="A226" i="22"/>
  <c r="G225" i="22"/>
  <c r="E225" i="22"/>
  <c r="D225" i="22"/>
  <c r="B225" i="22"/>
  <c r="A225" i="22"/>
  <c r="G224" i="22"/>
  <c r="E224" i="22"/>
  <c r="D224" i="22"/>
  <c r="B224" i="22"/>
  <c r="A224" i="22"/>
  <c r="G223" i="22"/>
  <c r="E223" i="22"/>
  <c r="D223" i="22"/>
  <c r="B223" i="22"/>
  <c r="A223" i="22"/>
  <c r="G222" i="22"/>
  <c r="E222" i="22"/>
  <c r="D222" i="22"/>
  <c r="B222" i="22"/>
  <c r="A222" i="22"/>
  <c r="G221" i="22"/>
  <c r="E221" i="22"/>
  <c r="D221" i="22"/>
  <c r="B221" i="22"/>
  <c r="A221" i="22"/>
  <c r="G220" i="22"/>
  <c r="E220" i="22"/>
  <c r="D220" i="22"/>
  <c r="B220" i="22"/>
  <c r="A220" i="22"/>
  <c r="G219" i="22"/>
  <c r="E219" i="22"/>
  <c r="D219" i="22"/>
  <c r="B219" i="22"/>
  <c r="A219" i="22"/>
  <c r="G218" i="22"/>
  <c r="E218" i="22"/>
  <c r="D218" i="22"/>
  <c r="B218" i="22"/>
  <c r="A218" i="22"/>
  <c r="G217" i="22"/>
  <c r="E217" i="22"/>
  <c r="D217" i="22"/>
  <c r="B217" i="22"/>
  <c r="A217" i="22"/>
  <c r="G216" i="22"/>
  <c r="E216" i="22"/>
  <c r="D216" i="22"/>
  <c r="B216" i="22"/>
  <c r="A216" i="22"/>
  <c r="G215" i="22"/>
  <c r="E215" i="22"/>
  <c r="D215" i="22"/>
  <c r="B215" i="22"/>
  <c r="A215" i="22"/>
  <c r="G214" i="22"/>
  <c r="E214" i="22"/>
  <c r="D214" i="22"/>
  <c r="B214" i="22"/>
  <c r="A214" i="22"/>
  <c r="G213" i="22"/>
  <c r="E213" i="22"/>
  <c r="D213" i="22"/>
  <c r="B213" i="22"/>
  <c r="A213" i="22"/>
  <c r="G212" i="22"/>
  <c r="E212" i="22"/>
  <c r="D212" i="22"/>
  <c r="B212" i="22"/>
  <c r="A212" i="22"/>
  <c r="G211" i="22"/>
  <c r="E211" i="22"/>
  <c r="D211" i="22"/>
  <c r="B211" i="22"/>
  <c r="A211" i="22"/>
  <c r="G210" i="22"/>
  <c r="E210" i="22"/>
  <c r="D210" i="22"/>
  <c r="B210" i="22"/>
  <c r="A210" i="22"/>
  <c r="G209" i="22"/>
  <c r="E209" i="22"/>
  <c r="D209" i="22"/>
  <c r="B209" i="22"/>
  <c r="A209" i="22"/>
  <c r="G208" i="22"/>
  <c r="E208" i="22"/>
  <c r="D208" i="22"/>
  <c r="B208" i="22"/>
  <c r="A208" i="22"/>
  <c r="G207" i="22"/>
  <c r="E207" i="22"/>
  <c r="D207" i="22"/>
  <c r="B207" i="22"/>
  <c r="A207" i="22"/>
  <c r="G206" i="22"/>
  <c r="E206" i="22"/>
  <c r="D206" i="22"/>
  <c r="B206" i="22"/>
  <c r="A206" i="22"/>
  <c r="G205" i="22"/>
  <c r="E205" i="22"/>
  <c r="D205" i="22"/>
  <c r="B205" i="22"/>
  <c r="A205" i="22"/>
  <c r="G204" i="22"/>
  <c r="E204" i="22"/>
  <c r="D204" i="22"/>
  <c r="B204" i="22"/>
  <c r="A204" i="22"/>
  <c r="G203" i="22"/>
  <c r="E203" i="22"/>
  <c r="D203" i="22"/>
  <c r="B203" i="22"/>
  <c r="A203" i="22"/>
  <c r="G202" i="22"/>
  <c r="E202" i="22"/>
  <c r="D202" i="22"/>
  <c r="B202" i="22"/>
  <c r="A202" i="22"/>
  <c r="G201" i="22"/>
  <c r="E201" i="22"/>
  <c r="D201" i="22"/>
  <c r="B201" i="22"/>
  <c r="A201" i="22"/>
  <c r="G200" i="22"/>
  <c r="E200" i="22"/>
  <c r="D200" i="22"/>
  <c r="B200" i="22"/>
  <c r="A200" i="22"/>
  <c r="G199" i="22"/>
  <c r="E199" i="22"/>
  <c r="D199" i="22"/>
  <c r="B199" i="22"/>
  <c r="A199" i="22"/>
  <c r="G198" i="22"/>
  <c r="E198" i="22"/>
  <c r="D198" i="22"/>
  <c r="B198" i="22"/>
  <c r="A198" i="22"/>
  <c r="G197" i="22"/>
  <c r="E197" i="22"/>
  <c r="D197" i="22"/>
  <c r="B197" i="22"/>
  <c r="A197" i="22"/>
  <c r="G196" i="22"/>
  <c r="E196" i="22"/>
  <c r="D196" i="22"/>
  <c r="B196" i="22"/>
  <c r="A196" i="22"/>
  <c r="G195" i="22"/>
  <c r="E195" i="22"/>
  <c r="D195" i="22"/>
  <c r="B195" i="22"/>
  <c r="A195" i="22"/>
  <c r="G194" i="22"/>
  <c r="E194" i="22"/>
  <c r="D194" i="22"/>
  <c r="B194" i="22"/>
  <c r="A194" i="22"/>
  <c r="G193" i="22"/>
  <c r="E193" i="22"/>
  <c r="D193" i="22"/>
  <c r="B193" i="22"/>
  <c r="A193" i="22"/>
  <c r="G192" i="22"/>
  <c r="E192" i="22"/>
  <c r="D192" i="22"/>
  <c r="B192" i="22"/>
  <c r="A192" i="22"/>
  <c r="G191" i="22"/>
  <c r="E191" i="22"/>
  <c r="D191" i="22"/>
  <c r="B191" i="22"/>
  <c r="A191" i="22"/>
  <c r="G190" i="22"/>
  <c r="E190" i="22"/>
  <c r="D190" i="22"/>
  <c r="B190" i="22"/>
  <c r="A190" i="22"/>
  <c r="G189" i="22"/>
  <c r="E189" i="22"/>
  <c r="D189" i="22"/>
  <c r="B189" i="22"/>
  <c r="A189" i="22"/>
  <c r="G188" i="22"/>
  <c r="E188" i="22"/>
  <c r="D188" i="22"/>
  <c r="B188" i="22"/>
  <c r="A188" i="22"/>
  <c r="G187" i="22"/>
  <c r="E187" i="22"/>
  <c r="D187" i="22"/>
  <c r="B187" i="22"/>
  <c r="A187" i="22"/>
  <c r="G186" i="22"/>
  <c r="E186" i="22"/>
  <c r="D186" i="22"/>
  <c r="B186" i="22"/>
  <c r="A186" i="22"/>
  <c r="G185" i="22"/>
  <c r="E185" i="22"/>
  <c r="D185" i="22"/>
  <c r="B185" i="22"/>
  <c r="A185" i="22"/>
  <c r="G184" i="22"/>
  <c r="E184" i="22"/>
  <c r="D184" i="22"/>
  <c r="B184" i="22"/>
  <c r="A184" i="22"/>
  <c r="G183" i="22"/>
  <c r="E183" i="22"/>
  <c r="D183" i="22"/>
  <c r="B183" i="22"/>
  <c r="A183" i="22"/>
  <c r="G182" i="22"/>
  <c r="E182" i="22"/>
  <c r="D182" i="22"/>
  <c r="B182" i="22"/>
  <c r="A182" i="22"/>
  <c r="G181" i="22"/>
  <c r="E181" i="22"/>
  <c r="D181" i="22"/>
  <c r="B181" i="22"/>
  <c r="A181" i="22"/>
  <c r="G180" i="22"/>
  <c r="E180" i="22"/>
  <c r="D180" i="22"/>
  <c r="B180" i="22"/>
  <c r="A180" i="22"/>
  <c r="G179" i="22"/>
  <c r="E179" i="22"/>
  <c r="D179" i="22"/>
  <c r="B179" i="22"/>
  <c r="A179" i="22"/>
  <c r="G178" i="22"/>
  <c r="E178" i="22"/>
  <c r="D178" i="22"/>
  <c r="B178" i="22"/>
  <c r="A178" i="22"/>
  <c r="G177" i="22"/>
  <c r="E177" i="22"/>
  <c r="D177" i="22"/>
  <c r="B177" i="22"/>
  <c r="A177" i="22"/>
  <c r="G176" i="22"/>
  <c r="E176" i="22"/>
  <c r="D176" i="22"/>
  <c r="B176" i="22"/>
  <c r="A176" i="22"/>
  <c r="G175" i="22"/>
  <c r="E175" i="22"/>
  <c r="D175" i="22"/>
  <c r="B175" i="22"/>
  <c r="A175" i="22"/>
  <c r="G174" i="22"/>
  <c r="E174" i="22"/>
  <c r="D174" i="22"/>
  <c r="B174" i="22"/>
  <c r="A174" i="22"/>
  <c r="G173" i="22"/>
  <c r="E173" i="22"/>
  <c r="D173" i="22"/>
  <c r="B173" i="22"/>
  <c r="A173" i="22"/>
  <c r="G172" i="22"/>
  <c r="E172" i="22"/>
  <c r="D172" i="22"/>
  <c r="B172" i="22"/>
  <c r="A172" i="22"/>
  <c r="G171" i="22"/>
  <c r="E171" i="22"/>
  <c r="D171" i="22"/>
  <c r="B171" i="22"/>
  <c r="A171" i="22"/>
  <c r="G170" i="22"/>
  <c r="E170" i="22"/>
  <c r="D170" i="22"/>
  <c r="B170" i="22"/>
  <c r="A170" i="22"/>
  <c r="G169" i="22"/>
  <c r="E169" i="22"/>
  <c r="D169" i="22"/>
  <c r="B169" i="22"/>
  <c r="A169" i="22"/>
  <c r="G168" i="22"/>
  <c r="E168" i="22"/>
  <c r="D168" i="22"/>
  <c r="B168" i="22"/>
  <c r="A168" i="22"/>
  <c r="G167" i="22"/>
  <c r="E167" i="22"/>
  <c r="D167" i="22"/>
  <c r="B167" i="22"/>
  <c r="A167" i="22"/>
  <c r="G166" i="22"/>
  <c r="E166" i="22"/>
  <c r="D166" i="22"/>
  <c r="B166" i="22"/>
  <c r="A166" i="22"/>
  <c r="G165" i="22"/>
  <c r="E165" i="22"/>
  <c r="D165" i="22"/>
  <c r="B165" i="22"/>
  <c r="A165" i="22"/>
  <c r="G164" i="22"/>
  <c r="E164" i="22"/>
  <c r="D164" i="22"/>
  <c r="B164" i="22"/>
  <c r="A164" i="22"/>
  <c r="G163" i="22"/>
  <c r="E163" i="22"/>
  <c r="D163" i="22"/>
  <c r="B163" i="22"/>
  <c r="A163" i="22"/>
  <c r="G162" i="22"/>
  <c r="E162" i="22"/>
  <c r="D162" i="22"/>
  <c r="B162" i="22"/>
  <c r="A162" i="22"/>
  <c r="G161" i="22"/>
  <c r="E161" i="22"/>
  <c r="D161" i="22"/>
  <c r="B161" i="22"/>
  <c r="A161" i="22"/>
  <c r="G160" i="22"/>
  <c r="E160" i="22"/>
  <c r="D160" i="22"/>
  <c r="B160" i="22"/>
  <c r="A160" i="22"/>
  <c r="G159" i="22"/>
  <c r="E159" i="22"/>
  <c r="D159" i="22"/>
  <c r="B159" i="22"/>
  <c r="A159" i="22"/>
  <c r="G158" i="22"/>
  <c r="E158" i="22"/>
  <c r="D158" i="22"/>
  <c r="B158" i="22"/>
  <c r="A158" i="22"/>
  <c r="G157" i="22"/>
  <c r="E157" i="22"/>
  <c r="D157" i="22"/>
  <c r="B157" i="22"/>
  <c r="A157" i="22"/>
  <c r="G156" i="22"/>
  <c r="E156" i="22"/>
  <c r="D156" i="22"/>
  <c r="B156" i="22"/>
  <c r="A156" i="22"/>
  <c r="G155" i="22"/>
  <c r="E155" i="22"/>
  <c r="D155" i="22"/>
  <c r="B155" i="22"/>
  <c r="A155" i="22"/>
  <c r="G154" i="22"/>
  <c r="E154" i="22"/>
  <c r="D154" i="22"/>
  <c r="B154" i="22"/>
  <c r="A154" i="22"/>
  <c r="G153" i="22"/>
  <c r="E153" i="22"/>
  <c r="D153" i="22"/>
  <c r="B153" i="22"/>
  <c r="A153" i="22"/>
  <c r="G152" i="22"/>
  <c r="E152" i="22"/>
  <c r="D152" i="22"/>
  <c r="B152" i="22"/>
  <c r="A152" i="22"/>
  <c r="G151" i="22"/>
  <c r="E151" i="22"/>
  <c r="D151" i="22"/>
  <c r="B151" i="22"/>
  <c r="A151" i="22"/>
  <c r="G150" i="22"/>
  <c r="E150" i="22"/>
  <c r="D150" i="22"/>
  <c r="B150" i="22"/>
  <c r="A150" i="22"/>
  <c r="G149" i="22"/>
  <c r="E149" i="22"/>
  <c r="D149" i="22"/>
  <c r="B149" i="22"/>
  <c r="A149" i="22"/>
  <c r="G148" i="22"/>
  <c r="E148" i="22"/>
  <c r="D148" i="22"/>
  <c r="B148" i="22"/>
  <c r="A148" i="22"/>
  <c r="G147" i="22"/>
  <c r="E147" i="22"/>
  <c r="D147" i="22"/>
  <c r="B147" i="22"/>
  <c r="A147" i="22"/>
  <c r="G146" i="22"/>
  <c r="E146" i="22"/>
  <c r="D146" i="22"/>
  <c r="B146" i="22"/>
  <c r="A146" i="22"/>
  <c r="G145" i="22"/>
  <c r="E145" i="22"/>
  <c r="D145" i="22"/>
  <c r="B145" i="22"/>
  <c r="A145" i="22"/>
  <c r="G144" i="22"/>
  <c r="E144" i="22"/>
  <c r="D144" i="22"/>
  <c r="B144" i="22"/>
  <c r="A144" i="22"/>
  <c r="G143" i="22"/>
  <c r="E143" i="22"/>
  <c r="D143" i="22"/>
  <c r="B143" i="22"/>
  <c r="A143" i="22"/>
  <c r="G142" i="22"/>
  <c r="E142" i="22"/>
  <c r="D142" i="22"/>
  <c r="B142" i="22"/>
  <c r="A142" i="22"/>
  <c r="G141" i="22"/>
  <c r="E141" i="22"/>
  <c r="D141" i="22"/>
  <c r="B141" i="22"/>
  <c r="A141" i="22"/>
  <c r="G140" i="22"/>
  <c r="E140" i="22"/>
  <c r="D140" i="22"/>
  <c r="B140" i="22"/>
  <c r="A140" i="22"/>
  <c r="G139" i="22"/>
  <c r="E139" i="22"/>
  <c r="D139" i="22"/>
  <c r="B139" i="22"/>
  <c r="A139" i="22"/>
  <c r="G138" i="22"/>
  <c r="E138" i="22"/>
  <c r="D138" i="22"/>
  <c r="B138" i="22"/>
  <c r="A138" i="22"/>
  <c r="G137" i="22"/>
  <c r="E137" i="22"/>
  <c r="D137" i="22"/>
  <c r="B137" i="22"/>
  <c r="A137" i="22"/>
  <c r="G136" i="22"/>
  <c r="E136" i="22"/>
  <c r="D136" i="22"/>
  <c r="B136" i="22"/>
  <c r="A136" i="22"/>
  <c r="G135" i="22"/>
  <c r="E135" i="22"/>
  <c r="D135" i="22"/>
  <c r="B135" i="22"/>
  <c r="A135" i="22"/>
  <c r="G134" i="22"/>
  <c r="E134" i="22"/>
  <c r="D134" i="22"/>
  <c r="B134" i="22"/>
  <c r="A134" i="22"/>
  <c r="G133" i="22"/>
  <c r="E133" i="22"/>
  <c r="D133" i="22"/>
  <c r="B133" i="22"/>
  <c r="A133" i="22"/>
  <c r="G132" i="22"/>
  <c r="E132" i="22"/>
  <c r="D132" i="22"/>
  <c r="B132" i="22"/>
  <c r="A132" i="22"/>
  <c r="G131" i="22"/>
  <c r="E131" i="22"/>
  <c r="D131" i="22"/>
  <c r="B131" i="22"/>
  <c r="A131" i="22"/>
  <c r="G130" i="22"/>
  <c r="E130" i="22"/>
  <c r="D130" i="22"/>
  <c r="B130" i="22"/>
  <c r="A130" i="22"/>
  <c r="G129" i="22"/>
  <c r="E129" i="22"/>
  <c r="D129" i="22"/>
  <c r="B129" i="22"/>
  <c r="A129" i="22"/>
  <c r="G128" i="22"/>
  <c r="E128" i="22"/>
  <c r="D128" i="22"/>
  <c r="B128" i="22"/>
  <c r="A128" i="22"/>
  <c r="G127" i="22"/>
  <c r="E127" i="22"/>
  <c r="D127" i="22"/>
  <c r="B127" i="22"/>
  <c r="A127" i="22"/>
  <c r="G126" i="22"/>
  <c r="E126" i="22"/>
  <c r="D126" i="22"/>
  <c r="B126" i="22"/>
  <c r="A126" i="22"/>
  <c r="G125" i="22"/>
  <c r="E125" i="22"/>
  <c r="D125" i="22"/>
  <c r="B125" i="22"/>
  <c r="A125" i="22"/>
  <c r="G124" i="22"/>
  <c r="E124" i="22"/>
  <c r="D124" i="22"/>
  <c r="B124" i="22"/>
  <c r="A124" i="22"/>
  <c r="G123" i="22"/>
  <c r="E123" i="22"/>
  <c r="D123" i="22"/>
  <c r="B123" i="22"/>
  <c r="A123" i="22"/>
  <c r="G122" i="22"/>
  <c r="E122" i="22"/>
  <c r="D122" i="22"/>
  <c r="B122" i="22"/>
  <c r="A122" i="22"/>
  <c r="G121" i="22"/>
  <c r="E121" i="22"/>
  <c r="D121" i="22"/>
  <c r="B121" i="22"/>
  <c r="A121" i="22"/>
  <c r="G120" i="22"/>
  <c r="E120" i="22"/>
  <c r="D120" i="22"/>
  <c r="B120" i="22"/>
  <c r="A120" i="22"/>
  <c r="G119" i="22"/>
  <c r="E119" i="22"/>
  <c r="D119" i="22"/>
  <c r="B119" i="22"/>
  <c r="A119" i="22"/>
  <c r="G118" i="22"/>
  <c r="E118" i="22"/>
  <c r="D118" i="22"/>
  <c r="B118" i="22"/>
  <c r="A118" i="22"/>
  <c r="G117" i="22"/>
  <c r="E117" i="22"/>
  <c r="D117" i="22"/>
  <c r="B117" i="22"/>
  <c r="A117" i="22"/>
  <c r="G116" i="22"/>
  <c r="E116" i="22"/>
  <c r="D116" i="22"/>
  <c r="B116" i="22"/>
  <c r="A116" i="22"/>
  <c r="G115" i="22"/>
  <c r="E115" i="22"/>
  <c r="D115" i="22"/>
  <c r="B115" i="22"/>
  <c r="A115" i="22"/>
  <c r="G114" i="22"/>
  <c r="E114" i="22"/>
  <c r="D114" i="22"/>
  <c r="B114" i="22"/>
  <c r="A114" i="22"/>
  <c r="G113" i="22"/>
  <c r="E113" i="22"/>
  <c r="D113" i="22"/>
  <c r="B113" i="22"/>
  <c r="A113" i="22"/>
  <c r="G112" i="22"/>
  <c r="E112" i="22"/>
  <c r="D112" i="22"/>
  <c r="B112" i="22"/>
  <c r="A112" i="22"/>
  <c r="G111" i="22"/>
  <c r="E111" i="22"/>
  <c r="D111" i="22"/>
  <c r="B111" i="22"/>
  <c r="A111" i="22"/>
  <c r="G110" i="22"/>
  <c r="E110" i="22"/>
  <c r="D110" i="22"/>
  <c r="B110" i="22"/>
  <c r="A110" i="22"/>
  <c r="G109" i="22"/>
  <c r="E109" i="22"/>
  <c r="D109" i="22"/>
  <c r="B109" i="22"/>
  <c r="A109" i="22"/>
  <c r="G108" i="22"/>
  <c r="E108" i="22"/>
  <c r="D108" i="22"/>
  <c r="B108" i="22"/>
  <c r="A108" i="22"/>
  <c r="G107" i="22"/>
  <c r="E107" i="22"/>
  <c r="D107" i="22"/>
  <c r="B107" i="22"/>
  <c r="A107" i="22"/>
  <c r="G106" i="22"/>
  <c r="E106" i="22"/>
  <c r="D106" i="22"/>
  <c r="B106" i="22"/>
  <c r="A106" i="22"/>
  <c r="G105" i="22"/>
  <c r="E105" i="22"/>
  <c r="D105" i="22"/>
  <c r="B105" i="22"/>
  <c r="A105" i="22"/>
  <c r="G104" i="22"/>
  <c r="E104" i="22"/>
  <c r="D104" i="22"/>
  <c r="B104" i="22"/>
  <c r="A104" i="22"/>
  <c r="G103" i="22"/>
  <c r="E103" i="22"/>
  <c r="D103" i="22"/>
  <c r="B103" i="22"/>
  <c r="A103" i="22"/>
  <c r="G102" i="22"/>
  <c r="E102" i="22"/>
  <c r="D102" i="22"/>
  <c r="B102" i="22"/>
  <c r="A102" i="22"/>
  <c r="G101" i="22"/>
  <c r="E101" i="22"/>
  <c r="D101" i="22"/>
  <c r="B101" i="22"/>
  <c r="A101" i="22"/>
  <c r="G100" i="22"/>
  <c r="E100" i="22"/>
  <c r="D100" i="22"/>
  <c r="B100" i="22"/>
  <c r="A100" i="22"/>
  <c r="G99" i="22"/>
  <c r="E99" i="22"/>
  <c r="D99" i="22"/>
  <c r="B99" i="22"/>
  <c r="A99" i="22"/>
  <c r="G98" i="22"/>
  <c r="E98" i="22"/>
  <c r="D98" i="22"/>
  <c r="B98" i="22"/>
  <c r="A98" i="22"/>
  <c r="G97" i="22"/>
  <c r="E97" i="22"/>
  <c r="D97" i="22"/>
  <c r="B97" i="22"/>
  <c r="A97" i="22"/>
  <c r="G96" i="22"/>
  <c r="E96" i="22"/>
  <c r="D96" i="22"/>
  <c r="B96" i="22"/>
  <c r="A96" i="22"/>
  <c r="G95" i="22"/>
  <c r="E95" i="22"/>
  <c r="D95" i="22"/>
  <c r="B95" i="22"/>
  <c r="A95" i="22"/>
  <c r="G94" i="22"/>
  <c r="E94" i="22"/>
  <c r="D94" i="22"/>
  <c r="B94" i="22"/>
  <c r="A94" i="22"/>
  <c r="G93" i="22"/>
  <c r="E93" i="22"/>
  <c r="D93" i="22"/>
  <c r="B93" i="22"/>
  <c r="A93" i="22"/>
  <c r="G92" i="22"/>
  <c r="E92" i="22"/>
  <c r="D92" i="22"/>
  <c r="B92" i="22"/>
  <c r="A92" i="22"/>
  <c r="G91" i="22"/>
  <c r="E91" i="22"/>
  <c r="D91" i="22"/>
  <c r="B91" i="22"/>
  <c r="A91" i="22"/>
  <c r="G90" i="22"/>
  <c r="E90" i="22"/>
  <c r="D90" i="22"/>
  <c r="B90" i="22"/>
  <c r="A90" i="22"/>
  <c r="G89" i="22"/>
  <c r="E89" i="22"/>
  <c r="D89" i="22"/>
  <c r="B89" i="22"/>
  <c r="A89" i="22"/>
  <c r="G88" i="22"/>
  <c r="E88" i="22"/>
  <c r="D88" i="22"/>
  <c r="B88" i="22"/>
  <c r="A88" i="22"/>
  <c r="G87" i="22"/>
  <c r="E87" i="22"/>
  <c r="D87" i="22"/>
  <c r="B87" i="22"/>
  <c r="A87" i="22"/>
  <c r="G86" i="22"/>
  <c r="E86" i="22"/>
  <c r="D86" i="22"/>
  <c r="B86" i="22"/>
  <c r="A86" i="22"/>
  <c r="G85" i="22"/>
  <c r="E85" i="22"/>
  <c r="D85" i="22"/>
  <c r="B85" i="22"/>
  <c r="A85" i="22"/>
  <c r="G84" i="22"/>
  <c r="E84" i="22"/>
  <c r="D84" i="22"/>
  <c r="B84" i="22"/>
  <c r="A84" i="22"/>
  <c r="G83" i="22"/>
  <c r="E83" i="22"/>
  <c r="D83" i="22"/>
  <c r="B83" i="22"/>
  <c r="A83" i="22"/>
  <c r="G82" i="22"/>
  <c r="E82" i="22"/>
  <c r="D82" i="22"/>
  <c r="B82" i="22"/>
  <c r="A82" i="22"/>
  <c r="G81" i="22"/>
  <c r="E81" i="22"/>
  <c r="D81" i="22"/>
  <c r="B81" i="22"/>
  <c r="A81" i="22"/>
  <c r="G80" i="22"/>
  <c r="E80" i="22"/>
  <c r="D80" i="22"/>
  <c r="B80" i="22"/>
  <c r="A80" i="22"/>
  <c r="G79" i="22"/>
  <c r="E79" i="22"/>
  <c r="D79" i="22"/>
  <c r="B79" i="22"/>
  <c r="A79" i="22"/>
  <c r="G78" i="22"/>
  <c r="E78" i="22"/>
  <c r="D78" i="22"/>
  <c r="B78" i="22"/>
  <c r="A78" i="22"/>
  <c r="G77" i="22"/>
  <c r="E77" i="22"/>
  <c r="D77" i="22"/>
  <c r="B77" i="22"/>
  <c r="A77" i="22"/>
  <c r="G76" i="22"/>
  <c r="E76" i="22"/>
  <c r="D76" i="22"/>
  <c r="B76" i="22"/>
  <c r="A76" i="22"/>
  <c r="G75" i="22"/>
  <c r="E75" i="22"/>
  <c r="D75" i="22"/>
  <c r="B75" i="22"/>
  <c r="A75" i="22"/>
  <c r="G74" i="22"/>
  <c r="E74" i="22"/>
  <c r="D74" i="22"/>
  <c r="B74" i="22"/>
  <c r="A74" i="22"/>
  <c r="G73" i="22"/>
  <c r="E73" i="22"/>
  <c r="D73" i="22"/>
  <c r="B73" i="22"/>
  <c r="A73" i="22"/>
  <c r="G72" i="22"/>
  <c r="E72" i="22"/>
  <c r="D72" i="22"/>
  <c r="B72" i="22"/>
  <c r="A72" i="22"/>
  <c r="G71" i="22"/>
  <c r="E71" i="22"/>
  <c r="D71" i="22"/>
  <c r="B71" i="22"/>
  <c r="A71" i="22"/>
  <c r="G70" i="22"/>
  <c r="E70" i="22"/>
  <c r="D70" i="22"/>
  <c r="B70" i="22"/>
  <c r="A70" i="22"/>
  <c r="G69" i="22"/>
  <c r="E69" i="22"/>
  <c r="D69" i="22"/>
  <c r="B69" i="22"/>
  <c r="A69" i="22"/>
  <c r="G68" i="22"/>
  <c r="E68" i="22"/>
  <c r="D68" i="22"/>
  <c r="B68" i="22"/>
  <c r="A68" i="22"/>
  <c r="G67" i="22"/>
  <c r="E67" i="22"/>
  <c r="D67" i="22"/>
  <c r="B67" i="22"/>
  <c r="A67" i="22"/>
  <c r="G66" i="22"/>
  <c r="E66" i="22"/>
  <c r="D66" i="22"/>
  <c r="B66" i="22"/>
  <c r="A66" i="22"/>
  <c r="G65" i="22"/>
  <c r="E65" i="22"/>
  <c r="D65" i="22"/>
  <c r="B65" i="22"/>
  <c r="A65" i="22"/>
  <c r="G64" i="22"/>
  <c r="E64" i="22"/>
  <c r="D64" i="22"/>
  <c r="B64" i="22"/>
  <c r="A64" i="22"/>
  <c r="G63" i="22"/>
  <c r="E63" i="22"/>
  <c r="D63" i="22"/>
  <c r="B63" i="22"/>
  <c r="A63" i="22"/>
  <c r="G62" i="22"/>
  <c r="E62" i="22"/>
  <c r="D62" i="22"/>
  <c r="B62" i="22"/>
  <c r="A62" i="22"/>
  <c r="G61" i="22"/>
  <c r="E61" i="22"/>
  <c r="D61" i="22"/>
  <c r="B61" i="22"/>
  <c r="A61" i="22"/>
  <c r="G60" i="22"/>
  <c r="E60" i="22"/>
  <c r="D60" i="22"/>
  <c r="B60" i="22"/>
  <c r="A60" i="22"/>
  <c r="G59" i="22"/>
  <c r="E59" i="22"/>
  <c r="D59" i="22"/>
  <c r="B59" i="22"/>
  <c r="A59" i="22"/>
  <c r="G58" i="22"/>
  <c r="E58" i="22"/>
  <c r="D58" i="22"/>
  <c r="B58" i="22"/>
  <c r="A58" i="22"/>
  <c r="G57" i="22"/>
  <c r="E57" i="22"/>
  <c r="D57" i="22"/>
  <c r="B57" i="22"/>
  <c r="A57" i="22"/>
  <c r="G56" i="22"/>
  <c r="E56" i="22"/>
  <c r="D56" i="22"/>
  <c r="B56" i="22"/>
  <c r="A56" i="22"/>
  <c r="G55" i="22"/>
  <c r="E55" i="22"/>
  <c r="D55" i="22"/>
  <c r="B55" i="22"/>
  <c r="A55" i="22"/>
  <c r="G54" i="22"/>
  <c r="E54" i="22"/>
  <c r="D54" i="22"/>
  <c r="B54" i="22"/>
  <c r="A54" i="22"/>
  <c r="G53" i="22"/>
  <c r="E53" i="22"/>
  <c r="D53" i="22"/>
  <c r="B53" i="22"/>
  <c r="A53" i="22"/>
  <c r="G52" i="22"/>
  <c r="E52" i="22"/>
  <c r="D52" i="22"/>
  <c r="B52" i="22"/>
  <c r="A52" i="22"/>
  <c r="G51" i="22"/>
  <c r="E51" i="22"/>
  <c r="D51" i="22"/>
  <c r="B51" i="22"/>
  <c r="A51" i="22"/>
  <c r="G50" i="22"/>
  <c r="E50" i="22"/>
  <c r="D50" i="22"/>
  <c r="B50" i="22"/>
  <c r="A50" i="22"/>
  <c r="G49" i="22"/>
  <c r="E49" i="22"/>
  <c r="D49" i="22"/>
  <c r="B49" i="22"/>
  <c r="A49" i="22"/>
  <c r="G48" i="22"/>
  <c r="E48" i="22"/>
  <c r="D48" i="22"/>
  <c r="B48" i="22"/>
  <c r="A48" i="22"/>
  <c r="G47" i="22"/>
  <c r="E47" i="22"/>
  <c r="D47" i="22"/>
  <c r="B47" i="22"/>
  <c r="A47" i="22"/>
  <c r="G46" i="22"/>
  <c r="E46" i="22"/>
  <c r="D46" i="22"/>
  <c r="B46" i="22"/>
  <c r="A46" i="22"/>
  <c r="G45" i="22"/>
  <c r="E45" i="22"/>
  <c r="D45" i="22"/>
  <c r="B45" i="22"/>
  <c r="A45" i="22"/>
  <c r="G44" i="22"/>
  <c r="E44" i="22"/>
  <c r="D44" i="22"/>
  <c r="B44" i="22"/>
  <c r="A44" i="22"/>
  <c r="G43" i="22"/>
  <c r="E43" i="22"/>
  <c r="D43" i="22"/>
  <c r="B43" i="22"/>
  <c r="A43" i="22"/>
  <c r="G42" i="22"/>
  <c r="E42" i="22"/>
  <c r="D42" i="22"/>
  <c r="B42" i="22"/>
  <c r="A42" i="22"/>
  <c r="G41" i="22"/>
  <c r="E41" i="22"/>
  <c r="D41" i="22"/>
  <c r="B41" i="22"/>
  <c r="A41" i="22"/>
  <c r="G40" i="22"/>
  <c r="E40" i="22"/>
  <c r="D40" i="22"/>
  <c r="B40" i="22"/>
  <c r="A40" i="22"/>
  <c r="G39" i="22"/>
  <c r="E39" i="22"/>
  <c r="D39" i="22"/>
  <c r="B39" i="22"/>
  <c r="A39" i="22"/>
  <c r="G38" i="22"/>
  <c r="E38" i="22"/>
  <c r="D38" i="22"/>
  <c r="B38" i="22"/>
  <c r="A38" i="22"/>
  <c r="G37" i="22"/>
  <c r="E37" i="22"/>
  <c r="D37" i="22"/>
  <c r="B37" i="22"/>
  <c r="A37" i="22"/>
  <c r="G36" i="22"/>
  <c r="E36" i="22"/>
  <c r="D36" i="22"/>
  <c r="B36" i="22"/>
  <c r="A36" i="22"/>
  <c r="G35" i="22"/>
  <c r="E35" i="22"/>
  <c r="D35" i="22"/>
  <c r="B35" i="22"/>
  <c r="A35" i="22"/>
  <c r="G34" i="22"/>
  <c r="E34" i="22"/>
  <c r="D34" i="22"/>
  <c r="B34" i="22"/>
  <c r="A34" i="22"/>
  <c r="G33" i="22"/>
  <c r="E33" i="22"/>
  <c r="D33" i="22"/>
  <c r="B33" i="22"/>
  <c r="A33" i="22"/>
  <c r="G32" i="22"/>
  <c r="E32" i="22"/>
  <c r="D32" i="22"/>
  <c r="B32" i="22"/>
  <c r="A32" i="22"/>
  <c r="G31" i="22"/>
  <c r="E31" i="22"/>
  <c r="D31" i="22"/>
  <c r="B31" i="22"/>
  <c r="A31" i="22"/>
  <c r="G30" i="22"/>
  <c r="E30" i="22"/>
  <c r="D30" i="22"/>
  <c r="B30" i="22"/>
  <c r="A30" i="22"/>
  <c r="G29" i="22"/>
  <c r="E29" i="22"/>
  <c r="D29" i="22"/>
  <c r="B29" i="22"/>
  <c r="A29" i="22"/>
  <c r="G28" i="22"/>
  <c r="E28" i="22"/>
  <c r="D28" i="22"/>
  <c r="B28" i="22"/>
  <c r="A28" i="22"/>
  <c r="G27" i="22"/>
  <c r="E27" i="22"/>
  <c r="D27" i="22"/>
  <c r="B27" i="22"/>
  <c r="A27" i="22"/>
  <c r="G26" i="22"/>
  <c r="E26" i="22"/>
  <c r="D26" i="22"/>
  <c r="B26" i="22"/>
  <c r="A26" i="22"/>
  <c r="G25" i="22"/>
  <c r="E25" i="22"/>
  <c r="D25" i="22"/>
  <c r="B25" i="22"/>
  <c r="A25" i="22"/>
  <c r="G24" i="22"/>
  <c r="E24" i="22"/>
  <c r="D24" i="22"/>
  <c r="B24" i="22"/>
  <c r="A24" i="22"/>
  <c r="G23" i="22"/>
  <c r="E23" i="22"/>
  <c r="D23" i="22"/>
  <c r="B23" i="22"/>
  <c r="A23" i="22"/>
  <c r="G22" i="22"/>
  <c r="E22" i="22"/>
  <c r="D22" i="22"/>
  <c r="B22" i="22"/>
  <c r="A22" i="22"/>
  <c r="G21" i="22"/>
  <c r="E21" i="22"/>
  <c r="D21" i="22"/>
  <c r="B21" i="22"/>
  <c r="A21" i="22"/>
  <c r="G20" i="22"/>
  <c r="E20" i="22"/>
  <c r="D20" i="22"/>
  <c r="B20" i="22"/>
  <c r="A20" i="22"/>
  <c r="G19" i="22"/>
  <c r="E19" i="22"/>
  <c r="D19" i="22"/>
  <c r="B19" i="22"/>
  <c r="A19" i="22"/>
  <c r="G18" i="22"/>
  <c r="E18" i="22"/>
  <c r="D18" i="22"/>
  <c r="B18" i="22"/>
  <c r="A18" i="22"/>
  <c r="G17" i="22"/>
  <c r="E17" i="22"/>
  <c r="D17" i="22"/>
  <c r="B17" i="22"/>
  <c r="A17" i="22"/>
  <c r="G16" i="22"/>
  <c r="E16" i="22"/>
  <c r="D16" i="22"/>
  <c r="B16" i="22"/>
  <c r="A16" i="22"/>
  <c r="G15" i="22"/>
  <c r="E15" i="22"/>
  <c r="D15" i="22"/>
  <c r="B15" i="22"/>
  <c r="A15" i="22"/>
  <c r="G14" i="22"/>
  <c r="E14" i="22"/>
  <c r="D14" i="22"/>
  <c r="B14" i="22"/>
  <c r="A14" i="22"/>
  <c r="G13" i="22"/>
  <c r="E13" i="22"/>
  <c r="D13" i="22"/>
  <c r="B13" i="22"/>
  <c r="A13" i="22"/>
  <c r="G12" i="22"/>
  <c r="E12" i="22"/>
  <c r="D12" i="22"/>
  <c r="B12" i="22"/>
  <c r="A12" i="22"/>
  <c r="G11" i="22"/>
  <c r="E11" i="22"/>
  <c r="D11" i="22"/>
  <c r="B11" i="22"/>
  <c r="A11" i="22"/>
  <c r="G10" i="22"/>
  <c r="E10" i="22"/>
  <c r="D10" i="22"/>
  <c r="B10" i="22"/>
  <c r="A10" i="22"/>
  <c r="G9" i="22"/>
  <c r="E9" i="22"/>
  <c r="D9" i="22"/>
  <c r="B9" i="22"/>
  <c r="A9" i="22"/>
  <c r="G8" i="22"/>
  <c r="E8" i="22"/>
  <c r="D8" i="22"/>
  <c r="B8" i="22"/>
  <c r="A8" i="22"/>
  <c r="G7" i="22"/>
  <c r="E7" i="22"/>
  <c r="D7" i="22"/>
  <c r="B7" i="22"/>
  <c r="A7" i="22"/>
  <c r="G6" i="22"/>
  <c r="E6" i="22"/>
  <c r="D6" i="22"/>
  <c r="B6" i="22"/>
  <c r="A6" i="22"/>
  <c r="G5" i="22"/>
  <c r="E5" i="22"/>
  <c r="D5" i="22"/>
  <c r="B5" i="22"/>
  <c r="A5" i="22"/>
  <c r="G4" i="22"/>
  <c r="E4" i="22"/>
  <c r="D4" i="22"/>
  <c r="B4" i="22"/>
  <c r="A4" i="22"/>
  <c r="G3" i="22"/>
  <c r="E3" i="22"/>
  <c r="D3" i="22"/>
  <c r="B3" i="22"/>
  <c r="A3" i="22"/>
  <c r="J4" i="8" l="1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3" i="8"/>
  <c r="E481" i="8" l="1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A481" i="8"/>
  <c r="C481" i="8"/>
  <c r="A482" i="8"/>
  <c r="C482" i="8"/>
  <c r="A483" i="8"/>
  <c r="C483" i="8"/>
  <c r="A484" i="8"/>
  <c r="C484" i="8"/>
  <c r="A485" i="8"/>
  <c r="C485" i="8"/>
  <c r="A486" i="8"/>
  <c r="C486" i="8"/>
  <c r="A487" i="8"/>
  <c r="C487" i="8"/>
  <c r="A488" i="8"/>
  <c r="B488" i="8" s="1"/>
  <c r="C488" i="8"/>
  <c r="A489" i="8"/>
  <c r="C489" i="8"/>
  <c r="A490" i="8"/>
  <c r="C490" i="8"/>
  <c r="A491" i="8"/>
  <c r="C491" i="8"/>
  <c r="A492" i="8"/>
  <c r="C492" i="8"/>
  <c r="A493" i="8"/>
  <c r="B493" i="8" s="1"/>
  <c r="C493" i="8"/>
  <c r="A494" i="8"/>
  <c r="C494" i="8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I610" i="9"/>
  <c r="I614" i="9"/>
  <c r="I618" i="9"/>
  <c r="I606" i="9"/>
  <c r="I607" i="9"/>
  <c r="I608" i="9"/>
  <c r="I609" i="9"/>
  <c r="I611" i="9"/>
  <c r="I612" i="9"/>
  <c r="I613" i="9"/>
  <c r="I615" i="9"/>
  <c r="I616" i="9"/>
  <c r="I617" i="9"/>
  <c r="I605" i="9"/>
  <c r="G605" i="9"/>
  <c r="B494" i="8" l="1"/>
  <c r="B491" i="8"/>
  <c r="B485" i="8"/>
  <c r="B486" i="8"/>
  <c r="B490" i="8"/>
  <c r="B484" i="8"/>
  <c r="B481" i="8"/>
  <c r="B489" i="8"/>
  <c r="B487" i="8"/>
  <c r="B483" i="8"/>
  <c r="B492" i="8"/>
  <c r="B482" i="8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44" i="14"/>
  <c r="E245" i="14"/>
  <c r="E246" i="14"/>
  <c r="E247" i="14"/>
  <c r="E248" i="14"/>
  <c r="E249" i="14"/>
  <c r="E250" i="14"/>
  <c r="E251" i="14"/>
  <c r="E252" i="14"/>
  <c r="E253" i="14"/>
  <c r="E254" i="14"/>
  <c r="E255" i="14"/>
  <c r="E256" i="14"/>
  <c r="E257" i="14"/>
  <c r="E258" i="14"/>
  <c r="E259" i="14"/>
  <c r="E260" i="14"/>
  <c r="E261" i="14"/>
  <c r="E262" i="14"/>
  <c r="E263" i="14"/>
  <c r="E264" i="14"/>
  <c r="E265" i="14"/>
  <c r="E266" i="14"/>
  <c r="E267" i="14"/>
  <c r="E268" i="14"/>
  <c r="E269" i="14"/>
  <c r="E270" i="14"/>
  <c r="E271" i="14"/>
  <c r="E272" i="14"/>
  <c r="E273" i="14"/>
  <c r="E274" i="14"/>
  <c r="E275" i="14"/>
  <c r="E276" i="14"/>
  <c r="E277" i="14"/>
  <c r="E278" i="14"/>
  <c r="E279" i="14"/>
  <c r="E280" i="14"/>
  <c r="E281" i="14"/>
  <c r="E282" i="14"/>
  <c r="E283" i="14"/>
  <c r="E284" i="14"/>
  <c r="E285" i="14"/>
  <c r="E286" i="14"/>
  <c r="E287" i="14"/>
  <c r="E288" i="14"/>
  <c r="E289" i="14"/>
  <c r="E290" i="14"/>
  <c r="E291" i="14"/>
  <c r="E292" i="14"/>
  <c r="E293" i="14"/>
  <c r="E294" i="14"/>
  <c r="E295" i="14"/>
  <c r="E296" i="14"/>
  <c r="E297" i="14"/>
  <c r="E298" i="14"/>
  <c r="E299" i="14"/>
  <c r="E300" i="14"/>
  <c r="E301" i="14"/>
  <c r="E302" i="14"/>
  <c r="E303" i="14"/>
  <c r="E304" i="14"/>
  <c r="E305" i="14"/>
  <c r="E306" i="14"/>
  <c r="E307" i="14"/>
  <c r="E308" i="14"/>
  <c r="E309" i="14"/>
  <c r="E310" i="14"/>
  <c r="E311" i="14"/>
  <c r="E312" i="14"/>
  <c r="E313" i="14"/>
  <c r="E314" i="14"/>
  <c r="E315" i="14"/>
  <c r="E316" i="14"/>
  <c r="E317" i="14"/>
  <c r="E318" i="14"/>
  <c r="E319" i="14"/>
  <c r="E320" i="14"/>
  <c r="E321" i="14"/>
  <c r="E322" i="14"/>
  <c r="E323" i="14"/>
  <c r="E324" i="14"/>
  <c r="E325" i="14"/>
  <c r="E326" i="14"/>
  <c r="E327" i="14"/>
  <c r="E328" i="14"/>
  <c r="E329" i="14"/>
  <c r="E330" i="14"/>
  <c r="E331" i="14"/>
  <c r="E332" i="14"/>
  <c r="E333" i="14"/>
  <c r="E334" i="14"/>
  <c r="E335" i="14"/>
  <c r="E336" i="14"/>
  <c r="E337" i="14"/>
  <c r="E338" i="14"/>
  <c r="E339" i="14"/>
  <c r="E340" i="14"/>
  <c r="E341" i="14"/>
  <c r="E342" i="14"/>
  <c r="E343" i="14"/>
  <c r="E344" i="14"/>
  <c r="E345" i="14"/>
  <c r="E346" i="14"/>
  <c r="E347" i="14"/>
  <c r="E348" i="14"/>
  <c r="E349" i="14"/>
  <c r="E350" i="14"/>
  <c r="E351" i="14"/>
  <c r="E352" i="14"/>
  <c r="E353" i="14"/>
  <c r="E354" i="14"/>
  <c r="E355" i="14"/>
  <c r="E356" i="14"/>
  <c r="E357" i="14"/>
  <c r="E358" i="14"/>
  <c r="E359" i="14"/>
  <c r="E360" i="14"/>
  <c r="E361" i="14"/>
  <c r="E362" i="14"/>
  <c r="E363" i="14"/>
  <c r="E364" i="14"/>
  <c r="E365" i="14"/>
  <c r="E366" i="14"/>
  <c r="E367" i="14"/>
  <c r="E368" i="14"/>
  <c r="E369" i="14"/>
  <c r="E370" i="14"/>
  <c r="E371" i="14"/>
  <c r="E372" i="14"/>
  <c r="E373" i="14"/>
  <c r="E374" i="14"/>
  <c r="E375" i="14"/>
  <c r="E376" i="14"/>
  <c r="E377" i="14"/>
  <c r="E378" i="14"/>
  <c r="E379" i="14"/>
  <c r="E380" i="14"/>
  <c r="E381" i="14"/>
  <c r="E382" i="14"/>
  <c r="E383" i="14"/>
  <c r="E384" i="14"/>
  <c r="E385" i="14"/>
  <c r="E386" i="14"/>
  <c r="E387" i="14"/>
  <c r="E388" i="14"/>
  <c r="E389" i="14"/>
  <c r="E390" i="14"/>
  <c r="E391" i="14"/>
  <c r="E392" i="14"/>
  <c r="E393" i="14"/>
  <c r="E394" i="14"/>
  <c r="E395" i="14"/>
  <c r="E396" i="14"/>
  <c r="E397" i="14"/>
  <c r="E398" i="14"/>
  <c r="E399" i="14"/>
  <c r="E400" i="14"/>
  <c r="E401" i="14"/>
  <c r="E402" i="14"/>
  <c r="E403" i="14"/>
  <c r="E404" i="14"/>
  <c r="E405" i="14"/>
  <c r="E406" i="14"/>
  <c r="E407" i="14"/>
  <c r="E408" i="14"/>
  <c r="E409" i="14"/>
  <c r="E410" i="14"/>
  <c r="E411" i="14"/>
  <c r="E412" i="14"/>
  <c r="E413" i="14"/>
  <c r="E414" i="14"/>
  <c r="E415" i="14"/>
  <c r="E416" i="14"/>
  <c r="E417" i="14"/>
  <c r="E418" i="14"/>
  <c r="E419" i="14"/>
  <c r="E420" i="14"/>
  <c r="E421" i="14"/>
  <c r="E422" i="14"/>
  <c r="E423" i="14"/>
  <c r="E424" i="14"/>
  <c r="E425" i="14"/>
  <c r="E426" i="14"/>
  <c r="E427" i="14"/>
  <c r="E428" i="14"/>
  <c r="E429" i="14"/>
  <c r="E430" i="14"/>
  <c r="E431" i="14"/>
  <c r="E432" i="14"/>
  <c r="E433" i="14"/>
  <c r="E434" i="14"/>
  <c r="E435" i="14"/>
  <c r="E436" i="14"/>
  <c r="E437" i="14"/>
  <c r="E438" i="14"/>
  <c r="E439" i="14"/>
  <c r="E440" i="14"/>
  <c r="E441" i="14"/>
  <c r="E442" i="14"/>
  <c r="E443" i="14"/>
  <c r="E444" i="14"/>
  <c r="E445" i="14"/>
  <c r="E446" i="14"/>
  <c r="E447" i="14"/>
  <c r="E448" i="14"/>
  <c r="E449" i="14"/>
  <c r="E450" i="14"/>
  <c r="E451" i="14"/>
  <c r="E452" i="14"/>
  <c r="E453" i="14"/>
  <c r="E454" i="14"/>
  <c r="E455" i="14"/>
  <c r="E456" i="14"/>
  <c r="E457" i="14"/>
  <c r="E458" i="14"/>
  <c r="E459" i="14"/>
  <c r="E460" i="14"/>
  <c r="E461" i="14"/>
  <c r="E462" i="14"/>
  <c r="E463" i="14"/>
  <c r="E464" i="14"/>
  <c r="E465" i="14"/>
  <c r="E466" i="14"/>
  <c r="E467" i="14"/>
  <c r="E468" i="14"/>
  <c r="E469" i="14"/>
  <c r="E470" i="14"/>
  <c r="E471" i="14"/>
  <c r="E472" i="14"/>
  <c r="E473" i="14"/>
  <c r="E474" i="14"/>
  <c r="E475" i="14"/>
  <c r="E476" i="14"/>
  <c r="E477" i="14"/>
  <c r="E478" i="14"/>
  <c r="E479" i="14"/>
  <c r="E480" i="14"/>
  <c r="E481" i="14"/>
  <c r="E482" i="14"/>
  <c r="E483" i="14"/>
  <c r="E484" i="14"/>
  <c r="E485" i="14"/>
  <c r="E486" i="14"/>
  <c r="E487" i="14"/>
  <c r="E488" i="14"/>
  <c r="E489" i="14"/>
  <c r="E490" i="14"/>
  <c r="E491" i="14"/>
  <c r="E492" i="14"/>
  <c r="E493" i="14"/>
  <c r="E494" i="14"/>
  <c r="E495" i="14"/>
  <c r="E496" i="14"/>
  <c r="E497" i="14"/>
  <c r="E498" i="14"/>
  <c r="E499" i="14"/>
  <c r="E500" i="14"/>
  <c r="E501" i="14"/>
  <c r="E502" i="14"/>
  <c r="E503" i="14"/>
  <c r="E504" i="14"/>
  <c r="E505" i="14"/>
  <c r="E506" i="14"/>
  <c r="E507" i="14"/>
  <c r="E508" i="14"/>
  <c r="E509" i="14"/>
  <c r="E510" i="14"/>
  <c r="E511" i="14"/>
  <c r="E512" i="14"/>
  <c r="E513" i="14"/>
  <c r="E514" i="14"/>
  <c r="E515" i="14"/>
  <c r="E516" i="14"/>
  <c r="E517" i="14"/>
  <c r="E518" i="14"/>
  <c r="E519" i="14"/>
  <c r="E520" i="14"/>
  <c r="E521" i="14"/>
  <c r="E522" i="14"/>
  <c r="E523" i="14"/>
  <c r="E524" i="14"/>
  <c r="E525" i="14"/>
  <c r="E526" i="14"/>
  <c r="E527" i="14"/>
  <c r="E528" i="14"/>
  <c r="E529" i="14"/>
  <c r="E530" i="14"/>
  <c r="E531" i="14"/>
  <c r="E532" i="14"/>
  <c r="E533" i="14"/>
  <c r="E534" i="14"/>
  <c r="E535" i="14"/>
  <c r="E536" i="14"/>
  <c r="E537" i="14"/>
  <c r="E538" i="14"/>
  <c r="E539" i="14"/>
  <c r="E540" i="14"/>
  <c r="E541" i="14"/>
  <c r="E542" i="14"/>
  <c r="E543" i="14"/>
  <c r="E544" i="14"/>
  <c r="E545" i="14"/>
  <c r="E546" i="14"/>
  <c r="E547" i="14"/>
  <c r="E548" i="14"/>
  <c r="E549" i="14"/>
  <c r="E550" i="14"/>
  <c r="E551" i="14"/>
  <c r="E552" i="14"/>
  <c r="E553" i="14"/>
  <c r="E554" i="14"/>
  <c r="E555" i="14"/>
  <c r="E556" i="14"/>
  <c r="E557" i="14"/>
  <c r="E558" i="14"/>
  <c r="E559" i="14"/>
  <c r="E560" i="14"/>
  <c r="E561" i="14"/>
  <c r="E562" i="14"/>
  <c r="E563" i="14"/>
  <c r="E564" i="14"/>
  <c r="E565" i="14"/>
  <c r="E566" i="14"/>
  <c r="E567" i="14"/>
  <c r="E568" i="14"/>
  <c r="E569" i="14"/>
  <c r="E570" i="14"/>
  <c r="E571" i="14"/>
  <c r="E572" i="14"/>
  <c r="E573" i="14"/>
  <c r="E574" i="14"/>
  <c r="E575" i="14"/>
  <c r="E576" i="14"/>
  <c r="E577" i="14"/>
  <c r="E578" i="14"/>
  <c r="E579" i="14"/>
  <c r="E580" i="14"/>
  <c r="E581" i="14"/>
  <c r="E582" i="14"/>
  <c r="E583" i="14"/>
  <c r="E584" i="14"/>
  <c r="E585" i="14"/>
  <c r="E586" i="14"/>
  <c r="E587" i="14"/>
  <c r="E588" i="14"/>
  <c r="E589" i="14"/>
  <c r="E590" i="14"/>
  <c r="E591" i="14"/>
  <c r="E592" i="14"/>
  <c r="E593" i="14"/>
  <c r="E594" i="14"/>
  <c r="E595" i="14"/>
  <c r="E596" i="14"/>
  <c r="E597" i="14"/>
  <c r="E598" i="14"/>
  <c r="E599" i="14"/>
  <c r="E600" i="14"/>
  <c r="E601" i="14"/>
  <c r="E602" i="14"/>
  <c r="E603" i="14"/>
  <c r="E604" i="14"/>
  <c r="E605" i="14"/>
  <c r="E606" i="14"/>
  <c r="E607" i="14"/>
  <c r="E608" i="14"/>
  <c r="E609" i="14"/>
  <c r="E610" i="14"/>
  <c r="E611" i="14"/>
  <c r="E612" i="14"/>
  <c r="E613" i="14"/>
  <c r="E614" i="14"/>
  <c r="E615" i="14"/>
  <c r="E616" i="14"/>
  <c r="E617" i="14"/>
  <c r="E618" i="14"/>
  <c r="E619" i="14"/>
  <c r="E620" i="14"/>
  <c r="E621" i="14"/>
  <c r="E622" i="14"/>
  <c r="E623" i="14"/>
  <c r="E624" i="14"/>
  <c r="E625" i="14"/>
  <c r="E626" i="14"/>
  <c r="E627" i="14"/>
  <c r="E628" i="14"/>
  <c r="E629" i="14"/>
  <c r="E630" i="14"/>
  <c r="E631" i="14"/>
  <c r="E632" i="14"/>
  <c r="E633" i="14"/>
  <c r="E634" i="14"/>
  <c r="E635" i="14"/>
  <c r="E636" i="14"/>
  <c r="E637" i="14"/>
  <c r="E638" i="14"/>
  <c r="E639" i="14"/>
  <c r="E640" i="14"/>
  <c r="E641" i="14"/>
  <c r="E642" i="14"/>
  <c r="E643" i="14"/>
  <c r="E644" i="14"/>
  <c r="E645" i="14"/>
  <c r="E646" i="14"/>
  <c r="E647" i="14"/>
  <c r="E648" i="14"/>
  <c r="E649" i="14"/>
  <c r="E650" i="14"/>
  <c r="E651" i="14"/>
  <c r="E652" i="14"/>
  <c r="E653" i="14"/>
  <c r="E654" i="14"/>
  <c r="E655" i="14"/>
  <c r="E656" i="14"/>
  <c r="E657" i="14"/>
  <c r="E658" i="14"/>
  <c r="E659" i="14"/>
  <c r="E660" i="14"/>
  <c r="E661" i="14"/>
  <c r="E662" i="14"/>
  <c r="E663" i="14"/>
  <c r="E664" i="14"/>
  <c r="E665" i="14"/>
  <c r="E666" i="14"/>
  <c r="E667" i="14"/>
  <c r="E668" i="14"/>
  <c r="E669" i="14"/>
  <c r="E670" i="14"/>
  <c r="E671" i="14"/>
  <c r="E672" i="14"/>
  <c r="E673" i="14"/>
  <c r="E674" i="14"/>
  <c r="E675" i="14"/>
  <c r="E676" i="14"/>
  <c r="E677" i="14"/>
  <c r="E678" i="14"/>
  <c r="E679" i="14"/>
  <c r="E680" i="14"/>
  <c r="E681" i="14"/>
  <c r="E682" i="14"/>
  <c r="E683" i="14"/>
  <c r="E684" i="14"/>
  <c r="E685" i="14"/>
  <c r="E686" i="14"/>
  <c r="E687" i="14"/>
  <c r="E688" i="14"/>
  <c r="E689" i="14"/>
  <c r="E690" i="14"/>
  <c r="E691" i="14"/>
  <c r="E692" i="14"/>
  <c r="E693" i="14"/>
  <c r="E694" i="14"/>
  <c r="E695" i="14"/>
  <c r="E696" i="14"/>
  <c r="E697" i="14"/>
  <c r="E698" i="14"/>
  <c r="E699" i="14"/>
  <c r="E700" i="14"/>
  <c r="E701" i="14"/>
  <c r="E702" i="14"/>
  <c r="E703" i="14"/>
  <c r="E704" i="14"/>
  <c r="E705" i="14"/>
  <c r="E706" i="14"/>
  <c r="E707" i="14"/>
  <c r="E708" i="14"/>
  <c r="E709" i="14"/>
  <c r="E710" i="14"/>
  <c r="E711" i="14"/>
  <c r="E712" i="14"/>
  <c r="E713" i="14"/>
  <c r="E714" i="14"/>
  <c r="E715" i="14"/>
  <c r="E716" i="14"/>
  <c r="E717" i="14"/>
  <c r="E718" i="14"/>
  <c r="E719" i="14"/>
  <c r="E720" i="14"/>
  <c r="E721" i="14"/>
  <c r="E722" i="14"/>
  <c r="E723" i="14"/>
  <c r="E724" i="14"/>
  <c r="E725" i="14"/>
  <c r="E726" i="14"/>
  <c r="E727" i="14"/>
  <c r="E728" i="14"/>
  <c r="E729" i="14"/>
  <c r="E730" i="14"/>
  <c r="E731" i="14"/>
  <c r="E732" i="14"/>
  <c r="E733" i="14"/>
  <c r="E734" i="14"/>
  <c r="E735" i="14"/>
  <c r="E736" i="14"/>
  <c r="E737" i="14"/>
  <c r="E738" i="14"/>
  <c r="E739" i="14"/>
  <c r="E740" i="14"/>
  <c r="E741" i="14"/>
  <c r="E742" i="14"/>
  <c r="E743" i="14"/>
  <c r="E744" i="14"/>
  <c r="E745" i="14"/>
  <c r="E746" i="14"/>
  <c r="E747" i="14"/>
  <c r="E748" i="14"/>
  <c r="E749" i="14"/>
  <c r="E750" i="14"/>
  <c r="E751" i="14"/>
  <c r="E752" i="14"/>
  <c r="E753" i="14"/>
  <c r="E754" i="14"/>
  <c r="E755" i="14"/>
  <c r="E756" i="14"/>
  <c r="E757" i="14"/>
  <c r="E758" i="14"/>
  <c r="E759" i="14"/>
  <c r="E760" i="14"/>
  <c r="E761" i="14"/>
  <c r="E762" i="14"/>
  <c r="E763" i="14"/>
  <c r="E764" i="14"/>
  <c r="E765" i="14"/>
  <c r="E766" i="14"/>
  <c r="E767" i="14"/>
  <c r="E768" i="14"/>
  <c r="E769" i="14"/>
  <c r="E770" i="14"/>
  <c r="E771" i="14"/>
  <c r="E772" i="14"/>
  <c r="E773" i="14"/>
  <c r="E774" i="14"/>
  <c r="E775" i="14"/>
  <c r="E776" i="14"/>
  <c r="E777" i="14"/>
  <c r="E778" i="14"/>
  <c r="E779" i="14"/>
  <c r="E780" i="14"/>
  <c r="E781" i="14"/>
  <c r="E782" i="14"/>
  <c r="E783" i="14"/>
  <c r="E784" i="14"/>
  <c r="E785" i="14"/>
  <c r="E786" i="14"/>
  <c r="E787" i="14"/>
  <c r="E788" i="14"/>
  <c r="E789" i="14"/>
  <c r="E790" i="14"/>
  <c r="E791" i="14"/>
  <c r="E792" i="14"/>
  <c r="E793" i="14"/>
  <c r="E794" i="14"/>
  <c r="E795" i="14"/>
  <c r="E796" i="14"/>
  <c r="E797" i="14"/>
  <c r="E798" i="14"/>
  <c r="E799" i="14"/>
  <c r="E800" i="14"/>
  <c r="E801" i="14"/>
  <c r="E802" i="14"/>
  <c r="E803" i="14"/>
  <c r="E804" i="14"/>
  <c r="E805" i="14"/>
  <c r="E806" i="14"/>
  <c r="E807" i="14"/>
  <c r="E808" i="14"/>
  <c r="E809" i="14"/>
  <c r="E810" i="14"/>
  <c r="E811" i="14"/>
  <c r="E812" i="14"/>
  <c r="E813" i="14"/>
  <c r="E814" i="14"/>
  <c r="E815" i="14"/>
  <c r="E816" i="14"/>
  <c r="E817" i="14"/>
  <c r="E818" i="14"/>
  <c r="E819" i="14"/>
  <c r="E820" i="14"/>
  <c r="E821" i="14"/>
  <c r="E822" i="14"/>
  <c r="E823" i="14"/>
  <c r="E824" i="14"/>
  <c r="E825" i="14"/>
  <c r="E826" i="14"/>
  <c r="E827" i="14"/>
  <c r="E828" i="14"/>
  <c r="E829" i="14"/>
  <c r="E830" i="14"/>
  <c r="E831" i="14"/>
  <c r="E832" i="14"/>
  <c r="E833" i="14"/>
  <c r="E834" i="14"/>
  <c r="E835" i="14"/>
  <c r="E836" i="14"/>
  <c r="E837" i="14"/>
  <c r="E838" i="14"/>
  <c r="E839" i="14"/>
  <c r="E840" i="14"/>
  <c r="E841" i="14"/>
  <c r="E842" i="14"/>
  <c r="E843" i="14"/>
  <c r="E844" i="14"/>
  <c r="E845" i="14"/>
  <c r="E846" i="14"/>
  <c r="E847" i="14"/>
  <c r="E848" i="14"/>
  <c r="E849" i="14"/>
  <c r="E850" i="14"/>
  <c r="E851" i="14"/>
  <c r="E852" i="14"/>
  <c r="E853" i="14"/>
  <c r="E854" i="14"/>
  <c r="E855" i="14"/>
  <c r="E856" i="14"/>
  <c r="E857" i="14"/>
  <c r="E858" i="14"/>
  <c r="E859" i="14"/>
  <c r="E860" i="14"/>
  <c r="E861" i="14"/>
  <c r="E862" i="14"/>
  <c r="E863" i="14"/>
  <c r="E864" i="14"/>
  <c r="E865" i="14"/>
  <c r="E866" i="14"/>
  <c r="E867" i="14"/>
  <c r="E868" i="14"/>
  <c r="E869" i="14"/>
  <c r="E870" i="14"/>
  <c r="E871" i="14"/>
  <c r="E872" i="14"/>
  <c r="E873" i="14"/>
  <c r="E874" i="14"/>
  <c r="E875" i="14"/>
  <c r="E876" i="14"/>
  <c r="E877" i="14"/>
  <c r="E878" i="14"/>
  <c r="E879" i="14"/>
  <c r="E880" i="14"/>
  <c r="E881" i="14"/>
  <c r="E882" i="14"/>
  <c r="E883" i="14"/>
  <c r="E884" i="14"/>
  <c r="E885" i="14"/>
  <c r="E886" i="14"/>
  <c r="E887" i="14"/>
  <c r="E888" i="14"/>
  <c r="E889" i="14"/>
  <c r="E890" i="14"/>
  <c r="E891" i="14"/>
  <c r="E892" i="14"/>
  <c r="E893" i="14"/>
  <c r="E894" i="14"/>
  <c r="E895" i="14"/>
  <c r="E896" i="14"/>
  <c r="E897" i="14"/>
  <c r="E898" i="14"/>
  <c r="E899" i="14"/>
  <c r="E900" i="14"/>
  <c r="E901" i="14"/>
  <c r="E902" i="14"/>
  <c r="E903" i="14"/>
  <c r="E904" i="14"/>
  <c r="E905" i="14"/>
  <c r="E906" i="14"/>
  <c r="E907" i="14"/>
  <c r="E908" i="14"/>
  <c r="E909" i="14"/>
  <c r="E910" i="14"/>
  <c r="E911" i="14"/>
  <c r="E912" i="14"/>
  <c r="E913" i="14"/>
  <c r="E914" i="14"/>
  <c r="E915" i="14"/>
  <c r="E916" i="14"/>
  <c r="E917" i="14"/>
  <c r="E918" i="14"/>
  <c r="E919" i="14"/>
  <c r="E920" i="14"/>
  <c r="E921" i="14"/>
  <c r="E922" i="14"/>
  <c r="E923" i="14"/>
  <c r="E924" i="14"/>
  <c r="E925" i="14"/>
  <c r="E926" i="14"/>
  <c r="E927" i="14"/>
  <c r="E928" i="14"/>
  <c r="E929" i="14"/>
  <c r="E930" i="14"/>
  <c r="E931" i="14"/>
  <c r="E932" i="14"/>
  <c r="E933" i="14"/>
  <c r="E934" i="14"/>
  <c r="E935" i="14"/>
  <c r="E936" i="14"/>
  <c r="E937" i="14"/>
  <c r="E938" i="14"/>
  <c r="E939" i="14"/>
  <c r="E940" i="14"/>
  <c r="E941" i="14"/>
  <c r="E942" i="14"/>
  <c r="E943" i="14"/>
  <c r="E944" i="14"/>
  <c r="E945" i="14"/>
  <c r="E946" i="14"/>
  <c r="E947" i="14"/>
  <c r="E948" i="14"/>
  <c r="E949" i="14"/>
  <c r="E950" i="14"/>
  <c r="E951" i="14"/>
  <c r="E952" i="14"/>
  <c r="E953" i="14"/>
  <c r="E954" i="14"/>
  <c r="E955" i="14"/>
  <c r="E956" i="14"/>
  <c r="E957" i="14"/>
  <c r="E958" i="14"/>
  <c r="E959" i="14"/>
  <c r="E960" i="14"/>
  <c r="E961" i="14"/>
  <c r="E962" i="14"/>
  <c r="E963" i="14"/>
  <c r="E964" i="14"/>
  <c r="E965" i="14"/>
  <c r="E966" i="14"/>
  <c r="E967" i="14"/>
  <c r="E968" i="14"/>
  <c r="E969" i="14"/>
  <c r="E970" i="14"/>
  <c r="E971" i="14"/>
  <c r="E972" i="14"/>
  <c r="E973" i="14"/>
  <c r="E974" i="14"/>
  <c r="E975" i="14"/>
  <c r="E976" i="14"/>
  <c r="E977" i="14"/>
  <c r="E978" i="14"/>
  <c r="E979" i="14"/>
  <c r="E980" i="14"/>
  <c r="E981" i="14"/>
  <c r="E982" i="14"/>
  <c r="E983" i="14"/>
  <c r="E984" i="14"/>
  <c r="E985" i="14"/>
  <c r="E986" i="14"/>
  <c r="E987" i="14"/>
  <c r="E988" i="14"/>
  <c r="E989" i="14"/>
  <c r="E990" i="14"/>
  <c r="E991" i="14"/>
  <c r="E992" i="14"/>
  <c r="E993" i="14"/>
  <c r="E994" i="14"/>
  <c r="E995" i="14"/>
  <c r="E996" i="14"/>
  <c r="E997" i="14"/>
  <c r="E998" i="14"/>
  <c r="E999" i="14"/>
  <c r="E1000" i="14"/>
  <c r="E1001" i="14"/>
  <c r="E1002" i="14"/>
  <c r="E1003" i="14"/>
  <c r="E1004" i="14"/>
  <c r="E1005" i="14"/>
  <c r="E1006" i="14"/>
  <c r="E1007" i="14"/>
  <c r="E1008" i="14"/>
  <c r="E1009" i="14"/>
  <c r="E1010" i="14"/>
  <c r="E1011" i="14"/>
  <c r="E1012" i="14"/>
  <c r="E1013" i="14"/>
  <c r="E1014" i="14"/>
  <c r="E1015" i="14"/>
  <c r="E1016" i="14"/>
  <c r="E1017" i="14"/>
  <c r="E1018" i="14"/>
  <c r="E1019" i="14"/>
  <c r="E1020" i="14"/>
  <c r="E1021" i="14"/>
  <c r="E1022" i="14"/>
  <c r="E1023" i="14"/>
  <c r="E1024" i="14"/>
  <c r="E1025" i="14"/>
  <c r="E1026" i="14"/>
  <c r="E1027" i="14"/>
  <c r="E1028" i="14"/>
  <c r="E1029" i="14"/>
  <c r="E1030" i="14"/>
  <c r="E1031" i="14"/>
  <c r="E1032" i="14"/>
  <c r="E1033" i="14"/>
  <c r="E1034" i="14"/>
  <c r="E1035" i="14"/>
  <c r="E1036" i="14"/>
  <c r="E1037" i="14"/>
  <c r="E1038" i="14"/>
  <c r="E1039" i="14"/>
  <c r="E1040" i="14"/>
  <c r="E1041" i="14"/>
  <c r="E1042" i="14"/>
  <c r="E1043" i="14"/>
  <c r="E1044" i="14"/>
  <c r="E1045" i="14"/>
  <c r="E1046" i="14"/>
  <c r="E1047" i="14"/>
  <c r="E1048" i="14"/>
  <c r="E1049" i="14"/>
  <c r="E1050" i="14"/>
  <c r="E1051" i="14"/>
  <c r="E1052" i="14"/>
  <c r="E1053" i="14"/>
  <c r="E1054" i="14"/>
  <c r="E1055" i="14"/>
  <c r="E1056" i="14"/>
  <c r="E1057" i="14"/>
  <c r="E1058" i="14"/>
  <c r="E1059" i="14"/>
  <c r="E1060" i="14"/>
  <c r="E1061" i="14"/>
  <c r="E1062" i="14"/>
  <c r="E1063" i="14"/>
  <c r="E1064" i="14"/>
  <c r="E1065" i="14"/>
  <c r="E1066" i="14"/>
  <c r="E1067" i="14"/>
  <c r="E1068" i="14"/>
  <c r="E1069" i="14"/>
  <c r="E1070" i="14"/>
  <c r="E1071" i="14"/>
  <c r="E1072" i="14"/>
  <c r="E1073" i="14"/>
  <c r="E1074" i="14"/>
  <c r="E1075" i="14"/>
  <c r="E1076" i="14"/>
  <c r="E1077" i="14"/>
  <c r="E1078" i="14"/>
  <c r="E1079" i="14"/>
  <c r="E1080" i="14"/>
  <c r="E1081" i="14"/>
  <c r="E1082" i="14"/>
  <c r="E1083" i="14"/>
  <c r="E1084" i="14"/>
  <c r="E1085" i="14"/>
  <c r="E1086" i="14"/>
  <c r="E1087" i="14"/>
  <c r="E1088" i="14"/>
  <c r="E1089" i="14"/>
  <c r="E1090" i="14"/>
  <c r="E1091" i="14"/>
  <c r="E1092" i="14"/>
  <c r="E1093" i="14"/>
  <c r="E1094" i="14"/>
  <c r="E1095" i="14"/>
  <c r="E1096" i="14"/>
  <c r="E1097" i="14"/>
  <c r="E1098" i="14"/>
  <c r="E1099" i="14"/>
  <c r="E1100" i="14"/>
  <c r="E1101" i="14"/>
  <c r="E1102" i="14"/>
  <c r="E1103" i="14"/>
  <c r="E1104" i="14"/>
  <c r="E1105" i="14"/>
  <c r="E1106" i="14"/>
  <c r="E1107" i="14"/>
  <c r="E1108" i="14"/>
  <c r="E1109" i="14"/>
  <c r="E1110" i="14"/>
  <c r="E1111" i="14"/>
  <c r="E1112" i="14"/>
  <c r="E1113" i="14"/>
  <c r="E1114" i="14"/>
  <c r="E1115" i="14"/>
  <c r="E1116" i="14"/>
  <c r="E1117" i="14"/>
  <c r="E1118" i="14"/>
  <c r="E1119" i="14"/>
  <c r="E1120" i="14"/>
  <c r="E1121" i="14"/>
  <c r="E1122" i="14"/>
  <c r="E1123" i="14"/>
  <c r="E1124" i="14"/>
  <c r="E1125" i="14"/>
  <c r="E1126" i="14"/>
  <c r="E1127" i="14"/>
  <c r="E1128" i="14"/>
  <c r="E1129" i="14"/>
  <c r="E1130" i="14"/>
  <c r="E1131" i="14"/>
  <c r="E1132" i="14"/>
  <c r="E1133" i="14"/>
  <c r="E1134" i="14"/>
  <c r="E1135" i="14"/>
  <c r="E1136" i="14"/>
  <c r="E1137" i="14"/>
  <c r="E1138" i="14"/>
  <c r="E1139" i="14"/>
  <c r="E1140" i="14"/>
  <c r="E1141" i="14"/>
  <c r="E1142" i="14"/>
  <c r="E1143" i="14"/>
  <c r="E1144" i="14"/>
  <c r="E1145" i="14"/>
  <c r="E1146" i="14"/>
  <c r="E1147" i="14"/>
  <c r="E1148" i="14"/>
  <c r="E1149" i="14"/>
  <c r="E1150" i="14"/>
  <c r="E1151" i="14"/>
  <c r="E1152" i="14"/>
  <c r="E1153" i="14"/>
  <c r="E1154" i="14"/>
  <c r="E1155" i="14"/>
  <c r="E1156" i="14"/>
  <c r="E1157" i="14"/>
  <c r="E1158" i="14"/>
  <c r="E1159" i="14"/>
  <c r="E1160" i="14"/>
  <c r="E1161" i="14"/>
  <c r="E1162" i="14"/>
  <c r="E1163" i="14"/>
  <c r="E1164" i="14"/>
  <c r="E1165" i="14"/>
  <c r="E1166" i="14"/>
  <c r="E1167" i="14"/>
  <c r="E1168" i="14"/>
  <c r="E1169" i="14"/>
  <c r="E1170" i="14"/>
  <c r="E1171" i="14"/>
  <c r="E1172" i="14"/>
  <c r="E1173" i="14"/>
  <c r="E1174" i="14"/>
  <c r="E1175" i="14"/>
  <c r="E1176" i="14"/>
  <c r="E1177" i="14"/>
  <c r="E1178" i="14"/>
  <c r="E1179" i="14"/>
  <c r="E1180" i="14"/>
  <c r="E1181" i="14"/>
  <c r="E1182" i="14"/>
  <c r="E1183" i="14"/>
  <c r="E1184" i="14"/>
  <c r="E1185" i="14"/>
  <c r="E1186" i="14"/>
  <c r="E1187" i="14"/>
  <c r="E1188" i="14"/>
  <c r="E1189" i="14"/>
  <c r="E1190" i="14"/>
  <c r="E1191" i="14"/>
  <c r="E1192" i="14"/>
  <c r="E1193" i="14"/>
  <c r="E1194" i="14"/>
  <c r="E1195" i="14"/>
  <c r="E1196" i="14"/>
  <c r="E1197" i="14"/>
  <c r="E1198" i="14"/>
  <c r="E1199" i="14"/>
  <c r="E1200" i="14"/>
  <c r="E1201" i="14"/>
  <c r="E1202" i="14"/>
  <c r="E1203" i="14"/>
  <c r="E1204" i="14"/>
  <c r="E1205" i="14"/>
  <c r="E1206" i="14"/>
  <c r="E1207" i="14"/>
  <c r="E1208" i="14"/>
  <c r="E1209" i="14"/>
  <c r="E1210" i="14"/>
  <c r="E1211" i="14"/>
  <c r="E1212" i="14"/>
  <c r="E1213" i="14"/>
  <c r="E1214" i="14"/>
  <c r="E1215" i="14"/>
  <c r="E1216" i="14"/>
  <c r="E1217" i="14"/>
  <c r="E1218" i="14"/>
  <c r="E1219" i="14"/>
  <c r="E1220" i="14"/>
  <c r="E1221" i="14"/>
  <c r="E1222" i="14"/>
  <c r="E1223" i="14"/>
  <c r="E1224" i="14"/>
  <c r="E1225" i="14"/>
  <c r="E1226" i="14"/>
  <c r="E1227" i="14"/>
  <c r="E1228" i="14"/>
  <c r="E1229" i="14"/>
  <c r="E1230" i="14"/>
  <c r="E1231" i="14"/>
  <c r="E1232" i="14"/>
  <c r="E1233" i="14"/>
  <c r="E1234" i="14"/>
  <c r="E1235" i="14"/>
  <c r="E1236" i="14"/>
  <c r="E1237" i="14"/>
  <c r="E1238" i="14"/>
  <c r="E1239" i="14"/>
  <c r="E1240" i="14"/>
  <c r="E1241" i="14"/>
  <c r="E1242" i="14"/>
  <c r="E1243" i="14"/>
  <c r="E1244" i="14"/>
  <c r="E1245" i="14"/>
  <c r="E1246" i="14"/>
  <c r="E1247" i="14"/>
  <c r="E1248" i="14"/>
  <c r="E1249" i="14"/>
  <c r="E1250" i="14"/>
  <c r="E1251" i="14"/>
  <c r="E1252" i="14"/>
  <c r="E1253" i="14"/>
  <c r="E1254" i="14"/>
  <c r="E1255" i="14"/>
  <c r="E1256" i="14"/>
  <c r="E1257" i="14"/>
  <c r="E1258" i="14"/>
  <c r="E1259" i="14"/>
  <c r="E1260" i="14"/>
  <c r="E1261" i="14"/>
  <c r="E1262" i="14"/>
  <c r="E1263" i="14"/>
  <c r="E1264" i="14"/>
  <c r="E1265" i="14"/>
  <c r="E1266" i="14"/>
  <c r="E1267" i="14"/>
  <c r="E1268" i="14"/>
  <c r="E1269" i="14"/>
  <c r="E1270" i="14"/>
  <c r="E1271" i="14"/>
  <c r="E1272" i="14"/>
  <c r="E1273" i="14"/>
  <c r="E1274" i="14"/>
  <c r="E1275" i="14"/>
  <c r="E1276" i="14"/>
  <c r="E1277" i="14"/>
  <c r="E1278" i="14"/>
  <c r="E1279" i="14"/>
  <c r="E1280" i="14"/>
  <c r="E1281" i="14"/>
  <c r="E1282" i="14"/>
  <c r="E1283" i="14"/>
  <c r="E1284" i="14"/>
  <c r="E1285" i="14"/>
  <c r="E1286" i="14"/>
  <c r="E1287" i="14"/>
  <c r="E1288" i="14"/>
  <c r="E1289" i="14"/>
  <c r="E1290" i="14"/>
  <c r="E1291" i="14"/>
  <c r="E1292" i="14"/>
  <c r="E1293" i="14"/>
  <c r="E1294" i="14"/>
  <c r="E1295" i="14"/>
  <c r="E1296" i="14"/>
  <c r="E1297" i="14"/>
  <c r="E1298" i="14"/>
  <c r="E1299" i="14"/>
  <c r="E1300" i="14"/>
  <c r="E1301" i="14"/>
  <c r="E1302" i="14"/>
  <c r="E1303" i="14"/>
  <c r="E1304" i="14"/>
  <c r="E1305" i="14"/>
  <c r="E1306" i="14"/>
  <c r="E1307" i="14"/>
  <c r="E1308" i="14"/>
  <c r="E1309" i="14"/>
  <c r="E1310" i="14"/>
  <c r="E1311" i="14"/>
  <c r="E1312" i="14"/>
  <c r="E1313" i="14"/>
  <c r="E1314" i="14"/>
  <c r="E1315" i="14"/>
  <c r="E1316" i="14"/>
  <c r="E1317" i="14"/>
  <c r="E1318" i="14"/>
  <c r="E1319" i="14"/>
  <c r="E1320" i="14"/>
  <c r="E1321" i="14"/>
  <c r="E1322" i="14"/>
  <c r="E1323" i="14"/>
  <c r="E1324" i="14"/>
  <c r="E1325" i="14"/>
  <c r="E1326" i="14"/>
  <c r="E1327" i="14"/>
  <c r="E1328" i="14"/>
  <c r="E1329" i="14"/>
  <c r="E1330" i="14"/>
  <c r="E1331" i="14"/>
  <c r="E1332" i="14"/>
  <c r="E1333" i="14"/>
  <c r="E1334" i="14"/>
  <c r="E1335" i="14"/>
  <c r="E1336" i="14"/>
  <c r="E1337" i="14"/>
  <c r="E1338" i="14"/>
  <c r="E1339" i="14"/>
  <c r="E1340" i="14"/>
  <c r="E1341" i="14"/>
  <c r="E1342" i="14"/>
  <c r="E1343" i="14"/>
  <c r="E1344" i="14"/>
  <c r="E1345" i="14"/>
  <c r="E1346" i="14"/>
  <c r="E1347" i="14"/>
  <c r="E1348" i="14"/>
  <c r="E1349" i="14"/>
  <c r="E1350" i="14"/>
  <c r="E1351" i="14"/>
  <c r="E1352" i="14"/>
  <c r="E1353" i="14"/>
  <c r="E1354" i="14"/>
  <c r="E1355" i="14"/>
  <c r="E1356" i="14"/>
  <c r="E1357" i="14"/>
  <c r="E1358" i="14"/>
  <c r="E1359" i="14"/>
  <c r="E1360" i="14"/>
  <c r="E1361" i="14"/>
  <c r="E1362" i="14"/>
  <c r="E1363" i="14"/>
  <c r="E1364" i="14"/>
  <c r="E1365" i="14"/>
  <c r="E1366" i="14"/>
  <c r="E1367" i="14"/>
  <c r="E1368" i="14"/>
  <c r="E1369" i="14"/>
  <c r="E1370" i="14"/>
  <c r="E1371" i="14"/>
  <c r="E1372" i="14"/>
  <c r="E1373" i="14"/>
  <c r="E1374" i="14"/>
  <c r="E1375" i="14"/>
  <c r="E1376" i="14"/>
  <c r="E1377" i="14"/>
  <c r="E1378" i="14"/>
  <c r="E1379" i="14"/>
  <c r="E1380" i="14"/>
  <c r="E1381" i="14"/>
  <c r="E1382" i="14"/>
  <c r="E1383" i="14"/>
  <c r="E1384" i="14"/>
  <c r="E1385" i="14"/>
  <c r="E1386" i="14"/>
  <c r="E1387" i="14"/>
  <c r="E1388" i="14"/>
  <c r="E1389" i="14"/>
  <c r="E1390" i="14"/>
  <c r="E1391" i="14"/>
  <c r="E1392" i="14"/>
  <c r="E1393" i="14"/>
  <c r="E1394" i="14"/>
  <c r="E1395" i="14"/>
  <c r="E1396" i="14"/>
  <c r="E1397" i="14"/>
  <c r="E1398" i="14"/>
  <c r="E1399" i="14"/>
  <c r="E1400" i="14"/>
  <c r="E1401" i="14"/>
  <c r="E1402" i="14"/>
  <c r="E1403" i="14"/>
  <c r="E1404" i="14"/>
  <c r="E1405" i="14"/>
  <c r="E1406" i="14"/>
  <c r="E1407" i="14"/>
  <c r="E1408" i="14"/>
  <c r="E1409" i="14"/>
  <c r="E1410" i="14"/>
  <c r="E1411" i="14"/>
  <c r="E1412" i="14"/>
  <c r="E1413" i="14"/>
  <c r="E1414" i="14"/>
  <c r="E1415" i="14"/>
  <c r="E1416" i="14"/>
  <c r="E1417" i="14"/>
  <c r="E1418" i="14"/>
  <c r="E1419" i="14"/>
  <c r="E1420" i="14"/>
  <c r="E1421" i="14"/>
  <c r="E1422" i="14"/>
  <c r="E1423" i="14"/>
  <c r="E1424" i="14"/>
  <c r="E1425" i="14"/>
  <c r="E1426" i="14"/>
  <c r="E1427" i="14"/>
  <c r="E1428" i="14"/>
  <c r="E1429" i="14"/>
  <c r="E1430" i="14"/>
  <c r="E1431" i="14"/>
  <c r="E1432" i="14"/>
  <c r="E1433" i="14"/>
  <c r="E1434" i="14"/>
  <c r="E1435" i="14"/>
  <c r="E1436" i="14"/>
  <c r="E1437" i="14"/>
  <c r="E1438" i="14"/>
  <c r="E1439" i="14"/>
  <c r="E1440" i="14"/>
  <c r="E1441" i="14"/>
  <c r="E1442" i="14"/>
  <c r="E1443" i="14"/>
  <c r="E1444" i="14"/>
  <c r="E1445" i="14"/>
  <c r="E1446" i="14"/>
  <c r="E1447" i="14"/>
  <c r="E1448" i="14"/>
  <c r="E1449" i="14"/>
  <c r="E1450" i="14"/>
  <c r="E1451" i="14"/>
  <c r="E1452" i="14"/>
  <c r="E1453" i="14"/>
  <c r="E1454" i="14"/>
  <c r="E1455" i="14"/>
  <c r="E1456" i="14"/>
  <c r="E1457" i="14"/>
  <c r="E1458" i="14"/>
  <c r="E1459" i="14"/>
  <c r="E1460" i="14"/>
  <c r="E1461" i="14"/>
  <c r="E1462" i="14"/>
  <c r="E1463" i="14"/>
  <c r="E1464" i="14"/>
  <c r="E1465" i="14"/>
  <c r="E1466" i="14"/>
  <c r="E1467" i="14"/>
  <c r="E1468" i="14"/>
  <c r="E1469" i="14"/>
  <c r="E1470" i="14"/>
  <c r="E1471" i="14"/>
  <c r="E1472" i="14"/>
  <c r="E1473" i="14"/>
  <c r="E1474" i="14"/>
  <c r="E1475" i="14"/>
  <c r="E1476" i="14"/>
  <c r="E1477" i="14"/>
  <c r="E1478" i="14"/>
  <c r="E1479" i="14"/>
  <c r="E1480" i="14"/>
  <c r="E1481" i="14"/>
  <c r="E1482" i="14"/>
  <c r="E1483" i="14"/>
  <c r="E1484" i="14"/>
  <c r="E1485" i="14"/>
  <c r="E1486" i="14"/>
  <c r="E1487" i="14"/>
  <c r="E1488" i="14"/>
  <c r="E1489" i="14"/>
  <c r="E1490" i="14"/>
  <c r="E1491" i="14"/>
  <c r="E1492" i="14"/>
  <c r="E1493" i="14"/>
  <c r="E1494" i="14"/>
  <c r="E1495" i="14"/>
  <c r="E1496" i="14"/>
  <c r="E1497" i="14"/>
  <c r="E1498" i="14"/>
  <c r="E1499" i="14"/>
  <c r="E1500" i="14"/>
  <c r="E1501" i="14"/>
  <c r="E1502" i="14"/>
  <c r="E1503" i="14"/>
  <c r="E1504" i="14"/>
  <c r="E1505" i="14"/>
  <c r="E1506" i="14"/>
  <c r="E1507" i="14"/>
  <c r="E1508" i="14"/>
  <c r="E1509" i="14"/>
  <c r="E1510" i="14"/>
  <c r="E1511" i="14"/>
  <c r="E1512" i="14"/>
  <c r="E1513" i="14"/>
  <c r="E1514" i="14"/>
  <c r="E1515" i="14"/>
  <c r="E1516" i="14"/>
  <c r="E1517" i="14"/>
  <c r="E1518" i="14"/>
  <c r="E1519" i="14"/>
  <c r="E1520" i="14"/>
  <c r="E1521" i="14"/>
  <c r="E1522" i="14"/>
  <c r="E1523" i="14"/>
  <c r="E1524" i="14"/>
  <c r="E1525" i="14"/>
  <c r="E1526" i="14"/>
  <c r="E1527" i="14"/>
  <c r="E1528" i="14"/>
  <c r="E1529" i="14"/>
  <c r="E1530" i="14"/>
  <c r="E1531" i="14"/>
  <c r="E1532" i="14"/>
  <c r="E1533" i="14"/>
  <c r="E1534" i="14"/>
  <c r="E1535" i="14"/>
  <c r="E1536" i="14"/>
  <c r="E1537" i="14"/>
  <c r="E1538" i="14"/>
  <c r="E1539" i="14"/>
  <c r="E1540" i="14"/>
  <c r="E1541" i="14"/>
  <c r="E1542" i="14"/>
  <c r="E1543" i="14"/>
  <c r="E1544" i="14"/>
  <c r="E1545" i="14"/>
  <c r="E1546" i="14"/>
  <c r="E1547" i="14"/>
  <c r="E1548" i="14"/>
  <c r="E1549" i="14"/>
  <c r="E1550" i="14"/>
  <c r="E1551" i="14"/>
  <c r="E1552" i="14"/>
  <c r="E1553" i="14"/>
  <c r="E1554" i="14"/>
  <c r="E1555" i="14"/>
  <c r="E1556" i="14"/>
  <c r="E1557" i="14"/>
  <c r="E1558" i="14"/>
  <c r="E1559" i="14"/>
  <c r="E1560" i="14"/>
  <c r="E1561" i="14"/>
  <c r="E1562" i="14"/>
  <c r="E1563" i="14"/>
  <c r="E1564" i="14"/>
  <c r="E1565" i="14"/>
  <c r="E1566" i="14"/>
  <c r="E1567" i="14"/>
  <c r="E1568" i="14"/>
  <c r="E1569" i="14"/>
  <c r="E1570" i="14"/>
  <c r="E1571" i="14"/>
  <c r="E1572" i="14"/>
  <c r="E1573" i="14"/>
  <c r="E1574" i="14"/>
  <c r="E1575" i="14"/>
  <c r="E1576" i="14"/>
  <c r="E1577" i="14"/>
  <c r="E1578" i="14"/>
  <c r="E1579" i="14"/>
  <c r="E1580" i="14"/>
  <c r="E1581" i="14"/>
  <c r="E1582" i="14"/>
  <c r="E1583" i="14"/>
  <c r="E1584" i="14"/>
  <c r="E1585" i="14"/>
  <c r="E1586" i="14"/>
  <c r="E1587" i="14"/>
  <c r="E1588" i="14"/>
  <c r="E1589" i="14"/>
  <c r="E1590" i="14"/>
  <c r="E1591" i="14"/>
  <c r="E1592" i="14"/>
  <c r="E1593" i="14"/>
  <c r="E1594" i="14"/>
  <c r="E1595" i="14"/>
  <c r="E1596" i="14"/>
  <c r="E1597" i="14"/>
  <c r="E1598" i="14"/>
  <c r="E1599" i="14"/>
  <c r="E1600" i="14"/>
  <c r="E1601" i="14"/>
  <c r="E1602" i="14"/>
  <c r="E1603" i="14"/>
  <c r="E1604" i="14"/>
  <c r="E1605" i="14"/>
  <c r="E1606" i="14"/>
  <c r="E1607" i="14"/>
  <c r="E1608" i="14"/>
  <c r="E1609" i="14"/>
  <c r="E1610" i="14"/>
  <c r="E1611" i="14"/>
  <c r="E1612" i="14"/>
  <c r="E1613" i="14"/>
  <c r="E1614" i="14"/>
  <c r="E1615" i="14"/>
  <c r="E1616" i="14"/>
  <c r="E1617" i="14"/>
  <c r="E1618" i="14"/>
  <c r="E1619" i="14"/>
  <c r="E1620" i="14"/>
  <c r="E1621" i="14"/>
  <c r="E1622" i="14"/>
  <c r="E1623" i="14"/>
  <c r="E1624" i="14"/>
  <c r="E1625" i="14"/>
  <c r="E1626" i="14"/>
  <c r="E1627" i="14"/>
  <c r="E1628" i="14"/>
  <c r="E1629" i="14"/>
  <c r="E1630" i="14"/>
  <c r="E1631" i="14"/>
  <c r="E1632" i="14"/>
  <c r="E1633" i="14"/>
  <c r="E1634" i="14"/>
  <c r="E1635" i="14"/>
  <c r="E1636" i="14"/>
  <c r="E1637" i="14"/>
  <c r="E1638" i="14"/>
  <c r="E1639" i="14"/>
  <c r="E1640" i="14"/>
  <c r="E1641" i="14"/>
  <c r="E1642" i="14"/>
  <c r="E1643" i="14"/>
  <c r="E1644" i="14"/>
  <c r="E1645" i="14"/>
  <c r="E1646" i="14"/>
  <c r="E1647" i="14"/>
  <c r="E1648" i="14"/>
  <c r="E1649" i="14"/>
  <c r="E1650" i="14"/>
  <c r="E1651" i="14"/>
  <c r="E1652" i="14"/>
  <c r="E1653" i="14"/>
  <c r="E1654" i="14"/>
  <c r="E1655" i="14"/>
  <c r="E1656" i="14"/>
  <c r="E1657" i="14"/>
  <c r="E1658" i="14"/>
  <c r="E1659" i="14"/>
  <c r="E1660" i="14"/>
  <c r="E1661" i="14"/>
  <c r="E1662" i="14"/>
  <c r="E1663" i="14"/>
  <c r="E1664" i="14"/>
  <c r="E1665" i="14"/>
  <c r="E1666" i="14"/>
  <c r="E1667" i="14"/>
  <c r="E1668" i="14"/>
  <c r="E1669" i="14"/>
  <c r="E1670" i="14"/>
  <c r="E1671" i="14"/>
  <c r="E1672" i="14"/>
  <c r="E1673" i="14"/>
  <c r="E1674" i="14"/>
  <c r="E1675" i="14"/>
  <c r="E1676" i="14"/>
  <c r="E1677" i="14"/>
  <c r="E1678" i="14"/>
  <c r="E1679" i="14"/>
  <c r="E1680" i="14"/>
  <c r="E1681" i="14"/>
  <c r="E1682" i="14"/>
  <c r="E1683" i="14"/>
  <c r="E1684" i="14"/>
  <c r="E1685" i="14"/>
  <c r="E1686" i="14"/>
  <c r="E1687" i="14"/>
  <c r="E1688" i="14"/>
  <c r="E1689" i="14"/>
  <c r="E1690" i="14"/>
  <c r="E1691" i="14"/>
  <c r="E1692" i="14"/>
  <c r="E1693" i="14"/>
  <c r="E1694" i="14"/>
  <c r="E1695" i="14"/>
  <c r="E1696" i="14"/>
  <c r="E1697" i="14"/>
  <c r="E1698" i="14"/>
  <c r="E1699" i="14"/>
  <c r="E1700" i="14"/>
  <c r="E1701" i="14"/>
  <c r="E1702" i="14"/>
  <c r="E1703" i="14"/>
  <c r="E1704" i="14"/>
  <c r="E1705" i="14"/>
  <c r="E1706" i="14"/>
  <c r="E1707" i="14"/>
  <c r="E1708" i="14"/>
  <c r="E1709" i="14"/>
  <c r="E1710" i="14"/>
  <c r="E1711" i="14"/>
  <c r="E1712" i="14"/>
  <c r="E1713" i="14"/>
  <c r="E1714" i="14"/>
  <c r="E1715" i="14"/>
  <c r="E1716" i="14"/>
  <c r="E1717" i="14"/>
  <c r="E1718" i="14"/>
  <c r="E1719" i="14"/>
  <c r="E1720" i="14"/>
  <c r="E1721" i="14"/>
  <c r="E1722" i="14"/>
  <c r="E1723" i="14"/>
  <c r="E1724" i="14"/>
  <c r="E1725" i="14"/>
  <c r="E1726" i="14"/>
  <c r="E1727" i="14"/>
  <c r="E1728" i="14"/>
  <c r="E1729" i="14"/>
  <c r="E1730" i="14"/>
  <c r="E1731" i="14"/>
  <c r="E1732" i="14"/>
  <c r="E1733" i="14"/>
  <c r="E1734" i="14"/>
  <c r="E1735" i="14"/>
  <c r="E1736" i="14"/>
  <c r="E1737" i="14"/>
  <c r="E1738" i="14"/>
  <c r="E1739" i="14"/>
  <c r="E1740" i="14"/>
  <c r="E1741" i="14"/>
  <c r="E1742" i="14"/>
  <c r="E1743" i="14"/>
  <c r="E1744" i="14"/>
  <c r="E1745" i="14"/>
  <c r="E1746" i="14"/>
  <c r="E1747" i="14"/>
  <c r="E1748" i="14"/>
  <c r="E1749" i="14"/>
  <c r="E1750" i="14"/>
  <c r="E1751" i="14"/>
  <c r="E1752" i="14"/>
  <c r="E1753" i="14"/>
  <c r="E1754" i="14"/>
  <c r="E1755" i="14"/>
  <c r="E1756" i="14"/>
  <c r="E1757" i="14"/>
  <c r="E1758" i="14"/>
  <c r="E1759" i="14"/>
  <c r="E1760" i="14"/>
  <c r="E1761" i="14"/>
  <c r="E1762" i="14"/>
  <c r="E1763" i="14"/>
  <c r="E1764" i="14"/>
  <c r="E1765" i="14"/>
  <c r="E1766" i="14"/>
  <c r="E1767" i="14"/>
  <c r="E1768" i="14"/>
  <c r="E1769" i="14"/>
  <c r="E1770" i="14"/>
  <c r="E1771" i="14"/>
  <c r="E1772" i="14"/>
  <c r="E1773" i="14"/>
  <c r="E1774" i="14"/>
  <c r="E1775" i="14"/>
  <c r="E1776" i="14"/>
  <c r="E1777" i="14"/>
  <c r="E1778" i="14"/>
  <c r="E1779" i="14"/>
  <c r="E1780" i="14"/>
  <c r="E1781" i="14"/>
  <c r="E1782" i="14"/>
  <c r="E1783" i="14"/>
  <c r="E1784" i="14"/>
  <c r="E1785" i="14"/>
  <c r="E1786" i="14"/>
  <c r="E1787" i="14"/>
  <c r="E1788" i="14"/>
  <c r="E1789" i="14"/>
  <c r="E1790" i="14"/>
  <c r="E1791" i="14"/>
  <c r="E1792" i="14"/>
  <c r="E1793" i="14"/>
  <c r="E1794" i="14"/>
  <c r="E1795" i="14"/>
  <c r="E1796" i="14"/>
  <c r="E1797" i="14"/>
  <c r="E1798" i="14"/>
  <c r="E1799" i="14"/>
  <c r="E1800" i="14"/>
  <c r="E1801" i="14"/>
  <c r="E1802" i="14"/>
  <c r="E1803" i="14"/>
  <c r="E1804" i="14"/>
  <c r="E1805" i="14"/>
  <c r="E1806" i="14"/>
  <c r="E1807" i="14"/>
  <c r="E1808" i="14"/>
  <c r="E1809" i="14"/>
  <c r="E1810" i="14"/>
  <c r="E1811" i="14"/>
  <c r="E1812" i="14"/>
  <c r="E1813" i="14"/>
  <c r="E1814" i="14"/>
  <c r="E1815" i="14"/>
  <c r="E1816" i="14"/>
  <c r="E1817" i="14"/>
  <c r="E1818" i="14"/>
  <c r="E1819" i="14"/>
  <c r="E1820" i="14"/>
  <c r="E1821" i="14"/>
  <c r="E1822" i="14"/>
  <c r="E1823" i="14"/>
  <c r="E1824" i="14"/>
  <c r="E1825" i="14"/>
  <c r="E1826" i="14"/>
  <c r="E1827" i="14"/>
  <c r="E1828" i="14"/>
  <c r="E1829" i="14"/>
  <c r="E1830" i="14"/>
  <c r="E1831" i="14"/>
  <c r="E1832" i="14"/>
  <c r="E1833" i="14"/>
  <c r="E1834" i="14"/>
  <c r="E1835" i="14"/>
  <c r="E1836" i="14"/>
  <c r="E1837" i="14"/>
  <c r="E1838" i="14"/>
  <c r="E1839" i="14"/>
  <c r="E1840" i="14"/>
  <c r="E1841" i="14"/>
  <c r="E1842" i="14"/>
  <c r="E1843" i="14"/>
  <c r="E1844" i="14"/>
  <c r="E1845" i="14"/>
  <c r="E1846" i="14"/>
  <c r="E1847" i="14"/>
  <c r="E1848" i="14"/>
  <c r="E1849" i="14"/>
  <c r="E1850" i="14"/>
  <c r="E1851" i="14"/>
  <c r="E1852" i="14"/>
  <c r="E1853" i="14"/>
  <c r="E1854" i="14"/>
  <c r="E1855" i="14"/>
  <c r="E1856" i="14"/>
  <c r="E1857" i="14"/>
  <c r="E1858" i="14"/>
  <c r="E1859" i="14"/>
  <c r="E1860" i="14"/>
  <c r="E1861" i="14"/>
  <c r="E1862" i="14"/>
  <c r="E1863" i="14"/>
  <c r="E1864" i="14"/>
  <c r="E1865" i="14"/>
  <c r="E1866" i="14"/>
  <c r="E1867" i="14"/>
  <c r="E1868" i="14"/>
  <c r="E1869" i="14"/>
  <c r="E1870" i="14"/>
  <c r="E1871" i="14"/>
  <c r="E1872" i="14"/>
  <c r="E1873" i="14"/>
  <c r="E1874" i="14"/>
  <c r="E1875" i="14"/>
  <c r="E1876" i="14"/>
  <c r="E1877" i="14"/>
  <c r="E1878" i="14"/>
  <c r="E1879" i="14"/>
  <c r="E1880" i="14"/>
  <c r="E1881" i="14"/>
  <c r="E1882" i="14"/>
  <c r="E1883" i="14"/>
  <c r="E1884" i="14"/>
  <c r="E1885" i="14"/>
  <c r="E1886" i="14"/>
  <c r="E1887" i="14"/>
  <c r="E1888" i="14"/>
  <c r="E1889" i="14"/>
  <c r="E1890" i="14"/>
  <c r="E1891" i="14"/>
  <c r="E1892" i="14"/>
  <c r="E1893" i="14"/>
  <c r="E1894" i="14"/>
  <c r="E1895" i="14"/>
  <c r="E1896" i="14"/>
  <c r="E1897" i="14"/>
  <c r="E1898" i="14"/>
  <c r="E1899" i="14"/>
  <c r="E1900" i="14"/>
  <c r="E1901" i="14"/>
  <c r="E1902" i="14"/>
  <c r="E1903" i="14"/>
  <c r="E1904" i="14"/>
  <c r="E1905" i="14"/>
  <c r="E1906" i="14"/>
  <c r="E1907" i="14"/>
  <c r="E1908" i="14"/>
  <c r="E1909" i="14"/>
  <c r="E1910" i="14"/>
  <c r="E1911" i="14"/>
  <c r="E1912" i="14"/>
  <c r="E1913" i="14"/>
  <c r="E1914" i="14"/>
  <c r="E1915" i="14"/>
  <c r="E1916" i="14"/>
  <c r="E1917" i="14"/>
  <c r="E1918" i="14"/>
  <c r="E1919" i="14"/>
  <c r="E1920" i="14"/>
  <c r="E1921" i="14"/>
  <c r="E1922" i="14"/>
  <c r="E1923" i="14"/>
  <c r="E1924" i="14"/>
  <c r="E1925" i="14"/>
  <c r="E1926" i="14"/>
  <c r="E1927" i="14"/>
  <c r="E1928" i="14"/>
  <c r="E1929" i="14"/>
  <c r="E1930" i="14"/>
  <c r="E1931" i="14"/>
  <c r="E1932" i="14"/>
  <c r="E1933" i="14"/>
  <c r="E1934" i="14"/>
  <c r="E1935" i="14"/>
  <c r="E1936" i="14"/>
  <c r="E1937" i="14"/>
  <c r="E1938" i="14"/>
  <c r="E1939" i="14"/>
  <c r="E1940" i="14"/>
  <c r="E1941" i="14"/>
  <c r="E1942" i="14"/>
  <c r="E1943" i="14"/>
  <c r="E1944" i="14"/>
  <c r="E1945" i="14"/>
  <c r="E1946" i="14"/>
  <c r="E1947" i="14"/>
  <c r="E1948" i="14"/>
  <c r="E1949" i="14"/>
  <c r="E1950" i="14"/>
  <c r="E1951" i="14"/>
  <c r="E1952" i="14"/>
  <c r="E1953" i="14"/>
  <c r="E1954" i="14"/>
  <c r="E1955" i="14"/>
  <c r="E1956" i="14"/>
  <c r="E1957" i="14"/>
  <c r="E1958" i="14"/>
  <c r="E1959" i="14"/>
  <c r="E1960" i="14"/>
  <c r="E1961" i="14"/>
  <c r="E1962" i="14"/>
  <c r="E1963" i="14"/>
  <c r="E1964" i="14"/>
  <c r="E1965" i="14"/>
  <c r="E1966" i="14"/>
  <c r="E1967" i="14"/>
  <c r="E1968" i="14"/>
  <c r="E1969" i="14"/>
  <c r="E1970" i="14"/>
  <c r="E1971" i="14"/>
  <c r="E1972" i="14"/>
  <c r="E1973" i="14"/>
  <c r="E1974" i="14"/>
  <c r="E1975" i="14"/>
  <c r="E1976" i="14"/>
  <c r="E1977" i="14"/>
  <c r="E1978" i="14"/>
  <c r="E1979" i="14"/>
  <c r="E1980" i="14"/>
  <c r="E1981" i="14"/>
  <c r="E1982" i="14"/>
  <c r="E1983" i="14"/>
  <c r="E1984" i="14"/>
  <c r="E1985" i="14"/>
  <c r="E1986" i="14"/>
  <c r="E1987" i="14"/>
  <c r="E1988" i="14"/>
  <c r="E1989" i="14"/>
  <c r="E1990" i="14"/>
  <c r="E1991" i="14"/>
  <c r="E1992" i="14"/>
  <c r="E1993" i="14"/>
  <c r="E1994" i="14"/>
  <c r="E1995" i="14"/>
  <c r="E1996" i="14"/>
  <c r="E1997" i="14"/>
  <c r="E1998" i="14"/>
  <c r="E1999" i="14"/>
  <c r="E2000" i="14"/>
  <c r="E2001" i="14"/>
  <c r="E2002" i="14"/>
  <c r="E2003" i="14"/>
  <c r="E2004" i="14"/>
  <c r="E2005" i="14"/>
  <c r="E2006" i="14"/>
  <c r="E2007" i="14"/>
  <c r="E2008" i="14"/>
  <c r="E2009" i="14"/>
  <c r="E2010" i="14"/>
  <c r="E2011" i="14"/>
  <c r="E2012" i="14"/>
  <c r="E2013" i="14"/>
  <c r="E2014" i="14"/>
  <c r="E2015" i="14"/>
  <c r="E2016" i="14"/>
  <c r="E2017" i="14"/>
  <c r="E2018" i="14"/>
  <c r="E2019" i="14"/>
  <c r="E2020" i="14"/>
  <c r="E2021" i="14"/>
  <c r="E2022" i="14"/>
  <c r="E2023" i="14"/>
  <c r="E2024" i="14"/>
  <c r="E2025" i="14"/>
  <c r="E2026" i="14"/>
  <c r="E2027" i="14"/>
  <c r="E2028" i="14"/>
  <c r="E2029" i="14"/>
  <c r="E2030" i="14"/>
  <c r="E2031" i="14"/>
  <c r="E2032" i="14"/>
  <c r="E2033" i="14"/>
  <c r="E2034" i="14"/>
  <c r="E2035" i="14"/>
  <c r="E2036" i="14"/>
  <c r="E2037" i="14"/>
  <c r="E2038" i="14"/>
  <c r="E2039" i="14"/>
  <c r="E2040" i="14"/>
  <c r="E2041" i="14"/>
  <c r="E2042" i="14"/>
  <c r="E2043" i="14"/>
  <c r="E2044" i="14"/>
  <c r="E2045" i="14"/>
  <c r="E2046" i="14"/>
  <c r="E2047" i="14"/>
  <c r="E2048" i="14"/>
  <c r="E2049" i="14"/>
  <c r="E2050" i="14"/>
  <c r="E2051" i="14"/>
  <c r="E2052" i="14"/>
  <c r="E2053" i="14"/>
  <c r="E2054" i="14"/>
  <c r="E2055" i="14"/>
  <c r="E2056" i="14"/>
  <c r="E2057" i="14"/>
  <c r="E2058" i="14"/>
  <c r="E2059" i="14"/>
  <c r="E2060" i="14"/>
  <c r="E2061" i="14"/>
  <c r="E2062" i="14"/>
  <c r="E2063" i="14"/>
  <c r="E2064" i="14"/>
  <c r="E2065" i="14"/>
  <c r="E2066" i="14"/>
  <c r="E2067" i="14"/>
  <c r="E2068" i="14"/>
  <c r="E2069" i="14"/>
  <c r="E2070" i="14"/>
  <c r="E2071" i="14"/>
  <c r="E2072" i="14"/>
  <c r="E2073" i="14"/>
  <c r="E2074" i="14"/>
  <c r="E2075" i="14"/>
  <c r="E2076" i="14"/>
  <c r="E2077" i="14"/>
  <c r="E2078" i="14"/>
  <c r="E2079" i="14"/>
  <c r="E2080" i="14"/>
  <c r="E2081" i="14"/>
  <c r="E2082" i="14"/>
  <c r="E2083" i="14"/>
  <c r="E2084" i="14"/>
  <c r="E2085" i="14"/>
  <c r="E2086" i="14"/>
  <c r="E2087" i="14"/>
  <c r="E2088" i="14"/>
  <c r="E2089" i="14"/>
  <c r="E2090" i="14"/>
  <c r="E2091" i="14"/>
  <c r="E2092" i="14"/>
  <c r="E2093" i="14"/>
  <c r="E2094" i="14"/>
  <c r="E2095" i="14"/>
  <c r="E2096" i="14"/>
  <c r="E2097" i="14"/>
  <c r="E2098" i="14"/>
  <c r="E2099" i="14"/>
  <c r="E2100" i="14"/>
  <c r="E2101" i="14"/>
  <c r="E2102" i="14"/>
  <c r="E2103" i="14"/>
  <c r="E2104" i="14"/>
  <c r="E2105" i="14"/>
  <c r="E2106" i="14"/>
  <c r="E2107" i="14"/>
  <c r="E2108" i="14"/>
  <c r="E2109" i="14"/>
  <c r="E2110" i="14"/>
  <c r="E2111" i="14"/>
  <c r="E2112" i="14"/>
  <c r="E2113" i="14"/>
  <c r="E2114" i="14"/>
  <c r="E2115" i="14"/>
  <c r="E2116" i="14"/>
  <c r="E2117" i="14"/>
  <c r="E2118" i="14"/>
  <c r="E2119" i="14"/>
  <c r="E2120" i="14"/>
  <c r="E2121" i="14"/>
  <c r="E2122" i="14"/>
  <c r="E2123" i="14"/>
  <c r="E2124" i="14"/>
  <c r="E2125" i="14"/>
  <c r="E2126" i="14"/>
  <c r="E2127" i="14"/>
  <c r="E2128" i="14"/>
  <c r="E2129" i="14"/>
  <c r="E2130" i="14"/>
  <c r="E2131" i="14"/>
  <c r="E2132" i="14"/>
  <c r="E2133" i="14"/>
  <c r="E2134" i="14"/>
  <c r="E2135" i="14"/>
  <c r="E2136" i="14"/>
  <c r="E2137" i="14"/>
  <c r="E2138" i="14"/>
  <c r="E2139" i="14"/>
  <c r="E2140" i="14"/>
  <c r="E2141" i="14"/>
  <c r="E2142" i="14"/>
  <c r="E2143" i="14"/>
  <c r="E2144" i="14"/>
  <c r="E2145" i="14"/>
  <c r="E2146" i="14"/>
  <c r="E2147" i="14"/>
  <c r="E2148" i="14"/>
  <c r="E2149" i="14"/>
  <c r="E2150" i="14"/>
  <c r="E2151" i="14"/>
  <c r="E2152" i="14"/>
  <c r="E2153" i="14"/>
  <c r="E2154" i="14"/>
  <c r="E2155" i="14"/>
  <c r="E2156" i="14"/>
  <c r="E2157" i="14"/>
  <c r="E2158" i="14"/>
  <c r="E2159" i="14"/>
  <c r="E2160" i="14"/>
  <c r="E2161" i="14"/>
  <c r="E2162" i="14"/>
  <c r="E2163" i="14"/>
  <c r="E2164" i="14"/>
  <c r="E2165" i="14"/>
  <c r="E2166" i="14"/>
  <c r="E2167" i="14"/>
  <c r="E2168" i="14"/>
  <c r="E2169" i="14"/>
  <c r="E2170" i="14"/>
  <c r="E2171" i="14"/>
  <c r="E2172" i="14"/>
  <c r="E2173" i="14"/>
  <c r="E2174" i="14"/>
  <c r="E2175" i="14"/>
  <c r="E2176" i="14"/>
  <c r="E2177" i="14"/>
  <c r="E2178" i="14"/>
  <c r="E2179" i="14"/>
  <c r="E2180" i="14"/>
  <c r="E2181" i="14"/>
  <c r="E2182" i="14"/>
  <c r="E2183" i="14"/>
  <c r="E2184" i="14"/>
  <c r="E2185" i="14"/>
  <c r="E2186" i="14"/>
  <c r="E2187" i="14"/>
  <c r="E2188" i="14"/>
  <c r="E2189" i="14"/>
  <c r="E2190" i="14"/>
  <c r="E2191" i="14"/>
  <c r="E2192" i="14"/>
  <c r="E2193" i="14"/>
  <c r="E2194" i="14"/>
  <c r="E2195" i="14"/>
  <c r="E2196" i="14"/>
  <c r="E2197" i="14"/>
  <c r="E2198" i="14"/>
  <c r="E2199" i="14"/>
  <c r="E2200" i="14"/>
  <c r="E2201" i="14"/>
  <c r="E2202" i="14"/>
  <c r="E2203" i="14"/>
  <c r="E2204" i="14"/>
  <c r="E2205" i="14"/>
  <c r="E2206" i="14"/>
  <c r="E2207" i="14"/>
  <c r="E2208" i="14"/>
  <c r="E2209" i="14"/>
  <c r="E2210" i="14"/>
  <c r="E2211" i="14"/>
  <c r="E2212" i="14"/>
  <c r="E2213" i="14"/>
  <c r="E2214" i="14"/>
  <c r="E2215" i="14"/>
  <c r="E2216" i="14"/>
  <c r="E2217" i="14"/>
  <c r="E2218" i="14"/>
  <c r="E2219" i="14"/>
  <c r="E2220" i="14"/>
  <c r="E2221" i="14"/>
  <c r="E2222" i="14"/>
  <c r="E2223" i="14"/>
  <c r="E2224" i="14"/>
  <c r="E2225" i="14"/>
  <c r="E2226" i="14"/>
  <c r="E2227" i="14"/>
  <c r="E2228" i="14"/>
  <c r="E2229" i="14"/>
  <c r="E2230" i="14"/>
  <c r="E2231" i="14"/>
  <c r="E2232" i="14"/>
  <c r="E2233" i="14"/>
  <c r="E2234" i="14"/>
  <c r="E2235" i="14"/>
  <c r="E2236" i="14"/>
  <c r="E2237" i="14"/>
  <c r="E2238" i="14"/>
  <c r="E2239" i="14"/>
  <c r="E2240" i="14"/>
  <c r="E2241" i="14"/>
  <c r="E2242" i="14"/>
  <c r="E2243" i="14"/>
  <c r="E2244" i="14"/>
  <c r="E2245" i="14"/>
  <c r="E2246" i="14"/>
  <c r="E2247" i="14"/>
  <c r="E2248" i="14"/>
  <c r="E2249" i="14"/>
  <c r="E2250" i="14"/>
  <c r="E2251" i="14"/>
  <c r="E2252" i="14"/>
  <c r="E2253" i="14"/>
  <c r="E2254" i="14"/>
  <c r="E2255" i="14"/>
  <c r="E2256" i="14"/>
  <c r="E2257" i="14"/>
  <c r="E2258" i="14"/>
  <c r="E2259" i="14"/>
  <c r="E2260" i="14"/>
  <c r="E2261" i="14"/>
  <c r="E2262" i="14"/>
  <c r="E2263" i="14"/>
  <c r="E2264" i="14"/>
  <c r="E2265" i="14"/>
  <c r="E2266" i="14"/>
  <c r="E2267" i="14"/>
  <c r="E2268" i="14"/>
  <c r="E2269" i="14"/>
  <c r="E2270" i="14"/>
  <c r="E2271" i="14"/>
  <c r="E2272" i="14"/>
  <c r="E2273" i="14"/>
  <c r="E2274" i="14"/>
  <c r="E2275" i="14"/>
  <c r="E2276" i="14"/>
  <c r="E2277" i="14"/>
  <c r="E2278" i="14"/>
  <c r="E2279" i="14"/>
  <c r="E2280" i="14"/>
  <c r="E2281" i="14"/>
  <c r="E2282" i="14"/>
  <c r="E2283" i="14"/>
  <c r="E2284" i="14"/>
  <c r="E2285" i="14"/>
  <c r="E2286" i="14"/>
  <c r="E2287" i="14"/>
  <c r="E2288" i="14"/>
  <c r="E2289" i="14"/>
  <c r="E2290" i="14"/>
  <c r="E2291" i="14"/>
  <c r="E2292" i="14"/>
  <c r="E2293" i="14"/>
  <c r="E2294" i="14"/>
  <c r="E2295" i="14"/>
  <c r="E2296" i="14"/>
  <c r="E2297" i="14"/>
  <c r="E2298" i="14"/>
  <c r="E2299" i="14"/>
  <c r="E2300" i="14"/>
  <c r="E2301" i="14"/>
  <c r="E2302" i="14"/>
  <c r="E2303" i="14"/>
  <c r="E2304" i="14"/>
  <c r="E2305" i="14"/>
  <c r="E2306" i="14"/>
  <c r="E2307" i="14"/>
  <c r="E2308" i="14"/>
  <c r="E2309" i="14"/>
  <c r="E2310" i="14"/>
  <c r="E2311" i="14"/>
  <c r="E2312" i="14"/>
  <c r="E2313" i="14"/>
  <c r="E2314" i="14"/>
  <c r="E2315" i="14"/>
  <c r="E2316" i="14"/>
  <c r="E2317" i="14"/>
  <c r="E2318" i="14"/>
  <c r="E2319" i="14"/>
  <c r="E2320" i="14"/>
  <c r="E2321" i="14"/>
  <c r="E2322" i="14"/>
  <c r="E2323" i="14"/>
  <c r="E2324" i="14"/>
  <c r="E2325" i="14"/>
  <c r="E2326" i="14"/>
  <c r="E2327" i="14"/>
  <c r="E2328" i="14"/>
  <c r="E2329" i="14"/>
  <c r="E2330" i="14"/>
  <c r="E2331" i="14"/>
  <c r="E2332" i="14"/>
  <c r="E2333" i="14"/>
  <c r="E2334" i="14"/>
  <c r="E2335" i="14"/>
  <c r="E2336" i="14"/>
  <c r="E2337" i="14"/>
  <c r="E2338" i="14"/>
  <c r="E2339" i="14"/>
  <c r="E2340" i="14"/>
  <c r="E2341" i="14"/>
  <c r="E2342" i="14"/>
  <c r="E2343" i="14"/>
  <c r="E2344" i="14"/>
  <c r="E2345" i="14"/>
  <c r="E2346" i="14"/>
  <c r="E2347" i="14"/>
  <c r="E2348" i="14"/>
  <c r="E2349" i="14"/>
  <c r="E2350" i="14"/>
  <c r="E2351" i="14"/>
  <c r="E2352" i="14"/>
  <c r="E2353" i="14"/>
  <c r="E2354" i="14"/>
  <c r="E2355" i="14"/>
  <c r="E2356" i="14"/>
  <c r="E2357" i="14"/>
  <c r="E2358" i="14"/>
  <c r="E2359" i="14"/>
  <c r="E2360" i="14"/>
  <c r="E2361" i="14"/>
  <c r="E2362" i="14"/>
  <c r="E2363" i="14"/>
  <c r="E2364" i="14"/>
  <c r="E2365" i="14"/>
  <c r="E2366" i="14"/>
  <c r="E2367" i="14"/>
  <c r="E2368" i="14"/>
  <c r="E2369" i="14"/>
  <c r="E2370" i="14"/>
  <c r="E2371" i="14"/>
  <c r="E2372" i="14"/>
  <c r="E2373" i="14"/>
  <c r="E2374" i="14"/>
  <c r="E2375" i="14"/>
  <c r="E2376" i="14"/>
  <c r="E2377" i="14"/>
  <c r="E2378" i="14"/>
  <c r="E2379" i="14"/>
  <c r="E2380" i="14"/>
  <c r="E2381" i="14"/>
  <c r="E2382" i="14"/>
  <c r="E2383" i="14"/>
  <c r="E2384" i="14"/>
  <c r="E2385" i="14"/>
  <c r="E2386" i="14"/>
  <c r="E2387" i="14"/>
  <c r="E2388" i="14"/>
  <c r="E2389" i="14"/>
  <c r="E2390" i="14"/>
  <c r="E2391" i="14"/>
  <c r="E2392" i="14"/>
  <c r="E2393" i="14"/>
  <c r="E2394" i="14"/>
  <c r="E2395" i="14"/>
  <c r="E2396" i="14"/>
  <c r="E2397" i="14"/>
  <c r="E2398" i="14"/>
  <c r="E2399" i="14"/>
  <c r="E2400" i="14"/>
  <c r="E2401" i="14"/>
  <c r="E2402" i="14"/>
  <c r="E2403" i="14"/>
  <c r="E2404" i="14"/>
  <c r="E2405" i="14"/>
  <c r="E2406" i="14"/>
  <c r="E2407" i="14"/>
  <c r="E2408" i="14"/>
  <c r="E2409" i="14"/>
  <c r="E2410" i="14"/>
  <c r="E2411" i="14"/>
  <c r="E2412" i="14"/>
  <c r="E2413" i="14"/>
  <c r="E2414" i="14"/>
  <c r="E2415" i="14"/>
  <c r="E2416" i="14"/>
  <c r="E2417" i="14"/>
  <c r="E2418" i="14"/>
  <c r="E2419" i="14"/>
  <c r="E2420" i="14"/>
  <c r="E2421" i="14"/>
  <c r="E2422" i="14"/>
  <c r="E2423" i="14"/>
  <c r="E2424" i="14"/>
  <c r="E2425" i="14"/>
  <c r="E2426" i="14"/>
  <c r="E2427" i="14"/>
  <c r="E2428" i="14"/>
  <c r="E2429" i="14"/>
  <c r="E2430" i="14"/>
  <c r="E2431" i="14"/>
  <c r="E2432" i="14"/>
  <c r="E2433" i="14"/>
  <c r="E2434" i="14"/>
  <c r="E2435" i="14"/>
  <c r="E2436" i="14"/>
  <c r="E2437" i="14"/>
  <c r="E2438" i="14"/>
  <c r="E2439" i="14"/>
  <c r="E2440" i="14"/>
  <c r="E2441" i="14"/>
  <c r="E2442" i="14"/>
  <c r="E2443" i="14"/>
  <c r="E2444" i="14"/>
  <c r="E2445" i="14"/>
  <c r="E2446" i="14"/>
  <c r="E2447" i="14"/>
  <c r="E2448" i="14"/>
  <c r="E2449" i="14"/>
  <c r="E2450" i="14"/>
  <c r="E2451" i="14"/>
  <c r="E2452" i="14"/>
  <c r="E2453" i="14"/>
  <c r="E2454" i="14"/>
  <c r="E2455" i="14"/>
  <c r="E2456" i="14"/>
  <c r="E2457" i="14"/>
  <c r="E2458" i="14"/>
  <c r="E2459" i="14"/>
  <c r="E2460" i="14"/>
  <c r="E2461" i="14"/>
  <c r="E2462" i="14"/>
  <c r="E2463" i="14"/>
  <c r="E2464" i="14"/>
  <c r="E2465" i="14"/>
  <c r="E2466" i="14"/>
  <c r="E2467" i="14"/>
  <c r="E2468" i="14"/>
  <c r="E2469" i="14"/>
  <c r="E2470" i="14"/>
  <c r="E2471" i="14"/>
  <c r="E2472" i="14"/>
  <c r="E2473" i="14"/>
  <c r="E2474" i="14"/>
  <c r="E2475" i="14"/>
  <c r="E2476" i="14"/>
  <c r="E2477" i="14"/>
  <c r="E2478" i="14"/>
  <c r="E2479" i="14"/>
  <c r="E2480" i="14"/>
  <c r="E2481" i="14"/>
  <c r="E2482" i="14"/>
  <c r="E2483" i="14"/>
  <c r="E2484" i="14"/>
  <c r="E2485" i="14"/>
  <c r="E2486" i="14"/>
  <c r="E2487" i="14"/>
  <c r="E2488" i="14"/>
  <c r="E2489" i="14"/>
  <c r="E2490" i="14"/>
  <c r="E2491" i="14"/>
  <c r="E2492" i="14"/>
  <c r="E2493" i="14"/>
  <c r="E2494" i="14"/>
  <c r="E2495" i="14"/>
  <c r="E2496" i="14"/>
  <c r="E2497" i="14"/>
  <c r="E2498" i="14"/>
  <c r="E2499" i="14"/>
  <c r="E2500" i="14"/>
  <c r="E2501" i="14"/>
  <c r="E2502" i="14"/>
  <c r="E2503" i="14"/>
  <c r="E2504" i="14"/>
  <c r="E2505" i="14"/>
  <c r="E2506" i="14"/>
  <c r="E2507" i="14"/>
  <c r="E2508" i="14"/>
  <c r="E2509" i="14"/>
  <c r="E2510" i="14"/>
  <c r="E2511" i="14"/>
  <c r="E2512" i="14"/>
  <c r="E2513" i="14"/>
  <c r="E2514" i="14"/>
  <c r="E2515" i="14"/>
  <c r="E2516" i="14"/>
  <c r="E2517" i="14"/>
  <c r="E2518" i="14"/>
  <c r="E2519" i="14"/>
  <c r="E2520" i="14"/>
  <c r="E2521" i="14"/>
  <c r="E2522" i="14"/>
  <c r="E2523" i="14"/>
  <c r="E2524" i="14"/>
  <c r="E2525" i="14"/>
  <c r="E2526" i="14"/>
  <c r="E2527" i="14"/>
  <c r="E2528" i="14"/>
  <c r="E2529" i="14"/>
  <c r="E2530" i="14"/>
  <c r="E2531" i="14"/>
  <c r="E2532" i="14"/>
  <c r="E2533" i="14"/>
  <c r="E2534" i="14"/>
  <c r="E2535" i="14"/>
  <c r="E2536" i="14"/>
  <c r="E2537" i="14"/>
  <c r="E2538" i="14"/>
  <c r="E2539" i="14"/>
  <c r="E2540" i="14"/>
  <c r="E2541" i="14"/>
  <c r="E2542" i="14"/>
  <c r="E2543" i="14"/>
  <c r="E2544" i="14"/>
  <c r="E2545" i="14"/>
  <c r="E2546" i="14"/>
  <c r="E2547" i="14"/>
  <c r="E2548" i="14"/>
  <c r="E2549" i="14"/>
  <c r="E2550" i="14"/>
  <c r="E2551" i="14"/>
  <c r="E2552" i="14"/>
  <c r="E2553" i="14"/>
  <c r="E2554" i="14"/>
  <c r="E2555" i="14"/>
  <c r="E2556" i="14"/>
  <c r="E2557" i="14"/>
  <c r="E2558" i="14"/>
  <c r="E2559" i="14"/>
  <c r="E2560" i="14"/>
  <c r="E2561" i="14"/>
  <c r="E2562" i="14"/>
  <c r="E2563" i="14"/>
  <c r="E2564" i="14"/>
  <c r="E2565" i="14"/>
  <c r="E2566" i="14"/>
  <c r="E2567" i="14"/>
  <c r="E2568" i="14"/>
  <c r="E2569" i="14"/>
  <c r="E2570" i="14"/>
  <c r="E2571" i="14"/>
  <c r="E2572" i="14"/>
  <c r="E2573" i="14"/>
  <c r="E2574" i="14"/>
  <c r="E2575" i="14"/>
  <c r="E2576" i="14"/>
  <c r="E2577" i="14"/>
  <c r="E2578" i="14"/>
  <c r="E2579" i="14"/>
  <c r="E2580" i="14"/>
  <c r="E2581" i="14"/>
  <c r="E2582" i="14"/>
  <c r="E2583" i="14"/>
  <c r="E2584" i="14"/>
  <c r="E2585" i="14"/>
  <c r="E2586" i="14"/>
  <c r="E2587" i="14"/>
  <c r="E2588" i="14"/>
  <c r="E2589" i="14"/>
  <c r="E2590" i="14"/>
  <c r="E2591" i="14"/>
  <c r="E2592" i="14"/>
  <c r="E2593" i="14"/>
  <c r="E2594" i="14"/>
  <c r="E2595" i="14"/>
  <c r="E2596" i="14"/>
  <c r="E2597" i="14"/>
  <c r="E2598" i="14"/>
  <c r="E2599" i="14"/>
  <c r="E2600" i="14"/>
  <c r="E2601" i="14"/>
  <c r="E2602" i="14"/>
  <c r="E2603" i="14"/>
  <c r="E2604" i="14"/>
  <c r="E2605" i="14"/>
  <c r="E2606" i="14"/>
  <c r="E2607" i="14"/>
  <c r="E2608" i="14"/>
  <c r="E2609" i="14"/>
  <c r="E2610" i="14"/>
  <c r="E2611" i="14"/>
  <c r="E2612" i="14"/>
  <c r="E2613" i="14"/>
  <c r="E2614" i="14"/>
  <c r="E2615" i="14"/>
  <c r="E2616" i="14"/>
  <c r="E2617" i="14"/>
  <c r="E2618" i="14"/>
  <c r="E2619" i="14"/>
  <c r="E2620" i="14"/>
  <c r="E2621" i="14"/>
  <c r="E2622" i="14"/>
  <c r="E2623" i="14"/>
  <c r="E2624" i="14"/>
  <c r="E2625" i="14"/>
  <c r="E2626" i="14"/>
  <c r="E2627" i="14"/>
  <c r="E2628" i="14"/>
  <c r="E2629" i="14"/>
  <c r="E2630" i="14"/>
  <c r="E2631" i="14"/>
  <c r="E2632" i="14"/>
  <c r="E2633" i="14"/>
  <c r="E2634" i="14"/>
  <c r="E2635" i="14"/>
  <c r="E2636" i="14"/>
  <c r="E2637" i="14"/>
  <c r="E2638" i="14"/>
  <c r="E2639" i="14"/>
  <c r="E2640" i="14"/>
  <c r="E2641" i="14"/>
  <c r="E2642" i="14"/>
  <c r="E2643" i="14"/>
  <c r="E2644" i="14"/>
  <c r="E2645" i="14"/>
  <c r="E2646" i="14"/>
  <c r="E2647" i="14"/>
  <c r="E2648" i="14"/>
  <c r="E2649" i="14"/>
  <c r="E2650" i="14"/>
  <c r="E2651" i="14"/>
  <c r="E2652" i="14"/>
  <c r="E2653" i="14"/>
  <c r="E2654" i="14"/>
  <c r="E2655" i="14"/>
  <c r="E2656" i="14"/>
  <c r="E2657" i="14"/>
  <c r="E2658" i="14"/>
  <c r="E2659" i="14"/>
  <c r="E2660" i="14"/>
  <c r="E2661" i="14"/>
  <c r="E2662" i="14"/>
  <c r="E2663" i="14"/>
  <c r="E2664" i="14"/>
  <c r="E2665" i="14"/>
  <c r="E2666" i="14"/>
  <c r="E2667" i="14"/>
  <c r="E2668" i="14"/>
  <c r="E2669" i="14"/>
  <c r="E2670" i="14"/>
  <c r="E2671" i="14"/>
  <c r="E2672" i="14"/>
  <c r="E2673" i="14"/>
  <c r="E2674" i="14"/>
  <c r="E2675" i="14"/>
  <c r="E2676" i="14"/>
  <c r="E2677" i="14"/>
  <c r="E2678" i="14"/>
  <c r="E2679" i="14"/>
  <c r="E2680" i="14"/>
  <c r="E2681" i="14"/>
  <c r="E2682" i="14"/>
  <c r="E2683" i="14"/>
  <c r="E2684" i="14"/>
  <c r="E2685" i="14"/>
  <c r="E2686" i="14"/>
  <c r="E2687" i="14"/>
  <c r="E2688" i="14"/>
  <c r="E2689" i="14"/>
  <c r="E2690" i="14"/>
  <c r="E2691" i="14"/>
  <c r="E2692" i="14"/>
  <c r="E2693" i="14"/>
  <c r="E2694" i="14"/>
  <c r="E2695" i="14"/>
  <c r="E2696" i="14"/>
  <c r="E2697" i="14"/>
  <c r="E2698" i="14"/>
  <c r="E2699" i="14"/>
  <c r="E2700" i="14"/>
  <c r="E2701" i="14"/>
  <c r="E2702" i="14"/>
  <c r="E2703" i="14"/>
  <c r="E2704" i="14"/>
  <c r="E2705" i="14"/>
  <c r="E2706" i="14"/>
  <c r="E2707" i="14"/>
  <c r="E2708" i="14"/>
  <c r="E2709" i="14"/>
  <c r="E2710" i="14"/>
  <c r="E2711" i="14"/>
  <c r="E2712" i="14"/>
  <c r="E2713" i="14"/>
  <c r="E2714" i="14"/>
  <c r="E2715" i="14"/>
  <c r="E2716" i="14"/>
  <c r="E2717" i="14"/>
  <c r="E2718" i="14"/>
  <c r="E2719" i="14"/>
  <c r="E2720" i="14"/>
  <c r="E2721" i="14"/>
  <c r="E2722" i="14"/>
  <c r="E2723" i="14"/>
  <c r="E2724" i="14"/>
  <c r="E2725" i="14"/>
  <c r="E2726" i="14"/>
  <c r="E2727" i="14"/>
  <c r="E2728" i="14"/>
  <c r="E2729" i="14"/>
  <c r="E2730" i="14"/>
  <c r="E2731" i="14"/>
  <c r="E2732" i="14"/>
  <c r="E2733" i="14"/>
  <c r="E2734" i="14"/>
  <c r="E2735" i="14"/>
  <c r="E2736" i="14"/>
  <c r="E2737" i="14"/>
  <c r="E2738" i="14"/>
  <c r="E2739" i="14"/>
  <c r="E2740" i="14"/>
  <c r="E2741" i="14"/>
  <c r="E2742" i="14"/>
  <c r="E2743" i="14"/>
  <c r="E2744" i="14"/>
  <c r="E2745" i="14"/>
  <c r="E2746" i="14"/>
  <c r="E2747" i="14"/>
  <c r="E2748" i="14"/>
  <c r="E2749" i="14"/>
  <c r="E2750" i="14"/>
  <c r="E2751" i="14"/>
  <c r="E2752" i="14"/>
  <c r="E2753" i="14"/>
  <c r="E2754" i="14"/>
  <c r="E2755" i="14"/>
  <c r="E2756" i="14"/>
  <c r="E2757" i="14"/>
  <c r="E2758" i="14"/>
  <c r="E2759" i="14"/>
  <c r="E2760" i="14"/>
  <c r="E2761" i="14"/>
  <c r="E2762" i="14"/>
  <c r="E2763" i="14"/>
  <c r="E2764" i="14"/>
  <c r="E2765" i="14"/>
  <c r="E2766" i="14"/>
  <c r="E2767" i="14"/>
  <c r="E2768" i="14"/>
  <c r="E2769" i="14"/>
  <c r="E2770" i="14"/>
  <c r="E2771" i="14"/>
  <c r="E2772" i="14"/>
  <c r="E2773" i="14"/>
  <c r="E2774" i="14"/>
  <c r="E2775" i="14"/>
  <c r="E2776" i="14"/>
  <c r="E2777" i="14"/>
  <c r="E2778" i="14"/>
  <c r="E2779" i="14"/>
  <c r="E2780" i="14"/>
  <c r="E2781" i="14"/>
  <c r="E2782" i="14"/>
  <c r="E2783" i="14"/>
  <c r="E2784" i="14"/>
  <c r="E2785" i="14"/>
  <c r="E2786" i="14"/>
  <c r="E2787" i="14"/>
  <c r="E2788" i="14"/>
  <c r="E2789" i="14"/>
  <c r="E2790" i="14"/>
  <c r="E2791" i="14"/>
  <c r="E2792" i="14"/>
  <c r="E2793" i="14"/>
  <c r="E2794" i="14"/>
  <c r="E2795" i="14"/>
  <c r="E2796" i="14"/>
  <c r="E2797" i="14"/>
  <c r="E2798" i="14"/>
  <c r="E2799" i="14"/>
  <c r="E2800" i="14"/>
  <c r="E2801" i="14"/>
  <c r="E2802" i="14"/>
  <c r="E2803" i="14"/>
  <c r="E2804" i="14"/>
  <c r="E2805" i="14"/>
  <c r="E2806" i="14"/>
  <c r="E2807" i="14"/>
  <c r="E2808" i="14"/>
  <c r="E2809" i="14"/>
  <c r="E2810" i="14"/>
  <c r="E2811" i="14"/>
  <c r="E2812" i="14"/>
  <c r="E2813" i="14"/>
  <c r="E2814" i="14"/>
  <c r="E2815" i="14"/>
  <c r="E2816" i="14"/>
  <c r="E2817" i="14"/>
  <c r="E2818" i="14"/>
  <c r="E2819" i="14"/>
  <c r="E2820" i="14"/>
  <c r="E2821" i="14"/>
  <c r="E2822" i="14"/>
  <c r="E2823" i="14"/>
  <c r="E2824" i="14"/>
  <c r="E2825" i="14"/>
  <c r="E2826" i="14"/>
  <c r="E2827" i="14"/>
  <c r="E2828" i="14"/>
  <c r="E2829" i="14"/>
  <c r="E2830" i="14"/>
  <c r="E2831" i="14"/>
  <c r="E2832" i="14"/>
  <c r="E2833" i="14"/>
  <c r="E2834" i="14"/>
  <c r="E2835" i="14"/>
  <c r="E2836" i="14"/>
  <c r="E2837" i="14"/>
  <c r="E2838" i="14"/>
  <c r="E2839" i="14"/>
  <c r="E2840" i="14"/>
  <c r="E2841" i="14"/>
  <c r="E2842" i="14"/>
  <c r="E2843" i="14"/>
  <c r="E2844" i="14"/>
  <c r="E2845" i="14"/>
  <c r="E2846" i="14"/>
  <c r="E2847" i="14"/>
  <c r="E2848" i="14"/>
  <c r="E2849" i="14"/>
  <c r="E2850" i="14"/>
  <c r="E2851" i="14"/>
  <c r="E2852" i="14"/>
  <c r="E2853" i="14"/>
  <c r="E2854" i="14"/>
  <c r="E2855" i="14"/>
  <c r="E2856" i="14"/>
  <c r="E2857" i="14"/>
  <c r="E2858" i="14"/>
  <c r="E2859" i="14"/>
  <c r="E2860" i="14"/>
  <c r="E2861" i="14"/>
  <c r="E2862" i="14"/>
  <c r="E2863" i="14"/>
  <c r="E2864" i="14"/>
  <c r="E2865" i="14"/>
  <c r="E2866" i="14"/>
  <c r="E2867" i="14"/>
  <c r="E2868" i="14"/>
  <c r="E2869" i="14"/>
  <c r="E2870" i="14"/>
  <c r="E2871" i="14"/>
  <c r="E2872" i="14"/>
  <c r="E2873" i="14"/>
  <c r="E2874" i="14"/>
  <c r="E2875" i="14"/>
  <c r="E2876" i="14"/>
  <c r="E2877" i="14"/>
  <c r="E2878" i="14"/>
  <c r="E2879" i="14"/>
  <c r="E2880" i="14"/>
  <c r="E2881" i="14"/>
  <c r="E2882" i="14"/>
  <c r="E2883" i="14"/>
  <c r="E2884" i="14"/>
  <c r="E2885" i="14"/>
  <c r="E2886" i="14"/>
  <c r="E2887" i="14"/>
  <c r="E2888" i="14"/>
  <c r="E2889" i="14"/>
  <c r="E2890" i="14"/>
  <c r="E2891" i="14"/>
  <c r="E2892" i="14"/>
  <c r="E2893" i="14"/>
  <c r="E2894" i="14"/>
  <c r="E2895" i="14"/>
  <c r="E2896" i="14"/>
  <c r="E2897" i="14"/>
  <c r="E2898" i="14"/>
  <c r="E2899" i="14"/>
  <c r="E2900" i="14"/>
  <c r="E2901" i="14"/>
  <c r="E2902" i="14"/>
  <c r="E2903" i="14"/>
  <c r="E2904" i="14"/>
  <c r="E2905" i="14"/>
  <c r="E2906" i="14"/>
  <c r="E2907" i="14"/>
  <c r="E2908" i="14"/>
  <c r="E2909" i="14"/>
  <c r="E2910" i="14"/>
  <c r="E2911" i="14"/>
  <c r="E2912" i="14"/>
  <c r="E2913" i="14"/>
  <c r="E2914" i="14"/>
  <c r="E2915" i="14"/>
  <c r="E2916" i="14"/>
  <c r="E2917" i="14"/>
  <c r="E2918" i="14"/>
  <c r="E2919" i="14"/>
  <c r="E2920" i="14"/>
  <c r="E2921" i="14"/>
  <c r="E2922" i="14"/>
  <c r="E2923" i="14"/>
  <c r="E2924" i="14"/>
  <c r="E2925" i="14"/>
  <c r="E2926" i="14"/>
  <c r="E2927" i="14"/>
  <c r="E2928" i="14"/>
  <c r="E2929" i="14"/>
  <c r="E2930" i="14"/>
  <c r="E2931" i="14"/>
  <c r="E2932" i="14"/>
  <c r="E2933" i="14"/>
  <c r="E2934" i="14"/>
  <c r="E2935" i="14"/>
  <c r="E2936" i="14"/>
  <c r="E2937" i="14"/>
  <c r="E2938" i="14"/>
  <c r="E2939" i="14"/>
  <c r="E2940" i="14"/>
  <c r="E2941" i="14"/>
  <c r="E2942" i="14"/>
  <c r="E2943" i="14"/>
  <c r="E2944" i="14"/>
  <c r="E2945" i="14"/>
  <c r="E2946" i="14"/>
  <c r="E2947" i="14"/>
  <c r="E2948" i="14"/>
  <c r="E2949" i="14"/>
  <c r="E2950" i="14"/>
  <c r="E2951" i="14"/>
  <c r="E2952" i="14"/>
  <c r="E2953" i="14"/>
  <c r="E2954" i="14"/>
  <c r="E2955" i="14"/>
  <c r="E2956" i="14"/>
  <c r="E2957" i="14"/>
  <c r="E2958" i="14"/>
  <c r="E2959" i="14"/>
  <c r="E2960" i="14"/>
  <c r="E2961" i="14"/>
  <c r="E2962" i="14"/>
  <c r="E2963" i="14"/>
  <c r="E2964" i="14"/>
  <c r="E2965" i="14"/>
  <c r="E2966" i="14"/>
  <c r="E2967" i="14"/>
  <c r="E2968" i="14"/>
  <c r="E2969" i="14"/>
  <c r="E2970" i="14"/>
  <c r="E2971" i="14"/>
  <c r="E2972" i="14"/>
  <c r="E2973" i="14"/>
  <c r="E2974" i="14"/>
  <c r="E2975" i="14"/>
  <c r="E2976" i="14"/>
  <c r="E2977" i="14"/>
  <c r="E2978" i="14"/>
  <c r="E2979" i="14"/>
  <c r="E2980" i="14"/>
  <c r="E2981" i="14"/>
  <c r="E2982" i="14"/>
  <c r="E2983" i="14"/>
  <c r="E2984" i="14"/>
  <c r="E2985" i="14"/>
  <c r="E2986" i="14"/>
  <c r="E2987" i="14"/>
  <c r="E2988" i="14"/>
  <c r="E2989" i="14"/>
  <c r="E2990" i="14"/>
  <c r="E2991" i="14"/>
  <c r="E2992" i="14"/>
  <c r="E2993" i="14"/>
  <c r="E2994" i="14"/>
  <c r="E2995" i="14"/>
  <c r="E2996" i="14"/>
  <c r="E2997" i="14"/>
  <c r="E2998" i="14"/>
  <c r="E2999" i="14"/>
  <c r="E3000" i="14"/>
  <c r="E3001" i="14"/>
  <c r="E3002" i="14"/>
  <c r="E3003" i="14"/>
  <c r="E3004" i="14"/>
  <c r="E3005" i="14"/>
  <c r="E3006" i="14"/>
  <c r="E3007" i="14"/>
  <c r="E3008" i="14"/>
  <c r="E3009" i="14"/>
  <c r="E3010" i="14"/>
  <c r="E3011" i="14"/>
  <c r="E3012" i="14"/>
  <c r="E3013" i="14"/>
  <c r="E3014" i="14"/>
  <c r="E3015" i="14"/>
  <c r="E3016" i="14"/>
  <c r="E3017" i="14"/>
  <c r="E3018" i="14"/>
  <c r="E3019" i="14"/>
  <c r="E3020" i="14"/>
  <c r="E3021" i="14"/>
  <c r="E3022" i="14"/>
  <c r="E3023" i="14"/>
  <c r="E3024" i="14"/>
  <c r="E3025" i="14"/>
  <c r="E3026" i="14"/>
  <c r="E3027" i="14"/>
  <c r="E3028" i="14"/>
  <c r="E3029" i="14"/>
  <c r="E3030" i="14"/>
  <c r="E3031" i="14"/>
  <c r="E3032" i="14"/>
  <c r="E3033" i="14"/>
  <c r="E3034" i="14"/>
  <c r="E3035" i="14"/>
  <c r="E3036" i="14"/>
  <c r="E3037" i="14"/>
  <c r="E3038" i="14"/>
  <c r="E3039" i="14"/>
  <c r="E3040" i="14"/>
  <c r="E3041" i="14"/>
  <c r="E3042" i="14"/>
  <c r="E3043" i="14"/>
  <c r="E3044" i="14"/>
  <c r="E3045" i="14"/>
  <c r="E3046" i="14"/>
  <c r="E3047" i="14"/>
  <c r="E3048" i="14"/>
  <c r="E3049" i="14"/>
  <c r="E3050" i="14"/>
  <c r="E3051" i="14"/>
  <c r="E3052" i="14"/>
  <c r="E3053" i="14"/>
  <c r="E3054" i="14"/>
  <c r="E3055" i="14"/>
  <c r="E3056" i="14"/>
  <c r="E3057" i="14"/>
  <c r="E3058" i="14"/>
  <c r="E3059" i="14"/>
  <c r="E3060" i="14"/>
  <c r="E3061" i="14"/>
  <c r="E3062" i="14"/>
  <c r="E3063" i="14"/>
  <c r="E3064" i="14"/>
  <c r="E3065" i="14"/>
  <c r="E3066" i="14"/>
  <c r="E3067" i="14"/>
  <c r="E3068" i="14"/>
  <c r="E3069" i="14"/>
  <c r="E3070" i="14"/>
  <c r="E3071" i="14"/>
  <c r="E3072" i="14"/>
  <c r="E3073" i="14"/>
  <c r="E3074" i="14"/>
  <c r="E3075" i="14"/>
  <c r="E3076" i="14"/>
  <c r="E3077" i="14"/>
  <c r="E3078" i="14"/>
  <c r="E3079" i="14"/>
  <c r="E3080" i="14"/>
  <c r="E3081" i="14"/>
  <c r="E3082" i="14"/>
  <c r="E3083" i="14"/>
  <c r="E3084" i="14"/>
  <c r="E3085" i="14"/>
  <c r="E3086" i="14"/>
  <c r="E3087" i="14"/>
  <c r="E3088" i="14"/>
  <c r="E3089" i="14"/>
  <c r="E3090" i="14"/>
  <c r="E3091" i="14"/>
  <c r="E3092" i="14"/>
  <c r="E3093" i="14"/>
  <c r="E3094" i="14"/>
  <c r="E3095" i="14"/>
  <c r="E3096" i="14"/>
  <c r="E3097" i="14"/>
  <c r="E3098" i="14"/>
  <c r="E3099" i="14"/>
  <c r="E3100" i="14"/>
  <c r="E3101" i="14"/>
  <c r="E3102" i="14"/>
  <c r="E3103" i="14"/>
  <c r="E3104" i="14"/>
  <c r="E3105" i="14"/>
  <c r="E3106" i="14"/>
  <c r="E3107" i="14"/>
  <c r="E3108" i="14"/>
  <c r="E3109" i="14"/>
  <c r="E3110" i="14"/>
  <c r="E3111" i="14"/>
  <c r="E3112" i="14"/>
  <c r="E3113" i="14"/>
  <c r="E3114" i="14"/>
  <c r="E3115" i="14"/>
  <c r="E3116" i="14"/>
  <c r="E3117" i="14"/>
  <c r="E3118" i="14"/>
  <c r="E3119" i="14"/>
  <c r="E3120" i="14"/>
  <c r="E3121" i="14"/>
  <c r="E3122" i="14"/>
  <c r="E3123" i="14"/>
  <c r="E3124" i="14"/>
  <c r="E3125" i="14"/>
  <c r="E3126" i="14"/>
  <c r="E3127" i="14"/>
  <c r="E3128" i="14"/>
  <c r="E3129" i="14"/>
  <c r="E3130" i="14"/>
  <c r="E3131" i="14"/>
  <c r="E3132" i="14"/>
  <c r="E3133" i="14"/>
  <c r="E3134" i="14"/>
  <c r="E3135" i="14"/>
  <c r="E3136" i="14"/>
  <c r="E3137" i="14"/>
  <c r="E3138" i="14"/>
  <c r="E3139" i="14"/>
  <c r="E3140" i="14"/>
  <c r="E3141" i="14"/>
  <c r="E3142" i="14"/>
  <c r="E3143" i="14"/>
  <c r="E3144" i="14"/>
  <c r="E3145" i="14"/>
  <c r="E3146" i="14"/>
  <c r="E3147" i="14"/>
  <c r="E3148" i="14"/>
  <c r="E3149" i="14"/>
  <c r="E3150" i="14"/>
  <c r="E3151" i="14"/>
  <c r="E3152" i="14"/>
  <c r="E3153" i="14"/>
  <c r="E3154" i="14"/>
  <c r="E3155" i="14"/>
  <c r="E3156" i="14"/>
  <c r="E3157" i="14"/>
  <c r="E3158" i="14"/>
  <c r="E3159" i="14"/>
  <c r="E3160" i="14"/>
  <c r="E3161" i="14"/>
  <c r="E3162" i="14"/>
  <c r="E3163" i="14"/>
  <c r="E3164" i="14"/>
  <c r="E3165" i="14"/>
  <c r="E3166" i="14"/>
  <c r="E3167" i="14"/>
  <c r="E3168" i="14"/>
  <c r="E3169" i="14"/>
  <c r="E3170" i="14"/>
  <c r="E3171" i="14"/>
  <c r="E3172" i="14"/>
  <c r="E3173" i="14"/>
  <c r="E3174" i="14"/>
  <c r="E3175" i="14"/>
  <c r="E3176" i="14"/>
  <c r="E3177" i="14"/>
  <c r="E3178" i="14"/>
  <c r="E3179" i="14"/>
  <c r="E3180" i="14"/>
  <c r="E3181" i="14"/>
  <c r="E3182" i="14"/>
  <c r="E3183" i="14"/>
  <c r="E3184" i="14"/>
  <c r="E3185" i="14"/>
  <c r="E3186" i="14"/>
  <c r="E3187" i="14"/>
  <c r="E3188" i="14"/>
  <c r="E3189" i="14"/>
  <c r="E3190" i="14"/>
  <c r="E3191" i="14"/>
  <c r="E3192" i="14"/>
  <c r="E3193" i="14"/>
  <c r="E3194" i="14"/>
  <c r="E3195" i="14"/>
  <c r="E3196" i="14"/>
  <c r="E3197" i="14"/>
  <c r="E3198" i="14"/>
  <c r="E3199" i="14"/>
  <c r="E3200" i="14"/>
  <c r="E3201" i="14"/>
  <c r="E3202" i="14"/>
  <c r="E3203" i="14"/>
  <c r="E3204" i="14"/>
  <c r="E3205" i="14"/>
  <c r="E3206" i="14"/>
  <c r="E3207" i="14"/>
  <c r="E3208" i="14"/>
  <c r="E3209" i="14"/>
  <c r="E3210" i="14"/>
  <c r="E3211" i="14"/>
  <c r="E3212" i="14"/>
  <c r="E3213" i="14"/>
  <c r="E3214" i="14"/>
  <c r="E3215" i="14"/>
  <c r="E3216" i="14"/>
  <c r="E3217" i="14"/>
  <c r="E3218" i="14"/>
  <c r="E3219" i="14"/>
  <c r="E3220" i="14"/>
  <c r="E3221" i="14"/>
  <c r="E3222" i="14"/>
  <c r="E3223" i="14"/>
  <c r="E3224" i="14"/>
  <c r="E3225" i="14"/>
  <c r="E3226" i="14"/>
  <c r="E3227" i="14"/>
  <c r="E3228" i="14"/>
  <c r="E3229" i="14"/>
  <c r="E3230" i="14"/>
  <c r="E3231" i="14"/>
  <c r="E3232" i="14"/>
  <c r="E3233" i="14"/>
  <c r="E3234" i="14"/>
  <c r="E3235" i="14"/>
  <c r="E3236" i="14"/>
  <c r="E3237" i="14"/>
  <c r="E3238" i="14"/>
  <c r="E3239" i="14"/>
  <c r="E3240" i="14"/>
  <c r="E3241" i="14"/>
  <c r="E3242" i="14"/>
  <c r="E3243" i="14"/>
  <c r="E3244" i="14"/>
  <c r="E3245" i="14"/>
  <c r="E3246" i="14"/>
  <c r="E3247" i="14"/>
  <c r="E3248" i="14"/>
  <c r="E3249" i="14"/>
  <c r="E3250" i="14"/>
  <c r="E3251" i="14"/>
  <c r="E3252" i="14"/>
  <c r="E3253" i="14"/>
  <c r="E3254" i="14"/>
  <c r="E3255" i="14"/>
  <c r="E3256" i="14"/>
  <c r="E3257" i="14"/>
  <c r="E3258" i="14"/>
  <c r="E3259" i="14"/>
  <c r="E3260" i="14"/>
  <c r="E3261" i="14"/>
  <c r="E3262" i="14"/>
  <c r="E3263" i="14"/>
  <c r="E3264" i="14"/>
  <c r="E3265" i="14"/>
  <c r="E3266" i="14"/>
  <c r="E3267" i="14"/>
  <c r="E3268" i="14"/>
  <c r="E3269" i="14"/>
  <c r="E3270" i="14"/>
  <c r="E3271" i="14"/>
  <c r="E3272" i="14"/>
  <c r="E3273" i="14"/>
  <c r="E3274" i="14"/>
  <c r="E3275" i="14"/>
  <c r="E3276" i="14"/>
  <c r="E3277" i="14"/>
  <c r="E3278" i="14"/>
  <c r="E3279" i="14"/>
  <c r="E3280" i="14"/>
  <c r="E3281" i="14"/>
  <c r="E3282" i="14"/>
  <c r="E3283" i="14"/>
  <c r="E3284" i="14"/>
  <c r="E3285" i="14"/>
  <c r="E3286" i="14"/>
  <c r="E3287" i="14"/>
  <c r="E3288" i="14"/>
  <c r="E3289" i="14"/>
  <c r="E3290" i="14"/>
  <c r="E3291" i="14"/>
  <c r="E3292" i="14"/>
  <c r="E3293" i="14"/>
  <c r="E3294" i="14"/>
  <c r="E3295" i="14"/>
  <c r="E3296" i="14"/>
  <c r="E3297" i="14"/>
  <c r="E3298" i="14"/>
  <c r="E3299" i="14"/>
  <c r="E3300" i="14"/>
  <c r="E3301" i="14"/>
  <c r="E3302" i="14"/>
  <c r="E3303" i="14"/>
  <c r="E3304" i="14"/>
  <c r="E3305" i="14"/>
  <c r="E3306" i="14"/>
  <c r="E3307" i="14"/>
  <c r="E3308" i="14"/>
  <c r="E3309" i="14"/>
  <c r="E3310" i="14"/>
  <c r="E3311" i="14"/>
  <c r="E3312" i="14"/>
  <c r="E3313" i="14"/>
  <c r="E3314" i="14"/>
  <c r="E3315" i="14"/>
  <c r="E3316" i="14"/>
  <c r="E3317" i="14"/>
  <c r="E3318" i="14"/>
  <c r="E3319" i="14"/>
  <c r="E3320" i="14"/>
  <c r="E3321" i="14"/>
  <c r="E3322" i="14"/>
  <c r="E3323" i="14"/>
  <c r="E3324" i="14"/>
  <c r="E3325" i="14"/>
  <c r="E3326" i="14"/>
  <c r="E3327" i="14"/>
  <c r="E3328" i="14"/>
  <c r="E3329" i="14"/>
  <c r="E3330" i="14"/>
  <c r="E3331" i="14"/>
  <c r="E3332" i="14"/>
  <c r="E3333" i="14"/>
  <c r="E3334" i="14"/>
  <c r="E3335" i="14"/>
  <c r="E3336" i="14"/>
  <c r="E3337" i="14"/>
  <c r="E3338" i="14"/>
  <c r="E3339" i="14"/>
  <c r="E3340" i="14"/>
  <c r="E3341" i="14"/>
  <c r="E3342" i="14"/>
  <c r="E3343" i="14"/>
  <c r="E3344" i="14"/>
  <c r="E3345" i="14"/>
  <c r="E3346" i="14"/>
  <c r="E3347" i="14"/>
  <c r="E3348" i="14"/>
  <c r="E3349" i="14"/>
  <c r="E3350" i="14"/>
  <c r="E3351" i="14"/>
  <c r="E3352" i="14"/>
  <c r="E3353" i="14"/>
  <c r="E3354" i="14"/>
  <c r="E3355" i="14"/>
  <c r="E3356" i="14"/>
  <c r="E3357" i="14"/>
  <c r="E3358" i="14"/>
  <c r="E3359" i="14"/>
  <c r="E3360" i="14"/>
  <c r="E3361" i="14"/>
  <c r="E3362" i="14"/>
  <c r="E3363" i="14"/>
  <c r="E3364" i="14"/>
  <c r="E3365" i="14"/>
  <c r="E3366" i="14"/>
  <c r="E3367" i="14"/>
  <c r="E3368" i="14"/>
  <c r="E3369" i="14"/>
  <c r="E3370" i="14"/>
  <c r="E3371" i="14"/>
  <c r="E3372" i="14"/>
  <c r="E3373" i="14"/>
  <c r="E3374" i="14"/>
  <c r="E3375" i="14"/>
  <c r="E3376" i="14"/>
  <c r="E3377" i="14"/>
  <c r="E3378" i="14"/>
  <c r="E3379" i="14"/>
  <c r="E3380" i="14"/>
  <c r="E3381" i="14"/>
  <c r="E3382" i="14"/>
  <c r="E3383" i="14"/>
  <c r="E3384" i="14"/>
  <c r="E3385" i="14"/>
  <c r="E3386" i="14"/>
  <c r="E3387" i="14"/>
  <c r="E3388" i="14"/>
  <c r="E3389" i="14"/>
  <c r="E3390" i="14"/>
  <c r="E3391" i="14"/>
  <c r="E3392" i="14"/>
  <c r="E3393" i="14"/>
  <c r="E3394" i="14"/>
  <c r="E3395" i="14"/>
  <c r="E3396" i="14"/>
  <c r="E3397" i="14"/>
  <c r="E3398" i="14"/>
  <c r="E3399" i="14"/>
  <c r="E3400" i="14"/>
  <c r="E3401" i="14"/>
  <c r="E3402" i="14"/>
  <c r="E3403" i="14"/>
  <c r="E3404" i="14"/>
  <c r="E3405" i="14"/>
  <c r="E3406" i="14"/>
  <c r="E3407" i="14"/>
  <c r="E3408" i="14"/>
  <c r="E3409" i="14"/>
  <c r="E3410" i="14"/>
  <c r="E3411" i="14"/>
  <c r="E3412" i="14"/>
  <c r="E3413" i="14"/>
  <c r="E3414" i="14"/>
  <c r="E3415" i="14"/>
  <c r="E3416" i="14"/>
  <c r="E3417" i="14"/>
  <c r="E3418" i="14"/>
  <c r="E3419" i="14"/>
  <c r="E3420" i="14"/>
  <c r="E3421" i="14"/>
  <c r="E3422" i="14"/>
  <c r="E3423" i="14"/>
  <c r="E3424" i="14"/>
  <c r="E3425" i="14"/>
  <c r="E3426" i="14"/>
  <c r="E3427" i="14"/>
  <c r="E3428" i="14"/>
  <c r="E3429" i="14"/>
  <c r="E3430" i="14"/>
  <c r="E3431" i="14"/>
  <c r="E3432" i="14"/>
  <c r="E3433" i="14"/>
  <c r="E3434" i="14"/>
  <c r="E3435" i="14"/>
  <c r="E3436" i="14"/>
  <c r="E3437" i="14"/>
  <c r="E3438" i="14"/>
  <c r="E3439" i="14"/>
  <c r="E3440" i="14"/>
  <c r="E3441" i="14"/>
  <c r="E3442" i="14"/>
  <c r="E3443" i="14"/>
  <c r="E3444" i="14"/>
  <c r="E3445" i="14"/>
  <c r="E3446" i="14"/>
  <c r="E3447" i="14"/>
  <c r="E3448" i="14"/>
  <c r="E3449" i="14"/>
  <c r="E3450" i="14"/>
  <c r="E3451" i="14"/>
  <c r="E3452" i="14"/>
  <c r="E3453" i="14"/>
  <c r="E3454" i="14"/>
  <c r="E3455" i="14"/>
  <c r="E3456" i="14"/>
  <c r="E3457" i="14"/>
  <c r="E3458" i="14"/>
  <c r="E3459" i="14"/>
  <c r="E3460" i="14"/>
  <c r="E3461" i="14"/>
  <c r="E3462" i="14"/>
  <c r="E3463" i="14"/>
  <c r="E3464" i="14"/>
  <c r="E3465" i="14"/>
  <c r="E3466" i="14"/>
  <c r="E3467" i="14"/>
  <c r="E3468" i="14"/>
  <c r="E3469" i="14"/>
  <c r="E3470" i="14"/>
  <c r="E3471" i="14"/>
  <c r="E3472" i="14"/>
  <c r="E3473" i="14"/>
  <c r="E3474" i="14"/>
  <c r="E3475" i="14"/>
  <c r="E3476" i="14"/>
  <c r="E3477" i="14"/>
  <c r="E3478" i="14"/>
  <c r="E3479" i="14"/>
  <c r="E3480" i="14"/>
  <c r="E3481" i="14"/>
  <c r="E3482" i="14"/>
  <c r="E3483" i="14"/>
  <c r="E3484" i="14"/>
  <c r="E3485" i="14"/>
  <c r="E3486" i="14"/>
  <c r="E3487" i="14"/>
  <c r="E3488" i="14"/>
  <c r="E3489" i="14"/>
  <c r="E3490" i="14"/>
  <c r="E3491" i="14"/>
  <c r="E3492" i="14"/>
  <c r="E3493" i="14"/>
  <c r="E3494" i="14"/>
  <c r="E3495" i="14"/>
  <c r="E3496" i="14"/>
  <c r="E3497" i="14"/>
  <c r="E3498" i="14"/>
  <c r="E3499" i="14"/>
  <c r="E3500" i="14"/>
  <c r="E3501" i="14"/>
  <c r="E3502" i="14"/>
  <c r="E3503" i="14"/>
  <c r="E3504" i="14"/>
  <c r="E3505" i="14"/>
  <c r="E3506" i="14"/>
  <c r="E3507" i="14"/>
  <c r="E3508" i="14"/>
  <c r="E3509" i="14"/>
  <c r="E3510" i="14"/>
  <c r="E3511" i="14"/>
  <c r="E3512" i="14"/>
  <c r="E3513" i="14"/>
  <c r="E3514" i="14"/>
  <c r="E3515" i="14"/>
  <c r="E3516" i="14"/>
  <c r="E3517" i="14"/>
  <c r="E3518" i="14"/>
  <c r="E3519" i="14"/>
  <c r="E3520" i="14"/>
  <c r="E3521" i="14"/>
  <c r="E3522" i="14"/>
  <c r="E3523" i="14"/>
  <c r="E3524" i="14"/>
  <c r="E3525" i="14"/>
  <c r="E3526" i="14"/>
  <c r="E3527" i="14"/>
  <c r="E3528" i="14"/>
  <c r="E3529" i="14"/>
  <c r="E3530" i="14"/>
  <c r="E3531" i="14"/>
  <c r="E3532" i="14"/>
  <c r="E3533" i="14"/>
  <c r="E3534" i="14"/>
  <c r="E3535" i="14"/>
  <c r="E3536" i="14"/>
  <c r="E3537" i="14"/>
  <c r="E3538" i="14"/>
  <c r="E3539" i="14"/>
  <c r="E3540" i="14"/>
  <c r="E3541" i="14"/>
  <c r="E3542" i="14"/>
  <c r="E3543" i="14"/>
  <c r="E3544" i="14"/>
  <c r="E3545" i="14"/>
  <c r="E3546" i="14"/>
  <c r="E3547" i="14"/>
  <c r="E3548" i="14"/>
  <c r="E3549" i="14"/>
  <c r="E3550" i="14"/>
  <c r="E3551" i="14"/>
  <c r="E3552" i="14"/>
  <c r="E3553" i="14"/>
  <c r="E3554" i="14"/>
  <c r="E3555" i="14"/>
  <c r="E3556" i="14"/>
  <c r="E3557" i="14"/>
  <c r="E3558" i="14"/>
  <c r="E3559" i="14"/>
  <c r="E3560" i="14"/>
  <c r="E3561" i="14"/>
  <c r="E3562" i="14"/>
  <c r="E3563" i="14"/>
  <c r="E3564" i="14"/>
  <c r="E3565" i="14"/>
  <c r="E3566" i="14"/>
  <c r="E3567" i="14"/>
  <c r="E3568" i="14"/>
  <c r="E3569" i="14"/>
  <c r="E3570" i="14"/>
  <c r="E3571" i="14"/>
  <c r="E3572" i="14"/>
  <c r="E3573" i="14"/>
  <c r="E3574" i="14"/>
  <c r="E3575" i="14"/>
  <c r="E3576" i="14"/>
  <c r="E3577" i="14"/>
  <c r="E3578" i="14"/>
  <c r="E3579" i="14"/>
  <c r="E3580" i="14"/>
  <c r="E3581" i="14"/>
  <c r="E3582" i="14"/>
  <c r="E3583" i="14"/>
  <c r="E3584" i="14"/>
  <c r="E3585" i="14"/>
  <c r="E3586" i="14"/>
  <c r="E3587" i="14"/>
  <c r="E3588" i="14"/>
  <c r="E3589" i="14"/>
  <c r="E3590" i="14"/>
  <c r="E3591" i="14"/>
  <c r="E3592" i="14"/>
  <c r="E3593" i="14"/>
  <c r="E3594" i="14"/>
  <c r="E3595" i="14"/>
  <c r="E3596" i="14"/>
  <c r="E3597" i="14"/>
  <c r="E3598" i="14"/>
  <c r="E3599" i="14"/>
  <c r="E3601" i="14"/>
  <c r="E3600" i="14"/>
  <c r="E3602" i="14"/>
  <c r="E3" i="14"/>
  <c r="E1" i="14" l="1"/>
  <c r="E562" i="8" l="1"/>
  <c r="E564" i="8"/>
  <c r="E563" i="8"/>
  <c r="E560" i="8"/>
  <c r="E565" i="8" l="1"/>
  <c r="E561" i="8"/>
  <c r="E566" i="8"/>
  <c r="E558" i="8"/>
  <c r="E559" i="8" l="1"/>
  <c r="E568" i="8"/>
  <c r="E569" i="8"/>
  <c r="E570" i="8"/>
  <c r="E567" i="8"/>
  <c r="E478" i="8" l="1"/>
  <c r="C478" i="8"/>
  <c r="A478" i="8"/>
  <c r="E477" i="8"/>
  <c r="C477" i="8"/>
  <c r="A477" i="8"/>
  <c r="I10" i="9" l="1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B454" i="8" s="1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B477" i="8" s="1"/>
  <c r="I598" i="9"/>
  <c r="B478" i="8" s="1"/>
  <c r="I599" i="9"/>
  <c r="I600" i="9"/>
  <c r="I601" i="9"/>
  <c r="I602" i="9"/>
  <c r="I603" i="9"/>
  <c r="I604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9" i="9"/>
  <c r="I8" i="9"/>
  <c r="I7" i="9"/>
  <c r="I6" i="9"/>
  <c r="I5" i="9"/>
  <c r="I4" i="9"/>
  <c r="I3" i="9"/>
  <c r="I2" i="9"/>
  <c r="IW7" i="4" l="1"/>
  <c r="IW8" i="4"/>
  <c r="IW9" i="4"/>
  <c r="IW10" i="4"/>
  <c r="IW11" i="4"/>
  <c r="IW12" i="4"/>
  <c r="IW13" i="4"/>
  <c r="IW14" i="4"/>
  <c r="IW15" i="4"/>
  <c r="IW16" i="4"/>
  <c r="IW17" i="4"/>
  <c r="IW18" i="4"/>
  <c r="IW19" i="4"/>
  <c r="IW20" i="4"/>
  <c r="IW21" i="4"/>
  <c r="IW22" i="4"/>
  <c r="IW23" i="4"/>
  <c r="IW24" i="4"/>
  <c r="IW25" i="4"/>
  <c r="IW26" i="4"/>
  <c r="IW27" i="4"/>
  <c r="IW28" i="4"/>
  <c r="IW29" i="4"/>
  <c r="IW30" i="4"/>
  <c r="IW31" i="4"/>
  <c r="IW32" i="4"/>
  <c r="IW33" i="4"/>
  <c r="IW34" i="4"/>
  <c r="IW35" i="4"/>
  <c r="IW36" i="4"/>
  <c r="IW37" i="4"/>
  <c r="IW38" i="4"/>
  <c r="IW39" i="4"/>
  <c r="IW40" i="4"/>
  <c r="IW41" i="4"/>
  <c r="IW42" i="4"/>
  <c r="IW43" i="4"/>
  <c r="IW44" i="4"/>
  <c r="IW45" i="4"/>
  <c r="IW46" i="4"/>
  <c r="IW47" i="4"/>
  <c r="IW48" i="4"/>
  <c r="IW49" i="4"/>
  <c r="IW50" i="4"/>
  <c r="IW51" i="4"/>
  <c r="IW52" i="4"/>
  <c r="IW53" i="4"/>
  <c r="IW54" i="4"/>
  <c r="IW55" i="4"/>
  <c r="IW56" i="4"/>
  <c r="IW57" i="4"/>
  <c r="IW58" i="4"/>
  <c r="IW59" i="4"/>
  <c r="IW60" i="4"/>
  <c r="IW61" i="4"/>
  <c r="IW62" i="4"/>
  <c r="IW63" i="4"/>
  <c r="IW64" i="4"/>
  <c r="IW65" i="4"/>
  <c r="IW66" i="4"/>
  <c r="IW67" i="4"/>
  <c r="IW68" i="4"/>
  <c r="IW69" i="4"/>
  <c r="IW70" i="4"/>
  <c r="IW71" i="4"/>
  <c r="IW72" i="4"/>
  <c r="IW73" i="4"/>
  <c r="IW74" i="4"/>
  <c r="IW75" i="4"/>
  <c r="IW76" i="4"/>
  <c r="IW77" i="4"/>
  <c r="IW78" i="4"/>
  <c r="IW79" i="4"/>
  <c r="IW80" i="4"/>
  <c r="IW81" i="4"/>
  <c r="IW82" i="4"/>
  <c r="IW83" i="4"/>
  <c r="IW84" i="4"/>
  <c r="IW85" i="4"/>
  <c r="IW86" i="4"/>
  <c r="IW87" i="4"/>
  <c r="IW88" i="4"/>
  <c r="IW89" i="4"/>
  <c r="IW90" i="4"/>
  <c r="IW91" i="4"/>
  <c r="IW92" i="4"/>
  <c r="IW93" i="4"/>
  <c r="IW94" i="4"/>
  <c r="IW95" i="4"/>
  <c r="IW96" i="4"/>
  <c r="IW97" i="4"/>
  <c r="IW98" i="4"/>
  <c r="IW99" i="4"/>
  <c r="IW100" i="4"/>
  <c r="IW101" i="4"/>
  <c r="IW102" i="4"/>
  <c r="IW103" i="4"/>
  <c r="IW104" i="4"/>
  <c r="IW105" i="4"/>
  <c r="IW106" i="4"/>
  <c r="IW107" i="4"/>
  <c r="IW108" i="4"/>
  <c r="IW109" i="4"/>
  <c r="IW110" i="4"/>
  <c r="IW111" i="4"/>
  <c r="IW112" i="4"/>
  <c r="IW113" i="4"/>
  <c r="IW114" i="4"/>
  <c r="IW115" i="4"/>
  <c r="IW116" i="4"/>
  <c r="IW117" i="4"/>
  <c r="IW118" i="4"/>
  <c r="IW119" i="4"/>
  <c r="IW120" i="4"/>
  <c r="IW121" i="4"/>
  <c r="IW122" i="4"/>
  <c r="IW123" i="4"/>
  <c r="IW124" i="4"/>
  <c r="IW125" i="4"/>
  <c r="IW126" i="4"/>
  <c r="IW127" i="4"/>
  <c r="IW128" i="4"/>
  <c r="IW129" i="4"/>
  <c r="IW130" i="4"/>
  <c r="IW131" i="4"/>
  <c r="IW132" i="4"/>
  <c r="IW133" i="4"/>
  <c r="IW134" i="4"/>
  <c r="IW135" i="4"/>
  <c r="IW136" i="4"/>
  <c r="IW137" i="4"/>
  <c r="IW138" i="4"/>
  <c r="IW139" i="4"/>
  <c r="IW140" i="4"/>
  <c r="IW141" i="4"/>
  <c r="IW142" i="4"/>
  <c r="IW143" i="4"/>
  <c r="IW144" i="4"/>
  <c r="IW145" i="4"/>
  <c r="IW146" i="4"/>
  <c r="IW147" i="4"/>
  <c r="IW148" i="4"/>
  <c r="IW149" i="4"/>
  <c r="IW150" i="4"/>
  <c r="IW151" i="4"/>
  <c r="IW152" i="4"/>
  <c r="IW153" i="4"/>
  <c r="IW154" i="4"/>
  <c r="IW155" i="4"/>
  <c r="IW156" i="4"/>
  <c r="IW157" i="4"/>
  <c r="IW158" i="4"/>
  <c r="IW159" i="4"/>
  <c r="IW160" i="4"/>
  <c r="IW161" i="4"/>
  <c r="IW162" i="4"/>
  <c r="IW163" i="4"/>
  <c r="IW164" i="4"/>
  <c r="IW165" i="4"/>
  <c r="IW166" i="4"/>
  <c r="IW167" i="4"/>
  <c r="IW168" i="4"/>
  <c r="IW169" i="4"/>
  <c r="IW170" i="4"/>
  <c r="IW171" i="4"/>
  <c r="IW172" i="4"/>
  <c r="IW173" i="4"/>
  <c r="IW174" i="4"/>
  <c r="IW175" i="4"/>
  <c r="IW176" i="4"/>
  <c r="IW177" i="4"/>
  <c r="IW178" i="4"/>
  <c r="IW179" i="4"/>
  <c r="IW180" i="4"/>
  <c r="IW181" i="4"/>
  <c r="IW182" i="4"/>
  <c r="IW183" i="4"/>
  <c r="IW184" i="4"/>
  <c r="IW185" i="4"/>
  <c r="IW186" i="4"/>
  <c r="IW187" i="4"/>
  <c r="IW188" i="4"/>
  <c r="IW189" i="4"/>
  <c r="IW190" i="4"/>
  <c r="IW191" i="4"/>
  <c r="IW192" i="4"/>
  <c r="IW193" i="4"/>
  <c r="IW194" i="4"/>
  <c r="IW195" i="4"/>
  <c r="IW196" i="4"/>
  <c r="IW197" i="4"/>
  <c r="IW198" i="4"/>
  <c r="IW199" i="4"/>
  <c r="IW200" i="4"/>
  <c r="IW201" i="4"/>
  <c r="IW202" i="4"/>
  <c r="IW203" i="4"/>
  <c r="IW204" i="4"/>
  <c r="IW205" i="4"/>
  <c r="IW206" i="4"/>
  <c r="IW207" i="4"/>
  <c r="IW208" i="4"/>
  <c r="IW209" i="4"/>
  <c r="IW210" i="4"/>
  <c r="IW211" i="4"/>
  <c r="IW212" i="4"/>
  <c r="IW213" i="4"/>
  <c r="IW214" i="4"/>
  <c r="IW215" i="4"/>
  <c r="IW216" i="4"/>
  <c r="IW217" i="4"/>
  <c r="IW218" i="4"/>
  <c r="IW219" i="4"/>
  <c r="IW220" i="4"/>
  <c r="IW221" i="4"/>
  <c r="IW222" i="4"/>
  <c r="IW223" i="4"/>
  <c r="IW224" i="4"/>
  <c r="IW225" i="4"/>
  <c r="IW226" i="4"/>
  <c r="IW227" i="4"/>
  <c r="IW228" i="4"/>
  <c r="IW229" i="4"/>
  <c r="IW230" i="4"/>
  <c r="IW231" i="4"/>
  <c r="IW232" i="4"/>
  <c r="IW233" i="4"/>
  <c r="IW234" i="4"/>
  <c r="IW235" i="4"/>
  <c r="IW236" i="4"/>
  <c r="IW237" i="4"/>
  <c r="IW238" i="4"/>
  <c r="IW239" i="4"/>
  <c r="IW240" i="4"/>
  <c r="IW241" i="4"/>
  <c r="IW242" i="4"/>
  <c r="IW243" i="4"/>
  <c r="IW244" i="4"/>
  <c r="IW245" i="4"/>
  <c r="IW246" i="4"/>
  <c r="IW247" i="4"/>
  <c r="IW248" i="4"/>
  <c r="IW249" i="4"/>
  <c r="IW250" i="4"/>
  <c r="IW251" i="4"/>
  <c r="IW252" i="4"/>
  <c r="IW253" i="4"/>
  <c r="IW254" i="4"/>
  <c r="IW255" i="4"/>
  <c r="IW256" i="4"/>
  <c r="IW6" i="4"/>
  <c r="A7" i="8" l="1"/>
  <c r="B7" i="8" s="1"/>
  <c r="C7" i="8"/>
  <c r="E7" i="8"/>
  <c r="E6" i="8" l="1"/>
  <c r="E23" i="8"/>
  <c r="E46" i="8"/>
  <c r="E53" i="8"/>
  <c r="E54" i="8"/>
  <c r="E83" i="8"/>
  <c r="E98" i="8"/>
  <c r="E104" i="8"/>
  <c r="E107" i="8"/>
  <c r="E108" i="8"/>
  <c r="E188" i="8"/>
  <c r="E189" i="8"/>
  <c r="E236" i="8"/>
  <c r="E245" i="8"/>
  <c r="E261" i="8"/>
  <c r="E296" i="8"/>
  <c r="E300" i="8"/>
  <c r="E333" i="8"/>
  <c r="E334" i="8"/>
  <c r="E336" i="8"/>
  <c r="E337" i="8"/>
  <c r="E338" i="8"/>
  <c r="E357" i="8"/>
  <c r="E358" i="8"/>
  <c r="E398" i="8"/>
  <c r="E451" i="8"/>
  <c r="E452" i="8"/>
  <c r="E454" i="8"/>
  <c r="E455" i="8"/>
  <c r="E456" i="8"/>
  <c r="E457" i="8"/>
  <c r="E458" i="8"/>
  <c r="E460" i="8"/>
  <c r="E461" i="8"/>
  <c r="E462" i="8"/>
  <c r="E463" i="8"/>
  <c r="E464" i="8"/>
  <c r="E470" i="8"/>
  <c r="E471" i="8"/>
  <c r="E472" i="8"/>
  <c r="E473" i="8"/>
  <c r="E474" i="8"/>
  <c r="E475" i="8"/>
  <c r="E476" i="8"/>
  <c r="E512" i="8"/>
  <c r="E513" i="8"/>
  <c r="E523" i="8"/>
  <c r="E557" i="8"/>
  <c r="E3" i="8"/>
  <c r="E449" i="8"/>
  <c r="E448" i="8"/>
  <c r="E447" i="8"/>
  <c r="E446" i="8"/>
  <c r="E445" i="8"/>
  <c r="E444" i="8"/>
  <c r="E442" i="8"/>
  <c r="E443" i="8"/>
  <c r="E441" i="8"/>
  <c r="E439" i="8"/>
  <c r="E440" i="8"/>
  <c r="A439" i="8"/>
  <c r="B439" i="8" s="1"/>
  <c r="C439" i="8"/>
  <c r="A440" i="8"/>
  <c r="B440" i="8" s="1"/>
  <c r="C440" i="8"/>
  <c r="A441" i="8"/>
  <c r="B441" i="8" s="1"/>
  <c r="C441" i="8"/>
  <c r="A442" i="8"/>
  <c r="B442" i="8" s="1"/>
  <c r="C442" i="8"/>
  <c r="A443" i="8"/>
  <c r="B443" i="8" s="1"/>
  <c r="C443" i="8"/>
  <c r="A444" i="8"/>
  <c r="B444" i="8" s="1"/>
  <c r="C444" i="8"/>
  <c r="A445" i="8"/>
  <c r="B445" i="8" s="1"/>
  <c r="C445" i="8"/>
  <c r="A446" i="8"/>
  <c r="B446" i="8" s="1"/>
  <c r="C446" i="8"/>
  <c r="A447" i="8"/>
  <c r="B447" i="8" s="1"/>
  <c r="C447" i="8"/>
  <c r="A448" i="8"/>
  <c r="B448" i="8" s="1"/>
  <c r="C448" i="8"/>
  <c r="A449" i="8"/>
  <c r="B449" i="8" s="1"/>
  <c r="C449" i="8"/>
  <c r="E345" i="8"/>
  <c r="C345" i="8"/>
  <c r="A345" i="8"/>
  <c r="B345" i="8" s="1"/>
  <c r="A344" i="8"/>
  <c r="B344" i="8" s="1"/>
  <c r="E343" i="8"/>
  <c r="E342" i="8"/>
  <c r="E341" i="8"/>
  <c r="A342" i="8"/>
  <c r="B342" i="8" s="1"/>
  <c r="C342" i="8"/>
  <c r="A343" i="8"/>
  <c r="B343" i="8" s="1"/>
  <c r="C343" i="8"/>
  <c r="A341" i="8"/>
  <c r="B341" i="8" s="1"/>
  <c r="A340" i="8"/>
  <c r="B340" i="8" s="1"/>
  <c r="A339" i="8"/>
  <c r="B339" i="8" s="1"/>
  <c r="C500" i="8"/>
  <c r="A500" i="8"/>
  <c r="B500" i="8" s="1"/>
  <c r="E499" i="8"/>
  <c r="C499" i="8"/>
  <c r="A499" i="8"/>
  <c r="B499" i="8" s="1"/>
  <c r="A497" i="8"/>
  <c r="B497" i="8" s="1"/>
  <c r="E344" i="8"/>
  <c r="E340" i="8"/>
  <c r="E339" i="8"/>
  <c r="E318" i="8"/>
  <c r="E317" i="8"/>
  <c r="E316" i="8"/>
  <c r="E315" i="8"/>
  <c r="E314" i="8"/>
  <c r="E313" i="8"/>
  <c r="E312" i="8"/>
  <c r="E311" i="8"/>
  <c r="E310" i="8"/>
  <c r="E309" i="8"/>
  <c r="E295" i="8"/>
  <c r="E294" i="8"/>
  <c r="E293" i="8"/>
  <c r="E292" i="8"/>
  <c r="E291" i="8"/>
  <c r="E290" i="8"/>
  <c r="E289" i="8"/>
  <c r="E288" i="8"/>
  <c r="E286" i="8"/>
  <c r="E285" i="8"/>
  <c r="E282" i="8"/>
  <c r="E280" i="8"/>
  <c r="E279" i="8"/>
  <c r="E273" i="8"/>
  <c r="E272" i="8"/>
  <c r="E269" i="8"/>
  <c r="E268" i="8"/>
  <c r="E267" i="8"/>
  <c r="E263" i="8"/>
  <c r="E262" i="8"/>
  <c r="E258" i="8"/>
  <c r="E257" i="8"/>
  <c r="E256" i="8"/>
  <c r="E255" i="8"/>
  <c r="E254" i="8"/>
  <c r="E253" i="8"/>
  <c r="E252" i="8"/>
  <c r="E251" i="8"/>
  <c r="E250" i="8"/>
  <c r="E249" i="8"/>
  <c r="E235" i="8"/>
  <c r="E234" i="8"/>
  <c r="E233" i="8"/>
  <c r="E232" i="8"/>
  <c r="E231" i="8"/>
  <c r="E230" i="8"/>
  <c r="E229" i="8"/>
  <c r="E228" i="8"/>
  <c r="E226" i="8"/>
  <c r="E225" i="8"/>
  <c r="E224" i="8"/>
  <c r="E222" i="8"/>
  <c r="E221" i="8"/>
  <c r="E220" i="8"/>
  <c r="E219" i="8"/>
  <c r="E218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0" i="8"/>
  <c r="E198" i="8"/>
  <c r="E197" i="8"/>
  <c r="E196" i="8"/>
  <c r="E195" i="8"/>
  <c r="E194" i="8"/>
  <c r="E193" i="8"/>
  <c r="E192" i="8"/>
  <c r="E191" i="8"/>
  <c r="E190" i="8"/>
  <c r="E186" i="8"/>
  <c r="E185" i="8"/>
  <c r="E184" i="8"/>
  <c r="E183" i="8"/>
  <c r="E182" i="8"/>
  <c r="E181" i="8"/>
  <c r="E180" i="8"/>
  <c r="E179" i="8"/>
  <c r="E178" i="8"/>
  <c r="E176" i="8"/>
  <c r="E175" i="8"/>
  <c r="E171" i="8"/>
  <c r="E170" i="8"/>
  <c r="E168" i="8"/>
  <c r="E167" i="8"/>
  <c r="E166" i="8"/>
  <c r="E165" i="8"/>
  <c r="E163" i="8"/>
  <c r="E162" i="8"/>
  <c r="E161" i="8"/>
  <c r="E160" i="8"/>
  <c r="E159" i="8"/>
  <c r="E158" i="8"/>
  <c r="E156" i="8"/>
  <c r="E154" i="8"/>
  <c r="E153" i="8"/>
  <c r="E151" i="8"/>
  <c r="E147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95" i="8"/>
  <c r="E94" i="8"/>
  <c r="E93" i="8"/>
  <c r="E92" i="8"/>
  <c r="E89" i="8"/>
  <c r="E88" i="8"/>
  <c r="E87" i="8"/>
  <c r="E86" i="8"/>
  <c r="E85" i="8"/>
  <c r="E84" i="8"/>
  <c r="E82" i="8"/>
  <c r="E81" i="8"/>
  <c r="E80" i="8"/>
  <c r="E79" i="8"/>
  <c r="E78" i="8"/>
  <c r="E77" i="8"/>
  <c r="E76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7" i="8"/>
  <c r="E56" i="8"/>
  <c r="E55" i="8"/>
  <c r="E45" i="8"/>
  <c r="E40" i="8"/>
  <c r="E39" i="8"/>
  <c r="E38" i="8"/>
  <c r="E36" i="8"/>
  <c r="E35" i="8"/>
  <c r="E32" i="8"/>
  <c r="E31" i="8"/>
  <c r="E30" i="8"/>
  <c r="E29" i="8"/>
  <c r="E28" i="8"/>
  <c r="E27" i="8"/>
  <c r="E25" i="8"/>
  <c r="E20" i="8"/>
  <c r="E19" i="8"/>
  <c r="E17" i="8"/>
  <c r="E16" i="8"/>
  <c r="E15" i="8"/>
  <c r="E14" i="8"/>
  <c r="E13" i="8"/>
  <c r="E12" i="8"/>
  <c r="E11" i="8"/>
  <c r="E10" i="8"/>
  <c r="E9" i="8"/>
  <c r="E8" i="8"/>
  <c r="A557" i="8"/>
  <c r="B557" i="8" s="1"/>
  <c r="C557" i="8"/>
  <c r="L704" i="9"/>
  <c r="M704" i="9" s="1"/>
  <c r="A459" i="8" l="1"/>
  <c r="B459" i="8" s="1"/>
  <c r="C459" i="8"/>
  <c r="A460" i="8"/>
  <c r="B460" i="8" s="1"/>
  <c r="C460" i="8"/>
  <c r="A53" i="8"/>
  <c r="B53" i="8" s="1"/>
  <c r="C53" i="8"/>
  <c r="E500" i="8" l="1"/>
  <c r="E544" i="8"/>
  <c r="E543" i="8"/>
  <c r="E542" i="8"/>
  <c r="E541" i="8"/>
  <c r="E540" i="8"/>
  <c r="E539" i="8"/>
  <c r="E538" i="8"/>
  <c r="E545" i="8"/>
  <c r="E537" i="8"/>
  <c r="E536" i="8"/>
  <c r="E555" i="8"/>
  <c r="E535" i="8"/>
  <c r="E534" i="8"/>
  <c r="E533" i="8"/>
  <c r="A544" i="8"/>
  <c r="B544" i="8" s="1"/>
  <c r="C544" i="8"/>
  <c r="A543" i="8"/>
  <c r="B543" i="8" s="1"/>
  <c r="C543" i="8"/>
  <c r="A534" i="8"/>
  <c r="B534" i="8" s="1"/>
  <c r="C534" i="8"/>
  <c r="A535" i="8"/>
  <c r="B535" i="8" s="1"/>
  <c r="C535" i="8"/>
  <c r="A555" i="8"/>
  <c r="B555" i="8" s="1"/>
  <c r="C555" i="8"/>
  <c r="A536" i="8"/>
  <c r="B536" i="8" s="1"/>
  <c r="C536" i="8"/>
  <c r="A537" i="8"/>
  <c r="B537" i="8" s="1"/>
  <c r="C537" i="8"/>
  <c r="A545" i="8"/>
  <c r="B545" i="8" s="1"/>
  <c r="C545" i="8"/>
  <c r="A538" i="8"/>
  <c r="B538" i="8" s="1"/>
  <c r="C538" i="8"/>
  <c r="A539" i="8"/>
  <c r="B539" i="8" s="1"/>
  <c r="C539" i="8"/>
  <c r="A540" i="8"/>
  <c r="B540" i="8" s="1"/>
  <c r="C540" i="8"/>
  <c r="A541" i="8"/>
  <c r="B541" i="8" s="1"/>
  <c r="C541" i="8"/>
  <c r="A542" i="8"/>
  <c r="B542" i="8" s="1"/>
  <c r="C542" i="8"/>
  <c r="E532" i="8"/>
  <c r="E531" i="8"/>
  <c r="E530" i="8"/>
  <c r="A531" i="8"/>
  <c r="B531" i="8" s="1"/>
  <c r="C531" i="8"/>
  <c r="A532" i="8"/>
  <c r="B532" i="8" s="1"/>
  <c r="C532" i="8"/>
  <c r="A533" i="8"/>
  <c r="B533" i="8" s="1"/>
  <c r="C533" i="8"/>
  <c r="C530" i="8"/>
  <c r="A530" i="8"/>
  <c r="B530" i="8" s="1"/>
  <c r="E554" i="8"/>
  <c r="E553" i="8"/>
  <c r="E551" i="8"/>
  <c r="E552" i="8"/>
  <c r="E550" i="8"/>
  <c r="E549" i="8"/>
  <c r="E507" i="8"/>
  <c r="E506" i="8"/>
  <c r="E505" i="8"/>
  <c r="E504" i="8"/>
  <c r="A554" i="8"/>
  <c r="B554" i="8" s="1"/>
  <c r="C554" i="8"/>
  <c r="A553" i="8"/>
  <c r="B553" i="8" s="1"/>
  <c r="C553" i="8"/>
  <c r="A549" i="8"/>
  <c r="B549" i="8" s="1"/>
  <c r="C549" i="8"/>
  <c r="A550" i="8"/>
  <c r="B550" i="8" s="1"/>
  <c r="C550" i="8"/>
  <c r="A551" i="8"/>
  <c r="B551" i="8" s="1"/>
  <c r="C551" i="8"/>
  <c r="A552" i="8"/>
  <c r="B552" i="8" s="1"/>
  <c r="C552" i="8"/>
  <c r="G660" i="9"/>
  <c r="G661" i="9"/>
  <c r="G662" i="9"/>
  <c r="G663" i="9"/>
  <c r="G664" i="9"/>
  <c r="G665" i="9"/>
  <c r="G666" i="9"/>
  <c r="G667" i="9"/>
  <c r="G668" i="9"/>
  <c r="G669" i="9"/>
  <c r="G670" i="9"/>
  <c r="G671" i="9"/>
  <c r="E529" i="8"/>
  <c r="E528" i="8"/>
  <c r="E527" i="8"/>
  <c r="E515" i="8"/>
  <c r="E526" i="8"/>
  <c r="E525" i="8"/>
  <c r="E524" i="8"/>
  <c r="E522" i="8"/>
  <c r="E521" i="8"/>
  <c r="E520" i="8"/>
  <c r="E517" i="8"/>
  <c r="E516" i="8"/>
  <c r="E514" i="8"/>
  <c r="E519" i="8"/>
  <c r="E518" i="8"/>
  <c r="E511" i="8"/>
  <c r="E510" i="8"/>
  <c r="E509" i="8"/>
  <c r="E508" i="8"/>
  <c r="A529" i="8"/>
  <c r="B529" i="8" s="1"/>
  <c r="C529" i="8"/>
  <c r="A524" i="8"/>
  <c r="B524" i="8" s="1"/>
  <c r="C524" i="8"/>
  <c r="A525" i="8"/>
  <c r="B525" i="8" s="1"/>
  <c r="C525" i="8"/>
  <c r="A526" i="8"/>
  <c r="B526" i="8" s="1"/>
  <c r="C526" i="8"/>
  <c r="A527" i="8"/>
  <c r="B527" i="8" s="1"/>
  <c r="C527" i="8"/>
  <c r="A528" i="8"/>
  <c r="B528" i="8" s="1"/>
  <c r="C528" i="8"/>
  <c r="A523" i="8"/>
  <c r="B523" i="8" s="1"/>
  <c r="C523" i="8"/>
  <c r="A516" i="8"/>
  <c r="B516" i="8" s="1"/>
  <c r="C516" i="8"/>
  <c r="A517" i="8"/>
  <c r="B517" i="8" s="1"/>
  <c r="C517" i="8"/>
  <c r="A520" i="8"/>
  <c r="B520" i="8" s="1"/>
  <c r="C520" i="8"/>
  <c r="A521" i="8"/>
  <c r="B521" i="8" s="1"/>
  <c r="C521" i="8"/>
  <c r="A522" i="8"/>
  <c r="B522" i="8" s="1"/>
  <c r="C522" i="8"/>
  <c r="A509" i="8"/>
  <c r="B509" i="8" s="1"/>
  <c r="C509" i="8"/>
  <c r="A510" i="8"/>
  <c r="B510" i="8" s="1"/>
  <c r="C510" i="8"/>
  <c r="A511" i="8"/>
  <c r="B511" i="8" s="1"/>
  <c r="C511" i="8"/>
  <c r="A518" i="8"/>
  <c r="B518" i="8" s="1"/>
  <c r="C518" i="8"/>
  <c r="A512" i="8"/>
  <c r="B512" i="8" s="1"/>
  <c r="C512" i="8"/>
  <c r="A513" i="8"/>
  <c r="B513" i="8" s="1"/>
  <c r="C513" i="8"/>
  <c r="A519" i="8"/>
  <c r="B519" i="8" s="1"/>
  <c r="C519" i="8"/>
  <c r="A514" i="8"/>
  <c r="B514" i="8" s="1"/>
  <c r="C514" i="8"/>
  <c r="A515" i="8"/>
  <c r="B515" i="8" s="1"/>
  <c r="C515" i="8"/>
  <c r="C508" i="8"/>
  <c r="A508" i="8"/>
  <c r="B508" i="8" s="1"/>
  <c r="E547" i="8" l="1"/>
  <c r="E548" i="8"/>
  <c r="E546" i="8"/>
  <c r="A547" i="8"/>
  <c r="B547" i="8" s="1"/>
  <c r="C547" i="8"/>
  <c r="A548" i="8"/>
  <c r="B548" i="8" s="1"/>
  <c r="C548" i="8"/>
  <c r="C546" i="8"/>
  <c r="A546" i="8"/>
  <c r="B546" i="8" s="1"/>
  <c r="C476" i="8"/>
  <c r="A476" i="8"/>
  <c r="B476" i="8" s="1"/>
  <c r="C475" i="8"/>
  <c r="A475" i="8"/>
  <c r="B475" i="8" s="1"/>
  <c r="C474" i="8"/>
  <c r="A474" i="8"/>
  <c r="B474" i="8" s="1"/>
  <c r="C473" i="8"/>
  <c r="A473" i="8"/>
  <c r="B473" i="8" s="1"/>
  <c r="C472" i="8"/>
  <c r="A472" i="8"/>
  <c r="B472" i="8" s="1"/>
  <c r="C471" i="8"/>
  <c r="A470" i="8"/>
  <c r="B470" i="8" s="1"/>
  <c r="A471" i="8"/>
  <c r="B471" i="8" s="1"/>
  <c r="C470" i="8"/>
  <c r="E498" i="8" l="1"/>
  <c r="E497" i="8"/>
  <c r="C497" i="8"/>
  <c r="E496" i="8"/>
  <c r="E495" i="8"/>
  <c r="E480" i="8"/>
  <c r="E479" i="8"/>
  <c r="A479" i="8"/>
  <c r="B479" i="8" s="1"/>
  <c r="C479" i="8"/>
  <c r="A480" i="8"/>
  <c r="B480" i="8" s="1"/>
  <c r="C480" i="8"/>
  <c r="A495" i="8"/>
  <c r="B495" i="8" s="1"/>
  <c r="C495" i="8"/>
  <c r="A496" i="8"/>
  <c r="B496" i="8" s="1"/>
  <c r="C496" i="8"/>
  <c r="A498" i="8"/>
  <c r="B498" i="8" s="1"/>
  <c r="C498" i="8"/>
  <c r="E469" i="8" l="1"/>
  <c r="E468" i="8"/>
  <c r="E467" i="8"/>
  <c r="E466" i="8"/>
  <c r="E465" i="8"/>
  <c r="A466" i="8"/>
  <c r="B466" i="8" s="1"/>
  <c r="C466" i="8"/>
  <c r="A467" i="8"/>
  <c r="B467" i="8" s="1"/>
  <c r="C467" i="8"/>
  <c r="A468" i="8"/>
  <c r="B468" i="8" s="1"/>
  <c r="C468" i="8"/>
  <c r="A469" i="8"/>
  <c r="B469" i="8" s="1"/>
  <c r="C469" i="8"/>
  <c r="C465" i="8"/>
  <c r="A465" i="8"/>
  <c r="B465" i="8" s="1"/>
  <c r="A507" i="8"/>
  <c r="B507" i="8" s="1"/>
  <c r="C507" i="8"/>
  <c r="A504" i="8"/>
  <c r="B504" i="8" s="1"/>
  <c r="C504" i="8"/>
  <c r="A505" i="8"/>
  <c r="B505" i="8" s="1"/>
  <c r="C505" i="8"/>
  <c r="A506" i="8"/>
  <c r="B506" i="8" s="1"/>
  <c r="C506" i="8"/>
  <c r="E503" i="8"/>
  <c r="E502" i="8"/>
  <c r="E501" i="8"/>
  <c r="C501" i="8"/>
  <c r="C502" i="8"/>
  <c r="C503" i="8"/>
  <c r="A502" i="8"/>
  <c r="B502" i="8" s="1"/>
  <c r="A503" i="8"/>
  <c r="B503" i="8" s="1"/>
  <c r="A501" i="8"/>
  <c r="B501" i="8" s="1"/>
  <c r="E450" i="8"/>
  <c r="E438" i="8"/>
  <c r="E437" i="8"/>
  <c r="E434" i="8"/>
  <c r="E436" i="8"/>
  <c r="E435" i="8"/>
  <c r="E432" i="8"/>
  <c r="E433" i="8"/>
  <c r="E431" i="8"/>
  <c r="E430" i="8"/>
  <c r="E429" i="8"/>
  <c r="E428" i="8"/>
  <c r="E420" i="8"/>
  <c r="E427" i="8"/>
  <c r="E426" i="8"/>
  <c r="E425" i="8"/>
  <c r="E424" i="8"/>
  <c r="E423" i="8"/>
  <c r="E422" i="8"/>
  <c r="E421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A399" i="8"/>
  <c r="B399" i="8" s="1"/>
  <c r="C399" i="8"/>
  <c r="A400" i="8"/>
  <c r="B400" i="8" s="1"/>
  <c r="C400" i="8"/>
  <c r="A401" i="8"/>
  <c r="B401" i="8" s="1"/>
  <c r="C401" i="8"/>
  <c r="A402" i="8"/>
  <c r="B402" i="8" s="1"/>
  <c r="C402" i="8"/>
  <c r="A403" i="8"/>
  <c r="B403" i="8" s="1"/>
  <c r="C403" i="8"/>
  <c r="A404" i="8"/>
  <c r="B404" i="8" s="1"/>
  <c r="C404" i="8"/>
  <c r="A405" i="8"/>
  <c r="B405" i="8" s="1"/>
  <c r="C405" i="8"/>
  <c r="A406" i="8"/>
  <c r="B406" i="8" s="1"/>
  <c r="C406" i="8"/>
  <c r="A407" i="8"/>
  <c r="B407" i="8" s="1"/>
  <c r="C407" i="8"/>
  <c r="A408" i="8"/>
  <c r="B408" i="8" s="1"/>
  <c r="C408" i="8"/>
  <c r="A409" i="8"/>
  <c r="B409" i="8" s="1"/>
  <c r="C409" i="8"/>
  <c r="A410" i="8"/>
  <c r="B410" i="8" s="1"/>
  <c r="C410" i="8"/>
  <c r="A411" i="8"/>
  <c r="B411" i="8" s="1"/>
  <c r="C411" i="8"/>
  <c r="A412" i="8"/>
  <c r="B412" i="8" s="1"/>
  <c r="C412" i="8"/>
  <c r="A413" i="8"/>
  <c r="B413" i="8" s="1"/>
  <c r="C413" i="8"/>
  <c r="A414" i="8"/>
  <c r="B414" i="8" s="1"/>
  <c r="C414" i="8"/>
  <c r="A415" i="8"/>
  <c r="B415" i="8" s="1"/>
  <c r="C415" i="8"/>
  <c r="A416" i="8"/>
  <c r="B416" i="8" s="1"/>
  <c r="C416" i="8"/>
  <c r="A417" i="8"/>
  <c r="B417" i="8" s="1"/>
  <c r="C417" i="8"/>
  <c r="A418" i="8"/>
  <c r="B418" i="8" s="1"/>
  <c r="C418" i="8"/>
  <c r="A419" i="8"/>
  <c r="B419" i="8" s="1"/>
  <c r="C419" i="8"/>
  <c r="A420" i="8"/>
  <c r="B420" i="8" s="1"/>
  <c r="C420" i="8"/>
  <c r="A421" i="8"/>
  <c r="B421" i="8" s="1"/>
  <c r="C421" i="8"/>
  <c r="A422" i="8"/>
  <c r="B422" i="8" s="1"/>
  <c r="C422" i="8"/>
  <c r="A423" i="8"/>
  <c r="B423" i="8" s="1"/>
  <c r="C423" i="8"/>
  <c r="A424" i="8"/>
  <c r="B424" i="8" s="1"/>
  <c r="C424" i="8"/>
  <c r="A425" i="8"/>
  <c r="B425" i="8" s="1"/>
  <c r="C425" i="8"/>
  <c r="A426" i="8"/>
  <c r="B426" i="8" s="1"/>
  <c r="C426" i="8"/>
  <c r="A427" i="8"/>
  <c r="B427" i="8" s="1"/>
  <c r="C427" i="8"/>
  <c r="A428" i="8"/>
  <c r="B428" i="8" s="1"/>
  <c r="C428" i="8"/>
  <c r="A429" i="8"/>
  <c r="B429" i="8" s="1"/>
  <c r="C429" i="8"/>
  <c r="A430" i="8"/>
  <c r="B430" i="8" s="1"/>
  <c r="C430" i="8"/>
  <c r="A431" i="8"/>
  <c r="B431" i="8" s="1"/>
  <c r="C431" i="8"/>
  <c r="A432" i="8"/>
  <c r="B432" i="8" s="1"/>
  <c r="C432" i="8"/>
  <c r="A433" i="8"/>
  <c r="B433" i="8" s="1"/>
  <c r="C433" i="8"/>
  <c r="A434" i="8"/>
  <c r="B434" i="8" s="1"/>
  <c r="C434" i="8"/>
  <c r="A435" i="8"/>
  <c r="B435" i="8" s="1"/>
  <c r="C435" i="8"/>
  <c r="A436" i="8"/>
  <c r="B436" i="8" s="1"/>
  <c r="C436" i="8"/>
  <c r="A437" i="8"/>
  <c r="B437" i="8" s="1"/>
  <c r="C437" i="8"/>
  <c r="A438" i="8"/>
  <c r="B438" i="8" s="1"/>
  <c r="C438" i="8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E393" i="8"/>
  <c r="E397" i="8"/>
  <c r="E396" i="8"/>
  <c r="E395" i="8"/>
  <c r="E394" i="8"/>
  <c r="E392" i="8"/>
  <c r="E391" i="8"/>
  <c r="E390" i="8"/>
  <c r="E389" i="8"/>
  <c r="E388" i="8"/>
  <c r="E387" i="8"/>
  <c r="E386" i="8"/>
  <c r="E385" i="8"/>
  <c r="E379" i="8"/>
  <c r="E378" i="8"/>
  <c r="E377" i="8"/>
  <c r="E384" i="8"/>
  <c r="E383" i="8"/>
  <c r="E382" i="8"/>
  <c r="E381" i="8"/>
  <c r="E380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1" i="8"/>
  <c r="E362" i="8"/>
  <c r="E360" i="8"/>
  <c r="E359" i="8"/>
  <c r="A374" i="8"/>
  <c r="B374" i="8" s="1"/>
  <c r="C374" i="8"/>
  <c r="A375" i="8"/>
  <c r="B375" i="8" s="1"/>
  <c r="C375" i="8"/>
  <c r="A376" i="8"/>
  <c r="B376" i="8" s="1"/>
  <c r="C376" i="8"/>
  <c r="A377" i="8"/>
  <c r="B377" i="8" s="1"/>
  <c r="C377" i="8"/>
  <c r="A378" i="8"/>
  <c r="B378" i="8" s="1"/>
  <c r="C378" i="8"/>
  <c r="A379" i="8"/>
  <c r="B379" i="8" s="1"/>
  <c r="C379" i="8"/>
  <c r="A380" i="8"/>
  <c r="B380" i="8" s="1"/>
  <c r="C380" i="8"/>
  <c r="A381" i="8"/>
  <c r="B381" i="8" s="1"/>
  <c r="C381" i="8"/>
  <c r="A382" i="8"/>
  <c r="B382" i="8" s="1"/>
  <c r="C382" i="8"/>
  <c r="A383" i="8"/>
  <c r="B383" i="8" s="1"/>
  <c r="C383" i="8"/>
  <c r="A384" i="8"/>
  <c r="B384" i="8" s="1"/>
  <c r="C384" i="8"/>
  <c r="A385" i="8"/>
  <c r="B385" i="8" s="1"/>
  <c r="C385" i="8"/>
  <c r="A386" i="8"/>
  <c r="B386" i="8" s="1"/>
  <c r="C386" i="8"/>
  <c r="A387" i="8"/>
  <c r="B387" i="8" s="1"/>
  <c r="C387" i="8"/>
  <c r="A388" i="8"/>
  <c r="B388" i="8" s="1"/>
  <c r="C388" i="8"/>
  <c r="A389" i="8"/>
  <c r="B389" i="8" s="1"/>
  <c r="C389" i="8"/>
  <c r="A390" i="8"/>
  <c r="B390" i="8" s="1"/>
  <c r="C390" i="8"/>
  <c r="A391" i="8"/>
  <c r="B391" i="8" s="1"/>
  <c r="C391" i="8"/>
  <c r="A392" i="8"/>
  <c r="B392" i="8" s="1"/>
  <c r="C392" i="8"/>
  <c r="A393" i="8"/>
  <c r="B393" i="8" s="1"/>
  <c r="C393" i="8"/>
  <c r="A394" i="8"/>
  <c r="B394" i="8" s="1"/>
  <c r="C394" i="8"/>
  <c r="A395" i="8"/>
  <c r="B395" i="8" s="1"/>
  <c r="C395" i="8"/>
  <c r="A396" i="8"/>
  <c r="B396" i="8" s="1"/>
  <c r="C396" i="8"/>
  <c r="A397" i="8"/>
  <c r="B397" i="8" s="1"/>
  <c r="C397" i="8"/>
  <c r="A359" i="8"/>
  <c r="B359" i="8" s="1"/>
  <c r="C359" i="8"/>
  <c r="A360" i="8"/>
  <c r="B360" i="8" s="1"/>
  <c r="C360" i="8"/>
  <c r="A361" i="8"/>
  <c r="B361" i="8" s="1"/>
  <c r="C361" i="8"/>
  <c r="A362" i="8"/>
  <c r="B362" i="8" s="1"/>
  <c r="C362" i="8"/>
  <c r="A363" i="8"/>
  <c r="B363" i="8" s="1"/>
  <c r="C363" i="8"/>
  <c r="A364" i="8"/>
  <c r="B364" i="8" s="1"/>
  <c r="C364" i="8"/>
  <c r="A365" i="8"/>
  <c r="B365" i="8" s="1"/>
  <c r="C365" i="8"/>
  <c r="A366" i="8"/>
  <c r="B366" i="8" s="1"/>
  <c r="C366" i="8"/>
  <c r="A367" i="8"/>
  <c r="B367" i="8" s="1"/>
  <c r="C367" i="8"/>
  <c r="A368" i="8"/>
  <c r="B368" i="8" s="1"/>
  <c r="C368" i="8"/>
  <c r="A369" i="8"/>
  <c r="B369" i="8" s="1"/>
  <c r="C369" i="8"/>
  <c r="A370" i="8"/>
  <c r="B370" i="8" s="1"/>
  <c r="C370" i="8"/>
  <c r="A371" i="8"/>
  <c r="B371" i="8" s="1"/>
  <c r="C371" i="8"/>
  <c r="A372" i="8"/>
  <c r="B372" i="8" s="1"/>
  <c r="C372" i="8"/>
  <c r="A373" i="8"/>
  <c r="B373" i="8" s="1"/>
  <c r="C373" i="8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E556" i="8"/>
  <c r="A357" i="8"/>
  <c r="B357" i="8" s="1"/>
  <c r="C357" i="8"/>
  <c r="A358" i="8"/>
  <c r="B358" i="8" s="1"/>
  <c r="C358" i="8"/>
  <c r="A398" i="8"/>
  <c r="B398" i="8" s="1"/>
  <c r="C398" i="8"/>
  <c r="A450" i="8"/>
  <c r="B450" i="8" s="1"/>
  <c r="C450" i="8"/>
  <c r="E356" i="8"/>
  <c r="E355" i="8"/>
  <c r="C355" i="8"/>
  <c r="C356" i="8"/>
  <c r="A356" i="8"/>
  <c r="B356" i="8" s="1"/>
  <c r="A355" i="8"/>
  <c r="B355" i="8" s="1"/>
  <c r="E354" i="8"/>
  <c r="E353" i="8"/>
  <c r="E352" i="8"/>
  <c r="E351" i="8"/>
  <c r="E350" i="8"/>
  <c r="E349" i="8"/>
  <c r="E348" i="8"/>
  <c r="E347" i="8"/>
  <c r="E346" i="8"/>
  <c r="A347" i="8"/>
  <c r="B347" i="8" s="1"/>
  <c r="C347" i="8"/>
  <c r="A348" i="8"/>
  <c r="B348" i="8" s="1"/>
  <c r="C348" i="8"/>
  <c r="A349" i="8"/>
  <c r="B349" i="8" s="1"/>
  <c r="C349" i="8"/>
  <c r="A350" i="8"/>
  <c r="B350" i="8" s="1"/>
  <c r="C350" i="8"/>
  <c r="A351" i="8"/>
  <c r="B351" i="8" s="1"/>
  <c r="C351" i="8"/>
  <c r="A352" i="8"/>
  <c r="B352" i="8" s="1"/>
  <c r="C352" i="8"/>
  <c r="A353" i="8"/>
  <c r="B353" i="8" s="1"/>
  <c r="C353" i="8"/>
  <c r="A354" i="8"/>
  <c r="B354" i="8" s="1"/>
  <c r="C354" i="8"/>
  <c r="C346" i="8"/>
  <c r="A346" i="8"/>
  <c r="B346" i="8" s="1"/>
  <c r="A464" i="8"/>
  <c r="B464" i="8" s="1"/>
  <c r="C464" i="8"/>
  <c r="A462" i="8"/>
  <c r="B462" i="8" s="1"/>
  <c r="C462" i="8"/>
  <c r="A463" i="8"/>
  <c r="B463" i="8" s="1"/>
  <c r="C463" i="8"/>
  <c r="A455" i="8"/>
  <c r="B455" i="8" s="1"/>
  <c r="C455" i="8"/>
  <c r="A456" i="8"/>
  <c r="B456" i="8" s="1"/>
  <c r="C456" i="8"/>
  <c r="A451" i="8"/>
  <c r="B451" i="8" s="1"/>
  <c r="C451" i="8"/>
  <c r="A452" i="8"/>
  <c r="B452" i="8" s="1"/>
  <c r="C452" i="8"/>
  <c r="E335" i="8"/>
  <c r="E453" i="8"/>
  <c r="E332" i="8"/>
  <c r="HB254" i="4"/>
  <c r="E331" i="8"/>
  <c r="E330" i="8"/>
  <c r="E329" i="8"/>
  <c r="E328" i="8"/>
  <c r="C556" i="8"/>
  <c r="A556" i="8"/>
  <c r="B556" i="8" s="1"/>
  <c r="A328" i="8"/>
  <c r="B328" i="8" s="1"/>
  <c r="A329" i="8"/>
  <c r="B329" i="8" s="1"/>
  <c r="A330" i="8"/>
  <c r="B330" i="8" s="1"/>
  <c r="A331" i="8"/>
  <c r="B331" i="8" s="1"/>
  <c r="A332" i="8"/>
  <c r="B332" i="8" s="1"/>
  <c r="A333" i="8"/>
  <c r="B333" i="8" s="1"/>
  <c r="A334" i="8"/>
  <c r="B334" i="8" s="1"/>
  <c r="A335" i="8"/>
  <c r="B335" i="8" s="1"/>
  <c r="A336" i="8"/>
  <c r="B336" i="8" s="1"/>
  <c r="A337" i="8"/>
  <c r="B337" i="8" s="1"/>
  <c r="A338" i="8"/>
  <c r="B338" i="8" s="1"/>
  <c r="A453" i="8"/>
  <c r="B453" i="8" s="1"/>
  <c r="A457" i="8"/>
  <c r="B457" i="8" s="1"/>
  <c r="A458" i="8"/>
  <c r="B458" i="8" s="1"/>
  <c r="A461" i="8"/>
  <c r="B461" i="8" s="1"/>
  <c r="E327" i="8"/>
  <c r="E326" i="8"/>
  <c r="E325" i="8"/>
  <c r="E324" i="8"/>
  <c r="E323" i="8"/>
  <c r="E322" i="8"/>
  <c r="E308" i="8"/>
  <c r="E306" i="8"/>
  <c r="E305" i="8"/>
  <c r="E304" i="8"/>
  <c r="E302" i="8"/>
  <c r="E301" i="8"/>
  <c r="E321" i="8"/>
  <c r="E319" i="8"/>
  <c r="E320" i="8"/>
  <c r="E307" i="8"/>
  <c r="E303" i="8"/>
  <c r="A301" i="8"/>
  <c r="B301" i="8" s="1"/>
  <c r="C301" i="8"/>
  <c r="A302" i="8"/>
  <c r="B302" i="8" s="1"/>
  <c r="C302" i="8"/>
  <c r="A303" i="8"/>
  <c r="B303" i="8" s="1"/>
  <c r="C303" i="8"/>
  <c r="A304" i="8"/>
  <c r="B304" i="8" s="1"/>
  <c r="C304" i="8"/>
  <c r="A305" i="8"/>
  <c r="B305" i="8" s="1"/>
  <c r="C305" i="8"/>
  <c r="A306" i="8"/>
  <c r="B306" i="8" s="1"/>
  <c r="C306" i="8"/>
  <c r="A307" i="8"/>
  <c r="B307" i="8" s="1"/>
  <c r="C307" i="8"/>
  <c r="A308" i="8"/>
  <c r="B308" i="8" s="1"/>
  <c r="C308" i="8"/>
  <c r="A309" i="8"/>
  <c r="B309" i="8" s="1"/>
  <c r="C309" i="8"/>
  <c r="A310" i="8"/>
  <c r="B310" i="8" s="1"/>
  <c r="C310" i="8"/>
  <c r="A311" i="8"/>
  <c r="B311" i="8" s="1"/>
  <c r="C311" i="8"/>
  <c r="A312" i="8"/>
  <c r="B312" i="8" s="1"/>
  <c r="C312" i="8"/>
  <c r="A313" i="8"/>
  <c r="B313" i="8" s="1"/>
  <c r="C313" i="8"/>
  <c r="A314" i="8"/>
  <c r="B314" i="8" s="1"/>
  <c r="C314" i="8"/>
  <c r="A315" i="8"/>
  <c r="B315" i="8" s="1"/>
  <c r="C315" i="8"/>
  <c r="A316" i="8"/>
  <c r="B316" i="8" s="1"/>
  <c r="C316" i="8"/>
  <c r="A317" i="8"/>
  <c r="B317" i="8" s="1"/>
  <c r="C317" i="8"/>
  <c r="A318" i="8"/>
  <c r="B318" i="8" s="1"/>
  <c r="C318" i="8"/>
  <c r="A319" i="8"/>
  <c r="B319" i="8" s="1"/>
  <c r="C319" i="8"/>
  <c r="A320" i="8"/>
  <c r="B320" i="8" s="1"/>
  <c r="C320" i="8"/>
  <c r="A321" i="8"/>
  <c r="B321" i="8" s="1"/>
  <c r="C321" i="8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E299" i="8"/>
  <c r="E298" i="8"/>
  <c r="E297" i="8"/>
  <c r="A297" i="8"/>
  <c r="B297" i="8" s="1"/>
  <c r="C297" i="8"/>
  <c r="A298" i="8"/>
  <c r="B298" i="8" s="1"/>
  <c r="C298" i="8"/>
  <c r="A299" i="8"/>
  <c r="B299" i="8" s="1"/>
  <c r="C299" i="8"/>
  <c r="A300" i="8"/>
  <c r="B300" i="8" s="1"/>
  <c r="C300" i="8"/>
  <c r="E187" i="8"/>
  <c r="E278" i="8"/>
  <c r="E277" i="8"/>
  <c r="E276" i="8"/>
  <c r="E275" i="8"/>
  <c r="E274" i="8"/>
  <c r="E284" i="8"/>
  <c r="E283" i="8"/>
  <c r="E270" i="8"/>
  <c r="E266" i="8"/>
  <c r="E264" i="8"/>
  <c r="E287" i="8"/>
  <c r="E281" i="8"/>
  <c r="E271" i="8"/>
  <c r="E265" i="8"/>
  <c r="A292" i="8"/>
  <c r="B292" i="8" s="1"/>
  <c r="C292" i="8"/>
  <c r="A293" i="8"/>
  <c r="B293" i="8" s="1"/>
  <c r="C293" i="8"/>
  <c r="A294" i="8"/>
  <c r="B294" i="8" s="1"/>
  <c r="C294" i="8"/>
  <c r="A295" i="8"/>
  <c r="B295" i="8" s="1"/>
  <c r="C295" i="8"/>
  <c r="A286" i="8"/>
  <c r="B286" i="8" s="1"/>
  <c r="C286" i="8"/>
  <c r="A287" i="8"/>
  <c r="B287" i="8" s="1"/>
  <c r="C287" i="8"/>
  <c r="A288" i="8"/>
  <c r="B288" i="8" s="1"/>
  <c r="C288" i="8"/>
  <c r="A289" i="8"/>
  <c r="B289" i="8" s="1"/>
  <c r="C289" i="8"/>
  <c r="A290" i="8"/>
  <c r="B290" i="8" s="1"/>
  <c r="C290" i="8"/>
  <c r="A291" i="8"/>
  <c r="B291" i="8" s="1"/>
  <c r="C291" i="8"/>
  <c r="A262" i="8"/>
  <c r="B262" i="8" s="1"/>
  <c r="C262" i="8"/>
  <c r="A263" i="8"/>
  <c r="B263" i="8" s="1"/>
  <c r="C263" i="8"/>
  <c r="A264" i="8"/>
  <c r="B264" i="8" s="1"/>
  <c r="C264" i="8"/>
  <c r="A265" i="8"/>
  <c r="B265" i="8" s="1"/>
  <c r="C265" i="8"/>
  <c r="A266" i="8"/>
  <c r="B266" i="8" s="1"/>
  <c r="C266" i="8"/>
  <c r="A267" i="8"/>
  <c r="B267" i="8" s="1"/>
  <c r="C267" i="8"/>
  <c r="A268" i="8"/>
  <c r="B268" i="8" s="1"/>
  <c r="C268" i="8"/>
  <c r="A269" i="8"/>
  <c r="B269" i="8" s="1"/>
  <c r="C269" i="8"/>
  <c r="A270" i="8"/>
  <c r="B270" i="8" s="1"/>
  <c r="C270" i="8"/>
  <c r="A271" i="8"/>
  <c r="B271" i="8" s="1"/>
  <c r="C271" i="8"/>
  <c r="A272" i="8"/>
  <c r="B272" i="8" s="1"/>
  <c r="C272" i="8"/>
  <c r="A273" i="8"/>
  <c r="B273" i="8" s="1"/>
  <c r="C273" i="8"/>
  <c r="A274" i="8"/>
  <c r="B274" i="8" s="1"/>
  <c r="C274" i="8"/>
  <c r="A275" i="8"/>
  <c r="B275" i="8" s="1"/>
  <c r="C275" i="8"/>
  <c r="A276" i="8"/>
  <c r="B276" i="8" s="1"/>
  <c r="C276" i="8"/>
  <c r="A277" i="8"/>
  <c r="B277" i="8" s="1"/>
  <c r="C277" i="8"/>
  <c r="A278" i="8"/>
  <c r="B278" i="8" s="1"/>
  <c r="C278" i="8"/>
  <c r="A279" i="8"/>
  <c r="B279" i="8" s="1"/>
  <c r="C279" i="8"/>
  <c r="A280" i="8"/>
  <c r="B280" i="8" s="1"/>
  <c r="C280" i="8"/>
  <c r="A281" i="8"/>
  <c r="B281" i="8" s="1"/>
  <c r="C281" i="8"/>
  <c r="A282" i="8"/>
  <c r="B282" i="8" s="1"/>
  <c r="C282" i="8"/>
  <c r="A283" i="8"/>
  <c r="B283" i="8" s="1"/>
  <c r="C283" i="8"/>
  <c r="A284" i="8"/>
  <c r="B284" i="8" s="1"/>
  <c r="C284" i="8"/>
  <c r="A285" i="8"/>
  <c r="B285" i="8" s="1"/>
  <c r="C285" i="8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E246" i="8" l="1"/>
  <c r="E247" i="8"/>
  <c r="E248" i="8"/>
  <c r="E260" i="8"/>
  <c r="E259" i="8"/>
  <c r="A246" i="8"/>
  <c r="B246" i="8" s="1"/>
  <c r="C246" i="8"/>
  <c r="A247" i="8"/>
  <c r="B247" i="8" s="1"/>
  <c r="C247" i="8"/>
  <c r="A248" i="8"/>
  <c r="B248" i="8" s="1"/>
  <c r="C248" i="8"/>
  <c r="A249" i="8"/>
  <c r="B249" i="8" s="1"/>
  <c r="C249" i="8"/>
  <c r="A250" i="8"/>
  <c r="B250" i="8" s="1"/>
  <c r="C250" i="8"/>
  <c r="A251" i="8"/>
  <c r="B251" i="8" s="1"/>
  <c r="C251" i="8"/>
  <c r="A252" i="8"/>
  <c r="B252" i="8" s="1"/>
  <c r="C252" i="8"/>
  <c r="A253" i="8"/>
  <c r="B253" i="8" s="1"/>
  <c r="C253" i="8"/>
  <c r="A254" i="8"/>
  <c r="B254" i="8" s="1"/>
  <c r="C254" i="8"/>
  <c r="A255" i="8"/>
  <c r="B255" i="8" s="1"/>
  <c r="C255" i="8"/>
  <c r="A256" i="8"/>
  <c r="B256" i="8" s="1"/>
  <c r="C256" i="8"/>
  <c r="A257" i="8"/>
  <c r="B257" i="8" s="1"/>
  <c r="C257" i="8"/>
  <c r="A258" i="8"/>
  <c r="B258" i="8" s="1"/>
  <c r="C258" i="8"/>
  <c r="A259" i="8"/>
  <c r="B259" i="8" s="1"/>
  <c r="C259" i="8"/>
  <c r="A260" i="8"/>
  <c r="B260" i="8" s="1"/>
  <c r="C260" i="8"/>
  <c r="A261" i="8"/>
  <c r="B261" i="8" s="1"/>
  <c r="C261" i="8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R1" i="9"/>
  <c r="E244" i="8"/>
  <c r="E240" i="8"/>
  <c r="E238" i="8"/>
  <c r="E242" i="8"/>
  <c r="E243" i="8"/>
  <c r="E241" i="8"/>
  <c r="E239" i="8"/>
  <c r="E237" i="8"/>
  <c r="A237" i="8"/>
  <c r="B237" i="8" s="1"/>
  <c r="C237" i="8"/>
  <c r="A238" i="8"/>
  <c r="B238" i="8" s="1"/>
  <c r="C238" i="8"/>
  <c r="A239" i="8"/>
  <c r="B239" i="8" s="1"/>
  <c r="C239" i="8"/>
  <c r="A240" i="8"/>
  <c r="B240" i="8" s="1"/>
  <c r="C240" i="8"/>
  <c r="A241" i="8"/>
  <c r="B241" i="8" s="1"/>
  <c r="C241" i="8"/>
  <c r="A242" i="8"/>
  <c r="B242" i="8" s="1"/>
  <c r="C242" i="8"/>
  <c r="A243" i="8"/>
  <c r="B243" i="8" s="1"/>
  <c r="C243" i="8"/>
  <c r="A244" i="8"/>
  <c r="B244" i="8" s="1"/>
  <c r="C244" i="8"/>
  <c r="G238" i="9"/>
  <c r="G239" i="9"/>
  <c r="G240" i="9"/>
  <c r="G241" i="9"/>
  <c r="G242" i="9"/>
  <c r="G243" i="9"/>
  <c r="G244" i="9"/>
  <c r="G245" i="9"/>
  <c r="E223" i="8"/>
  <c r="E203" i="8"/>
  <c r="E202" i="8"/>
  <c r="E201" i="8"/>
  <c r="E227" i="8"/>
  <c r="E217" i="8"/>
  <c r="E216" i="8"/>
  <c r="E199" i="8"/>
  <c r="A205" i="8"/>
  <c r="B205" i="8" s="1"/>
  <c r="C205" i="8"/>
  <c r="A206" i="8"/>
  <c r="B206" i="8" s="1"/>
  <c r="C206" i="8"/>
  <c r="A207" i="8"/>
  <c r="B207" i="8" s="1"/>
  <c r="C207" i="8"/>
  <c r="A208" i="8"/>
  <c r="B208" i="8" s="1"/>
  <c r="C208" i="8"/>
  <c r="A209" i="8"/>
  <c r="B209" i="8" s="1"/>
  <c r="C209" i="8"/>
  <c r="A210" i="8"/>
  <c r="B210" i="8" s="1"/>
  <c r="C210" i="8"/>
  <c r="A211" i="8"/>
  <c r="B211" i="8" s="1"/>
  <c r="C211" i="8"/>
  <c r="A212" i="8"/>
  <c r="B212" i="8" s="1"/>
  <c r="C212" i="8"/>
  <c r="A213" i="8"/>
  <c r="B213" i="8" s="1"/>
  <c r="C213" i="8"/>
  <c r="A214" i="8"/>
  <c r="B214" i="8" s="1"/>
  <c r="C214" i="8"/>
  <c r="A215" i="8"/>
  <c r="B215" i="8" s="1"/>
  <c r="C215" i="8"/>
  <c r="A216" i="8"/>
  <c r="B216" i="8" s="1"/>
  <c r="C216" i="8"/>
  <c r="A217" i="8"/>
  <c r="B217" i="8" s="1"/>
  <c r="C217" i="8"/>
  <c r="A218" i="8"/>
  <c r="B218" i="8" s="1"/>
  <c r="C218" i="8"/>
  <c r="A219" i="8"/>
  <c r="B219" i="8" s="1"/>
  <c r="C219" i="8"/>
  <c r="A220" i="8"/>
  <c r="B220" i="8" s="1"/>
  <c r="C220" i="8"/>
  <c r="A221" i="8"/>
  <c r="B221" i="8" s="1"/>
  <c r="C221" i="8"/>
  <c r="A222" i="8"/>
  <c r="B222" i="8" s="1"/>
  <c r="C222" i="8"/>
  <c r="A223" i="8"/>
  <c r="B223" i="8" s="1"/>
  <c r="C223" i="8"/>
  <c r="A224" i="8"/>
  <c r="B224" i="8" s="1"/>
  <c r="C224" i="8"/>
  <c r="A225" i="8"/>
  <c r="B225" i="8" s="1"/>
  <c r="C225" i="8"/>
  <c r="A226" i="8"/>
  <c r="B226" i="8" s="1"/>
  <c r="C226" i="8"/>
  <c r="A227" i="8"/>
  <c r="B227" i="8" s="1"/>
  <c r="C227" i="8"/>
  <c r="A228" i="8"/>
  <c r="B228" i="8" s="1"/>
  <c r="C228" i="8"/>
  <c r="A229" i="8"/>
  <c r="B229" i="8" s="1"/>
  <c r="C229" i="8"/>
  <c r="A230" i="8"/>
  <c r="B230" i="8" s="1"/>
  <c r="C230" i="8"/>
  <c r="A231" i="8"/>
  <c r="B231" i="8" s="1"/>
  <c r="C231" i="8"/>
  <c r="A232" i="8"/>
  <c r="B232" i="8" s="1"/>
  <c r="C232" i="8"/>
  <c r="A233" i="8"/>
  <c r="B233" i="8" s="1"/>
  <c r="C233" i="8"/>
  <c r="A234" i="8"/>
  <c r="B234" i="8" s="1"/>
  <c r="C234" i="8"/>
  <c r="A235" i="8"/>
  <c r="B235" i="8" s="1"/>
  <c r="C235" i="8"/>
  <c r="A236" i="8"/>
  <c r="B236" i="8" s="1"/>
  <c r="C236" i="8"/>
  <c r="A245" i="8"/>
  <c r="B245" i="8" s="1"/>
  <c r="C245" i="8"/>
  <c r="A189" i="8"/>
  <c r="B189" i="8" s="1"/>
  <c r="C189" i="8"/>
  <c r="A190" i="8"/>
  <c r="B190" i="8" s="1"/>
  <c r="C190" i="8"/>
  <c r="A191" i="8"/>
  <c r="B191" i="8" s="1"/>
  <c r="C191" i="8"/>
  <c r="A192" i="8"/>
  <c r="B192" i="8" s="1"/>
  <c r="C192" i="8"/>
  <c r="A193" i="8"/>
  <c r="B193" i="8" s="1"/>
  <c r="C193" i="8"/>
  <c r="A194" i="8"/>
  <c r="B194" i="8" s="1"/>
  <c r="C194" i="8"/>
  <c r="A195" i="8"/>
  <c r="B195" i="8" s="1"/>
  <c r="C195" i="8"/>
  <c r="A196" i="8"/>
  <c r="B196" i="8" s="1"/>
  <c r="C196" i="8"/>
  <c r="A197" i="8"/>
  <c r="B197" i="8" s="1"/>
  <c r="C197" i="8"/>
  <c r="A198" i="8"/>
  <c r="B198" i="8" s="1"/>
  <c r="C198" i="8"/>
  <c r="A199" i="8"/>
  <c r="B199" i="8" s="1"/>
  <c r="C199" i="8"/>
  <c r="A200" i="8"/>
  <c r="B200" i="8" s="1"/>
  <c r="C200" i="8"/>
  <c r="A201" i="8"/>
  <c r="B201" i="8" s="1"/>
  <c r="C201" i="8"/>
  <c r="A202" i="8"/>
  <c r="B202" i="8" s="1"/>
  <c r="C202" i="8"/>
  <c r="A203" i="8"/>
  <c r="B203" i="8" s="1"/>
  <c r="C203" i="8"/>
  <c r="A204" i="8"/>
  <c r="B204" i="8" s="1"/>
  <c r="C204" i="8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E44" i="8" l="1"/>
  <c r="E43" i="8"/>
  <c r="E42" i="8"/>
  <c r="E41" i="8"/>
  <c r="E34" i="8"/>
  <c r="E33" i="8" l="1"/>
  <c r="E37" i="8"/>
  <c r="E26" i="8"/>
  <c r="E24" i="8"/>
  <c r="A24" i="8"/>
  <c r="B24" i="8" s="1"/>
  <c r="C24" i="8"/>
  <c r="A25" i="8"/>
  <c r="B25" i="8" s="1"/>
  <c r="C25" i="8"/>
  <c r="A26" i="8"/>
  <c r="B26" i="8" s="1"/>
  <c r="C26" i="8"/>
  <c r="A27" i="8"/>
  <c r="B27" i="8" s="1"/>
  <c r="C27" i="8"/>
  <c r="A28" i="8"/>
  <c r="B28" i="8" s="1"/>
  <c r="C28" i="8"/>
  <c r="A29" i="8"/>
  <c r="B29" i="8" s="1"/>
  <c r="C29" i="8"/>
  <c r="A30" i="8"/>
  <c r="B30" i="8" s="1"/>
  <c r="C30" i="8"/>
  <c r="A31" i="8"/>
  <c r="B31" i="8" s="1"/>
  <c r="C31" i="8"/>
  <c r="A32" i="8"/>
  <c r="B32" i="8" s="1"/>
  <c r="C32" i="8"/>
  <c r="A33" i="8"/>
  <c r="B33" i="8" s="1"/>
  <c r="C33" i="8"/>
  <c r="A34" i="8"/>
  <c r="B34" i="8" s="1"/>
  <c r="C34" i="8"/>
  <c r="A35" i="8"/>
  <c r="B35" i="8" s="1"/>
  <c r="C35" i="8"/>
  <c r="A36" i="8"/>
  <c r="B36" i="8" s="1"/>
  <c r="C36" i="8"/>
  <c r="A37" i="8"/>
  <c r="B37" i="8" s="1"/>
  <c r="C37" i="8"/>
  <c r="A38" i="8"/>
  <c r="B38" i="8" s="1"/>
  <c r="C38" i="8"/>
  <c r="A39" i="8"/>
  <c r="B39" i="8" s="1"/>
  <c r="C39" i="8"/>
  <c r="A40" i="8"/>
  <c r="B40" i="8" s="1"/>
  <c r="C40" i="8"/>
  <c r="A41" i="8"/>
  <c r="B41" i="8" s="1"/>
  <c r="C41" i="8"/>
  <c r="A42" i="8"/>
  <c r="B42" i="8" s="1"/>
  <c r="C42" i="8"/>
  <c r="A43" i="8"/>
  <c r="B43" i="8" s="1"/>
  <c r="C43" i="8"/>
  <c r="A44" i="8"/>
  <c r="B44" i="8" s="1"/>
  <c r="C44" i="8"/>
  <c r="A45" i="8"/>
  <c r="B45" i="8" s="1"/>
  <c r="C45" i="8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E21" i="8" l="1"/>
  <c r="E18" i="8"/>
  <c r="A20" i="8"/>
  <c r="B20" i="8" s="1"/>
  <c r="C20" i="8"/>
  <c r="A8" i="8"/>
  <c r="B8" i="8" s="1"/>
  <c r="C8" i="8"/>
  <c r="A9" i="8"/>
  <c r="B9" i="8" s="1"/>
  <c r="C9" i="8"/>
  <c r="A10" i="8"/>
  <c r="B10" i="8" s="1"/>
  <c r="C10" i="8"/>
  <c r="A11" i="8"/>
  <c r="B11" i="8" s="1"/>
  <c r="C11" i="8"/>
  <c r="A12" i="8"/>
  <c r="B12" i="8" s="1"/>
  <c r="C12" i="8"/>
  <c r="A13" i="8"/>
  <c r="B13" i="8" s="1"/>
  <c r="C13" i="8"/>
  <c r="A14" i="8"/>
  <c r="B14" i="8" s="1"/>
  <c r="C14" i="8"/>
  <c r="A15" i="8"/>
  <c r="B15" i="8" s="1"/>
  <c r="C15" i="8"/>
  <c r="A16" i="8"/>
  <c r="B16" i="8" s="1"/>
  <c r="C16" i="8"/>
  <c r="A17" i="8"/>
  <c r="B17" i="8" s="1"/>
  <c r="C17" i="8"/>
  <c r="A18" i="8"/>
  <c r="B18" i="8" s="1"/>
  <c r="C18" i="8"/>
  <c r="A19" i="8"/>
  <c r="B19" i="8" s="1"/>
  <c r="C19" i="8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E22" i="8"/>
  <c r="E5" i="8"/>
  <c r="A4" i="8"/>
  <c r="B4" i="8" s="1"/>
  <c r="C4" i="8"/>
  <c r="A5" i="8"/>
  <c r="B5" i="8" s="1"/>
  <c r="C5" i="8"/>
  <c r="A6" i="8"/>
  <c r="B6" i="8" s="1"/>
  <c r="C6" i="8"/>
  <c r="A21" i="8"/>
  <c r="B21" i="8" s="1"/>
  <c r="C21" i="8"/>
  <c r="A22" i="8"/>
  <c r="B22" i="8" s="1"/>
  <c r="C22" i="8"/>
  <c r="A23" i="8"/>
  <c r="B23" i="8" s="1"/>
  <c r="C23" i="8"/>
  <c r="E173" i="8"/>
  <c r="E172" i="8"/>
  <c r="B6" i="4" s="1"/>
  <c r="E109" i="8"/>
  <c r="E150" i="8"/>
  <c r="E155" i="8"/>
  <c r="E152" i="8"/>
  <c r="E148" i="8"/>
  <c r="E157" i="8"/>
  <c r="E174" i="8"/>
  <c r="E146" i="8"/>
  <c r="E145" i="8"/>
  <c r="E144" i="8"/>
  <c r="E177" i="8"/>
  <c r="E169" i="8"/>
  <c r="E164" i="8"/>
  <c r="E149" i="8"/>
  <c r="E110" i="8"/>
  <c r="A176" i="8"/>
  <c r="B176" i="8" s="1"/>
  <c r="C176" i="8"/>
  <c r="A177" i="8"/>
  <c r="B177" i="8" s="1"/>
  <c r="C177" i="8"/>
  <c r="A178" i="8"/>
  <c r="B178" i="8" s="1"/>
  <c r="C178" i="8"/>
  <c r="A179" i="8"/>
  <c r="B179" i="8" s="1"/>
  <c r="C179" i="8"/>
  <c r="A180" i="8"/>
  <c r="B180" i="8" s="1"/>
  <c r="C180" i="8"/>
  <c r="A181" i="8"/>
  <c r="B181" i="8" s="1"/>
  <c r="C181" i="8"/>
  <c r="A182" i="8"/>
  <c r="B182" i="8" s="1"/>
  <c r="C182" i="8"/>
  <c r="A183" i="8"/>
  <c r="B183" i="8" s="1"/>
  <c r="C183" i="8"/>
  <c r="A184" i="8"/>
  <c r="B184" i="8" s="1"/>
  <c r="C184" i="8"/>
  <c r="A185" i="8"/>
  <c r="B185" i="8" s="1"/>
  <c r="C185" i="8"/>
  <c r="A186" i="8"/>
  <c r="B186" i="8" s="1"/>
  <c r="C186" i="8"/>
  <c r="A187" i="8"/>
  <c r="B187" i="8" s="1"/>
  <c r="C187" i="8"/>
  <c r="A108" i="8"/>
  <c r="B108" i="8" s="1"/>
  <c r="C108" i="8"/>
  <c r="A109" i="8"/>
  <c r="B109" i="8" s="1"/>
  <c r="C109" i="8"/>
  <c r="A110" i="8"/>
  <c r="B110" i="8" s="1"/>
  <c r="C110" i="8"/>
  <c r="A111" i="8"/>
  <c r="B111" i="8" s="1"/>
  <c r="C111" i="8"/>
  <c r="A112" i="8"/>
  <c r="B112" i="8" s="1"/>
  <c r="C112" i="8"/>
  <c r="A113" i="8"/>
  <c r="B113" i="8" s="1"/>
  <c r="C113" i="8"/>
  <c r="A114" i="8"/>
  <c r="B114" i="8" s="1"/>
  <c r="C114" i="8"/>
  <c r="A115" i="8"/>
  <c r="B115" i="8" s="1"/>
  <c r="C115" i="8"/>
  <c r="A116" i="8"/>
  <c r="B116" i="8" s="1"/>
  <c r="C116" i="8"/>
  <c r="A117" i="8"/>
  <c r="B117" i="8" s="1"/>
  <c r="C117" i="8"/>
  <c r="A118" i="8"/>
  <c r="B118" i="8" s="1"/>
  <c r="C118" i="8"/>
  <c r="A119" i="8"/>
  <c r="B119" i="8" s="1"/>
  <c r="C119" i="8"/>
  <c r="A120" i="8"/>
  <c r="B120" i="8" s="1"/>
  <c r="C120" i="8"/>
  <c r="A121" i="8"/>
  <c r="B121" i="8" s="1"/>
  <c r="C121" i="8"/>
  <c r="A122" i="8"/>
  <c r="B122" i="8" s="1"/>
  <c r="C122" i="8"/>
  <c r="A123" i="8"/>
  <c r="B123" i="8" s="1"/>
  <c r="C123" i="8"/>
  <c r="A124" i="8"/>
  <c r="B124" i="8" s="1"/>
  <c r="C124" i="8"/>
  <c r="A125" i="8"/>
  <c r="B125" i="8" s="1"/>
  <c r="C125" i="8"/>
  <c r="A126" i="8"/>
  <c r="B126" i="8" s="1"/>
  <c r="C126" i="8"/>
  <c r="A127" i="8"/>
  <c r="B127" i="8" s="1"/>
  <c r="C127" i="8"/>
  <c r="A128" i="8"/>
  <c r="B128" i="8" s="1"/>
  <c r="C128" i="8"/>
  <c r="A129" i="8"/>
  <c r="B129" i="8" s="1"/>
  <c r="C129" i="8"/>
  <c r="A130" i="8"/>
  <c r="B130" i="8" s="1"/>
  <c r="C130" i="8"/>
  <c r="A131" i="8"/>
  <c r="B131" i="8" s="1"/>
  <c r="C131" i="8"/>
  <c r="A132" i="8"/>
  <c r="B132" i="8" s="1"/>
  <c r="C132" i="8"/>
  <c r="A133" i="8"/>
  <c r="B133" i="8" s="1"/>
  <c r="C133" i="8"/>
  <c r="A134" i="8"/>
  <c r="B134" i="8" s="1"/>
  <c r="C134" i="8"/>
  <c r="A135" i="8"/>
  <c r="B135" i="8" s="1"/>
  <c r="C135" i="8"/>
  <c r="A136" i="8"/>
  <c r="B136" i="8" s="1"/>
  <c r="C136" i="8"/>
  <c r="A137" i="8"/>
  <c r="B137" i="8" s="1"/>
  <c r="C137" i="8"/>
  <c r="A138" i="8"/>
  <c r="B138" i="8" s="1"/>
  <c r="C138" i="8"/>
  <c r="A139" i="8"/>
  <c r="B139" i="8" s="1"/>
  <c r="C139" i="8"/>
  <c r="A140" i="8"/>
  <c r="B140" i="8" s="1"/>
  <c r="C140" i="8"/>
  <c r="A141" i="8"/>
  <c r="B141" i="8" s="1"/>
  <c r="C141" i="8"/>
  <c r="A142" i="8"/>
  <c r="B142" i="8" s="1"/>
  <c r="C142" i="8"/>
  <c r="A143" i="8"/>
  <c r="B143" i="8" s="1"/>
  <c r="C143" i="8"/>
  <c r="A144" i="8"/>
  <c r="B144" i="8" s="1"/>
  <c r="C144" i="8"/>
  <c r="A145" i="8"/>
  <c r="B145" i="8" s="1"/>
  <c r="C145" i="8"/>
  <c r="A146" i="8"/>
  <c r="B146" i="8" s="1"/>
  <c r="C146" i="8"/>
  <c r="A147" i="8"/>
  <c r="B147" i="8" s="1"/>
  <c r="C147" i="8"/>
  <c r="A148" i="8"/>
  <c r="B148" i="8" s="1"/>
  <c r="C148" i="8"/>
  <c r="A149" i="8"/>
  <c r="B149" i="8" s="1"/>
  <c r="C149" i="8"/>
  <c r="A150" i="8"/>
  <c r="B150" i="8" s="1"/>
  <c r="C150" i="8"/>
  <c r="A151" i="8"/>
  <c r="B151" i="8" s="1"/>
  <c r="C151" i="8"/>
  <c r="A152" i="8"/>
  <c r="B152" i="8" s="1"/>
  <c r="C152" i="8"/>
  <c r="A153" i="8"/>
  <c r="B153" i="8" s="1"/>
  <c r="C153" i="8"/>
  <c r="A154" i="8"/>
  <c r="B154" i="8" s="1"/>
  <c r="C154" i="8"/>
  <c r="A155" i="8"/>
  <c r="B155" i="8" s="1"/>
  <c r="C155" i="8"/>
  <c r="A156" i="8"/>
  <c r="B156" i="8" s="1"/>
  <c r="C156" i="8"/>
  <c r="A157" i="8"/>
  <c r="B157" i="8" s="1"/>
  <c r="C157" i="8"/>
  <c r="A158" i="8"/>
  <c r="B158" i="8" s="1"/>
  <c r="C158" i="8"/>
  <c r="A159" i="8"/>
  <c r="B159" i="8" s="1"/>
  <c r="C159" i="8"/>
  <c r="A160" i="8"/>
  <c r="B160" i="8" s="1"/>
  <c r="C160" i="8"/>
  <c r="A161" i="8"/>
  <c r="B161" i="8" s="1"/>
  <c r="C161" i="8"/>
  <c r="A162" i="8"/>
  <c r="B162" i="8" s="1"/>
  <c r="C162" i="8"/>
  <c r="A163" i="8"/>
  <c r="B163" i="8" s="1"/>
  <c r="C163" i="8"/>
  <c r="A164" i="8"/>
  <c r="B164" i="8" s="1"/>
  <c r="C164" i="8"/>
  <c r="A165" i="8"/>
  <c r="B165" i="8" s="1"/>
  <c r="C165" i="8"/>
  <c r="A166" i="8"/>
  <c r="B166" i="8" s="1"/>
  <c r="C166" i="8"/>
  <c r="A167" i="8"/>
  <c r="B167" i="8" s="1"/>
  <c r="C167" i="8"/>
  <c r="A168" i="8"/>
  <c r="B168" i="8" s="1"/>
  <c r="C168" i="8"/>
  <c r="A169" i="8"/>
  <c r="B169" i="8" s="1"/>
  <c r="C169" i="8"/>
  <c r="A170" i="8"/>
  <c r="B170" i="8" s="1"/>
  <c r="C170" i="8"/>
  <c r="A171" i="8"/>
  <c r="B171" i="8" s="1"/>
  <c r="C171" i="8"/>
  <c r="A172" i="8"/>
  <c r="B172" i="8" s="1"/>
  <c r="C172" i="8"/>
  <c r="A173" i="8"/>
  <c r="B173" i="8" s="1"/>
  <c r="C173" i="8"/>
  <c r="A174" i="8"/>
  <c r="B174" i="8" s="1"/>
  <c r="C174" i="8"/>
  <c r="A175" i="8"/>
  <c r="B175" i="8" s="1"/>
  <c r="C175" i="8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T1" i="9"/>
  <c r="S1" i="9"/>
  <c r="U1" i="9" s="1"/>
  <c r="E106" i="8"/>
  <c r="E105" i="8"/>
  <c r="A105" i="8"/>
  <c r="B105" i="8" s="1"/>
  <c r="C105" i="8"/>
  <c r="A106" i="8"/>
  <c r="B106" i="8" s="1"/>
  <c r="C106" i="8"/>
  <c r="E103" i="8"/>
  <c r="E102" i="8"/>
  <c r="E101" i="8"/>
  <c r="A46" i="8"/>
  <c r="B46" i="8" s="1"/>
  <c r="C46" i="8"/>
  <c r="E100" i="8"/>
  <c r="E99" i="8"/>
  <c r="A99" i="8"/>
  <c r="B99" i="8" s="1"/>
  <c r="C99" i="8"/>
  <c r="A100" i="8"/>
  <c r="B100" i="8" s="1"/>
  <c r="C100" i="8"/>
  <c r="A101" i="8"/>
  <c r="B101" i="8" s="1"/>
  <c r="C101" i="8"/>
  <c r="A102" i="8"/>
  <c r="B102" i="8" s="1"/>
  <c r="C102" i="8"/>
  <c r="A103" i="8"/>
  <c r="B103" i="8" s="1"/>
  <c r="C103" i="8"/>
  <c r="A83" i="8"/>
  <c r="B83" i="8" s="1"/>
  <c r="C83" i="8"/>
  <c r="A54" i="8"/>
  <c r="B54" i="8" s="1"/>
  <c r="C54" i="8"/>
  <c r="E91" i="8"/>
  <c r="E90" i="8"/>
  <c r="A84" i="8"/>
  <c r="B84" i="8" s="1"/>
  <c r="C84" i="8"/>
  <c r="A85" i="8"/>
  <c r="B85" i="8" s="1"/>
  <c r="C85" i="8"/>
  <c r="A86" i="8"/>
  <c r="B86" i="8" s="1"/>
  <c r="C86" i="8"/>
  <c r="A87" i="8"/>
  <c r="B87" i="8" s="1"/>
  <c r="C87" i="8"/>
  <c r="A88" i="8"/>
  <c r="B88" i="8" s="1"/>
  <c r="C88" i="8"/>
  <c r="A89" i="8"/>
  <c r="B89" i="8" s="1"/>
  <c r="C89" i="8"/>
  <c r="A90" i="8"/>
  <c r="B90" i="8" s="1"/>
  <c r="C90" i="8"/>
  <c r="A91" i="8"/>
  <c r="B91" i="8" s="1"/>
  <c r="C91" i="8"/>
  <c r="A92" i="8"/>
  <c r="B92" i="8" s="1"/>
  <c r="C92" i="8"/>
  <c r="A93" i="8"/>
  <c r="B93" i="8" s="1"/>
  <c r="C93" i="8"/>
  <c r="A94" i="8"/>
  <c r="B94" i="8" s="1"/>
  <c r="C94" i="8"/>
  <c r="A95" i="8"/>
  <c r="B95" i="8" s="1"/>
  <c r="C95" i="8"/>
  <c r="G85" i="9"/>
  <c r="G86" i="9"/>
  <c r="G87" i="9"/>
  <c r="G88" i="9"/>
  <c r="G89" i="9"/>
  <c r="G90" i="9"/>
  <c r="G91" i="9"/>
  <c r="G92" i="9"/>
  <c r="G93" i="9"/>
  <c r="G94" i="9"/>
  <c r="G95" i="9"/>
  <c r="G96" i="9"/>
  <c r="E97" i="8"/>
  <c r="E96" i="8"/>
  <c r="E75" i="8"/>
  <c r="E58" i="8"/>
  <c r="A55" i="8"/>
  <c r="B55" i="8" s="1"/>
  <c r="C55" i="8"/>
  <c r="A56" i="8"/>
  <c r="B56" i="8" s="1"/>
  <c r="C56" i="8"/>
  <c r="A57" i="8"/>
  <c r="B57" i="8" s="1"/>
  <c r="C57" i="8"/>
  <c r="A58" i="8"/>
  <c r="B58" i="8" s="1"/>
  <c r="C58" i="8"/>
  <c r="A59" i="8"/>
  <c r="B59" i="8" s="1"/>
  <c r="C59" i="8"/>
  <c r="A60" i="8"/>
  <c r="B60" i="8" s="1"/>
  <c r="C60" i="8"/>
  <c r="A61" i="8"/>
  <c r="B61" i="8" s="1"/>
  <c r="C61" i="8"/>
  <c r="A62" i="8"/>
  <c r="B62" i="8" s="1"/>
  <c r="C62" i="8"/>
  <c r="A63" i="8"/>
  <c r="B63" i="8" s="1"/>
  <c r="C63" i="8"/>
  <c r="A64" i="8"/>
  <c r="B64" i="8" s="1"/>
  <c r="C64" i="8"/>
  <c r="A65" i="8"/>
  <c r="B65" i="8" s="1"/>
  <c r="C65" i="8"/>
  <c r="A66" i="8"/>
  <c r="B66" i="8" s="1"/>
  <c r="C66" i="8"/>
  <c r="A67" i="8"/>
  <c r="B67" i="8" s="1"/>
  <c r="C67" i="8"/>
  <c r="A68" i="8"/>
  <c r="B68" i="8" s="1"/>
  <c r="C68" i="8"/>
  <c r="A69" i="8"/>
  <c r="B69" i="8" s="1"/>
  <c r="C69" i="8"/>
  <c r="A70" i="8"/>
  <c r="B70" i="8" s="1"/>
  <c r="C70" i="8"/>
  <c r="A71" i="8"/>
  <c r="B71" i="8" s="1"/>
  <c r="C71" i="8"/>
  <c r="A72" i="8"/>
  <c r="B72" i="8" s="1"/>
  <c r="C72" i="8"/>
  <c r="A73" i="8"/>
  <c r="B73" i="8" s="1"/>
  <c r="C73" i="8"/>
  <c r="A74" i="8"/>
  <c r="B74" i="8" s="1"/>
  <c r="C74" i="8"/>
  <c r="A75" i="8"/>
  <c r="B75" i="8" s="1"/>
  <c r="C75" i="8"/>
  <c r="A76" i="8"/>
  <c r="B76" i="8" s="1"/>
  <c r="C76" i="8"/>
  <c r="A77" i="8"/>
  <c r="B77" i="8" s="1"/>
  <c r="C77" i="8"/>
  <c r="A78" i="8"/>
  <c r="B78" i="8" s="1"/>
  <c r="C78" i="8"/>
  <c r="A79" i="8"/>
  <c r="B79" i="8" s="1"/>
  <c r="C79" i="8"/>
  <c r="A80" i="8"/>
  <c r="B80" i="8" s="1"/>
  <c r="C80" i="8"/>
  <c r="A81" i="8"/>
  <c r="B81" i="8" s="1"/>
  <c r="C81" i="8"/>
  <c r="A82" i="8"/>
  <c r="B82" i="8" s="1"/>
  <c r="C82" i="8"/>
  <c r="A96" i="8"/>
  <c r="B96" i="8" s="1"/>
  <c r="C96" i="8"/>
  <c r="A97" i="8"/>
  <c r="B97" i="8" s="1"/>
  <c r="C97" i="8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97" i="9"/>
  <c r="A98" i="8"/>
  <c r="B98" i="8" s="1"/>
  <c r="C98" i="8"/>
  <c r="E51" i="8"/>
  <c r="E52" i="8"/>
  <c r="E48" i="8"/>
  <c r="E49" i="8"/>
  <c r="E50" i="8"/>
  <c r="E47" i="8"/>
  <c r="C51" i="8"/>
  <c r="A51" i="8"/>
  <c r="B51" i="8" s="1"/>
  <c r="C50" i="8"/>
  <c r="A50" i="8"/>
  <c r="B50" i="8" s="1"/>
  <c r="C49" i="8"/>
  <c r="A49" i="8"/>
  <c r="B49" i="8" s="1"/>
  <c r="C48" i="8"/>
  <c r="A48" i="8"/>
  <c r="B48" i="8" s="1"/>
  <c r="C47" i="8"/>
  <c r="A47" i="8"/>
  <c r="B47" i="8" s="1"/>
  <c r="A52" i="8"/>
  <c r="B52" i="8" s="1"/>
  <c r="C52" i="8"/>
  <c r="C457" i="8"/>
  <c r="C458" i="8"/>
  <c r="C461" i="8"/>
  <c r="C453" i="8"/>
  <c r="C336" i="8"/>
  <c r="C337" i="8"/>
  <c r="C338" i="8"/>
  <c r="C335" i="8"/>
  <c r="C334" i="8"/>
  <c r="C333" i="8"/>
  <c r="C329" i="8"/>
  <c r="C330" i="8"/>
  <c r="C331" i="8"/>
  <c r="C332" i="8"/>
  <c r="C328" i="8"/>
  <c r="E4" i="8" l="1"/>
  <c r="B110" i="4" s="1"/>
  <c r="B10" i="4"/>
  <c r="B14" i="4"/>
  <c r="B18" i="4"/>
  <c r="B22" i="4"/>
  <c r="B26" i="4"/>
  <c r="B30" i="4"/>
  <c r="B34" i="4"/>
  <c r="B38" i="4"/>
  <c r="B42" i="4"/>
  <c r="B46" i="4"/>
  <c r="B50" i="4"/>
  <c r="B54" i="4"/>
  <c r="B58" i="4"/>
  <c r="B62" i="4"/>
  <c r="B66" i="4"/>
  <c r="B70" i="4"/>
  <c r="B74" i="4"/>
  <c r="B78" i="4"/>
  <c r="B82" i="4"/>
  <c r="B86" i="4"/>
  <c r="B90" i="4"/>
  <c r="B94" i="4"/>
  <c r="B98" i="4"/>
  <c r="B102" i="4"/>
  <c r="B106" i="4"/>
  <c r="B114" i="4"/>
  <c r="B118" i="4"/>
  <c r="B122" i="4"/>
  <c r="B126" i="4"/>
  <c r="B130" i="4"/>
  <c r="B134" i="4"/>
  <c r="B138" i="4"/>
  <c r="B142" i="4"/>
  <c r="B146" i="4"/>
  <c r="B150" i="4"/>
  <c r="B154" i="4"/>
  <c r="B158" i="4"/>
  <c r="B162" i="4"/>
  <c r="B166" i="4"/>
  <c r="B170" i="4"/>
  <c r="B174" i="4"/>
  <c r="B178" i="4"/>
  <c r="B182" i="4"/>
  <c r="B186" i="4"/>
  <c r="B190" i="4"/>
  <c r="B194" i="4"/>
  <c r="B198" i="4"/>
  <c r="B202" i="4"/>
  <c r="B206" i="4"/>
  <c r="B210" i="4"/>
  <c r="B214" i="4"/>
  <c r="B218" i="4"/>
  <c r="B222" i="4"/>
  <c r="B226" i="4"/>
  <c r="B230" i="4"/>
  <c r="B234" i="4"/>
  <c r="B238" i="4"/>
  <c r="B242" i="4"/>
  <c r="B246" i="4"/>
  <c r="B250" i="4"/>
  <c r="B254" i="4"/>
  <c r="B8" i="4"/>
  <c r="B12" i="4"/>
  <c r="B16" i="4"/>
  <c r="B20" i="4"/>
  <c r="B24" i="4"/>
  <c r="B28" i="4"/>
  <c r="B32" i="4"/>
  <c r="B36" i="4"/>
  <c r="B40" i="4"/>
  <c r="B44" i="4"/>
  <c r="B48" i="4"/>
  <c r="B52" i="4"/>
  <c r="B56" i="4"/>
  <c r="B60" i="4"/>
  <c r="B64" i="4"/>
  <c r="B68" i="4"/>
  <c r="B72" i="4"/>
  <c r="B76" i="4"/>
  <c r="B80" i="4"/>
  <c r="B84" i="4"/>
  <c r="B88" i="4"/>
  <c r="B92" i="4"/>
  <c r="B96" i="4"/>
  <c r="B100" i="4"/>
  <c r="B104" i="4"/>
  <c r="B108" i="4"/>
  <c r="B112" i="4"/>
  <c r="B116" i="4"/>
  <c r="B120" i="4"/>
  <c r="B124" i="4"/>
  <c r="B128" i="4"/>
  <c r="B132" i="4"/>
  <c r="B136" i="4"/>
  <c r="B140" i="4"/>
  <c r="B144" i="4"/>
  <c r="B148" i="4"/>
  <c r="B152" i="4"/>
  <c r="B156" i="4"/>
  <c r="B160" i="4"/>
  <c r="B164" i="4"/>
  <c r="B168" i="4"/>
  <c r="B172" i="4"/>
  <c r="B176" i="4"/>
  <c r="B180" i="4"/>
  <c r="B184" i="4"/>
  <c r="B188" i="4"/>
  <c r="B192" i="4"/>
  <c r="B196" i="4"/>
  <c r="B200" i="4"/>
  <c r="B204" i="4"/>
  <c r="B208" i="4"/>
  <c r="B212" i="4"/>
  <c r="B216" i="4"/>
  <c r="B220" i="4"/>
  <c r="B224" i="4"/>
  <c r="B228" i="4"/>
  <c r="B232" i="4"/>
  <c r="B236" i="4"/>
  <c r="B240" i="4"/>
  <c r="B244" i="4"/>
  <c r="B248" i="4"/>
  <c r="B252" i="4"/>
  <c r="B256" i="4"/>
  <c r="B15" i="4"/>
  <c r="B23" i="4"/>
  <c r="B31" i="4"/>
  <c r="B39" i="4"/>
  <c r="B47" i="4"/>
  <c r="B55" i="4"/>
  <c r="B63" i="4"/>
  <c r="B71" i="4"/>
  <c r="B79" i="4"/>
  <c r="B87" i="4"/>
  <c r="B95" i="4"/>
  <c r="B103" i="4"/>
  <c r="B111" i="4"/>
  <c r="B119" i="4"/>
  <c r="B127" i="4"/>
  <c r="B135" i="4"/>
  <c r="B143" i="4"/>
  <c r="B151" i="4"/>
  <c r="B159" i="4"/>
  <c r="B167" i="4"/>
  <c r="B175" i="4"/>
  <c r="B183" i="4"/>
  <c r="B191" i="4"/>
  <c r="B199" i="4"/>
  <c r="B207" i="4"/>
  <c r="B215" i="4"/>
  <c r="B223" i="4"/>
  <c r="B231" i="4"/>
  <c r="B239" i="4"/>
  <c r="B247" i="4"/>
  <c r="B255" i="4"/>
  <c r="B9" i="4"/>
  <c r="B17" i="4"/>
  <c r="B25" i="4"/>
  <c r="B33" i="4"/>
  <c r="B41" i="4"/>
  <c r="B49" i="4"/>
  <c r="B57" i="4"/>
  <c r="B65" i="4"/>
  <c r="B73" i="4"/>
  <c r="B81" i="4"/>
  <c r="B89" i="4"/>
  <c r="B97" i="4"/>
  <c r="B105" i="4"/>
  <c r="B113" i="4"/>
  <c r="B121" i="4"/>
  <c r="B129" i="4"/>
  <c r="B137" i="4"/>
  <c r="B145" i="4"/>
  <c r="B153" i="4"/>
  <c r="B161" i="4"/>
  <c r="B169" i="4"/>
  <c r="B177" i="4"/>
  <c r="B185" i="4"/>
  <c r="B193" i="4"/>
  <c r="B201" i="4"/>
  <c r="B209" i="4"/>
  <c r="B217" i="4"/>
  <c r="B225" i="4"/>
  <c r="B233" i="4"/>
  <c r="B241" i="4"/>
  <c r="B249" i="4"/>
  <c r="B7" i="4"/>
  <c r="B11" i="4"/>
  <c r="B19" i="4"/>
  <c r="B27" i="4"/>
  <c r="B35" i="4"/>
  <c r="B43" i="4"/>
  <c r="B51" i="4"/>
  <c r="B59" i="4"/>
  <c r="B67" i="4"/>
  <c r="B75" i="4"/>
  <c r="B83" i="4"/>
  <c r="B91" i="4"/>
  <c r="B99" i="4"/>
  <c r="B107" i="4"/>
  <c r="B115" i="4"/>
  <c r="B123" i="4"/>
  <c r="B131" i="4"/>
  <c r="B139" i="4"/>
  <c r="B147" i="4"/>
  <c r="B155" i="4"/>
  <c r="B163" i="4"/>
  <c r="B171" i="4"/>
  <c r="B179" i="4"/>
  <c r="B187" i="4"/>
  <c r="B195" i="4"/>
  <c r="B203" i="4"/>
  <c r="B211" i="4"/>
  <c r="B219" i="4"/>
  <c r="B227" i="4"/>
  <c r="B235" i="4"/>
  <c r="B243" i="4"/>
  <c r="B251" i="4"/>
  <c r="B13" i="4"/>
  <c r="B21" i="4"/>
  <c r="B29" i="4"/>
  <c r="B37" i="4"/>
  <c r="B45" i="4"/>
  <c r="B53" i="4"/>
  <c r="B61" i="4"/>
  <c r="B69" i="4"/>
  <c r="B77" i="4"/>
  <c r="B85" i="4"/>
  <c r="B93" i="4"/>
  <c r="B101" i="4"/>
  <c r="B109" i="4"/>
  <c r="B117" i="4"/>
  <c r="B125" i="4"/>
  <c r="B133" i="4"/>
  <c r="B141" i="4"/>
  <c r="B149" i="4"/>
  <c r="B157" i="4"/>
  <c r="B165" i="4"/>
  <c r="B173" i="4"/>
  <c r="B181" i="4"/>
  <c r="B189" i="4"/>
  <c r="B197" i="4"/>
  <c r="B205" i="4"/>
  <c r="B213" i="4"/>
  <c r="B221" i="4"/>
  <c r="B229" i="4"/>
  <c r="B237" i="4"/>
  <c r="B245" i="4"/>
  <c r="B253" i="4"/>
  <c r="C344" i="8"/>
  <c r="C340" i="8"/>
  <c r="C341" i="8"/>
  <c r="C339" i="8"/>
  <c r="N4" i="8" l="1"/>
  <c r="A326" i="8"/>
  <c r="B326" i="8" s="1"/>
  <c r="C326" i="8"/>
  <c r="A327" i="8"/>
  <c r="B327" i="8" s="1"/>
  <c r="C327" i="8"/>
  <c r="C325" i="8"/>
  <c r="A325" i="8"/>
  <c r="B325" i="8" s="1"/>
  <c r="C323" i="8"/>
  <c r="C324" i="8"/>
  <c r="A324" i="8"/>
  <c r="B324" i="8" s="1"/>
  <c r="A323" i="8"/>
  <c r="B323" i="8" s="1"/>
  <c r="C104" i="8"/>
  <c r="C107" i="8"/>
  <c r="C188" i="8"/>
  <c r="C296" i="8"/>
  <c r="C322" i="8"/>
  <c r="A322" i="8"/>
  <c r="B322" i="8" s="1"/>
  <c r="A296" i="8"/>
  <c r="B296" i="8" s="1"/>
  <c r="A188" i="8"/>
  <c r="B188" i="8" s="1"/>
  <c r="A107" i="8"/>
  <c r="B107" i="8" s="1"/>
  <c r="A104" i="8"/>
  <c r="B104" i="8" s="1"/>
  <c r="C3" i="8"/>
  <c r="A3" i="8"/>
  <c r="B3" i="8" s="1"/>
  <c r="K325" i="9" l="1"/>
  <c r="K6" i="9"/>
  <c r="K10" i="9"/>
  <c r="K14" i="9"/>
  <c r="K18" i="9"/>
  <c r="K22" i="9"/>
  <c r="K26" i="9"/>
  <c r="K30" i="9"/>
  <c r="K34" i="9"/>
  <c r="K38" i="9"/>
  <c r="K42" i="9"/>
  <c r="K46" i="9"/>
  <c r="K50" i="9"/>
  <c r="K54" i="9"/>
  <c r="K58" i="9"/>
  <c r="K62" i="9"/>
  <c r="K66" i="9"/>
  <c r="K70" i="9"/>
  <c r="K74" i="9"/>
  <c r="K78" i="9"/>
  <c r="K82" i="9"/>
  <c r="K86" i="9"/>
  <c r="K90" i="9"/>
  <c r="K94" i="9"/>
  <c r="K98" i="9"/>
  <c r="K102" i="9"/>
  <c r="K106" i="9"/>
  <c r="K110" i="9"/>
  <c r="K114" i="9"/>
  <c r="K118" i="9"/>
  <c r="K122" i="9"/>
  <c r="K126" i="9"/>
  <c r="K130" i="9"/>
  <c r="K134" i="9"/>
  <c r="K138" i="9"/>
  <c r="K142" i="9"/>
  <c r="K146" i="9"/>
  <c r="K150" i="9"/>
  <c r="K154" i="9"/>
  <c r="K158" i="9"/>
  <c r="K162" i="9"/>
  <c r="K166" i="9"/>
  <c r="K170" i="9"/>
  <c r="K174" i="9"/>
  <c r="K178" i="9"/>
  <c r="K182" i="9"/>
  <c r="K186" i="9"/>
  <c r="K190" i="9"/>
  <c r="K194" i="9"/>
  <c r="K198" i="9"/>
  <c r="K202" i="9"/>
  <c r="K206" i="9"/>
  <c r="K210" i="9"/>
  <c r="K214" i="9"/>
  <c r="K218" i="9"/>
  <c r="K222" i="9"/>
  <c r="K226" i="9"/>
  <c r="K230" i="9"/>
  <c r="K234" i="9"/>
  <c r="K238" i="9"/>
  <c r="K242" i="9"/>
  <c r="K246" i="9"/>
  <c r="K250" i="9"/>
  <c r="K254" i="9"/>
  <c r="K258" i="9"/>
  <c r="K262" i="9"/>
  <c r="K266" i="9"/>
  <c r="K270" i="9"/>
  <c r="K274" i="9"/>
  <c r="K278" i="9"/>
  <c r="K282" i="9"/>
  <c r="K286" i="9"/>
  <c r="K290" i="9"/>
  <c r="K294" i="9"/>
  <c r="K3" i="9"/>
  <c r="K7" i="9"/>
  <c r="K11" i="9"/>
  <c r="K15" i="9"/>
  <c r="K19" i="9"/>
  <c r="K23" i="9"/>
  <c r="K27" i="9"/>
  <c r="K31" i="9"/>
  <c r="K35" i="9"/>
  <c r="K39" i="9"/>
  <c r="K43" i="9"/>
  <c r="K47" i="9"/>
  <c r="K51" i="9"/>
  <c r="K55" i="9"/>
  <c r="K59" i="9"/>
  <c r="K63" i="9"/>
  <c r="K67" i="9"/>
  <c r="K71" i="9"/>
  <c r="K75" i="9"/>
  <c r="K79" i="9"/>
  <c r="K83" i="9"/>
  <c r="K87" i="9"/>
  <c r="K91" i="9"/>
  <c r="K95" i="9"/>
  <c r="K99" i="9"/>
  <c r="K103" i="9"/>
  <c r="K107" i="9"/>
  <c r="K111" i="9"/>
  <c r="K115" i="9"/>
  <c r="K119" i="9"/>
  <c r="K123" i="9"/>
  <c r="K127" i="9"/>
  <c r="K131" i="9"/>
  <c r="K135" i="9"/>
  <c r="K139" i="9"/>
  <c r="K143" i="9"/>
  <c r="K147" i="9"/>
  <c r="K151" i="9"/>
  <c r="K155" i="9"/>
  <c r="K159" i="9"/>
  <c r="K163" i="9"/>
  <c r="K167" i="9"/>
  <c r="K171" i="9"/>
  <c r="K175" i="9"/>
  <c r="K179" i="9"/>
  <c r="K183" i="9"/>
  <c r="K187" i="9"/>
  <c r="K191" i="9"/>
  <c r="K195" i="9"/>
  <c r="K199" i="9"/>
  <c r="K203" i="9"/>
  <c r="K207" i="9"/>
  <c r="K211" i="9"/>
  <c r="K215" i="9"/>
  <c r="K219" i="9"/>
  <c r="K223" i="9"/>
  <c r="K227" i="9"/>
  <c r="K231" i="9"/>
  <c r="K235" i="9"/>
  <c r="K239" i="9"/>
  <c r="K243" i="9"/>
  <c r="K247" i="9"/>
  <c r="K251" i="9"/>
  <c r="K255" i="9"/>
  <c r="K259" i="9"/>
  <c r="K263" i="9"/>
  <c r="K267" i="9"/>
  <c r="K271" i="9"/>
  <c r="K275" i="9"/>
  <c r="K279" i="9"/>
  <c r="K283" i="9"/>
  <c r="K287" i="9"/>
  <c r="K291" i="9"/>
  <c r="K295" i="9"/>
  <c r="K299" i="9"/>
  <c r="K303" i="9"/>
  <c r="K307" i="9"/>
  <c r="K311" i="9"/>
  <c r="K315" i="9"/>
  <c r="K319" i="9"/>
  <c r="K323" i="9"/>
  <c r="K327" i="9"/>
  <c r="K331" i="9"/>
  <c r="K335" i="9"/>
  <c r="K339" i="9"/>
  <c r="K4" i="9"/>
  <c r="K8" i="9"/>
  <c r="K12" i="9"/>
  <c r="K16" i="9"/>
  <c r="K20" i="9"/>
  <c r="K24" i="9"/>
  <c r="K28" i="9"/>
  <c r="K32" i="9"/>
  <c r="K36" i="9"/>
  <c r="K40" i="9"/>
  <c r="K44" i="9"/>
  <c r="K48" i="9"/>
  <c r="K52" i="9"/>
  <c r="K56" i="9"/>
  <c r="K60" i="9"/>
  <c r="K64" i="9"/>
  <c r="K68" i="9"/>
  <c r="K72" i="9"/>
  <c r="K76" i="9"/>
  <c r="K80" i="9"/>
  <c r="K84" i="9"/>
  <c r="K88" i="9"/>
  <c r="K92" i="9"/>
  <c r="K96" i="9"/>
  <c r="K100" i="9"/>
  <c r="K104" i="9"/>
  <c r="K108" i="9"/>
  <c r="K112" i="9"/>
  <c r="K116" i="9"/>
  <c r="K120" i="9"/>
  <c r="K124" i="9"/>
  <c r="K128" i="9"/>
  <c r="K132" i="9"/>
  <c r="K136" i="9"/>
  <c r="K140" i="9"/>
  <c r="K144" i="9"/>
  <c r="K148" i="9"/>
  <c r="K152" i="9"/>
  <c r="K156" i="9"/>
  <c r="K160" i="9"/>
  <c r="K164" i="9"/>
  <c r="K168" i="9"/>
  <c r="K172" i="9"/>
  <c r="K176" i="9"/>
  <c r="K180" i="9"/>
  <c r="K184" i="9"/>
  <c r="K188" i="9"/>
  <c r="K192" i="9"/>
  <c r="K196" i="9"/>
  <c r="K200" i="9"/>
  <c r="K204" i="9"/>
  <c r="K208" i="9"/>
  <c r="K212" i="9"/>
  <c r="K216" i="9"/>
  <c r="K220" i="9"/>
  <c r="K224" i="9"/>
  <c r="K228" i="9"/>
  <c r="K232" i="9"/>
  <c r="K236" i="9"/>
  <c r="K240" i="9"/>
  <c r="K244" i="9"/>
  <c r="K248" i="9"/>
  <c r="K252" i="9"/>
  <c r="K256" i="9"/>
  <c r="K260" i="9"/>
  <c r="K264" i="9"/>
  <c r="K268" i="9"/>
  <c r="K272" i="9"/>
  <c r="K276" i="9"/>
  <c r="K280" i="9"/>
  <c r="K284" i="9"/>
  <c r="K288" i="9"/>
  <c r="K292" i="9"/>
  <c r="K296" i="9"/>
  <c r="K300" i="9"/>
  <c r="K304" i="9"/>
  <c r="K308" i="9"/>
  <c r="K312" i="9"/>
  <c r="K316" i="9"/>
  <c r="K320" i="9"/>
  <c r="K324" i="9"/>
  <c r="K328" i="9"/>
  <c r="K332" i="9"/>
  <c r="K336" i="9"/>
  <c r="K340" i="9"/>
  <c r="K17" i="9"/>
  <c r="K33" i="9"/>
  <c r="K49" i="9"/>
  <c r="K65" i="9"/>
  <c r="K81" i="9"/>
  <c r="K97" i="9"/>
  <c r="K113" i="9"/>
  <c r="K129" i="9"/>
  <c r="K145" i="9"/>
  <c r="K161" i="9"/>
  <c r="K177" i="9"/>
  <c r="K193" i="9"/>
  <c r="K209" i="9"/>
  <c r="K225" i="9"/>
  <c r="K241" i="9"/>
  <c r="K257" i="9"/>
  <c r="K273" i="9"/>
  <c r="K289" i="9"/>
  <c r="K301" i="9"/>
  <c r="K309" i="9"/>
  <c r="K317" i="9"/>
  <c r="K333" i="9"/>
  <c r="K341" i="9"/>
  <c r="K345" i="9"/>
  <c r="K349" i="9"/>
  <c r="K353" i="9"/>
  <c r="K357" i="9"/>
  <c r="K361" i="9"/>
  <c r="K365" i="9"/>
  <c r="K369" i="9"/>
  <c r="K373" i="9"/>
  <c r="K377" i="9"/>
  <c r="K381" i="9"/>
  <c r="K385" i="9"/>
  <c r="K389" i="9"/>
  <c r="K393" i="9"/>
  <c r="K397" i="9"/>
  <c r="K401" i="9"/>
  <c r="K405" i="9"/>
  <c r="K409" i="9"/>
  <c r="K413" i="9"/>
  <c r="K417" i="9"/>
  <c r="K421" i="9"/>
  <c r="K425" i="9"/>
  <c r="K429" i="9"/>
  <c r="K433" i="9"/>
  <c r="K437" i="9"/>
  <c r="K441" i="9"/>
  <c r="K445" i="9"/>
  <c r="K449" i="9"/>
  <c r="K453" i="9"/>
  <c r="K457" i="9"/>
  <c r="K461" i="9"/>
  <c r="K465" i="9"/>
  <c r="K469" i="9"/>
  <c r="K473" i="9"/>
  <c r="K477" i="9"/>
  <c r="K481" i="9"/>
  <c r="K485" i="9"/>
  <c r="K489" i="9"/>
  <c r="K493" i="9"/>
  <c r="K497" i="9"/>
  <c r="K501" i="9"/>
  <c r="K505" i="9"/>
  <c r="K509" i="9"/>
  <c r="K513" i="9"/>
  <c r="K517" i="9"/>
  <c r="K521" i="9"/>
  <c r="K525" i="9"/>
  <c r="K529" i="9"/>
  <c r="K533" i="9"/>
  <c r="K537" i="9"/>
  <c r="K541" i="9"/>
  <c r="K545" i="9"/>
  <c r="K549" i="9"/>
  <c r="K553" i="9"/>
  <c r="K557" i="9"/>
  <c r="K561" i="9"/>
  <c r="K565" i="9"/>
  <c r="K569" i="9"/>
  <c r="K573" i="9"/>
  <c r="K577" i="9"/>
  <c r="K581" i="9"/>
  <c r="K585" i="9"/>
  <c r="K5" i="9"/>
  <c r="K21" i="9"/>
  <c r="K37" i="9"/>
  <c r="K53" i="9"/>
  <c r="K69" i="9"/>
  <c r="K85" i="9"/>
  <c r="K101" i="9"/>
  <c r="K117" i="9"/>
  <c r="K133" i="9"/>
  <c r="K149" i="9"/>
  <c r="K165" i="9"/>
  <c r="K181" i="9"/>
  <c r="K197" i="9"/>
  <c r="K213" i="9"/>
  <c r="K229" i="9"/>
  <c r="K245" i="9"/>
  <c r="K261" i="9"/>
  <c r="K277" i="9"/>
  <c r="K293" i="9"/>
  <c r="K302" i="9"/>
  <c r="K310" i="9"/>
  <c r="K318" i="9"/>
  <c r="K326" i="9"/>
  <c r="K334" i="9"/>
  <c r="K342" i="9"/>
  <c r="K346" i="9"/>
  <c r="K350" i="9"/>
  <c r="K354" i="9"/>
  <c r="K358" i="9"/>
  <c r="K362" i="9"/>
  <c r="K366" i="9"/>
  <c r="K370" i="9"/>
  <c r="K374" i="9"/>
  <c r="K378" i="9"/>
  <c r="K382" i="9"/>
  <c r="K386" i="9"/>
  <c r="K390" i="9"/>
  <c r="K394" i="9"/>
  <c r="K398" i="9"/>
  <c r="K402" i="9"/>
  <c r="K406" i="9"/>
  <c r="K410" i="9"/>
  <c r="K414" i="9"/>
  <c r="K418" i="9"/>
  <c r="K422" i="9"/>
  <c r="K426" i="9"/>
  <c r="K430" i="9"/>
  <c r="K434" i="9"/>
  <c r="K438" i="9"/>
  <c r="K442" i="9"/>
  <c r="K446" i="9"/>
  <c r="K450" i="9"/>
  <c r="K454" i="9"/>
  <c r="K458" i="9"/>
  <c r="K462" i="9"/>
  <c r="K466" i="9"/>
  <c r="K470" i="9"/>
  <c r="K474" i="9"/>
  <c r="K478" i="9"/>
  <c r="K482" i="9"/>
  <c r="K486" i="9"/>
  <c r="K490" i="9"/>
  <c r="K494" i="9"/>
  <c r="K498" i="9"/>
  <c r="K502" i="9"/>
  <c r="K506" i="9"/>
  <c r="K510" i="9"/>
  <c r="K514" i="9"/>
  <c r="K518" i="9"/>
  <c r="K522" i="9"/>
  <c r="K526" i="9"/>
  <c r="K530" i="9"/>
  <c r="K534" i="9"/>
  <c r="K538" i="9"/>
  <c r="K542" i="9"/>
  <c r="K546" i="9"/>
  <c r="K550" i="9"/>
  <c r="K554" i="9"/>
  <c r="K558" i="9"/>
  <c r="K562" i="9"/>
  <c r="K566" i="9"/>
  <c r="K9" i="9"/>
  <c r="K25" i="9"/>
  <c r="K41" i="9"/>
  <c r="K57" i="9"/>
  <c r="K73" i="9"/>
  <c r="K89" i="9"/>
  <c r="K105" i="9"/>
  <c r="K121" i="9"/>
  <c r="K137" i="9"/>
  <c r="K153" i="9"/>
  <c r="K169" i="9"/>
  <c r="K185" i="9"/>
  <c r="K201" i="9"/>
  <c r="K217" i="9"/>
  <c r="K233" i="9"/>
  <c r="K249" i="9"/>
  <c r="K265" i="9"/>
  <c r="K281" i="9"/>
  <c r="K297" i="9"/>
  <c r="K305" i="9"/>
  <c r="K313" i="9"/>
  <c r="K321" i="9"/>
  <c r="K329" i="9"/>
  <c r="K337" i="9"/>
  <c r="K343" i="9"/>
  <c r="K347" i="9"/>
  <c r="K351" i="9"/>
  <c r="K355" i="9"/>
  <c r="K359" i="9"/>
  <c r="K363" i="9"/>
  <c r="K367" i="9"/>
  <c r="K371" i="9"/>
  <c r="K375" i="9"/>
  <c r="K379" i="9"/>
  <c r="K383" i="9"/>
  <c r="K387" i="9"/>
  <c r="K391" i="9"/>
  <c r="K395" i="9"/>
  <c r="K399" i="9"/>
  <c r="K403" i="9"/>
  <c r="K407" i="9"/>
  <c r="K411" i="9"/>
  <c r="K415" i="9"/>
  <c r="K419" i="9"/>
  <c r="K423" i="9"/>
  <c r="K427" i="9"/>
  <c r="K431" i="9"/>
  <c r="K435" i="9"/>
  <c r="K439" i="9"/>
  <c r="K443" i="9"/>
  <c r="K447" i="9"/>
  <c r="K451" i="9"/>
  <c r="K455" i="9"/>
  <c r="K459" i="9"/>
  <c r="K463" i="9"/>
  <c r="K467" i="9"/>
  <c r="K471" i="9"/>
  <c r="K475" i="9"/>
  <c r="K479" i="9"/>
  <c r="K483" i="9"/>
  <c r="K487" i="9"/>
  <c r="K491" i="9"/>
  <c r="K495" i="9"/>
  <c r="K499" i="9"/>
  <c r="K503" i="9"/>
  <c r="K507" i="9"/>
  <c r="K511" i="9"/>
  <c r="K515" i="9"/>
  <c r="K519" i="9"/>
  <c r="K523" i="9"/>
  <c r="K527" i="9"/>
  <c r="K531" i="9"/>
  <c r="K535" i="9"/>
  <c r="K539" i="9"/>
  <c r="K543" i="9"/>
  <c r="K547" i="9"/>
  <c r="K551" i="9"/>
  <c r="K555" i="9"/>
  <c r="K559" i="9"/>
  <c r="K563" i="9"/>
  <c r="K567" i="9"/>
  <c r="K571" i="9"/>
  <c r="K575" i="9"/>
  <c r="K579" i="9"/>
  <c r="K583" i="9"/>
  <c r="K61" i="9"/>
  <c r="K125" i="9"/>
  <c r="K189" i="9"/>
  <c r="K253" i="9"/>
  <c r="K306" i="9"/>
  <c r="K338" i="9"/>
  <c r="K356" i="9"/>
  <c r="K372" i="9"/>
  <c r="K388" i="9"/>
  <c r="K404" i="9"/>
  <c r="K420" i="9"/>
  <c r="K436" i="9"/>
  <c r="K452" i="9"/>
  <c r="K468" i="9"/>
  <c r="K484" i="9"/>
  <c r="K500" i="9"/>
  <c r="K516" i="9"/>
  <c r="K532" i="9"/>
  <c r="K548" i="9"/>
  <c r="K564" i="9"/>
  <c r="K574" i="9"/>
  <c r="K582" i="9"/>
  <c r="K588" i="9"/>
  <c r="K592" i="9"/>
  <c r="K596" i="9"/>
  <c r="K600" i="9"/>
  <c r="K604" i="9"/>
  <c r="K622" i="9"/>
  <c r="K626" i="9"/>
  <c r="K630" i="9"/>
  <c r="K634" i="9"/>
  <c r="K638" i="9"/>
  <c r="K642" i="9"/>
  <c r="K646" i="9"/>
  <c r="K650" i="9"/>
  <c r="K654" i="9"/>
  <c r="K658" i="9"/>
  <c r="K662" i="9"/>
  <c r="K666" i="9"/>
  <c r="K670" i="9"/>
  <c r="K674" i="9"/>
  <c r="K678" i="9"/>
  <c r="K682" i="9"/>
  <c r="K686" i="9"/>
  <c r="K690" i="9"/>
  <c r="K694" i="9"/>
  <c r="K698" i="9"/>
  <c r="K702" i="9"/>
  <c r="K683" i="9"/>
  <c r="K691" i="9"/>
  <c r="K695" i="9"/>
  <c r="K703" i="9"/>
  <c r="L703" i="9" s="1"/>
  <c r="M703" i="9" s="1"/>
  <c r="K237" i="9"/>
  <c r="K368" i="9"/>
  <c r="K400" i="9"/>
  <c r="K448" i="9"/>
  <c r="K496" i="9"/>
  <c r="K544" i="9"/>
  <c r="K572" i="9"/>
  <c r="K595" i="9"/>
  <c r="K621" i="9"/>
  <c r="K625" i="9"/>
  <c r="K641" i="9"/>
  <c r="K649" i="9"/>
  <c r="K665" i="9"/>
  <c r="K681" i="9"/>
  <c r="K685" i="9"/>
  <c r="K697" i="9"/>
  <c r="K13" i="9"/>
  <c r="K77" i="9"/>
  <c r="K141" i="9"/>
  <c r="K205" i="9"/>
  <c r="K269" i="9"/>
  <c r="K314" i="9"/>
  <c r="K344" i="9"/>
  <c r="K360" i="9"/>
  <c r="K376" i="9"/>
  <c r="K392" i="9"/>
  <c r="K408" i="9"/>
  <c r="K424" i="9"/>
  <c r="K440" i="9"/>
  <c r="K456" i="9"/>
  <c r="K472" i="9"/>
  <c r="K488" i="9"/>
  <c r="K504" i="9"/>
  <c r="K520" i="9"/>
  <c r="K536" i="9"/>
  <c r="K552" i="9"/>
  <c r="K568" i="9"/>
  <c r="K576" i="9"/>
  <c r="K584" i="9"/>
  <c r="K589" i="9"/>
  <c r="K593" i="9"/>
  <c r="K597" i="9"/>
  <c r="K601" i="9"/>
  <c r="K619" i="9"/>
  <c r="K623" i="9"/>
  <c r="K627" i="9"/>
  <c r="K631" i="9"/>
  <c r="K635" i="9"/>
  <c r="K639" i="9"/>
  <c r="K643" i="9"/>
  <c r="K647" i="9"/>
  <c r="K651" i="9"/>
  <c r="K655" i="9"/>
  <c r="K659" i="9"/>
  <c r="K663" i="9"/>
  <c r="K667" i="9"/>
  <c r="K671" i="9"/>
  <c r="K675" i="9"/>
  <c r="K679" i="9"/>
  <c r="K687" i="9"/>
  <c r="K699" i="9"/>
  <c r="K173" i="9"/>
  <c r="K352" i="9"/>
  <c r="K416" i="9"/>
  <c r="K464" i="9"/>
  <c r="K512" i="9"/>
  <c r="K560" i="9"/>
  <c r="K587" i="9"/>
  <c r="K599" i="9"/>
  <c r="K633" i="9"/>
  <c r="K645" i="9"/>
  <c r="K657" i="9"/>
  <c r="K669" i="9"/>
  <c r="K673" i="9"/>
  <c r="K689" i="9"/>
  <c r="K701" i="9"/>
  <c r="K29" i="9"/>
  <c r="K93" i="9"/>
  <c r="K157" i="9"/>
  <c r="K221" i="9"/>
  <c r="K285" i="9"/>
  <c r="K322" i="9"/>
  <c r="K348" i="9"/>
  <c r="K364" i="9"/>
  <c r="K380" i="9"/>
  <c r="K396" i="9"/>
  <c r="K412" i="9"/>
  <c r="K428" i="9"/>
  <c r="K444" i="9"/>
  <c r="K460" i="9"/>
  <c r="K476" i="9"/>
  <c r="K492" i="9"/>
  <c r="K508" i="9"/>
  <c r="K524" i="9"/>
  <c r="K540" i="9"/>
  <c r="K556" i="9"/>
  <c r="K570" i="9"/>
  <c r="K578" i="9"/>
  <c r="K586" i="9"/>
  <c r="K590" i="9"/>
  <c r="K594" i="9"/>
  <c r="K598" i="9"/>
  <c r="K602" i="9"/>
  <c r="K620" i="9"/>
  <c r="K624" i="9"/>
  <c r="K628" i="9"/>
  <c r="K632" i="9"/>
  <c r="K636" i="9"/>
  <c r="K640" i="9"/>
  <c r="K644" i="9"/>
  <c r="K648" i="9"/>
  <c r="K652" i="9"/>
  <c r="K656" i="9"/>
  <c r="K660" i="9"/>
  <c r="K664" i="9"/>
  <c r="K668" i="9"/>
  <c r="K672" i="9"/>
  <c r="K676" i="9"/>
  <c r="K680" i="9"/>
  <c r="K684" i="9"/>
  <c r="K688" i="9"/>
  <c r="K692" i="9"/>
  <c r="K696" i="9"/>
  <c r="K700" i="9"/>
  <c r="K704" i="9"/>
  <c r="K45" i="9"/>
  <c r="K109" i="9"/>
  <c r="K298" i="9"/>
  <c r="K330" i="9"/>
  <c r="K384" i="9"/>
  <c r="K432" i="9"/>
  <c r="K480" i="9"/>
  <c r="K528" i="9"/>
  <c r="K580" i="9"/>
  <c r="K591" i="9"/>
  <c r="K603" i="9"/>
  <c r="K629" i="9"/>
  <c r="K637" i="9"/>
  <c r="K653" i="9"/>
  <c r="K661" i="9"/>
  <c r="K677" i="9"/>
  <c r="K693" i="9"/>
  <c r="K2" i="9"/>
  <c r="G703" i="9"/>
  <c r="G702" i="9"/>
  <c r="G701" i="9"/>
  <c r="G700" i="9"/>
  <c r="G699" i="9"/>
  <c r="G698" i="9"/>
  <c r="G697" i="9"/>
  <c r="G696" i="9"/>
  <c r="G695" i="9"/>
  <c r="G694" i="9"/>
  <c r="G693" i="9"/>
  <c r="G692" i="9"/>
  <c r="G691" i="9"/>
  <c r="G690" i="9"/>
  <c r="G689" i="9"/>
  <c r="G688" i="9"/>
  <c r="G687" i="9"/>
  <c r="G686" i="9"/>
  <c r="G685" i="9"/>
  <c r="G684" i="9"/>
  <c r="G683" i="9"/>
  <c r="G682" i="9"/>
  <c r="G681" i="9"/>
  <c r="G680" i="9"/>
  <c r="G679" i="9"/>
  <c r="G678" i="9"/>
  <c r="G677" i="9"/>
  <c r="G676" i="9"/>
  <c r="G675" i="9"/>
  <c r="G674" i="9"/>
  <c r="G673" i="9"/>
  <c r="G672" i="9"/>
  <c r="G659" i="9"/>
  <c r="G658" i="9"/>
  <c r="G657" i="9"/>
  <c r="G656" i="9"/>
  <c r="G655" i="9"/>
  <c r="G654" i="9"/>
  <c r="G653" i="9"/>
  <c r="G652" i="9"/>
  <c r="G651" i="9"/>
  <c r="G650" i="9"/>
  <c r="G649" i="9"/>
  <c r="G648" i="9"/>
  <c r="G647" i="9"/>
  <c r="G646" i="9"/>
  <c r="G645" i="9"/>
  <c r="G644" i="9"/>
  <c r="G643" i="9"/>
  <c r="G642" i="9"/>
  <c r="G641" i="9"/>
  <c r="G640" i="9"/>
  <c r="G639" i="9"/>
  <c r="G638" i="9"/>
  <c r="G637" i="9"/>
  <c r="G636" i="9"/>
  <c r="G635" i="9"/>
  <c r="G634" i="9"/>
  <c r="G633" i="9"/>
  <c r="G632" i="9"/>
  <c r="G631" i="9"/>
  <c r="G630" i="9"/>
  <c r="G629" i="9"/>
  <c r="G628" i="9"/>
  <c r="G627" i="9"/>
  <c r="G626" i="9"/>
  <c r="G625" i="9"/>
  <c r="G624" i="9"/>
  <c r="G623" i="9"/>
  <c r="G622" i="9"/>
  <c r="G621" i="9"/>
  <c r="G620" i="9"/>
  <c r="G619" i="9"/>
  <c r="G604" i="9"/>
  <c r="G603" i="9"/>
  <c r="G602" i="9"/>
  <c r="G601" i="9"/>
  <c r="G600" i="9"/>
  <c r="G599" i="9"/>
  <c r="G598" i="9"/>
  <c r="G597" i="9"/>
  <c r="G596" i="9"/>
  <c r="G595" i="9"/>
  <c r="G594" i="9"/>
  <c r="G593" i="9"/>
  <c r="G592" i="9"/>
  <c r="G591" i="9"/>
  <c r="G590" i="9"/>
  <c r="G589" i="9"/>
  <c r="G588" i="9"/>
  <c r="G587" i="9"/>
  <c r="G586" i="9"/>
  <c r="G585" i="9"/>
  <c r="G584" i="9"/>
  <c r="G583" i="9"/>
  <c r="G582" i="9"/>
  <c r="G581" i="9"/>
  <c r="G580" i="9"/>
  <c r="G579" i="9"/>
  <c r="G578" i="9"/>
  <c r="G577" i="9"/>
  <c r="G576" i="9"/>
  <c r="G575" i="9"/>
  <c r="G574" i="9"/>
  <c r="G573" i="9"/>
  <c r="G572" i="9"/>
  <c r="G571" i="9"/>
  <c r="G570" i="9"/>
  <c r="G569" i="9"/>
  <c r="G568" i="9"/>
  <c r="G567" i="9"/>
  <c r="G566" i="9"/>
  <c r="G565" i="9"/>
  <c r="G564" i="9"/>
  <c r="G563" i="9"/>
  <c r="G562" i="9"/>
  <c r="G561" i="9"/>
  <c r="G560" i="9"/>
  <c r="G559" i="9"/>
  <c r="G558" i="9"/>
  <c r="G557" i="9"/>
  <c r="G556" i="9"/>
  <c r="G555" i="9"/>
  <c r="G554" i="9"/>
  <c r="G553" i="9"/>
  <c r="G501" i="9"/>
  <c r="G461" i="9"/>
  <c r="G460" i="9"/>
  <c r="G459" i="9"/>
  <c r="G458" i="9"/>
  <c r="G457" i="9"/>
  <c r="G456" i="9"/>
  <c r="G455" i="9"/>
  <c r="G454" i="9"/>
  <c r="G453" i="9"/>
  <c r="G452" i="9"/>
  <c r="G451" i="9"/>
  <c r="G450" i="9"/>
  <c r="G449" i="9"/>
  <c r="G448" i="9"/>
  <c r="G447" i="9"/>
  <c r="G446" i="9"/>
  <c r="G445" i="9"/>
  <c r="G444" i="9"/>
  <c r="G443" i="9"/>
  <c r="G442" i="9"/>
  <c r="G441" i="9"/>
  <c r="G440" i="9"/>
  <c r="G439" i="9"/>
  <c r="G438" i="9"/>
  <c r="G437" i="9"/>
  <c r="G436" i="9"/>
  <c r="G435" i="9"/>
  <c r="G434" i="9"/>
  <c r="G433" i="9"/>
  <c r="G432" i="9"/>
  <c r="G431" i="9"/>
  <c r="G430" i="9"/>
  <c r="G429" i="9"/>
  <c r="G428" i="9"/>
  <c r="G427" i="9"/>
  <c r="G426" i="9"/>
  <c r="G425" i="9"/>
  <c r="G424" i="9"/>
  <c r="G423" i="9"/>
  <c r="G422" i="9"/>
  <c r="G421" i="9"/>
  <c r="G420" i="9"/>
  <c r="G419" i="9"/>
  <c r="G418" i="9"/>
  <c r="G417" i="9"/>
  <c r="G416" i="9"/>
  <c r="G415" i="9"/>
  <c r="G414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400" i="9"/>
  <c r="G399" i="9"/>
  <c r="G398" i="9"/>
  <c r="G397" i="9"/>
  <c r="G396" i="9"/>
  <c r="G395" i="9"/>
  <c r="G394" i="9"/>
  <c r="G393" i="9"/>
  <c r="G392" i="9"/>
  <c r="G391" i="9"/>
  <c r="G390" i="9"/>
  <c r="G389" i="9"/>
  <c r="G388" i="9"/>
  <c r="G387" i="9"/>
  <c r="G386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1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6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40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3" i="9"/>
  <c r="G301" i="9"/>
  <c r="G300" i="9"/>
  <c r="G299" i="9"/>
  <c r="G298" i="9"/>
  <c r="G297" i="9"/>
  <c r="G262" i="9"/>
  <c r="G246" i="9"/>
  <c r="G237" i="9"/>
  <c r="G190" i="9"/>
  <c r="G189" i="9"/>
  <c r="G188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55" i="9"/>
  <c r="G54" i="9"/>
  <c r="G53" i="9"/>
  <c r="G52" i="9"/>
  <c r="G51" i="9"/>
  <c r="G50" i="9"/>
  <c r="G49" i="9"/>
  <c r="G48" i="9"/>
  <c r="G47" i="9"/>
  <c r="G24" i="9"/>
  <c r="G23" i="9"/>
  <c r="G22" i="9"/>
  <c r="G7" i="9"/>
  <c r="G6" i="9"/>
  <c r="G5" i="9"/>
  <c r="G4" i="9"/>
  <c r="G3" i="9"/>
  <c r="G2" i="9"/>
  <c r="L702" i="9" l="1"/>
  <c r="N703" i="9"/>
  <c r="O703" i="9" s="1"/>
  <c r="IO145" i="4"/>
  <c r="IN145" i="4"/>
  <c r="IM145" i="4"/>
  <c r="IL145" i="4"/>
  <c r="IK145" i="4"/>
  <c r="IJ145" i="4"/>
  <c r="II145" i="4"/>
  <c r="IH145" i="4"/>
  <c r="IG145" i="4"/>
  <c r="IF145" i="4"/>
  <c r="IE145" i="4"/>
  <c r="ID145" i="4"/>
  <c r="IC145" i="4"/>
  <c r="IB145" i="4"/>
  <c r="IA145" i="4"/>
  <c r="HZ145" i="4"/>
  <c r="HY145" i="4"/>
  <c r="HX145" i="4"/>
  <c r="HW145" i="4"/>
  <c r="HV145" i="4"/>
  <c r="HU145" i="4"/>
  <c r="HT145" i="4"/>
  <c r="HS145" i="4"/>
  <c r="HR145" i="4"/>
  <c r="HQ145" i="4"/>
  <c r="HP145" i="4"/>
  <c r="HO145" i="4"/>
  <c r="HN145" i="4"/>
  <c r="HM145" i="4"/>
  <c r="HL145" i="4"/>
  <c r="HK145" i="4"/>
  <c r="HJ145" i="4"/>
  <c r="HI145" i="4"/>
  <c r="HH145" i="4"/>
  <c r="HG145" i="4"/>
  <c r="HF145" i="4"/>
  <c r="HE145" i="4"/>
  <c r="HD145" i="4"/>
  <c r="HC145" i="4"/>
  <c r="HB145" i="4"/>
  <c r="HA145" i="4"/>
  <c r="GZ145" i="4"/>
  <c r="GY145" i="4"/>
  <c r="GX145" i="4"/>
  <c r="GW145" i="4"/>
  <c r="GV145" i="4"/>
  <c r="GU145" i="4"/>
  <c r="GT145" i="4"/>
  <c r="GS145" i="4"/>
  <c r="GR145" i="4"/>
  <c r="GQ145" i="4"/>
  <c r="GP145" i="4"/>
  <c r="GO145" i="4"/>
  <c r="GN145" i="4"/>
  <c r="GM145" i="4"/>
  <c r="GL145" i="4"/>
  <c r="GK145" i="4"/>
  <c r="GJ145" i="4"/>
  <c r="GI145" i="4"/>
  <c r="GH145" i="4"/>
  <c r="GG145" i="4"/>
  <c r="GF145" i="4"/>
  <c r="GE145" i="4"/>
  <c r="GD145" i="4"/>
  <c r="GC145" i="4"/>
  <c r="GB145" i="4"/>
  <c r="GA145" i="4"/>
  <c r="FZ145" i="4"/>
  <c r="FY145" i="4"/>
  <c r="FX145" i="4"/>
  <c r="FW145" i="4"/>
  <c r="FV145" i="4"/>
  <c r="FU145" i="4"/>
  <c r="FT145" i="4"/>
  <c r="FS145" i="4"/>
  <c r="FR145" i="4"/>
  <c r="FQ145" i="4"/>
  <c r="FP145" i="4"/>
  <c r="FO145" i="4"/>
  <c r="FN145" i="4"/>
  <c r="FM145" i="4"/>
  <c r="FL145" i="4"/>
  <c r="FK145" i="4"/>
  <c r="FJ145" i="4"/>
  <c r="FI145" i="4"/>
  <c r="FH145" i="4"/>
  <c r="FG145" i="4"/>
  <c r="FF145" i="4"/>
  <c r="FE145" i="4"/>
  <c r="FD145" i="4"/>
  <c r="FC145" i="4"/>
  <c r="FB145" i="4"/>
  <c r="FA145" i="4"/>
  <c r="EZ145" i="4"/>
  <c r="EY145" i="4"/>
  <c r="EX145" i="4"/>
  <c r="EW145" i="4"/>
  <c r="EV145" i="4"/>
  <c r="EU145" i="4"/>
  <c r="ET145" i="4"/>
  <c r="ES145" i="4"/>
  <c r="ER145" i="4"/>
  <c r="EQ145" i="4"/>
  <c r="EP145" i="4"/>
  <c r="EO145" i="4"/>
  <c r="EN145" i="4"/>
  <c r="EM145" i="4"/>
  <c r="EL145" i="4"/>
  <c r="EK145" i="4"/>
  <c r="EJ145" i="4"/>
  <c r="EI145" i="4"/>
  <c r="EH145" i="4"/>
  <c r="EG145" i="4"/>
  <c r="EF145" i="4"/>
  <c r="EE145" i="4"/>
  <c r="ED145" i="4"/>
  <c r="EC145" i="4"/>
  <c r="EB145" i="4"/>
  <c r="EA145" i="4"/>
  <c r="DZ145" i="4"/>
  <c r="DY145" i="4"/>
  <c r="DX145" i="4"/>
  <c r="DW145" i="4"/>
  <c r="DV145" i="4"/>
  <c r="DU145" i="4"/>
  <c r="DT145" i="4"/>
  <c r="DS145" i="4"/>
  <c r="DR145" i="4"/>
  <c r="DQ145" i="4"/>
  <c r="DP145" i="4"/>
  <c r="DO145" i="4"/>
  <c r="DN145" i="4"/>
  <c r="DM145" i="4"/>
  <c r="DL145" i="4"/>
  <c r="DK145" i="4"/>
  <c r="DJ145" i="4"/>
  <c r="DI145" i="4"/>
  <c r="DH145" i="4"/>
  <c r="DG145" i="4"/>
  <c r="DF145" i="4"/>
  <c r="DE145" i="4"/>
  <c r="DD145" i="4"/>
  <c r="DC145" i="4"/>
  <c r="DB145" i="4"/>
  <c r="DA145" i="4"/>
  <c r="CZ145" i="4"/>
  <c r="CY145" i="4"/>
  <c r="CX145" i="4"/>
  <c r="CW145" i="4"/>
  <c r="CV145" i="4"/>
  <c r="CU145" i="4"/>
  <c r="CT145" i="4"/>
  <c r="CS145" i="4"/>
  <c r="CR145" i="4"/>
  <c r="CQ145" i="4"/>
  <c r="CP145" i="4"/>
  <c r="CO145" i="4"/>
  <c r="CN145" i="4"/>
  <c r="CM145" i="4"/>
  <c r="CL145" i="4"/>
  <c r="CK145" i="4"/>
  <c r="CJ145" i="4"/>
  <c r="CI145" i="4"/>
  <c r="CH145" i="4"/>
  <c r="CG145" i="4"/>
  <c r="CF145" i="4"/>
  <c r="CE145" i="4"/>
  <c r="CD145" i="4"/>
  <c r="CC145" i="4"/>
  <c r="CB145" i="4"/>
  <c r="CA145" i="4"/>
  <c r="BZ145" i="4"/>
  <c r="BY145" i="4"/>
  <c r="BX145" i="4"/>
  <c r="BW145" i="4"/>
  <c r="BV145" i="4"/>
  <c r="BU145" i="4"/>
  <c r="BT145" i="4"/>
  <c r="BS145" i="4"/>
  <c r="BR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AN145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IO143" i="4"/>
  <c r="IN143" i="4"/>
  <c r="IM143" i="4"/>
  <c r="IL143" i="4"/>
  <c r="IK143" i="4"/>
  <c r="IJ143" i="4"/>
  <c r="II143" i="4"/>
  <c r="IH143" i="4"/>
  <c r="IG143" i="4"/>
  <c r="IF143" i="4"/>
  <c r="IE143" i="4"/>
  <c r="ID143" i="4"/>
  <c r="IC143" i="4"/>
  <c r="IB143" i="4"/>
  <c r="IA143" i="4"/>
  <c r="HZ143" i="4"/>
  <c r="HY143" i="4"/>
  <c r="HX143" i="4"/>
  <c r="HW143" i="4"/>
  <c r="HV143" i="4"/>
  <c r="HU143" i="4"/>
  <c r="HT143" i="4"/>
  <c r="HS143" i="4"/>
  <c r="HR143" i="4"/>
  <c r="HQ143" i="4"/>
  <c r="HP143" i="4"/>
  <c r="HO143" i="4"/>
  <c r="HN143" i="4"/>
  <c r="HM143" i="4"/>
  <c r="HL143" i="4"/>
  <c r="HK143" i="4"/>
  <c r="HJ143" i="4"/>
  <c r="HI143" i="4"/>
  <c r="HH143" i="4"/>
  <c r="HG143" i="4"/>
  <c r="HF143" i="4"/>
  <c r="HE143" i="4"/>
  <c r="HD143" i="4"/>
  <c r="HC143" i="4"/>
  <c r="HB143" i="4"/>
  <c r="HA143" i="4"/>
  <c r="GZ143" i="4"/>
  <c r="GY143" i="4"/>
  <c r="GX143" i="4"/>
  <c r="GW143" i="4"/>
  <c r="GV143" i="4"/>
  <c r="GU143" i="4"/>
  <c r="GT143" i="4"/>
  <c r="GS143" i="4"/>
  <c r="GR143" i="4"/>
  <c r="GQ143" i="4"/>
  <c r="GP143" i="4"/>
  <c r="GO143" i="4"/>
  <c r="GN143" i="4"/>
  <c r="GM143" i="4"/>
  <c r="GL143" i="4"/>
  <c r="GK143" i="4"/>
  <c r="GJ143" i="4"/>
  <c r="GI143" i="4"/>
  <c r="GH143" i="4"/>
  <c r="GG143" i="4"/>
  <c r="GF143" i="4"/>
  <c r="GE143" i="4"/>
  <c r="GD143" i="4"/>
  <c r="GC143" i="4"/>
  <c r="GB143" i="4"/>
  <c r="GA143" i="4"/>
  <c r="FZ143" i="4"/>
  <c r="FY143" i="4"/>
  <c r="FX143" i="4"/>
  <c r="FW143" i="4"/>
  <c r="FV143" i="4"/>
  <c r="FU143" i="4"/>
  <c r="FT143" i="4"/>
  <c r="FS143" i="4"/>
  <c r="FR143" i="4"/>
  <c r="FQ143" i="4"/>
  <c r="FP143" i="4"/>
  <c r="FO143" i="4"/>
  <c r="FN143" i="4"/>
  <c r="FM143" i="4"/>
  <c r="FL143" i="4"/>
  <c r="FK143" i="4"/>
  <c r="FJ143" i="4"/>
  <c r="FI143" i="4"/>
  <c r="FH143" i="4"/>
  <c r="FG143" i="4"/>
  <c r="FF143" i="4"/>
  <c r="FE143" i="4"/>
  <c r="FD143" i="4"/>
  <c r="FC143" i="4"/>
  <c r="FB143" i="4"/>
  <c r="FA143" i="4"/>
  <c r="EZ143" i="4"/>
  <c r="EY143" i="4"/>
  <c r="EX143" i="4"/>
  <c r="EW143" i="4"/>
  <c r="EV143" i="4"/>
  <c r="EU143" i="4"/>
  <c r="ET143" i="4"/>
  <c r="ES143" i="4"/>
  <c r="ER143" i="4"/>
  <c r="EQ143" i="4"/>
  <c r="EP143" i="4"/>
  <c r="EO143" i="4"/>
  <c r="EN143" i="4"/>
  <c r="EM143" i="4"/>
  <c r="EL143" i="4"/>
  <c r="EK143" i="4"/>
  <c r="EJ143" i="4"/>
  <c r="EI143" i="4"/>
  <c r="EH143" i="4"/>
  <c r="EG143" i="4"/>
  <c r="EF143" i="4"/>
  <c r="EE143" i="4"/>
  <c r="ED143" i="4"/>
  <c r="EC143" i="4"/>
  <c r="EB143" i="4"/>
  <c r="EA143" i="4"/>
  <c r="DZ143" i="4"/>
  <c r="DY143" i="4"/>
  <c r="DX143" i="4"/>
  <c r="DW143" i="4"/>
  <c r="DV143" i="4"/>
  <c r="DU143" i="4"/>
  <c r="DT143" i="4"/>
  <c r="DS143" i="4"/>
  <c r="DR143" i="4"/>
  <c r="DQ143" i="4"/>
  <c r="DP143" i="4"/>
  <c r="DO143" i="4"/>
  <c r="DN143" i="4"/>
  <c r="DM143" i="4"/>
  <c r="DL143" i="4"/>
  <c r="DK143" i="4"/>
  <c r="DJ143" i="4"/>
  <c r="DI143" i="4"/>
  <c r="DH143" i="4"/>
  <c r="DG143" i="4"/>
  <c r="DF143" i="4"/>
  <c r="DE143" i="4"/>
  <c r="DD143" i="4"/>
  <c r="DC143" i="4"/>
  <c r="DB143" i="4"/>
  <c r="DA143" i="4"/>
  <c r="CZ143" i="4"/>
  <c r="CY143" i="4"/>
  <c r="CX143" i="4"/>
  <c r="CW143" i="4"/>
  <c r="CV143" i="4"/>
  <c r="CU143" i="4"/>
  <c r="CT143" i="4"/>
  <c r="CS143" i="4"/>
  <c r="CR143" i="4"/>
  <c r="CQ143" i="4"/>
  <c r="CP143" i="4"/>
  <c r="CO143" i="4"/>
  <c r="CN143" i="4"/>
  <c r="CM143" i="4"/>
  <c r="CL143" i="4"/>
  <c r="CK143" i="4"/>
  <c r="CJ143" i="4"/>
  <c r="CI143" i="4"/>
  <c r="CH143" i="4"/>
  <c r="CG143" i="4"/>
  <c r="CF143" i="4"/>
  <c r="CE143" i="4"/>
  <c r="CD143" i="4"/>
  <c r="CC143" i="4"/>
  <c r="CB143" i="4"/>
  <c r="CA143" i="4"/>
  <c r="BZ143" i="4"/>
  <c r="BY143" i="4"/>
  <c r="BX143" i="4"/>
  <c r="BW143" i="4"/>
  <c r="BV143" i="4"/>
  <c r="BU143" i="4"/>
  <c r="BT143" i="4"/>
  <c r="BS143" i="4"/>
  <c r="BR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AN143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IO141" i="4"/>
  <c r="IN141" i="4"/>
  <c r="IM141" i="4"/>
  <c r="IL141" i="4"/>
  <c r="IK141" i="4"/>
  <c r="IJ141" i="4"/>
  <c r="II141" i="4"/>
  <c r="IH141" i="4"/>
  <c r="IG141" i="4"/>
  <c r="IF141" i="4"/>
  <c r="IE141" i="4"/>
  <c r="ID141" i="4"/>
  <c r="IC141" i="4"/>
  <c r="IB141" i="4"/>
  <c r="IA141" i="4"/>
  <c r="HZ141" i="4"/>
  <c r="HY141" i="4"/>
  <c r="HX141" i="4"/>
  <c r="HW141" i="4"/>
  <c r="HV141" i="4"/>
  <c r="HU141" i="4"/>
  <c r="HT141" i="4"/>
  <c r="HS141" i="4"/>
  <c r="HR141" i="4"/>
  <c r="HQ141" i="4"/>
  <c r="HP141" i="4"/>
  <c r="HO141" i="4"/>
  <c r="HN141" i="4"/>
  <c r="HM141" i="4"/>
  <c r="HL141" i="4"/>
  <c r="HK141" i="4"/>
  <c r="HJ141" i="4"/>
  <c r="HI141" i="4"/>
  <c r="HH141" i="4"/>
  <c r="HG141" i="4"/>
  <c r="HF141" i="4"/>
  <c r="HE141" i="4"/>
  <c r="HD141" i="4"/>
  <c r="HC141" i="4"/>
  <c r="HB141" i="4"/>
  <c r="HA141" i="4"/>
  <c r="GZ141" i="4"/>
  <c r="GY141" i="4"/>
  <c r="GX141" i="4"/>
  <c r="GW141" i="4"/>
  <c r="GV141" i="4"/>
  <c r="GU141" i="4"/>
  <c r="GT141" i="4"/>
  <c r="GS141" i="4"/>
  <c r="GR141" i="4"/>
  <c r="GQ141" i="4"/>
  <c r="GP141" i="4"/>
  <c r="GO141" i="4"/>
  <c r="GN141" i="4"/>
  <c r="GM141" i="4"/>
  <c r="GL141" i="4"/>
  <c r="GK141" i="4"/>
  <c r="GJ141" i="4"/>
  <c r="GI141" i="4"/>
  <c r="GH141" i="4"/>
  <c r="GG141" i="4"/>
  <c r="GF141" i="4"/>
  <c r="GE141" i="4"/>
  <c r="GD141" i="4"/>
  <c r="GC141" i="4"/>
  <c r="GB141" i="4"/>
  <c r="GA141" i="4"/>
  <c r="FZ141" i="4"/>
  <c r="FY141" i="4"/>
  <c r="FX141" i="4"/>
  <c r="FW141" i="4"/>
  <c r="FV141" i="4"/>
  <c r="FU141" i="4"/>
  <c r="FT141" i="4"/>
  <c r="FS141" i="4"/>
  <c r="FR141" i="4"/>
  <c r="FQ141" i="4"/>
  <c r="FP141" i="4"/>
  <c r="FO141" i="4"/>
  <c r="FN141" i="4"/>
  <c r="FM141" i="4"/>
  <c r="FL141" i="4"/>
  <c r="FK141" i="4"/>
  <c r="FJ141" i="4"/>
  <c r="FI141" i="4"/>
  <c r="FH141" i="4"/>
  <c r="FG141" i="4"/>
  <c r="FF141" i="4"/>
  <c r="FE141" i="4"/>
  <c r="FD141" i="4"/>
  <c r="FC141" i="4"/>
  <c r="FB141" i="4"/>
  <c r="FA141" i="4"/>
  <c r="EZ141" i="4"/>
  <c r="EY141" i="4"/>
  <c r="EX141" i="4"/>
  <c r="EW141" i="4"/>
  <c r="EV141" i="4"/>
  <c r="EU141" i="4"/>
  <c r="ET141" i="4"/>
  <c r="ES141" i="4"/>
  <c r="ER141" i="4"/>
  <c r="EQ141" i="4"/>
  <c r="EP141" i="4"/>
  <c r="EO141" i="4"/>
  <c r="EN141" i="4"/>
  <c r="EM141" i="4"/>
  <c r="EL141" i="4"/>
  <c r="EK141" i="4"/>
  <c r="EJ141" i="4"/>
  <c r="EI141" i="4"/>
  <c r="EH141" i="4"/>
  <c r="EG141" i="4"/>
  <c r="EF141" i="4"/>
  <c r="EE141" i="4"/>
  <c r="ED141" i="4"/>
  <c r="EC141" i="4"/>
  <c r="EB141" i="4"/>
  <c r="EA141" i="4"/>
  <c r="DZ141" i="4"/>
  <c r="DY141" i="4"/>
  <c r="DX141" i="4"/>
  <c r="DW141" i="4"/>
  <c r="DV141" i="4"/>
  <c r="DU141" i="4"/>
  <c r="DT141" i="4"/>
  <c r="DS141" i="4"/>
  <c r="DR141" i="4"/>
  <c r="DQ141" i="4"/>
  <c r="DP141" i="4"/>
  <c r="DO141" i="4"/>
  <c r="DN141" i="4"/>
  <c r="DM141" i="4"/>
  <c r="DL141" i="4"/>
  <c r="DK141" i="4"/>
  <c r="DJ141" i="4"/>
  <c r="DI141" i="4"/>
  <c r="DH141" i="4"/>
  <c r="DG141" i="4"/>
  <c r="DF141" i="4"/>
  <c r="DE141" i="4"/>
  <c r="DD141" i="4"/>
  <c r="DC141" i="4"/>
  <c r="DB141" i="4"/>
  <c r="DA141" i="4"/>
  <c r="CZ141" i="4"/>
  <c r="CY141" i="4"/>
  <c r="CX141" i="4"/>
  <c r="CW141" i="4"/>
  <c r="CV141" i="4"/>
  <c r="CU141" i="4"/>
  <c r="CT141" i="4"/>
  <c r="CS141" i="4"/>
  <c r="CR141" i="4"/>
  <c r="CQ141" i="4"/>
  <c r="CP141" i="4"/>
  <c r="CO141" i="4"/>
  <c r="CN141" i="4"/>
  <c r="CM141" i="4"/>
  <c r="CL141" i="4"/>
  <c r="CK141" i="4"/>
  <c r="CJ141" i="4"/>
  <c r="CI141" i="4"/>
  <c r="CH141" i="4"/>
  <c r="CG141" i="4"/>
  <c r="CF141" i="4"/>
  <c r="CE141" i="4"/>
  <c r="CD141" i="4"/>
  <c r="CC141" i="4"/>
  <c r="CB141" i="4"/>
  <c r="CA141" i="4"/>
  <c r="BZ141" i="4"/>
  <c r="BY141" i="4"/>
  <c r="BX141" i="4"/>
  <c r="BW141" i="4"/>
  <c r="BV141" i="4"/>
  <c r="BU141" i="4"/>
  <c r="BT141" i="4"/>
  <c r="BS141" i="4"/>
  <c r="BR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AN141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IO139" i="4"/>
  <c r="IN139" i="4"/>
  <c r="IM139" i="4"/>
  <c r="IL139" i="4"/>
  <c r="IK139" i="4"/>
  <c r="IJ139" i="4"/>
  <c r="II139" i="4"/>
  <c r="IH139" i="4"/>
  <c r="IG139" i="4"/>
  <c r="IF139" i="4"/>
  <c r="IE139" i="4"/>
  <c r="ID139" i="4"/>
  <c r="IC139" i="4"/>
  <c r="IB139" i="4"/>
  <c r="IA139" i="4"/>
  <c r="HZ139" i="4"/>
  <c r="HY139" i="4"/>
  <c r="HX139" i="4"/>
  <c r="HW139" i="4"/>
  <c r="HV139" i="4"/>
  <c r="HU139" i="4"/>
  <c r="HT139" i="4"/>
  <c r="HS139" i="4"/>
  <c r="HR139" i="4"/>
  <c r="HQ139" i="4"/>
  <c r="HP139" i="4"/>
  <c r="HO139" i="4"/>
  <c r="HN139" i="4"/>
  <c r="HM139" i="4"/>
  <c r="HL139" i="4"/>
  <c r="HK139" i="4"/>
  <c r="HJ139" i="4"/>
  <c r="HI139" i="4"/>
  <c r="HH139" i="4"/>
  <c r="HG139" i="4"/>
  <c r="HF139" i="4"/>
  <c r="HE139" i="4"/>
  <c r="HD139" i="4"/>
  <c r="HC139" i="4"/>
  <c r="HB139" i="4"/>
  <c r="HA139" i="4"/>
  <c r="GZ139" i="4"/>
  <c r="GY139" i="4"/>
  <c r="GX139" i="4"/>
  <c r="GW139" i="4"/>
  <c r="GV139" i="4"/>
  <c r="GU139" i="4"/>
  <c r="GT139" i="4"/>
  <c r="GS139" i="4"/>
  <c r="GR139" i="4"/>
  <c r="GQ139" i="4"/>
  <c r="GP139" i="4"/>
  <c r="GO139" i="4"/>
  <c r="GN139" i="4"/>
  <c r="GM139" i="4"/>
  <c r="GL139" i="4"/>
  <c r="GK139" i="4"/>
  <c r="GJ139" i="4"/>
  <c r="GI139" i="4"/>
  <c r="GH139" i="4"/>
  <c r="GG139" i="4"/>
  <c r="GF139" i="4"/>
  <c r="GE139" i="4"/>
  <c r="GD139" i="4"/>
  <c r="GC139" i="4"/>
  <c r="GB139" i="4"/>
  <c r="GA139" i="4"/>
  <c r="FZ139" i="4"/>
  <c r="FY139" i="4"/>
  <c r="FX139" i="4"/>
  <c r="FW139" i="4"/>
  <c r="FV139" i="4"/>
  <c r="FU139" i="4"/>
  <c r="FT139" i="4"/>
  <c r="FS139" i="4"/>
  <c r="FR139" i="4"/>
  <c r="FQ139" i="4"/>
  <c r="FP139" i="4"/>
  <c r="FO139" i="4"/>
  <c r="FN139" i="4"/>
  <c r="FM139" i="4"/>
  <c r="FL139" i="4"/>
  <c r="FK139" i="4"/>
  <c r="FJ139" i="4"/>
  <c r="FI139" i="4"/>
  <c r="FH139" i="4"/>
  <c r="FG139" i="4"/>
  <c r="FF139" i="4"/>
  <c r="FE139" i="4"/>
  <c r="FD139" i="4"/>
  <c r="FC139" i="4"/>
  <c r="FB139" i="4"/>
  <c r="FA139" i="4"/>
  <c r="EZ139" i="4"/>
  <c r="EY139" i="4"/>
  <c r="EX139" i="4"/>
  <c r="EW139" i="4"/>
  <c r="EV139" i="4"/>
  <c r="EU139" i="4"/>
  <c r="ET139" i="4"/>
  <c r="ES139" i="4"/>
  <c r="ER139" i="4"/>
  <c r="EQ139" i="4"/>
  <c r="EP139" i="4"/>
  <c r="EO139" i="4"/>
  <c r="EN139" i="4"/>
  <c r="EM139" i="4"/>
  <c r="EL139" i="4"/>
  <c r="EK139" i="4"/>
  <c r="EJ139" i="4"/>
  <c r="EI139" i="4"/>
  <c r="EH139" i="4"/>
  <c r="EG139" i="4"/>
  <c r="EF139" i="4"/>
  <c r="EE139" i="4"/>
  <c r="ED139" i="4"/>
  <c r="EC139" i="4"/>
  <c r="EB139" i="4"/>
  <c r="EA139" i="4"/>
  <c r="DZ139" i="4"/>
  <c r="DY139" i="4"/>
  <c r="DX139" i="4"/>
  <c r="DW139" i="4"/>
  <c r="DV139" i="4"/>
  <c r="DU139" i="4"/>
  <c r="DT139" i="4"/>
  <c r="DS139" i="4"/>
  <c r="DR139" i="4"/>
  <c r="DQ139" i="4"/>
  <c r="DP139" i="4"/>
  <c r="DO139" i="4"/>
  <c r="DN139" i="4"/>
  <c r="DM139" i="4"/>
  <c r="DL139" i="4"/>
  <c r="DK139" i="4"/>
  <c r="DJ139" i="4"/>
  <c r="DI139" i="4"/>
  <c r="DH139" i="4"/>
  <c r="DG139" i="4"/>
  <c r="DF139" i="4"/>
  <c r="DE139" i="4"/>
  <c r="DD139" i="4"/>
  <c r="DC139" i="4"/>
  <c r="DB139" i="4"/>
  <c r="DA139" i="4"/>
  <c r="CZ139" i="4"/>
  <c r="CY139" i="4"/>
  <c r="CX139" i="4"/>
  <c r="CW139" i="4"/>
  <c r="CV139" i="4"/>
  <c r="CU139" i="4"/>
  <c r="CT139" i="4"/>
  <c r="CS139" i="4"/>
  <c r="CR139" i="4"/>
  <c r="CQ139" i="4"/>
  <c r="CP139" i="4"/>
  <c r="CO139" i="4"/>
  <c r="CN139" i="4"/>
  <c r="CM139" i="4"/>
  <c r="CL139" i="4"/>
  <c r="CK139" i="4"/>
  <c r="CJ139" i="4"/>
  <c r="CI139" i="4"/>
  <c r="CH139" i="4"/>
  <c r="CG139" i="4"/>
  <c r="CF139" i="4"/>
  <c r="CE139" i="4"/>
  <c r="CD139" i="4"/>
  <c r="CC139" i="4"/>
  <c r="CB139" i="4"/>
  <c r="CA139" i="4"/>
  <c r="BZ139" i="4"/>
  <c r="BY139" i="4"/>
  <c r="BX139" i="4"/>
  <c r="BW139" i="4"/>
  <c r="BV139" i="4"/>
  <c r="BU139" i="4"/>
  <c r="BT139" i="4"/>
  <c r="BS139" i="4"/>
  <c r="BR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IO137" i="4"/>
  <c r="IN137" i="4"/>
  <c r="IM137" i="4"/>
  <c r="IL137" i="4"/>
  <c r="IK137" i="4"/>
  <c r="IJ137" i="4"/>
  <c r="II137" i="4"/>
  <c r="IH137" i="4"/>
  <c r="IG137" i="4"/>
  <c r="IF137" i="4"/>
  <c r="IE137" i="4"/>
  <c r="ID137" i="4"/>
  <c r="IC137" i="4"/>
  <c r="IB137" i="4"/>
  <c r="IA137" i="4"/>
  <c r="HZ137" i="4"/>
  <c r="HY137" i="4"/>
  <c r="HX137" i="4"/>
  <c r="HW137" i="4"/>
  <c r="HV137" i="4"/>
  <c r="HU137" i="4"/>
  <c r="HT137" i="4"/>
  <c r="HS137" i="4"/>
  <c r="HR137" i="4"/>
  <c r="HQ137" i="4"/>
  <c r="HP137" i="4"/>
  <c r="HO137" i="4"/>
  <c r="HN137" i="4"/>
  <c r="HM137" i="4"/>
  <c r="HL137" i="4"/>
  <c r="HK137" i="4"/>
  <c r="HJ137" i="4"/>
  <c r="HI137" i="4"/>
  <c r="HH137" i="4"/>
  <c r="HG137" i="4"/>
  <c r="HF137" i="4"/>
  <c r="HE137" i="4"/>
  <c r="HD137" i="4"/>
  <c r="HC137" i="4"/>
  <c r="HB137" i="4"/>
  <c r="HA137" i="4"/>
  <c r="GZ137" i="4"/>
  <c r="GY137" i="4"/>
  <c r="GX137" i="4"/>
  <c r="GW137" i="4"/>
  <c r="GV137" i="4"/>
  <c r="GU137" i="4"/>
  <c r="GT137" i="4"/>
  <c r="GS137" i="4"/>
  <c r="GR137" i="4"/>
  <c r="GQ137" i="4"/>
  <c r="GP137" i="4"/>
  <c r="GO137" i="4"/>
  <c r="GN137" i="4"/>
  <c r="GM137" i="4"/>
  <c r="GL137" i="4"/>
  <c r="GK137" i="4"/>
  <c r="GJ137" i="4"/>
  <c r="GI137" i="4"/>
  <c r="GH137" i="4"/>
  <c r="GG137" i="4"/>
  <c r="GF137" i="4"/>
  <c r="GE137" i="4"/>
  <c r="GD137" i="4"/>
  <c r="GC137" i="4"/>
  <c r="GB137" i="4"/>
  <c r="GA137" i="4"/>
  <c r="FZ137" i="4"/>
  <c r="FY137" i="4"/>
  <c r="FX137" i="4"/>
  <c r="FW137" i="4"/>
  <c r="FV137" i="4"/>
  <c r="FU137" i="4"/>
  <c r="FT137" i="4"/>
  <c r="FS137" i="4"/>
  <c r="FR137" i="4"/>
  <c r="FQ137" i="4"/>
  <c r="FP137" i="4"/>
  <c r="FO137" i="4"/>
  <c r="FN137" i="4"/>
  <c r="FM137" i="4"/>
  <c r="FL137" i="4"/>
  <c r="FK137" i="4"/>
  <c r="FJ137" i="4"/>
  <c r="FI137" i="4"/>
  <c r="FH137" i="4"/>
  <c r="FG137" i="4"/>
  <c r="FF137" i="4"/>
  <c r="FE137" i="4"/>
  <c r="FD137" i="4"/>
  <c r="FC137" i="4"/>
  <c r="FB137" i="4"/>
  <c r="FA137" i="4"/>
  <c r="EZ137" i="4"/>
  <c r="EY137" i="4"/>
  <c r="EX137" i="4"/>
  <c r="EW137" i="4"/>
  <c r="EV137" i="4"/>
  <c r="EU137" i="4"/>
  <c r="ET137" i="4"/>
  <c r="ES137" i="4"/>
  <c r="ER137" i="4"/>
  <c r="EQ137" i="4"/>
  <c r="EP137" i="4"/>
  <c r="EO137" i="4"/>
  <c r="EN137" i="4"/>
  <c r="EM137" i="4"/>
  <c r="EL137" i="4"/>
  <c r="EK137" i="4"/>
  <c r="EJ137" i="4"/>
  <c r="EI137" i="4"/>
  <c r="EH137" i="4"/>
  <c r="EG137" i="4"/>
  <c r="EF137" i="4"/>
  <c r="EE137" i="4"/>
  <c r="ED137" i="4"/>
  <c r="EC137" i="4"/>
  <c r="EB137" i="4"/>
  <c r="EA137" i="4"/>
  <c r="DZ137" i="4"/>
  <c r="DY137" i="4"/>
  <c r="DX137" i="4"/>
  <c r="DW137" i="4"/>
  <c r="DV137" i="4"/>
  <c r="DU137" i="4"/>
  <c r="DT137" i="4"/>
  <c r="DS137" i="4"/>
  <c r="DR137" i="4"/>
  <c r="DQ137" i="4"/>
  <c r="DP137" i="4"/>
  <c r="DO137" i="4"/>
  <c r="DN137" i="4"/>
  <c r="DM137" i="4"/>
  <c r="DL137" i="4"/>
  <c r="DK137" i="4"/>
  <c r="DJ137" i="4"/>
  <c r="DI137" i="4"/>
  <c r="DH137" i="4"/>
  <c r="DG137" i="4"/>
  <c r="DF137" i="4"/>
  <c r="DE137" i="4"/>
  <c r="DD137" i="4"/>
  <c r="DC137" i="4"/>
  <c r="DB137" i="4"/>
  <c r="DA137" i="4"/>
  <c r="CZ137" i="4"/>
  <c r="CY137" i="4"/>
  <c r="CX137" i="4"/>
  <c r="CW137" i="4"/>
  <c r="CV137" i="4"/>
  <c r="CU137" i="4"/>
  <c r="CT137" i="4"/>
  <c r="CS137" i="4"/>
  <c r="CR137" i="4"/>
  <c r="CQ137" i="4"/>
  <c r="CP137" i="4"/>
  <c r="CO137" i="4"/>
  <c r="CN137" i="4"/>
  <c r="CM137" i="4"/>
  <c r="CL137" i="4"/>
  <c r="CK137" i="4"/>
  <c r="CJ137" i="4"/>
  <c r="CI137" i="4"/>
  <c r="CH137" i="4"/>
  <c r="CG137" i="4"/>
  <c r="CF137" i="4"/>
  <c r="CE137" i="4"/>
  <c r="CD137" i="4"/>
  <c r="CC137" i="4"/>
  <c r="CB137" i="4"/>
  <c r="CA137" i="4"/>
  <c r="BZ137" i="4"/>
  <c r="BY137" i="4"/>
  <c r="BX137" i="4"/>
  <c r="BW137" i="4"/>
  <c r="BV137" i="4"/>
  <c r="BU137" i="4"/>
  <c r="BT137" i="4"/>
  <c r="BS137" i="4"/>
  <c r="BR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AN137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IO82" i="4"/>
  <c r="IN82" i="4"/>
  <c r="IM82" i="4"/>
  <c r="IL82" i="4"/>
  <c r="IK82" i="4"/>
  <c r="IJ82" i="4"/>
  <c r="II82" i="4"/>
  <c r="IH82" i="4"/>
  <c r="IG82" i="4"/>
  <c r="IF82" i="4"/>
  <c r="IE82" i="4"/>
  <c r="ID82" i="4"/>
  <c r="IC82" i="4"/>
  <c r="IB82" i="4"/>
  <c r="IA82" i="4"/>
  <c r="HZ82" i="4"/>
  <c r="HY82" i="4"/>
  <c r="HX82" i="4"/>
  <c r="HW82" i="4"/>
  <c r="HV82" i="4"/>
  <c r="HU82" i="4"/>
  <c r="HT82" i="4"/>
  <c r="HS82" i="4"/>
  <c r="HR82" i="4"/>
  <c r="HQ82" i="4"/>
  <c r="HP82" i="4"/>
  <c r="HO82" i="4"/>
  <c r="HN82" i="4"/>
  <c r="HM82" i="4"/>
  <c r="HL82" i="4"/>
  <c r="HK82" i="4"/>
  <c r="HJ82" i="4"/>
  <c r="HI82" i="4"/>
  <c r="HH82" i="4"/>
  <c r="HG82" i="4"/>
  <c r="HF82" i="4"/>
  <c r="HE82" i="4"/>
  <c r="HD82" i="4"/>
  <c r="HC82" i="4"/>
  <c r="HB82" i="4"/>
  <c r="HA82" i="4"/>
  <c r="GZ82" i="4"/>
  <c r="GY82" i="4"/>
  <c r="GX82" i="4"/>
  <c r="GW82" i="4"/>
  <c r="GV82" i="4"/>
  <c r="GU82" i="4"/>
  <c r="GT82" i="4"/>
  <c r="GS82" i="4"/>
  <c r="GR82" i="4"/>
  <c r="GQ82" i="4"/>
  <c r="GP82" i="4"/>
  <c r="GO82" i="4"/>
  <c r="GN82" i="4"/>
  <c r="GM82" i="4"/>
  <c r="GL82" i="4"/>
  <c r="GK82" i="4"/>
  <c r="GJ82" i="4"/>
  <c r="GI82" i="4"/>
  <c r="GH82" i="4"/>
  <c r="GG82" i="4"/>
  <c r="GF82" i="4"/>
  <c r="GE82" i="4"/>
  <c r="GD82" i="4"/>
  <c r="GC82" i="4"/>
  <c r="GB82" i="4"/>
  <c r="GA82" i="4"/>
  <c r="FZ82" i="4"/>
  <c r="FY82" i="4"/>
  <c r="FX82" i="4"/>
  <c r="FW82" i="4"/>
  <c r="FV82" i="4"/>
  <c r="FU82" i="4"/>
  <c r="FT82" i="4"/>
  <c r="FS82" i="4"/>
  <c r="FR82" i="4"/>
  <c r="FQ82" i="4"/>
  <c r="FP82" i="4"/>
  <c r="FO82" i="4"/>
  <c r="FN82" i="4"/>
  <c r="FM82" i="4"/>
  <c r="FL82" i="4"/>
  <c r="FK82" i="4"/>
  <c r="FJ82" i="4"/>
  <c r="FI82" i="4"/>
  <c r="FH82" i="4"/>
  <c r="FG82" i="4"/>
  <c r="FF82" i="4"/>
  <c r="FE82" i="4"/>
  <c r="FD82" i="4"/>
  <c r="FC82" i="4"/>
  <c r="FB82" i="4"/>
  <c r="FA82" i="4"/>
  <c r="EZ82" i="4"/>
  <c r="EY82" i="4"/>
  <c r="EX82" i="4"/>
  <c r="EW82" i="4"/>
  <c r="EV82" i="4"/>
  <c r="EU82" i="4"/>
  <c r="ET82" i="4"/>
  <c r="ES82" i="4"/>
  <c r="ER82" i="4"/>
  <c r="EQ82" i="4"/>
  <c r="EP82" i="4"/>
  <c r="EO82" i="4"/>
  <c r="EN82" i="4"/>
  <c r="EM82" i="4"/>
  <c r="EL82" i="4"/>
  <c r="EK82" i="4"/>
  <c r="EJ82" i="4"/>
  <c r="EI82" i="4"/>
  <c r="EH82" i="4"/>
  <c r="EG82" i="4"/>
  <c r="EF82" i="4"/>
  <c r="EE82" i="4"/>
  <c r="ED82" i="4"/>
  <c r="EC82" i="4"/>
  <c r="EB82" i="4"/>
  <c r="EA82" i="4"/>
  <c r="DZ82" i="4"/>
  <c r="DY82" i="4"/>
  <c r="DX82" i="4"/>
  <c r="DW82" i="4"/>
  <c r="DV82" i="4"/>
  <c r="DU82" i="4"/>
  <c r="DT82" i="4"/>
  <c r="DS82" i="4"/>
  <c r="DR82" i="4"/>
  <c r="DQ82" i="4"/>
  <c r="DP82" i="4"/>
  <c r="DO82" i="4"/>
  <c r="DN82" i="4"/>
  <c r="DM82" i="4"/>
  <c r="DL82" i="4"/>
  <c r="DK82" i="4"/>
  <c r="DJ82" i="4"/>
  <c r="DI82" i="4"/>
  <c r="DH82" i="4"/>
  <c r="DG82" i="4"/>
  <c r="DF82" i="4"/>
  <c r="DE82" i="4"/>
  <c r="DD82" i="4"/>
  <c r="DC82" i="4"/>
  <c r="DB82" i="4"/>
  <c r="DA82" i="4"/>
  <c r="CZ82" i="4"/>
  <c r="CY82" i="4"/>
  <c r="CX82" i="4"/>
  <c r="CW82" i="4"/>
  <c r="CV82" i="4"/>
  <c r="CU82" i="4"/>
  <c r="CT82" i="4"/>
  <c r="CS82" i="4"/>
  <c r="CR82" i="4"/>
  <c r="CQ82" i="4"/>
  <c r="CP82" i="4"/>
  <c r="CO82" i="4"/>
  <c r="CN82" i="4"/>
  <c r="CM82" i="4"/>
  <c r="CL82" i="4"/>
  <c r="CK82" i="4"/>
  <c r="CJ82" i="4"/>
  <c r="CI82" i="4"/>
  <c r="CH82" i="4"/>
  <c r="CG82" i="4"/>
  <c r="CF82" i="4"/>
  <c r="CE82" i="4"/>
  <c r="CD82" i="4"/>
  <c r="CC82" i="4"/>
  <c r="CB82" i="4"/>
  <c r="CA82" i="4"/>
  <c r="BZ82" i="4"/>
  <c r="BY82" i="4"/>
  <c r="BX82" i="4"/>
  <c r="BW82" i="4"/>
  <c r="BV82" i="4"/>
  <c r="BU82" i="4"/>
  <c r="BT82" i="4"/>
  <c r="BS82" i="4"/>
  <c r="BR82" i="4"/>
  <c r="BQ82" i="4"/>
  <c r="BP82" i="4"/>
  <c r="BO82" i="4"/>
  <c r="G2" i="4" l="1"/>
  <c r="K2" i="4"/>
  <c r="O2" i="4"/>
  <c r="S2" i="4"/>
  <c r="W2" i="4"/>
  <c r="AA2" i="4"/>
  <c r="AE2" i="4"/>
  <c r="AI2" i="4"/>
  <c r="AM2" i="4"/>
  <c r="AQ2" i="4"/>
  <c r="AU2" i="4"/>
  <c r="AY2" i="4"/>
  <c r="BC2" i="4"/>
  <c r="BG2" i="4"/>
  <c r="BK2" i="4"/>
  <c r="BO2" i="4"/>
  <c r="BS2" i="4"/>
  <c r="BW2" i="4"/>
  <c r="CA2" i="4"/>
  <c r="CE2" i="4"/>
  <c r="CI2" i="4"/>
  <c r="CM2" i="4"/>
  <c r="CQ2" i="4"/>
  <c r="CU2" i="4"/>
  <c r="CY2" i="4"/>
  <c r="DC2" i="4"/>
  <c r="DG2" i="4"/>
  <c r="DK2" i="4"/>
  <c r="DO2" i="4"/>
  <c r="DS2" i="4"/>
  <c r="DW2" i="4"/>
  <c r="EA2" i="4"/>
  <c r="EE2" i="4"/>
  <c r="EI2" i="4"/>
  <c r="EM2" i="4"/>
  <c r="EQ2" i="4"/>
  <c r="EU2" i="4"/>
  <c r="EY2" i="4"/>
  <c r="FC2" i="4"/>
  <c r="FG2" i="4"/>
  <c r="FK2" i="4"/>
  <c r="FO2" i="4"/>
  <c r="FS2" i="4"/>
  <c r="FW2" i="4"/>
  <c r="GA2" i="4"/>
  <c r="GE2" i="4"/>
  <c r="GI2" i="4"/>
  <c r="GM2" i="4"/>
  <c r="GQ2" i="4"/>
  <c r="GU2" i="4"/>
  <c r="GY2" i="4"/>
  <c r="HC2" i="4"/>
  <c r="HG2" i="4"/>
  <c r="HK2" i="4"/>
  <c r="HO2" i="4"/>
  <c r="HS2" i="4"/>
  <c r="HW2" i="4"/>
  <c r="IA2" i="4"/>
  <c r="IE2" i="4"/>
  <c r="II2" i="4"/>
  <c r="IM2" i="4"/>
  <c r="H2" i="4"/>
  <c r="T2" i="4"/>
  <c r="AF2" i="4"/>
  <c r="AR2" i="4"/>
  <c r="BL2" i="4"/>
  <c r="BX2" i="4"/>
  <c r="CJ2" i="4"/>
  <c r="CV2" i="4"/>
  <c r="DH2" i="4"/>
  <c r="DT2" i="4"/>
  <c r="EF2" i="4"/>
  <c r="ER2" i="4"/>
  <c r="FD2" i="4"/>
  <c r="FH2" i="4"/>
  <c r="FT2" i="4"/>
  <c r="FX2" i="4"/>
  <c r="GB2" i="4"/>
  <c r="GF2" i="4"/>
  <c r="GJ2" i="4"/>
  <c r="GN2" i="4"/>
  <c r="GR2" i="4"/>
  <c r="GV2" i="4"/>
  <c r="GZ2" i="4"/>
  <c r="HD2" i="4"/>
  <c r="HH2" i="4"/>
  <c r="HL2" i="4"/>
  <c r="HP2" i="4"/>
  <c r="HT2" i="4"/>
  <c r="HX2" i="4"/>
  <c r="IB2" i="4"/>
  <c r="IF2" i="4"/>
  <c r="IJ2" i="4"/>
  <c r="IN2" i="4"/>
  <c r="L2" i="4"/>
  <c r="X2" i="4"/>
  <c r="AJ2" i="4"/>
  <c r="AV2" i="4"/>
  <c r="BH2" i="4"/>
  <c r="BT2" i="4"/>
  <c r="CB2" i="4"/>
  <c r="CN2" i="4"/>
  <c r="CZ2" i="4"/>
  <c r="DL2" i="4"/>
  <c r="DX2" i="4"/>
  <c r="EJ2" i="4"/>
  <c r="EV2" i="4"/>
  <c r="FP2" i="4"/>
  <c r="E2" i="4"/>
  <c r="I2" i="4"/>
  <c r="M2" i="4"/>
  <c r="Q2" i="4"/>
  <c r="U2" i="4"/>
  <c r="Y2" i="4"/>
  <c r="AC2" i="4"/>
  <c r="AG2" i="4"/>
  <c r="AK2" i="4"/>
  <c r="AO2" i="4"/>
  <c r="AS2" i="4"/>
  <c r="AW2" i="4"/>
  <c r="BA2" i="4"/>
  <c r="BE2" i="4"/>
  <c r="BI2" i="4"/>
  <c r="BM2" i="4"/>
  <c r="BQ2" i="4"/>
  <c r="BU2" i="4"/>
  <c r="BY2" i="4"/>
  <c r="CC2" i="4"/>
  <c r="CG2" i="4"/>
  <c r="CK2" i="4"/>
  <c r="CO2" i="4"/>
  <c r="CS2" i="4"/>
  <c r="CW2" i="4"/>
  <c r="DA2" i="4"/>
  <c r="DE2" i="4"/>
  <c r="DI2" i="4"/>
  <c r="DM2" i="4"/>
  <c r="DQ2" i="4"/>
  <c r="DU2" i="4"/>
  <c r="DY2" i="4"/>
  <c r="EC2" i="4"/>
  <c r="EG2" i="4"/>
  <c r="EK2" i="4"/>
  <c r="EO2" i="4"/>
  <c r="ES2" i="4"/>
  <c r="EW2" i="4"/>
  <c r="FA2" i="4"/>
  <c r="FE2" i="4"/>
  <c r="FI2" i="4"/>
  <c r="FM2" i="4"/>
  <c r="FQ2" i="4"/>
  <c r="FU2" i="4"/>
  <c r="FY2" i="4"/>
  <c r="GC2" i="4"/>
  <c r="GG2" i="4"/>
  <c r="GK2" i="4"/>
  <c r="GO2" i="4"/>
  <c r="GS2" i="4"/>
  <c r="GW2" i="4"/>
  <c r="HA2" i="4"/>
  <c r="HE2" i="4"/>
  <c r="HI2" i="4"/>
  <c r="HM2" i="4"/>
  <c r="HQ2" i="4"/>
  <c r="HU2" i="4"/>
  <c r="HY2" i="4"/>
  <c r="IC2" i="4"/>
  <c r="IG2" i="4"/>
  <c r="IK2" i="4"/>
  <c r="IO2" i="4"/>
  <c r="P2" i="4"/>
  <c r="AB2" i="4"/>
  <c r="AN2" i="4"/>
  <c r="AZ2" i="4"/>
  <c r="BD2" i="4"/>
  <c r="BP2" i="4"/>
  <c r="CF2" i="4"/>
  <c r="CR2" i="4"/>
  <c r="DD2" i="4"/>
  <c r="DP2" i="4"/>
  <c r="EB2" i="4"/>
  <c r="EN2" i="4"/>
  <c r="EZ2" i="4"/>
  <c r="FL2" i="4"/>
  <c r="F2" i="4"/>
  <c r="J2" i="4"/>
  <c r="N2" i="4"/>
  <c r="R2" i="4"/>
  <c r="V2" i="4"/>
  <c r="Z2" i="4"/>
  <c r="AD2" i="4"/>
  <c r="AH2" i="4"/>
  <c r="AL2" i="4"/>
  <c r="AP2" i="4"/>
  <c r="AT2" i="4"/>
  <c r="AX2" i="4"/>
  <c r="BB2" i="4"/>
  <c r="BF2" i="4"/>
  <c r="BJ2" i="4"/>
  <c r="BN2" i="4"/>
  <c r="BR2" i="4"/>
  <c r="BV2" i="4"/>
  <c r="BZ2" i="4"/>
  <c r="CD2" i="4"/>
  <c r="CH2" i="4"/>
  <c r="CL2" i="4"/>
  <c r="CP2" i="4"/>
  <c r="CT2" i="4"/>
  <c r="CX2" i="4"/>
  <c r="DB2" i="4"/>
  <c r="DF2" i="4"/>
  <c r="DJ2" i="4"/>
  <c r="DN2" i="4"/>
  <c r="DR2" i="4"/>
  <c r="DV2" i="4"/>
  <c r="DZ2" i="4"/>
  <c r="ED2" i="4"/>
  <c r="EH2" i="4"/>
  <c r="EL2" i="4"/>
  <c r="EP2" i="4"/>
  <c r="ET2" i="4"/>
  <c r="EX2" i="4"/>
  <c r="FB2" i="4"/>
  <c r="FF2" i="4"/>
  <c r="FJ2" i="4"/>
  <c r="FN2" i="4"/>
  <c r="FR2" i="4"/>
  <c r="FV2" i="4"/>
  <c r="FZ2" i="4"/>
  <c r="GD2" i="4"/>
  <c r="GH2" i="4"/>
  <c r="GL2" i="4"/>
  <c r="GP2" i="4"/>
  <c r="GT2" i="4"/>
  <c r="GX2" i="4"/>
  <c r="HB2" i="4"/>
  <c r="HF2" i="4"/>
  <c r="HJ2" i="4"/>
  <c r="HN2" i="4"/>
  <c r="HR2" i="4"/>
  <c r="HV2" i="4"/>
  <c r="HZ2" i="4"/>
  <c r="ID2" i="4"/>
  <c r="IH2" i="4"/>
  <c r="IL2" i="4"/>
  <c r="M702" i="9"/>
  <c r="N702" i="9" s="1"/>
  <c r="O702" i="9" s="1"/>
  <c r="L701" i="9"/>
  <c r="Q82" i="4"/>
  <c r="AC82" i="4"/>
  <c r="AY82" i="4"/>
  <c r="O82" i="4"/>
  <c r="X82" i="4"/>
  <c r="AK82" i="4"/>
  <c r="AH82" i="4"/>
  <c r="J82" i="4"/>
  <c r="BJ82" i="4"/>
  <c r="AV82" i="4"/>
  <c r="BF82" i="4"/>
  <c r="AR82" i="4"/>
  <c r="AD82" i="4"/>
  <c r="T82" i="4"/>
  <c r="F82" i="4"/>
  <c r="BB82" i="4"/>
  <c r="AN82" i="4"/>
  <c r="Z82" i="4"/>
  <c r="L82" i="4"/>
  <c r="BH82" i="4"/>
  <c r="P82" i="4"/>
  <c r="BL82" i="4"/>
  <c r="AX82" i="4"/>
  <c r="AJ82" i="4"/>
  <c r="V82" i="4"/>
  <c r="H82" i="4"/>
  <c r="BD82" i="4"/>
  <c r="AP82" i="4"/>
  <c r="AB82" i="4"/>
  <c r="N82" i="4"/>
  <c r="AT82" i="4"/>
  <c r="AF82" i="4"/>
  <c r="R82" i="4"/>
  <c r="BN82" i="4"/>
  <c r="AZ82" i="4"/>
  <c r="AL82" i="4"/>
  <c r="AE82" i="4"/>
  <c r="AQ82" i="4"/>
  <c r="BK82" i="4"/>
  <c r="Y82" i="4"/>
  <c r="AS82" i="4"/>
  <c r="M82" i="4"/>
  <c r="BE82" i="4"/>
  <c r="G82" i="4"/>
  <c r="S82" i="4"/>
  <c r="AA82" i="4"/>
  <c r="AM82" i="4"/>
  <c r="BG82" i="4"/>
  <c r="I82" i="4"/>
  <c r="AW82" i="4"/>
  <c r="BI82" i="4"/>
  <c r="K82" i="4"/>
  <c r="W82" i="4"/>
  <c r="AI82" i="4"/>
  <c r="AU82" i="4"/>
  <c r="BC82" i="4"/>
  <c r="E82" i="4"/>
  <c r="U82" i="4"/>
  <c r="AG82" i="4"/>
  <c r="AO82" i="4"/>
  <c r="BA82" i="4"/>
  <c r="BM82" i="4"/>
  <c r="A6" i="4" l="1" a="1"/>
  <c r="A6" i="4" s="1"/>
  <c r="L700" i="9"/>
  <c r="M700" i="9" s="1"/>
  <c r="N700" i="9" s="1"/>
  <c r="O700" i="9" s="1"/>
  <c r="M701" i="9"/>
  <c r="N701" i="9" s="1"/>
  <c r="O701" i="9" s="1"/>
  <c r="A217" i="4" l="1"/>
  <c r="A195" i="4"/>
  <c r="A207" i="4"/>
  <c r="A34" i="4"/>
  <c r="A224" i="4"/>
  <c r="A216" i="4"/>
  <c r="A122" i="4"/>
  <c r="A225" i="4"/>
  <c r="A77" i="4"/>
  <c r="A111" i="4"/>
  <c r="A101" i="4"/>
  <c r="A253" i="4"/>
  <c r="A54" i="4"/>
  <c r="A65" i="4"/>
  <c r="A206" i="4"/>
  <c r="A68" i="4"/>
  <c r="A163" i="4"/>
  <c r="A112" i="4"/>
  <c r="A126" i="4"/>
  <c r="A10" i="4"/>
  <c r="A247" i="4"/>
  <c r="A221" i="4"/>
  <c r="A154" i="4"/>
  <c r="A92" i="4"/>
  <c r="A98" i="4"/>
  <c r="A20" i="4"/>
  <c r="A186" i="4"/>
  <c r="A161" i="4"/>
  <c r="A141" i="4"/>
  <c r="A239" i="4"/>
  <c r="A209" i="4"/>
  <c r="A189" i="4"/>
  <c r="A246" i="4"/>
  <c r="A63" i="4"/>
  <c r="A236" i="4"/>
  <c r="A139" i="4"/>
  <c r="A234" i="4"/>
  <c r="A175" i="4"/>
  <c r="A158" i="4"/>
  <c r="A190" i="4"/>
  <c r="A251" i="4"/>
  <c r="A55" i="4"/>
  <c r="A37" i="4"/>
  <c r="A85" i="4"/>
  <c r="A237" i="4"/>
  <c r="A102" i="4"/>
  <c r="A15" i="4"/>
  <c r="A238" i="4"/>
  <c r="A59" i="4"/>
  <c r="A103" i="4"/>
  <c r="A51" i="4"/>
  <c r="A245" i="4"/>
  <c r="A147" i="4"/>
  <c r="A66" i="4"/>
  <c r="A105" i="4"/>
  <c r="A240" i="4"/>
  <c r="A21" i="4"/>
  <c r="A146" i="4"/>
  <c r="A72" i="4"/>
  <c r="A69" i="4"/>
  <c r="A70" i="4"/>
  <c r="A197" i="4"/>
  <c r="A7" i="4"/>
  <c r="A61" i="4"/>
  <c r="A74" i="4"/>
  <c r="A31" i="4"/>
  <c r="A133" i="4"/>
  <c r="A153" i="4"/>
  <c r="A156" i="4"/>
  <c r="A24" i="4"/>
  <c r="A149" i="4"/>
  <c r="A152" i="4"/>
  <c r="A140" i="4"/>
  <c r="A204" i="4"/>
  <c r="A142" i="4"/>
  <c r="A222" i="4"/>
  <c r="A39" i="4"/>
  <c r="A180" i="4"/>
  <c r="A121" i="4"/>
  <c r="A198" i="4"/>
  <c r="A43" i="4"/>
  <c r="A169" i="4"/>
  <c r="A243" i="4"/>
  <c r="A255" i="4"/>
  <c r="A82" i="4"/>
  <c r="A8" i="4"/>
  <c r="A151" i="4"/>
  <c r="A227" i="4"/>
  <c r="A76" i="4"/>
  <c r="A230" i="4"/>
  <c r="A178" i="4"/>
  <c r="A228" i="4"/>
  <c r="A45" i="4"/>
  <c r="A160" i="4"/>
  <c r="A27" i="4"/>
  <c r="A87" i="4"/>
  <c r="A170" i="4"/>
  <c r="A97" i="4"/>
  <c r="A47" i="4"/>
  <c r="A93" i="4"/>
  <c r="A56" i="4"/>
  <c r="A52" i="4"/>
  <c r="A38" i="4"/>
  <c r="A177" i="4"/>
  <c r="A11" i="4"/>
  <c r="A119" i="4"/>
  <c r="A244" i="4"/>
  <c r="A164" i="4"/>
  <c r="A114" i="4"/>
  <c r="A199" i="4"/>
  <c r="A26" i="4"/>
  <c r="A211" i="4"/>
  <c r="A109" i="4"/>
  <c r="A60" i="4"/>
  <c r="A107" i="4"/>
  <c r="A30" i="4"/>
  <c r="A13" i="4"/>
  <c r="A182" i="4"/>
  <c r="A117" i="4"/>
  <c r="A185" i="4"/>
  <c r="A16" i="4"/>
  <c r="A22" i="4"/>
  <c r="A25" i="4"/>
  <c r="A81" i="4"/>
  <c r="A165" i="4"/>
  <c r="A233" i="4"/>
  <c r="A104" i="4"/>
  <c r="A179" i="4"/>
  <c r="A116" i="4"/>
  <c r="A191" i="4"/>
  <c r="A168" i="4"/>
  <c r="A18" i="4"/>
  <c r="A110" i="4"/>
  <c r="A188" i="4"/>
  <c r="A174" i="4"/>
  <c r="A176" i="4"/>
  <c r="A23" i="4"/>
  <c r="A106" i="4"/>
  <c r="A136" i="4"/>
  <c r="A205" i="4"/>
  <c r="A100" i="4"/>
  <c r="A84" i="4"/>
  <c r="A94" i="4"/>
  <c r="A64" i="4"/>
  <c r="A242" i="4"/>
  <c r="A144" i="4"/>
  <c r="A132" i="4"/>
  <c r="A90" i="4"/>
  <c r="A256" i="4"/>
  <c r="A248" i="4"/>
  <c r="A49" i="4"/>
  <c r="A12" i="4"/>
  <c r="A62" i="4"/>
  <c r="A78" i="4"/>
  <c r="A41" i="4"/>
  <c r="A214" i="4"/>
  <c r="A128" i="4"/>
  <c r="A241" i="4"/>
  <c r="A150" i="4"/>
  <c r="A254" i="4"/>
  <c r="A17" i="4"/>
  <c r="A71" i="4"/>
  <c r="A73" i="4"/>
  <c r="A50" i="4"/>
  <c r="A138" i="4"/>
  <c r="A19" i="4"/>
  <c r="A35" i="4"/>
  <c r="A192" i="4"/>
  <c r="A159" i="4"/>
  <c r="A218" i="4"/>
  <c r="A187" i="4"/>
  <c r="A33" i="4"/>
  <c r="A91" i="4"/>
  <c r="A83" i="4"/>
  <c r="A252" i="4"/>
  <c r="A203" i="4"/>
  <c r="A183" i="4"/>
  <c r="A129" i="4"/>
  <c r="A213" i="4"/>
  <c r="A48" i="4"/>
  <c r="A99" i="4"/>
  <c r="A143" i="4"/>
  <c r="A226" i="4"/>
  <c r="A46" i="4"/>
  <c r="A235" i="4"/>
  <c r="A231" i="4"/>
  <c r="A58" i="4"/>
  <c r="A193" i="4"/>
  <c r="A89" i="4"/>
  <c r="A173" i="4"/>
  <c r="A29" i="4"/>
  <c r="A212" i="4"/>
  <c r="A53" i="4"/>
  <c r="A79" i="4"/>
  <c r="A162" i="4"/>
  <c r="A57" i="4"/>
  <c r="A96" i="4"/>
  <c r="A171" i="4"/>
  <c r="A88" i="4"/>
  <c r="A167" i="4"/>
  <c r="A250" i="4"/>
  <c r="A120" i="4"/>
  <c r="A86" i="4"/>
  <c r="A181" i="4"/>
  <c r="A249" i="4"/>
  <c r="A208" i="4"/>
  <c r="A28" i="4"/>
  <c r="A194" i="4"/>
  <c r="A145" i="4"/>
  <c r="A229" i="4"/>
  <c r="A125" i="4"/>
  <c r="A32" i="4"/>
  <c r="A67" i="4"/>
  <c r="A44" i="4"/>
  <c r="A127" i="4"/>
  <c r="A210" i="4"/>
  <c r="A75" i="4"/>
  <c r="A14" i="4"/>
  <c r="A219" i="4"/>
  <c r="A172" i="4"/>
  <c r="A215" i="4"/>
  <c r="A220" i="4"/>
  <c r="A42" i="4"/>
  <c r="A166" i="4"/>
  <c r="A80" i="4"/>
  <c r="A232" i="4"/>
  <c r="A130" i="4"/>
  <c r="A113" i="4"/>
  <c r="A131" i="4"/>
  <c r="A155" i="4"/>
  <c r="A123" i="4"/>
  <c r="A135" i="4"/>
  <c r="A115" i="4"/>
  <c r="A223" i="4"/>
  <c r="A148" i="4"/>
  <c r="A157" i="4"/>
  <c r="A95" i="4"/>
  <c r="A40" i="4"/>
  <c r="A36" i="4"/>
  <c r="A202" i="4"/>
  <c r="A201" i="4"/>
  <c r="A108" i="4"/>
  <c r="A137" i="4"/>
  <c r="A196" i="4"/>
  <c r="A200" i="4"/>
  <c r="A124" i="4"/>
  <c r="A184" i="4"/>
  <c r="A134" i="4"/>
  <c r="A9" i="4"/>
  <c r="A118" i="4"/>
  <c r="L699" i="9"/>
  <c r="M699" i="9" s="1"/>
  <c r="N699" i="9" s="1"/>
  <c r="O699" i="9" s="1"/>
  <c r="L698" i="9" l="1"/>
  <c r="M698" i="9" s="1"/>
  <c r="N698" i="9" s="1"/>
  <c r="O698" i="9" s="1"/>
  <c r="L697" i="9" l="1"/>
  <c r="M697" i="9" s="1"/>
  <c r="N697" i="9" s="1"/>
  <c r="O697" i="9" s="1"/>
  <c r="L696" i="9" l="1"/>
  <c r="M696" i="9" s="1"/>
  <c r="N696" i="9" s="1"/>
  <c r="O696" i="9" s="1"/>
  <c r="L695" i="9" l="1"/>
  <c r="M695" i="9" s="1"/>
  <c r="N695" i="9" s="1"/>
  <c r="O695" i="9" s="1"/>
  <c r="L694" i="9" l="1"/>
  <c r="M694" i="9" s="1"/>
  <c r="N694" i="9" s="1"/>
  <c r="O694" i="9" s="1"/>
  <c r="L693" i="9" l="1"/>
  <c r="M693" i="9" s="1"/>
  <c r="N693" i="9" s="1"/>
  <c r="O693" i="9" s="1"/>
  <c r="L692" i="9" l="1"/>
  <c r="M692" i="9" s="1"/>
  <c r="N692" i="9" s="1"/>
  <c r="O692" i="9" s="1"/>
  <c r="L691" i="9" l="1"/>
  <c r="M691" i="9" s="1"/>
  <c r="N691" i="9" s="1"/>
  <c r="O691" i="9" s="1"/>
  <c r="L690" i="9" l="1"/>
  <c r="M690" i="9" s="1"/>
  <c r="N690" i="9" s="1"/>
  <c r="O690" i="9" s="1"/>
  <c r="L689" i="9" l="1"/>
  <c r="M689" i="9" s="1"/>
  <c r="N689" i="9" s="1"/>
  <c r="O689" i="9" s="1"/>
  <c r="L688" i="9" l="1"/>
  <c r="M688" i="9" s="1"/>
  <c r="N688" i="9" s="1"/>
  <c r="O688" i="9" s="1"/>
  <c r="L687" i="9" l="1"/>
  <c r="M687" i="9" s="1"/>
  <c r="N687" i="9" s="1"/>
  <c r="O687" i="9" s="1"/>
  <c r="L686" i="9" l="1"/>
  <c r="M686" i="9" s="1"/>
  <c r="N686" i="9" s="1"/>
  <c r="O686" i="9" s="1"/>
  <c r="L685" i="9" l="1"/>
  <c r="M685" i="9" s="1"/>
  <c r="N685" i="9" s="1"/>
  <c r="O685" i="9" s="1"/>
  <c r="L684" i="9" l="1"/>
  <c r="M684" i="9" s="1"/>
  <c r="N684" i="9" s="1"/>
  <c r="O684" i="9" s="1"/>
  <c r="L683" i="9" l="1"/>
  <c r="M683" i="9" s="1"/>
  <c r="N683" i="9" s="1"/>
  <c r="O683" i="9" s="1"/>
  <c r="L682" i="9" l="1"/>
  <c r="M682" i="9" s="1"/>
  <c r="N682" i="9" s="1"/>
  <c r="O682" i="9" s="1"/>
  <c r="L681" i="9" l="1"/>
  <c r="M681" i="9" s="1"/>
  <c r="N681" i="9" s="1"/>
  <c r="O681" i="9" s="1"/>
  <c r="L680" i="9" l="1"/>
  <c r="M680" i="9" s="1"/>
  <c r="N680" i="9" s="1"/>
  <c r="O680" i="9" s="1"/>
  <c r="L679" i="9" l="1"/>
  <c r="M679" i="9" s="1"/>
  <c r="N679" i="9" s="1"/>
  <c r="O679" i="9" s="1"/>
  <c r="L678" i="9" l="1"/>
  <c r="L677" i="9" l="1"/>
  <c r="M678" i="9"/>
  <c r="M677" i="9" l="1"/>
  <c r="L676" i="9"/>
  <c r="M676" i="9" l="1"/>
  <c r="L675" i="9"/>
  <c r="M675" i="9" l="1"/>
  <c r="N675" i="9" s="1"/>
  <c r="O675" i="9" s="1"/>
  <c r="L674" i="9"/>
  <c r="N676" i="9"/>
  <c r="O676" i="9" s="1"/>
  <c r="M674" i="9" l="1"/>
  <c r="N674" i="9" s="1"/>
  <c r="O674" i="9" s="1"/>
  <c r="L673" i="9"/>
  <c r="N678" i="9"/>
  <c r="O678" i="9" s="1"/>
  <c r="N677" i="9"/>
  <c r="O677" i="9" s="1"/>
  <c r="M673" i="9" l="1"/>
  <c r="N673" i="9" s="1"/>
  <c r="O673" i="9" s="1"/>
  <c r="L672" i="9"/>
  <c r="M672" i="9" l="1"/>
  <c r="N672" i="9" s="1"/>
  <c r="O672" i="9" s="1"/>
  <c r="L671" i="9"/>
  <c r="M671" i="9" l="1"/>
  <c r="N671" i="9" s="1"/>
  <c r="O671" i="9" s="1"/>
  <c r="L670" i="9"/>
  <c r="M670" i="9" l="1"/>
  <c r="N670" i="9" s="1"/>
  <c r="O670" i="9" s="1"/>
  <c r="L669" i="9"/>
  <c r="M669" i="9" l="1"/>
  <c r="N669" i="9" s="1"/>
  <c r="O669" i="9" s="1"/>
  <c r="L668" i="9"/>
  <c r="M668" i="9" l="1"/>
  <c r="N668" i="9" s="1"/>
  <c r="O668" i="9" s="1"/>
  <c r="L667" i="9"/>
  <c r="M667" i="9" l="1"/>
  <c r="N667" i="9" s="1"/>
  <c r="O667" i="9" s="1"/>
  <c r="L666" i="9"/>
  <c r="M666" i="9" l="1"/>
  <c r="N666" i="9" s="1"/>
  <c r="O666" i="9" s="1"/>
  <c r="L665" i="9"/>
  <c r="M665" i="9" l="1"/>
  <c r="N665" i="9" s="1"/>
  <c r="O665" i="9" s="1"/>
  <c r="L664" i="9"/>
  <c r="M664" i="9" l="1"/>
  <c r="N664" i="9" s="1"/>
  <c r="O664" i="9" s="1"/>
  <c r="L663" i="9"/>
  <c r="M663" i="9" l="1"/>
  <c r="N663" i="9" s="1"/>
  <c r="O663" i="9" s="1"/>
  <c r="L662" i="9"/>
  <c r="M662" i="9" l="1"/>
  <c r="N662" i="9" s="1"/>
  <c r="O662" i="9" s="1"/>
  <c r="L661" i="9"/>
  <c r="M661" i="9" l="1"/>
  <c r="N661" i="9" s="1"/>
  <c r="O661" i="9" s="1"/>
  <c r="L660" i="9"/>
  <c r="M660" i="9" l="1"/>
  <c r="N660" i="9" s="1"/>
  <c r="O660" i="9" s="1"/>
  <c r="L659" i="9"/>
  <c r="M659" i="9" l="1"/>
  <c r="N659" i="9" s="1"/>
  <c r="O659" i="9" s="1"/>
  <c r="L658" i="9"/>
  <c r="M658" i="9" l="1"/>
  <c r="N658" i="9" s="1"/>
  <c r="O658" i="9" s="1"/>
  <c r="L657" i="9"/>
  <c r="M657" i="9" l="1"/>
  <c r="N657" i="9" s="1"/>
  <c r="O657" i="9" s="1"/>
  <c r="L656" i="9"/>
  <c r="M656" i="9" l="1"/>
  <c r="N656" i="9" s="1"/>
  <c r="O656" i="9" s="1"/>
  <c r="L655" i="9"/>
  <c r="M655" i="9" l="1"/>
  <c r="N655" i="9" s="1"/>
  <c r="O655" i="9" s="1"/>
  <c r="L654" i="9"/>
  <c r="M654" i="9" l="1"/>
  <c r="N654" i="9" s="1"/>
  <c r="O654" i="9" s="1"/>
  <c r="L653" i="9"/>
  <c r="M653" i="9" l="1"/>
  <c r="N653" i="9" s="1"/>
  <c r="O653" i="9" s="1"/>
  <c r="L652" i="9"/>
  <c r="M652" i="9" l="1"/>
  <c r="N652" i="9" s="1"/>
  <c r="O652" i="9" s="1"/>
  <c r="L651" i="9"/>
  <c r="M651" i="9" l="1"/>
  <c r="N651" i="9" s="1"/>
  <c r="O651" i="9" s="1"/>
  <c r="L650" i="9"/>
  <c r="M650" i="9" l="1"/>
  <c r="N650" i="9" s="1"/>
  <c r="O650" i="9" s="1"/>
  <c r="L649" i="9"/>
  <c r="M649" i="9" l="1"/>
  <c r="N649" i="9" s="1"/>
  <c r="O649" i="9" s="1"/>
  <c r="L648" i="9"/>
  <c r="M648" i="9" l="1"/>
  <c r="N648" i="9" s="1"/>
  <c r="O648" i="9" s="1"/>
  <c r="L647" i="9"/>
  <c r="M647" i="9" l="1"/>
  <c r="N647" i="9" s="1"/>
  <c r="O647" i="9" s="1"/>
  <c r="L646" i="9"/>
  <c r="M646" i="9" l="1"/>
  <c r="N646" i="9" s="1"/>
  <c r="O646" i="9" s="1"/>
  <c r="L645" i="9"/>
  <c r="M645" i="9" l="1"/>
  <c r="N645" i="9" s="1"/>
  <c r="O645" i="9" s="1"/>
  <c r="L644" i="9"/>
  <c r="M644" i="9" l="1"/>
  <c r="N644" i="9" s="1"/>
  <c r="O644" i="9" s="1"/>
  <c r="L643" i="9"/>
  <c r="M643" i="9" l="1"/>
  <c r="N643" i="9" s="1"/>
  <c r="O643" i="9" s="1"/>
  <c r="L642" i="9"/>
  <c r="M642" i="9" l="1"/>
  <c r="N642" i="9" s="1"/>
  <c r="O642" i="9" s="1"/>
  <c r="L641" i="9"/>
  <c r="M641" i="9" l="1"/>
  <c r="N641" i="9" s="1"/>
  <c r="O641" i="9" s="1"/>
  <c r="L640" i="9"/>
  <c r="M640" i="9" l="1"/>
  <c r="N640" i="9" s="1"/>
  <c r="O640" i="9" s="1"/>
  <c r="L639" i="9"/>
  <c r="M639" i="9" l="1"/>
  <c r="N639" i="9" s="1"/>
  <c r="O639" i="9" s="1"/>
  <c r="L638" i="9"/>
  <c r="M638" i="9" l="1"/>
  <c r="N638" i="9" s="1"/>
  <c r="O638" i="9" s="1"/>
  <c r="L637" i="9"/>
  <c r="M637" i="9" l="1"/>
  <c r="N637" i="9" s="1"/>
  <c r="O637" i="9" s="1"/>
  <c r="L636" i="9"/>
  <c r="M636" i="9" l="1"/>
  <c r="N636" i="9" s="1"/>
  <c r="O636" i="9" s="1"/>
  <c r="L635" i="9"/>
  <c r="M635" i="9" l="1"/>
  <c r="N635" i="9" s="1"/>
  <c r="O635" i="9" s="1"/>
  <c r="L634" i="9"/>
  <c r="M634" i="9" l="1"/>
  <c r="N634" i="9" s="1"/>
  <c r="O634" i="9" s="1"/>
  <c r="L633" i="9"/>
  <c r="M633" i="9" l="1"/>
  <c r="N633" i="9" s="1"/>
  <c r="O633" i="9" s="1"/>
  <c r="L632" i="9"/>
  <c r="M632" i="9" l="1"/>
  <c r="N632" i="9" s="1"/>
  <c r="O632" i="9" s="1"/>
  <c r="L631" i="9"/>
  <c r="M631" i="9" l="1"/>
  <c r="N631" i="9" s="1"/>
  <c r="O631" i="9" s="1"/>
  <c r="L630" i="9"/>
  <c r="M630" i="9" l="1"/>
  <c r="N630" i="9" s="1"/>
  <c r="O630" i="9" s="1"/>
  <c r="L629" i="9"/>
  <c r="M629" i="9" l="1"/>
  <c r="N629" i="9" s="1"/>
  <c r="O629" i="9" s="1"/>
  <c r="L628" i="9"/>
  <c r="M628" i="9" l="1"/>
  <c r="N628" i="9" s="1"/>
  <c r="O628" i="9" s="1"/>
  <c r="L627" i="9"/>
  <c r="M627" i="9" l="1"/>
  <c r="N627" i="9" s="1"/>
  <c r="O627" i="9" s="1"/>
  <c r="L626" i="9"/>
  <c r="M626" i="9" l="1"/>
  <c r="N626" i="9" s="1"/>
  <c r="O626" i="9" s="1"/>
  <c r="L625" i="9"/>
  <c r="M625" i="9" l="1"/>
  <c r="N625" i="9" s="1"/>
  <c r="O625" i="9" s="1"/>
  <c r="L624" i="9"/>
  <c r="M624" i="9" l="1"/>
  <c r="N624" i="9" s="1"/>
  <c r="O624" i="9" s="1"/>
  <c r="L623" i="9"/>
  <c r="M623" i="9" l="1"/>
  <c r="N623" i="9" s="1"/>
  <c r="O623" i="9" s="1"/>
  <c r="L622" i="9"/>
  <c r="M622" i="9" l="1"/>
  <c r="N622" i="9" s="1"/>
  <c r="O622" i="9" s="1"/>
  <c r="L621" i="9"/>
  <c r="M621" i="9" l="1"/>
  <c r="N621" i="9" s="1"/>
  <c r="O621" i="9" s="1"/>
  <c r="L620" i="9"/>
  <c r="M620" i="9" l="1"/>
  <c r="N620" i="9" s="1"/>
  <c r="O620" i="9" s="1"/>
  <c r="L619" i="9"/>
  <c r="M619" i="9" l="1"/>
  <c r="N619" i="9" s="1"/>
  <c r="O619" i="9" s="1"/>
  <c r="L604" i="9"/>
  <c r="M604" i="9" l="1"/>
  <c r="N604" i="9" s="1"/>
  <c r="O604" i="9" s="1"/>
  <c r="L603" i="9"/>
  <c r="M603" i="9" l="1"/>
  <c r="N603" i="9" s="1"/>
  <c r="O603" i="9" s="1"/>
  <c r="L602" i="9"/>
  <c r="M602" i="9" l="1"/>
  <c r="N602" i="9" s="1"/>
  <c r="O602" i="9" s="1"/>
  <c r="L601" i="9"/>
  <c r="M601" i="9" l="1"/>
  <c r="N601" i="9" s="1"/>
  <c r="O601" i="9" s="1"/>
  <c r="L600" i="9"/>
  <c r="M600" i="9" l="1"/>
  <c r="N600" i="9" s="1"/>
  <c r="O600" i="9" s="1"/>
  <c r="L599" i="9"/>
  <c r="M599" i="9" l="1"/>
  <c r="L598" i="9"/>
  <c r="N599" i="9" l="1"/>
  <c r="O599" i="9" s="1"/>
  <c r="M598" i="9"/>
  <c r="N598" i="9" s="1"/>
  <c r="O598" i="9" s="1"/>
  <c r="L597" i="9"/>
  <c r="M597" i="9" l="1"/>
  <c r="N597" i="9" s="1"/>
  <c r="O597" i="9" s="1"/>
  <c r="L596" i="9"/>
  <c r="M596" i="9" l="1"/>
  <c r="N596" i="9" s="1"/>
  <c r="O596" i="9" s="1"/>
  <c r="L595" i="9"/>
  <c r="M595" i="9" l="1"/>
  <c r="N595" i="9" s="1"/>
  <c r="O595" i="9" s="1"/>
  <c r="L594" i="9"/>
  <c r="M594" i="9" l="1"/>
  <c r="N594" i="9" s="1"/>
  <c r="O594" i="9" s="1"/>
  <c r="L593" i="9"/>
  <c r="M593" i="9" l="1"/>
  <c r="N593" i="9" s="1"/>
  <c r="O593" i="9" s="1"/>
  <c r="L592" i="9"/>
  <c r="M592" i="9" l="1"/>
  <c r="N592" i="9" s="1"/>
  <c r="O592" i="9" s="1"/>
  <c r="L591" i="9"/>
  <c r="M591" i="9" l="1"/>
  <c r="N591" i="9" s="1"/>
  <c r="O591" i="9" s="1"/>
  <c r="L590" i="9"/>
  <c r="M590" i="9" l="1"/>
  <c r="N590" i="9" s="1"/>
  <c r="O590" i="9" s="1"/>
  <c r="L589" i="9"/>
  <c r="M589" i="9" l="1"/>
  <c r="L588" i="9"/>
  <c r="N589" i="9" l="1"/>
  <c r="O589" i="9" s="1"/>
  <c r="M588" i="9"/>
  <c r="N588" i="9" s="1"/>
  <c r="O588" i="9" s="1"/>
  <c r="L587" i="9"/>
  <c r="M587" i="9" l="1"/>
  <c r="N587" i="9" s="1"/>
  <c r="O587" i="9" s="1"/>
  <c r="L586" i="9"/>
  <c r="M586" i="9" l="1"/>
  <c r="N586" i="9" s="1"/>
  <c r="O586" i="9" s="1"/>
  <c r="L585" i="9"/>
  <c r="M585" i="9" l="1"/>
  <c r="N585" i="9" s="1"/>
  <c r="O585" i="9" s="1"/>
  <c r="L584" i="9"/>
  <c r="M584" i="9" l="1"/>
  <c r="N584" i="9" s="1"/>
  <c r="O584" i="9" s="1"/>
  <c r="L583" i="9"/>
  <c r="L582" i="9" l="1"/>
  <c r="M583" i="9"/>
  <c r="L581" i="9" l="1"/>
  <c r="M582" i="9"/>
  <c r="L580" i="9" l="1"/>
  <c r="M581" i="9"/>
  <c r="L579" i="9" l="1"/>
  <c r="M580" i="9"/>
  <c r="L578" i="9" l="1"/>
  <c r="M579" i="9"/>
  <c r="N579" i="9" s="1"/>
  <c r="O579" i="9" s="1"/>
  <c r="L577" i="9" l="1"/>
  <c r="M578" i="9"/>
  <c r="N578" i="9" s="1"/>
  <c r="O578" i="9" s="1"/>
  <c r="N580" i="9"/>
  <c r="O580" i="9" s="1"/>
  <c r="L576" i="9" l="1"/>
  <c r="M577" i="9"/>
  <c r="N577" i="9" s="1"/>
  <c r="O577" i="9" s="1"/>
  <c r="N581" i="9"/>
  <c r="O581" i="9" s="1"/>
  <c r="L575" i="9" l="1"/>
  <c r="M576" i="9"/>
  <c r="N576" i="9" s="1"/>
  <c r="O576" i="9" s="1"/>
  <c r="N583" i="9"/>
  <c r="O583" i="9" s="1"/>
  <c r="N582" i="9"/>
  <c r="O582" i="9" s="1"/>
  <c r="L574" i="9" l="1"/>
  <c r="M575" i="9"/>
  <c r="N575" i="9" s="1"/>
  <c r="O575" i="9" s="1"/>
  <c r="M574" i="9" l="1"/>
  <c r="N574" i="9" s="1"/>
  <c r="O574" i="9" s="1"/>
  <c r="L573" i="9"/>
  <c r="M573" i="9" l="1"/>
  <c r="N573" i="9" s="1"/>
  <c r="O573" i="9" s="1"/>
  <c r="L572" i="9"/>
  <c r="M572" i="9" l="1"/>
  <c r="N572" i="9" s="1"/>
  <c r="O572" i="9" s="1"/>
  <c r="L571" i="9"/>
  <c r="M571" i="9" l="1"/>
  <c r="N571" i="9" s="1"/>
  <c r="O571" i="9" s="1"/>
  <c r="L570" i="9"/>
  <c r="M570" i="9" l="1"/>
  <c r="N570" i="9" s="1"/>
  <c r="O570" i="9" s="1"/>
  <c r="L569" i="9"/>
  <c r="M569" i="9" l="1"/>
  <c r="N569" i="9" s="1"/>
  <c r="O569" i="9" s="1"/>
  <c r="L568" i="9"/>
  <c r="M568" i="9" l="1"/>
  <c r="N568" i="9" s="1"/>
  <c r="O568" i="9" s="1"/>
  <c r="L567" i="9"/>
  <c r="M567" i="9" l="1"/>
  <c r="N567" i="9" s="1"/>
  <c r="O567" i="9" s="1"/>
  <c r="L566" i="9"/>
  <c r="M566" i="9" l="1"/>
  <c r="N566" i="9" s="1"/>
  <c r="O566" i="9" s="1"/>
  <c r="L565" i="9"/>
  <c r="M565" i="9" l="1"/>
  <c r="N565" i="9" s="1"/>
  <c r="O565" i="9" s="1"/>
  <c r="L564" i="9"/>
  <c r="M564" i="9" l="1"/>
  <c r="L563" i="9"/>
  <c r="N564" i="9" l="1"/>
  <c r="O564" i="9" s="1"/>
  <c r="M563" i="9"/>
  <c r="N563" i="9" s="1"/>
  <c r="O563" i="9" s="1"/>
  <c r="L562" i="9"/>
  <c r="M562" i="9" l="1"/>
  <c r="L561" i="9"/>
  <c r="N562" i="9" l="1"/>
  <c r="O562" i="9" s="1"/>
  <c r="M561" i="9"/>
  <c r="N561" i="9" s="1"/>
  <c r="O561" i="9" s="1"/>
  <c r="L560" i="9"/>
  <c r="M560" i="9" l="1"/>
  <c r="L559" i="9"/>
  <c r="N560" i="9" l="1"/>
  <c r="O560" i="9" s="1"/>
  <c r="M559" i="9"/>
  <c r="N559" i="9" s="1"/>
  <c r="O559" i="9" s="1"/>
  <c r="L558" i="9"/>
  <c r="M558" i="9" l="1"/>
  <c r="N558" i="9" s="1"/>
  <c r="O558" i="9" s="1"/>
  <c r="L557" i="9"/>
  <c r="M557" i="9" l="1"/>
  <c r="N557" i="9" s="1"/>
  <c r="O557" i="9" s="1"/>
  <c r="L556" i="9"/>
  <c r="L555" i="9" l="1"/>
  <c r="M556" i="9"/>
  <c r="N556" i="9" s="1"/>
  <c r="O556" i="9" s="1"/>
  <c r="L554" i="9" l="1"/>
  <c r="M555" i="9"/>
  <c r="N555" i="9" s="1"/>
  <c r="O555" i="9" s="1"/>
  <c r="M554" i="9" l="1"/>
  <c r="N554" i="9" s="1"/>
  <c r="O554" i="9" s="1"/>
  <c r="L553" i="9"/>
  <c r="M553" i="9" l="1"/>
  <c r="N553" i="9" s="1"/>
  <c r="O553" i="9" s="1"/>
  <c r="L552" i="9"/>
  <c r="L551" i="9" l="1"/>
  <c r="M552" i="9"/>
  <c r="N552" i="9" s="1"/>
  <c r="O552" i="9" s="1"/>
  <c r="L550" i="9" l="1"/>
  <c r="M551" i="9"/>
  <c r="N551" i="9" s="1"/>
  <c r="O551" i="9" s="1"/>
  <c r="L549" i="9" l="1"/>
  <c r="M550" i="9"/>
  <c r="N550" i="9" s="1"/>
  <c r="O550" i="9" s="1"/>
  <c r="L548" i="9" l="1"/>
  <c r="M549" i="9"/>
  <c r="N549" i="9" s="1"/>
  <c r="O549" i="9" s="1"/>
  <c r="L547" i="9" l="1"/>
  <c r="M548" i="9"/>
  <c r="N548" i="9" s="1"/>
  <c r="O548" i="9" s="1"/>
  <c r="L546" i="9" l="1"/>
  <c r="M547" i="9"/>
  <c r="N547" i="9" s="1"/>
  <c r="O547" i="9" s="1"/>
  <c r="L545" i="9" l="1"/>
  <c r="M546" i="9"/>
  <c r="N546" i="9" s="1"/>
  <c r="O546" i="9" s="1"/>
  <c r="L544" i="9" l="1"/>
  <c r="M545" i="9"/>
  <c r="N545" i="9" s="1"/>
  <c r="O545" i="9" s="1"/>
  <c r="L543" i="9" l="1"/>
  <c r="M544" i="9"/>
  <c r="N544" i="9" s="1"/>
  <c r="O544" i="9" s="1"/>
  <c r="M543" i="9" l="1"/>
  <c r="N543" i="9" s="1"/>
  <c r="O543" i="9" s="1"/>
  <c r="L542" i="9"/>
  <c r="M542" i="9" l="1"/>
  <c r="N542" i="9" s="1"/>
  <c r="O542" i="9" s="1"/>
  <c r="L541" i="9"/>
  <c r="M541" i="9" l="1"/>
  <c r="N541" i="9" s="1"/>
  <c r="O541" i="9" s="1"/>
  <c r="L540" i="9"/>
  <c r="M540" i="9" l="1"/>
  <c r="N540" i="9" s="1"/>
  <c r="O540" i="9" s="1"/>
  <c r="L539" i="9"/>
  <c r="M539" i="9" l="1"/>
  <c r="N539" i="9" s="1"/>
  <c r="O539" i="9" s="1"/>
  <c r="L538" i="9"/>
  <c r="M538" i="9" l="1"/>
  <c r="N538" i="9" s="1"/>
  <c r="O538" i="9" s="1"/>
  <c r="L537" i="9"/>
  <c r="M537" i="9" l="1"/>
  <c r="N537" i="9" s="1"/>
  <c r="O537" i="9" s="1"/>
  <c r="L536" i="9"/>
  <c r="M536" i="9" l="1"/>
  <c r="N536" i="9" s="1"/>
  <c r="O536" i="9" s="1"/>
  <c r="L535" i="9"/>
  <c r="M535" i="9" l="1"/>
  <c r="N535" i="9" s="1"/>
  <c r="O535" i="9" s="1"/>
  <c r="L534" i="9"/>
  <c r="M534" i="9" l="1"/>
  <c r="N534" i="9" s="1"/>
  <c r="O534" i="9" s="1"/>
  <c r="L533" i="9"/>
  <c r="M533" i="9" l="1"/>
  <c r="N533" i="9" s="1"/>
  <c r="O533" i="9" s="1"/>
  <c r="L532" i="9"/>
  <c r="M532" i="9" l="1"/>
  <c r="N532" i="9" s="1"/>
  <c r="O532" i="9" s="1"/>
  <c r="L531" i="9"/>
  <c r="M531" i="9" l="1"/>
  <c r="N531" i="9" s="1"/>
  <c r="O531" i="9" s="1"/>
  <c r="L530" i="9"/>
  <c r="M530" i="9" l="1"/>
  <c r="N530" i="9" s="1"/>
  <c r="O530" i="9" s="1"/>
  <c r="L529" i="9"/>
  <c r="M529" i="9" l="1"/>
  <c r="N529" i="9" s="1"/>
  <c r="O529" i="9" s="1"/>
  <c r="L528" i="9"/>
  <c r="M528" i="9" l="1"/>
  <c r="N528" i="9" s="1"/>
  <c r="O528" i="9" s="1"/>
  <c r="L527" i="9"/>
  <c r="M527" i="9" l="1"/>
  <c r="N527" i="9" s="1"/>
  <c r="O527" i="9" s="1"/>
  <c r="L526" i="9"/>
  <c r="M526" i="9" l="1"/>
  <c r="N526" i="9" s="1"/>
  <c r="O526" i="9" s="1"/>
  <c r="L525" i="9"/>
  <c r="M525" i="9" l="1"/>
  <c r="N525" i="9" s="1"/>
  <c r="O525" i="9" s="1"/>
  <c r="L524" i="9"/>
  <c r="M524" i="9" l="1"/>
  <c r="N524" i="9" s="1"/>
  <c r="O524" i="9" s="1"/>
  <c r="L523" i="9"/>
  <c r="M523" i="9" l="1"/>
  <c r="N523" i="9" s="1"/>
  <c r="O523" i="9" s="1"/>
  <c r="L522" i="9"/>
  <c r="M522" i="9" l="1"/>
  <c r="N522" i="9" s="1"/>
  <c r="O522" i="9" s="1"/>
  <c r="L521" i="9"/>
  <c r="M521" i="9" l="1"/>
  <c r="N521" i="9" s="1"/>
  <c r="O521" i="9" s="1"/>
  <c r="L520" i="9"/>
  <c r="M520" i="9" l="1"/>
  <c r="N520" i="9" s="1"/>
  <c r="O520" i="9" s="1"/>
  <c r="L519" i="9"/>
  <c r="M519" i="9" l="1"/>
  <c r="N519" i="9" s="1"/>
  <c r="O519" i="9" s="1"/>
  <c r="L518" i="9"/>
  <c r="M518" i="9" l="1"/>
  <c r="N518" i="9" s="1"/>
  <c r="O518" i="9" s="1"/>
  <c r="L517" i="9"/>
  <c r="M517" i="9" l="1"/>
  <c r="N517" i="9" s="1"/>
  <c r="O517" i="9" s="1"/>
  <c r="L516" i="9"/>
  <c r="M516" i="9" l="1"/>
  <c r="N516" i="9" s="1"/>
  <c r="O516" i="9" s="1"/>
  <c r="L515" i="9"/>
  <c r="M515" i="9" l="1"/>
  <c r="N515" i="9" s="1"/>
  <c r="O515" i="9" s="1"/>
  <c r="L514" i="9"/>
  <c r="M514" i="9" l="1"/>
  <c r="N514" i="9" s="1"/>
  <c r="O514" i="9" s="1"/>
  <c r="L513" i="9"/>
  <c r="M513" i="9" l="1"/>
  <c r="N513" i="9" s="1"/>
  <c r="O513" i="9" s="1"/>
  <c r="L512" i="9"/>
  <c r="M512" i="9" l="1"/>
  <c r="N512" i="9" s="1"/>
  <c r="O512" i="9" s="1"/>
  <c r="L511" i="9"/>
  <c r="M511" i="9" l="1"/>
  <c r="N511" i="9" s="1"/>
  <c r="O511" i="9" s="1"/>
  <c r="L510" i="9"/>
  <c r="M510" i="9" l="1"/>
  <c r="N510" i="9" s="1"/>
  <c r="O510" i="9" s="1"/>
  <c r="L509" i="9"/>
  <c r="M509" i="9" l="1"/>
  <c r="N509" i="9" s="1"/>
  <c r="O509" i="9" s="1"/>
  <c r="L508" i="9"/>
  <c r="M508" i="9" l="1"/>
  <c r="N508" i="9" s="1"/>
  <c r="O508" i="9" s="1"/>
  <c r="L507" i="9"/>
  <c r="M507" i="9" l="1"/>
  <c r="N507" i="9" s="1"/>
  <c r="O507" i="9" s="1"/>
  <c r="L506" i="9"/>
  <c r="M506" i="9" l="1"/>
  <c r="N506" i="9" s="1"/>
  <c r="O506" i="9" s="1"/>
  <c r="L505" i="9"/>
  <c r="M505" i="9" l="1"/>
  <c r="N505" i="9" s="1"/>
  <c r="O505" i="9" s="1"/>
  <c r="L504" i="9"/>
  <c r="M504" i="9" l="1"/>
  <c r="N504" i="9" s="1"/>
  <c r="O504" i="9" s="1"/>
  <c r="L503" i="9"/>
  <c r="M503" i="9" l="1"/>
  <c r="N503" i="9" s="1"/>
  <c r="O503" i="9" s="1"/>
  <c r="L502" i="9"/>
  <c r="M502" i="9" l="1"/>
  <c r="N502" i="9" s="1"/>
  <c r="O502" i="9" s="1"/>
  <c r="L501" i="9"/>
  <c r="M501" i="9" l="1"/>
  <c r="N501" i="9" s="1"/>
  <c r="O501" i="9" s="1"/>
  <c r="L500" i="9"/>
  <c r="M500" i="9" l="1"/>
  <c r="N500" i="9" s="1"/>
  <c r="O500" i="9" s="1"/>
  <c r="L499" i="9"/>
  <c r="M499" i="9" l="1"/>
  <c r="N499" i="9" s="1"/>
  <c r="O499" i="9" s="1"/>
  <c r="L498" i="9"/>
  <c r="M498" i="9" l="1"/>
  <c r="N498" i="9" s="1"/>
  <c r="O498" i="9" s="1"/>
  <c r="L497" i="9"/>
  <c r="M497" i="9" l="1"/>
  <c r="N497" i="9" s="1"/>
  <c r="O497" i="9" s="1"/>
  <c r="L496" i="9"/>
  <c r="M496" i="9" l="1"/>
  <c r="N496" i="9" s="1"/>
  <c r="O496" i="9" s="1"/>
  <c r="L495" i="9"/>
  <c r="M495" i="9" l="1"/>
  <c r="N495" i="9" s="1"/>
  <c r="O495" i="9" s="1"/>
  <c r="L494" i="9"/>
  <c r="M494" i="9" l="1"/>
  <c r="N494" i="9" s="1"/>
  <c r="O494" i="9" s="1"/>
  <c r="L493" i="9"/>
  <c r="M493" i="9" l="1"/>
  <c r="N493" i="9" s="1"/>
  <c r="O493" i="9" s="1"/>
  <c r="L492" i="9"/>
  <c r="M492" i="9" l="1"/>
  <c r="N492" i="9" s="1"/>
  <c r="O492" i="9" s="1"/>
  <c r="L491" i="9"/>
  <c r="M491" i="9" l="1"/>
  <c r="N491" i="9" s="1"/>
  <c r="O491" i="9" s="1"/>
  <c r="L490" i="9"/>
  <c r="M490" i="9" l="1"/>
  <c r="N490" i="9" s="1"/>
  <c r="O490" i="9" s="1"/>
  <c r="L489" i="9"/>
  <c r="M489" i="9" l="1"/>
  <c r="N489" i="9" s="1"/>
  <c r="O489" i="9" s="1"/>
  <c r="L488" i="9"/>
  <c r="M488" i="9" l="1"/>
  <c r="N488" i="9" s="1"/>
  <c r="O488" i="9" s="1"/>
  <c r="L487" i="9"/>
  <c r="M487" i="9" l="1"/>
  <c r="N487" i="9" s="1"/>
  <c r="O487" i="9" s="1"/>
  <c r="L486" i="9"/>
  <c r="M486" i="9" l="1"/>
  <c r="N486" i="9" s="1"/>
  <c r="O486" i="9" s="1"/>
  <c r="L485" i="9"/>
  <c r="M485" i="9" l="1"/>
  <c r="N485" i="9" s="1"/>
  <c r="O485" i="9" s="1"/>
  <c r="L484" i="9"/>
  <c r="M484" i="9" l="1"/>
  <c r="N484" i="9" s="1"/>
  <c r="O484" i="9" s="1"/>
  <c r="L483" i="9"/>
  <c r="M483" i="9" l="1"/>
  <c r="N483" i="9" s="1"/>
  <c r="O483" i="9" s="1"/>
  <c r="L482" i="9"/>
  <c r="M482" i="9" l="1"/>
  <c r="N482" i="9" s="1"/>
  <c r="O482" i="9" s="1"/>
  <c r="L481" i="9"/>
  <c r="M481" i="9" l="1"/>
  <c r="N481" i="9" s="1"/>
  <c r="O481" i="9" s="1"/>
  <c r="L480" i="9"/>
  <c r="M480" i="9" l="1"/>
  <c r="N480" i="9" s="1"/>
  <c r="O480" i="9" s="1"/>
  <c r="L479" i="9"/>
  <c r="M479" i="9" l="1"/>
  <c r="N479" i="9" s="1"/>
  <c r="O479" i="9" s="1"/>
  <c r="L478" i="9"/>
  <c r="M478" i="9" l="1"/>
  <c r="N478" i="9" s="1"/>
  <c r="O478" i="9" s="1"/>
  <c r="L477" i="9"/>
  <c r="M477" i="9" l="1"/>
  <c r="N477" i="9" s="1"/>
  <c r="O477" i="9" s="1"/>
  <c r="L476" i="9"/>
  <c r="M476" i="9" l="1"/>
  <c r="N476" i="9" s="1"/>
  <c r="O476" i="9" s="1"/>
  <c r="L475" i="9"/>
  <c r="M475" i="9" l="1"/>
  <c r="N475" i="9" s="1"/>
  <c r="O475" i="9" s="1"/>
  <c r="L474" i="9"/>
  <c r="M474" i="9" l="1"/>
  <c r="N474" i="9" s="1"/>
  <c r="O474" i="9" s="1"/>
  <c r="L473" i="9"/>
  <c r="M473" i="9" l="1"/>
  <c r="N473" i="9" s="1"/>
  <c r="O473" i="9" s="1"/>
  <c r="L472" i="9"/>
  <c r="M472" i="9" l="1"/>
  <c r="N472" i="9" s="1"/>
  <c r="O472" i="9" s="1"/>
  <c r="L471" i="9"/>
  <c r="M471" i="9" l="1"/>
  <c r="N471" i="9" s="1"/>
  <c r="O471" i="9" s="1"/>
  <c r="L470" i="9"/>
  <c r="M470" i="9" l="1"/>
  <c r="N470" i="9" s="1"/>
  <c r="O470" i="9" s="1"/>
  <c r="L469" i="9"/>
  <c r="M469" i="9" l="1"/>
  <c r="N469" i="9" s="1"/>
  <c r="O469" i="9" s="1"/>
  <c r="L468" i="9"/>
  <c r="M468" i="9" l="1"/>
  <c r="N468" i="9" s="1"/>
  <c r="O468" i="9" s="1"/>
  <c r="L467" i="9"/>
  <c r="M467" i="9" l="1"/>
  <c r="N467" i="9" s="1"/>
  <c r="O467" i="9" s="1"/>
  <c r="L466" i="9"/>
  <c r="M466" i="9" l="1"/>
  <c r="N466" i="9" s="1"/>
  <c r="O466" i="9" s="1"/>
  <c r="L465" i="9"/>
  <c r="M465" i="9" l="1"/>
  <c r="N465" i="9" s="1"/>
  <c r="O465" i="9" s="1"/>
  <c r="L464" i="9"/>
  <c r="M464" i="9" l="1"/>
  <c r="N464" i="9" s="1"/>
  <c r="O464" i="9" s="1"/>
  <c r="L463" i="9"/>
  <c r="M463" i="9" l="1"/>
  <c r="N463" i="9" s="1"/>
  <c r="O463" i="9" s="1"/>
  <c r="L462" i="9"/>
  <c r="M462" i="9" l="1"/>
  <c r="N462" i="9" s="1"/>
  <c r="O462" i="9" s="1"/>
  <c r="L461" i="9"/>
  <c r="M461" i="9" l="1"/>
  <c r="N461" i="9" s="1"/>
  <c r="O461" i="9" s="1"/>
  <c r="L460" i="9"/>
  <c r="M460" i="9" l="1"/>
  <c r="N460" i="9" s="1"/>
  <c r="O460" i="9" s="1"/>
  <c r="L459" i="9"/>
  <c r="M459" i="9" l="1"/>
  <c r="N459" i="9" s="1"/>
  <c r="O459" i="9" s="1"/>
  <c r="L458" i="9"/>
  <c r="M458" i="9" l="1"/>
  <c r="L457" i="9"/>
  <c r="N458" i="9" l="1"/>
  <c r="O458" i="9" s="1"/>
  <c r="M457" i="9"/>
  <c r="N457" i="9" s="1"/>
  <c r="O457" i="9" s="1"/>
  <c r="L456" i="9"/>
  <c r="M456" i="9" l="1"/>
  <c r="L455" i="9"/>
  <c r="N456" i="9" l="1"/>
  <c r="O456" i="9" s="1"/>
  <c r="M455" i="9"/>
  <c r="N455" i="9" s="1"/>
  <c r="O455" i="9" s="1"/>
  <c r="L454" i="9"/>
  <c r="M454" i="9" l="1"/>
  <c r="N454" i="9" s="1"/>
  <c r="O454" i="9" s="1"/>
  <c r="L453" i="9"/>
  <c r="M453" i="9" l="1"/>
  <c r="N453" i="9" s="1"/>
  <c r="O453" i="9" s="1"/>
  <c r="L452" i="9"/>
  <c r="M452" i="9" l="1"/>
  <c r="N452" i="9" s="1"/>
  <c r="O452" i="9" s="1"/>
  <c r="L451" i="9"/>
  <c r="M451" i="9" l="1"/>
  <c r="N451" i="9" s="1"/>
  <c r="O451" i="9" s="1"/>
  <c r="L450" i="9"/>
  <c r="M450" i="9" l="1"/>
  <c r="N450" i="9" s="1"/>
  <c r="O450" i="9" s="1"/>
  <c r="L449" i="9"/>
  <c r="M449" i="9" l="1"/>
  <c r="N449" i="9" s="1"/>
  <c r="O449" i="9" s="1"/>
  <c r="L448" i="9"/>
  <c r="M448" i="9" l="1"/>
  <c r="L447" i="9"/>
  <c r="N448" i="9" l="1"/>
  <c r="O448" i="9" s="1"/>
  <c r="M447" i="9"/>
  <c r="N447" i="9" s="1"/>
  <c r="O447" i="9" s="1"/>
  <c r="L446" i="9"/>
  <c r="M446" i="9" l="1"/>
  <c r="N446" i="9" s="1"/>
  <c r="O446" i="9" s="1"/>
  <c r="L445" i="9"/>
  <c r="M445" i="9" l="1"/>
  <c r="N445" i="9" s="1"/>
  <c r="O445" i="9" s="1"/>
  <c r="L444" i="9"/>
  <c r="M444" i="9" l="1"/>
  <c r="N444" i="9" s="1"/>
  <c r="O444" i="9" s="1"/>
  <c r="L443" i="9"/>
  <c r="M443" i="9" l="1"/>
  <c r="N443" i="9" s="1"/>
  <c r="O443" i="9" s="1"/>
  <c r="L442" i="9"/>
  <c r="M442" i="9" l="1"/>
  <c r="N442" i="9" s="1"/>
  <c r="O442" i="9" s="1"/>
  <c r="L441" i="9"/>
  <c r="M441" i="9" l="1"/>
  <c r="L440" i="9"/>
  <c r="N441" i="9" l="1"/>
  <c r="O441" i="9" s="1"/>
  <c r="M440" i="9"/>
  <c r="N440" i="9" s="1"/>
  <c r="O440" i="9" s="1"/>
  <c r="L439" i="9"/>
  <c r="M439" i="9" l="1"/>
  <c r="N439" i="9" s="1"/>
  <c r="O439" i="9" s="1"/>
  <c r="L438" i="9"/>
  <c r="M438" i="9" l="1"/>
  <c r="L437" i="9"/>
  <c r="N438" i="9" l="1"/>
  <c r="O438" i="9" s="1"/>
  <c r="M437" i="9"/>
  <c r="N437" i="9" s="1"/>
  <c r="O437" i="9" s="1"/>
  <c r="L436" i="9"/>
  <c r="M436" i="9" l="1"/>
  <c r="L435" i="9"/>
  <c r="N436" i="9" l="1"/>
  <c r="O436" i="9" s="1"/>
  <c r="M435" i="9"/>
  <c r="N435" i="9" s="1"/>
  <c r="O435" i="9" s="1"/>
  <c r="L434" i="9"/>
  <c r="M434" i="9" l="1"/>
  <c r="L433" i="9"/>
  <c r="N434" i="9" l="1"/>
  <c r="O434" i="9" s="1"/>
  <c r="M433" i="9"/>
  <c r="N433" i="9" s="1"/>
  <c r="O433" i="9" s="1"/>
  <c r="L432" i="9"/>
  <c r="L431" i="9" l="1"/>
  <c r="M432" i="9"/>
  <c r="N432" i="9" s="1"/>
  <c r="O432" i="9" s="1"/>
  <c r="L430" i="9" l="1"/>
  <c r="M431" i="9"/>
  <c r="N431" i="9" s="1"/>
  <c r="O431" i="9" s="1"/>
  <c r="L429" i="9" l="1"/>
  <c r="M430" i="9"/>
  <c r="N430" i="9" s="1"/>
  <c r="O430" i="9" s="1"/>
  <c r="L428" i="9" l="1"/>
  <c r="M429" i="9"/>
  <c r="N429" i="9" s="1"/>
  <c r="O429" i="9" s="1"/>
  <c r="L427" i="9" l="1"/>
  <c r="M428" i="9"/>
  <c r="N428" i="9" s="1"/>
  <c r="O428" i="9" s="1"/>
  <c r="L426" i="9" l="1"/>
  <c r="M427" i="9"/>
  <c r="N427" i="9" s="1"/>
  <c r="O427" i="9" s="1"/>
  <c r="M426" i="9" l="1"/>
  <c r="N426" i="9" s="1"/>
  <c r="O426" i="9" s="1"/>
  <c r="L425" i="9"/>
  <c r="M425" i="9" l="1"/>
  <c r="N425" i="9" s="1"/>
  <c r="O425" i="9" s="1"/>
  <c r="L424" i="9"/>
  <c r="M424" i="9" l="1"/>
  <c r="N424" i="9" s="1"/>
  <c r="O424" i="9" s="1"/>
  <c r="L423" i="9"/>
  <c r="M423" i="9" l="1"/>
  <c r="N423" i="9" s="1"/>
  <c r="O423" i="9" s="1"/>
  <c r="L422" i="9"/>
  <c r="L421" i="9" l="1"/>
  <c r="M422" i="9"/>
  <c r="N422" i="9" s="1"/>
  <c r="O422" i="9" s="1"/>
  <c r="L420" i="9" l="1"/>
  <c r="M421" i="9"/>
  <c r="N421" i="9" s="1"/>
  <c r="O421" i="9" s="1"/>
  <c r="L419" i="9" l="1"/>
  <c r="M420" i="9"/>
  <c r="N420" i="9" s="1"/>
  <c r="O420" i="9" s="1"/>
  <c r="L418" i="9" l="1"/>
  <c r="M419" i="9"/>
  <c r="N419" i="9" s="1"/>
  <c r="O419" i="9" s="1"/>
  <c r="M418" i="9" l="1"/>
  <c r="N418" i="9" s="1"/>
  <c r="O418" i="9" s="1"/>
  <c r="L417" i="9"/>
  <c r="M417" i="9" l="1"/>
  <c r="N417" i="9" s="1"/>
  <c r="O417" i="9" s="1"/>
  <c r="L416" i="9"/>
  <c r="L415" i="9" l="1"/>
  <c r="M416" i="9"/>
  <c r="N416" i="9" s="1"/>
  <c r="O416" i="9" s="1"/>
  <c r="L414" i="9" l="1"/>
  <c r="M415" i="9"/>
  <c r="N415" i="9" s="1"/>
  <c r="O415" i="9" s="1"/>
  <c r="L413" i="9" l="1"/>
  <c r="M414" i="9"/>
  <c r="N414" i="9" s="1"/>
  <c r="O414" i="9" s="1"/>
  <c r="L412" i="9" l="1"/>
  <c r="M413" i="9"/>
  <c r="N413" i="9" s="1"/>
  <c r="O413" i="9" s="1"/>
  <c r="L411" i="9" l="1"/>
  <c r="M412" i="9"/>
  <c r="N412" i="9" s="1"/>
  <c r="O412" i="9" s="1"/>
  <c r="L410" i="9" l="1"/>
  <c r="M411" i="9"/>
  <c r="N411" i="9" s="1"/>
  <c r="O411" i="9" s="1"/>
  <c r="M410" i="9" l="1"/>
  <c r="N410" i="9" s="1"/>
  <c r="O410" i="9" s="1"/>
  <c r="L409" i="9"/>
  <c r="M409" i="9" l="1"/>
  <c r="N409" i="9" s="1"/>
  <c r="O409" i="9" s="1"/>
  <c r="L408" i="9"/>
  <c r="M408" i="9" l="1"/>
  <c r="N408" i="9" s="1"/>
  <c r="O408" i="9" s="1"/>
  <c r="L407" i="9"/>
  <c r="M407" i="9" l="1"/>
  <c r="N407" i="9" s="1"/>
  <c r="O407" i="9" s="1"/>
  <c r="L406" i="9"/>
  <c r="M406" i="9" l="1"/>
  <c r="N406" i="9" s="1"/>
  <c r="O406" i="9" s="1"/>
  <c r="L405" i="9"/>
  <c r="M405" i="9" l="1"/>
  <c r="N405" i="9" s="1"/>
  <c r="O405" i="9" s="1"/>
  <c r="L404" i="9"/>
  <c r="M404" i="9" l="1"/>
  <c r="N404" i="9" s="1"/>
  <c r="O404" i="9" s="1"/>
  <c r="L403" i="9"/>
  <c r="M403" i="9" l="1"/>
  <c r="N403" i="9" s="1"/>
  <c r="O403" i="9" s="1"/>
  <c r="L402" i="9"/>
  <c r="M402" i="9" l="1"/>
  <c r="N402" i="9" s="1"/>
  <c r="O402" i="9" s="1"/>
  <c r="L401" i="9"/>
  <c r="M401" i="9" l="1"/>
  <c r="N401" i="9" s="1"/>
  <c r="O401" i="9" s="1"/>
  <c r="L400" i="9"/>
  <c r="M400" i="9" l="1"/>
  <c r="N400" i="9" s="1"/>
  <c r="O400" i="9" s="1"/>
  <c r="L399" i="9"/>
  <c r="M399" i="9" l="1"/>
  <c r="N399" i="9" s="1"/>
  <c r="O399" i="9" s="1"/>
  <c r="L398" i="9"/>
  <c r="M398" i="9" l="1"/>
  <c r="N398" i="9" s="1"/>
  <c r="O398" i="9" s="1"/>
  <c r="L397" i="9"/>
  <c r="M397" i="9" l="1"/>
  <c r="N397" i="9" s="1"/>
  <c r="O397" i="9" s="1"/>
  <c r="L396" i="9"/>
  <c r="M396" i="9" l="1"/>
  <c r="N396" i="9" s="1"/>
  <c r="O396" i="9" s="1"/>
  <c r="L395" i="9"/>
  <c r="M395" i="9" l="1"/>
  <c r="N395" i="9" s="1"/>
  <c r="O395" i="9" s="1"/>
  <c r="L394" i="9"/>
  <c r="M394" i="9" l="1"/>
  <c r="N394" i="9" s="1"/>
  <c r="O394" i="9" s="1"/>
  <c r="L393" i="9"/>
  <c r="M393" i="9" l="1"/>
  <c r="N393" i="9" s="1"/>
  <c r="O393" i="9" s="1"/>
  <c r="L392" i="9"/>
  <c r="M392" i="9" l="1"/>
  <c r="N392" i="9" s="1"/>
  <c r="O392" i="9" s="1"/>
  <c r="L391" i="9"/>
  <c r="M391" i="9" l="1"/>
  <c r="N391" i="9" s="1"/>
  <c r="O391" i="9" s="1"/>
  <c r="L390" i="9"/>
  <c r="M390" i="9" l="1"/>
  <c r="N390" i="9" s="1"/>
  <c r="O390" i="9" s="1"/>
  <c r="L389" i="9"/>
  <c r="M389" i="9" l="1"/>
  <c r="N389" i="9" s="1"/>
  <c r="O389" i="9" s="1"/>
  <c r="L388" i="9"/>
  <c r="M388" i="9" l="1"/>
  <c r="N388" i="9" s="1"/>
  <c r="O388" i="9" s="1"/>
  <c r="L387" i="9"/>
  <c r="M387" i="9" l="1"/>
  <c r="N387" i="9" s="1"/>
  <c r="O387" i="9" s="1"/>
  <c r="L386" i="9"/>
  <c r="M386" i="9" l="1"/>
  <c r="L385" i="9"/>
  <c r="N386" i="9" l="1"/>
  <c r="O386" i="9" s="1"/>
  <c r="M385" i="9"/>
  <c r="N385" i="9" s="1"/>
  <c r="O385" i="9" s="1"/>
  <c r="L384" i="9"/>
  <c r="M384" i="9" l="1"/>
  <c r="L383" i="9"/>
  <c r="N384" i="9" l="1"/>
  <c r="O384" i="9" s="1"/>
  <c r="M383" i="9"/>
  <c r="N383" i="9" s="1"/>
  <c r="O383" i="9" s="1"/>
  <c r="L382" i="9"/>
  <c r="M382" i="9" l="1"/>
  <c r="N382" i="9" s="1"/>
  <c r="O382" i="9" s="1"/>
  <c r="L381" i="9"/>
  <c r="M381" i="9" l="1"/>
  <c r="L380" i="9"/>
  <c r="N381" i="9" l="1"/>
  <c r="O381" i="9" s="1"/>
  <c r="M380" i="9"/>
  <c r="N380" i="9" s="1"/>
  <c r="O380" i="9" s="1"/>
  <c r="L379" i="9"/>
  <c r="M379" i="9" l="1"/>
  <c r="N379" i="9" s="1"/>
  <c r="O379" i="9" s="1"/>
  <c r="L378" i="9"/>
  <c r="M378" i="9" l="1"/>
  <c r="N378" i="9" s="1"/>
  <c r="O378" i="9" s="1"/>
  <c r="L377" i="9"/>
  <c r="M377" i="9" l="1"/>
  <c r="L376" i="9"/>
  <c r="N377" i="9" l="1"/>
  <c r="O377" i="9" s="1"/>
  <c r="M376" i="9"/>
  <c r="N376" i="9" s="1"/>
  <c r="O376" i="9" s="1"/>
  <c r="L375" i="9"/>
  <c r="M375" i="9" l="1"/>
  <c r="N375" i="9" s="1"/>
  <c r="O375" i="9" s="1"/>
  <c r="L374" i="9"/>
  <c r="M374" i="9" l="1"/>
  <c r="L373" i="9"/>
  <c r="N374" i="9" l="1"/>
  <c r="O374" i="9" s="1"/>
  <c r="M373" i="9"/>
  <c r="N373" i="9" s="1"/>
  <c r="O373" i="9" s="1"/>
  <c r="L372" i="9"/>
  <c r="M372" i="9" l="1"/>
  <c r="L371" i="9"/>
  <c r="N372" i="9" l="1"/>
  <c r="O372" i="9" s="1"/>
  <c r="M371" i="9"/>
  <c r="N371" i="9" s="1"/>
  <c r="O371" i="9" s="1"/>
  <c r="L370" i="9"/>
  <c r="M370" i="9" l="1"/>
  <c r="N370" i="9" s="1"/>
  <c r="O370" i="9" s="1"/>
  <c r="L369" i="9"/>
  <c r="M369" i="9" l="1"/>
  <c r="N369" i="9" s="1"/>
  <c r="O369" i="9" s="1"/>
  <c r="L368" i="9"/>
  <c r="L367" i="9" l="1"/>
  <c r="M368" i="9"/>
  <c r="N368" i="9" s="1"/>
  <c r="O368" i="9" s="1"/>
  <c r="L366" i="9" l="1"/>
  <c r="M367" i="9"/>
  <c r="N367" i="9" s="1"/>
  <c r="O367" i="9" s="1"/>
  <c r="L365" i="9" l="1"/>
  <c r="M366" i="9"/>
  <c r="N366" i="9" s="1"/>
  <c r="O366" i="9" s="1"/>
  <c r="L364" i="9" l="1"/>
  <c r="M365" i="9"/>
  <c r="N365" i="9" s="1"/>
  <c r="O365" i="9" s="1"/>
  <c r="M364" i="9" l="1"/>
  <c r="N364" i="9" s="1"/>
  <c r="O364" i="9" s="1"/>
  <c r="L363" i="9"/>
  <c r="M363" i="9" l="1"/>
  <c r="N363" i="9" s="1"/>
  <c r="O363" i="9" s="1"/>
  <c r="L362" i="9"/>
  <c r="M362" i="9" l="1"/>
  <c r="N362" i="9" s="1"/>
  <c r="O362" i="9" s="1"/>
  <c r="L361" i="9"/>
  <c r="L360" i="9" l="1"/>
  <c r="M361" i="9"/>
  <c r="N361" i="9" s="1"/>
  <c r="O361" i="9" s="1"/>
  <c r="L359" i="9" l="1"/>
  <c r="M360" i="9"/>
  <c r="N360" i="9" s="1"/>
  <c r="O360" i="9" s="1"/>
  <c r="L358" i="9" l="1"/>
  <c r="M359" i="9"/>
  <c r="N359" i="9" s="1"/>
  <c r="O359" i="9" s="1"/>
  <c r="M358" i="9" l="1"/>
  <c r="N358" i="9" s="1"/>
  <c r="O358" i="9" s="1"/>
  <c r="L357" i="9"/>
  <c r="M357" i="9" l="1"/>
  <c r="N357" i="9" s="1"/>
  <c r="O357" i="9" s="1"/>
  <c r="L356" i="9"/>
  <c r="M356" i="9" l="1"/>
  <c r="N356" i="9" s="1"/>
  <c r="O356" i="9" s="1"/>
  <c r="L355" i="9"/>
  <c r="L354" i="9" l="1"/>
  <c r="M355" i="9"/>
  <c r="N355" i="9" s="1"/>
  <c r="O355" i="9" s="1"/>
  <c r="L353" i="9" l="1"/>
  <c r="M354" i="9"/>
  <c r="N354" i="9" s="1"/>
  <c r="O354" i="9" s="1"/>
  <c r="L352" i="9" l="1"/>
  <c r="M353" i="9"/>
  <c r="N353" i="9" s="1"/>
  <c r="O353" i="9" s="1"/>
  <c r="M352" i="9" l="1"/>
  <c r="N352" i="9" s="1"/>
  <c r="O352" i="9" s="1"/>
  <c r="L351" i="9"/>
  <c r="M351" i="9" l="1"/>
  <c r="N351" i="9" s="1"/>
  <c r="O351" i="9" s="1"/>
  <c r="L350" i="9"/>
  <c r="M350" i="9" l="1"/>
  <c r="L349" i="9"/>
  <c r="N350" i="9" l="1"/>
  <c r="O350" i="9" s="1"/>
  <c r="M349" i="9"/>
  <c r="N349" i="9" s="1"/>
  <c r="O349" i="9" s="1"/>
  <c r="L348" i="9"/>
  <c r="M348" i="9" l="1"/>
  <c r="N348" i="9" s="1"/>
  <c r="O348" i="9" s="1"/>
  <c r="L347" i="9"/>
  <c r="M347" i="9" l="1"/>
  <c r="N347" i="9" s="1"/>
  <c r="O347" i="9" s="1"/>
  <c r="L346" i="9"/>
  <c r="L345" i="9" l="1"/>
  <c r="M346" i="9"/>
  <c r="N346" i="9" s="1"/>
  <c r="O346" i="9" s="1"/>
  <c r="M345" i="9" l="1"/>
  <c r="N345" i="9" s="1"/>
  <c r="O345" i="9" s="1"/>
  <c r="L344" i="9"/>
  <c r="M344" i="9" l="1"/>
  <c r="N344" i="9" s="1"/>
  <c r="O344" i="9" s="1"/>
  <c r="L343" i="9"/>
  <c r="M343" i="9" l="1"/>
  <c r="L342" i="9"/>
  <c r="N343" i="9" l="1"/>
  <c r="O343" i="9" s="1"/>
  <c r="M342" i="9"/>
  <c r="N342" i="9" s="1"/>
  <c r="O342" i="9" s="1"/>
  <c r="L341" i="9"/>
  <c r="M341" i="9" l="1"/>
  <c r="N341" i="9" s="1"/>
  <c r="O341" i="9" s="1"/>
  <c r="L340" i="9"/>
  <c r="M340" i="9" l="1"/>
  <c r="N340" i="9" s="1"/>
  <c r="O340" i="9" s="1"/>
  <c r="L339" i="9"/>
  <c r="M339" i="9" l="1"/>
  <c r="N339" i="9" s="1"/>
  <c r="O339" i="9" s="1"/>
  <c r="L338" i="9"/>
  <c r="M338" i="9" l="1"/>
  <c r="L337" i="9"/>
  <c r="N338" i="9" l="1"/>
  <c r="O338" i="9" s="1"/>
  <c r="M337" i="9"/>
  <c r="N337" i="9" s="1"/>
  <c r="O337" i="9" s="1"/>
  <c r="L336" i="9"/>
  <c r="M336" i="9" l="1"/>
  <c r="N336" i="9" s="1"/>
  <c r="O336" i="9" s="1"/>
  <c r="L335" i="9"/>
  <c r="M335" i="9" l="1"/>
  <c r="N335" i="9" s="1"/>
  <c r="O335" i="9" s="1"/>
  <c r="L334" i="9"/>
  <c r="M334" i="9" l="1"/>
  <c r="N334" i="9" s="1"/>
  <c r="O334" i="9" s="1"/>
  <c r="L333" i="9"/>
  <c r="M333" i="9" l="1"/>
  <c r="N333" i="9" s="1"/>
  <c r="O333" i="9" s="1"/>
  <c r="L332" i="9"/>
  <c r="L331" i="9" l="1"/>
  <c r="M332" i="9"/>
  <c r="N332" i="9" s="1"/>
  <c r="O332" i="9" s="1"/>
  <c r="M331" i="9" l="1"/>
  <c r="N331" i="9" s="1"/>
  <c r="O331" i="9" s="1"/>
  <c r="L330" i="9"/>
  <c r="M330" i="9" l="1"/>
  <c r="N330" i="9" s="1"/>
  <c r="O330" i="9" s="1"/>
  <c r="L329" i="9"/>
  <c r="M329" i="9" l="1"/>
  <c r="L328" i="9"/>
  <c r="N329" i="9" l="1"/>
  <c r="O329" i="9" s="1"/>
  <c r="M328" i="9"/>
  <c r="N328" i="9" s="1"/>
  <c r="O328" i="9" s="1"/>
  <c r="L327" i="9"/>
  <c r="M327" i="9" l="1"/>
  <c r="N327" i="9" s="1"/>
  <c r="O327" i="9" s="1"/>
  <c r="L326" i="9"/>
  <c r="L325" i="9" l="1"/>
  <c r="M326" i="9"/>
  <c r="N326" i="9" s="1"/>
  <c r="M325" i="9" l="1"/>
  <c r="N325" i="9" s="1"/>
  <c r="L324" i="9"/>
  <c r="M324" i="9" l="1"/>
  <c r="N324" i="9" s="1"/>
  <c r="L323" i="9"/>
  <c r="M323" i="9" l="1"/>
  <c r="N323" i="9" s="1"/>
  <c r="O323" i="9" s="1"/>
  <c r="L322" i="9"/>
  <c r="M322" i="9" l="1"/>
  <c r="N322" i="9" s="1"/>
  <c r="O322" i="9" s="1"/>
  <c r="L321" i="9"/>
  <c r="M321" i="9" l="1"/>
  <c r="N321" i="9" s="1"/>
  <c r="O321" i="9" s="1"/>
  <c r="L320" i="9"/>
  <c r="M320" i="9" l="1"/>
  <c r="N320" i="9" s="1"/>
  <c r="O320" i="9" s="1"/>
  <c r="L319" i="9"/>
  <c r="L318" i="9" l="1"/>
  <c r="M319" i="9"/>
  <c r="N319" i="9" s="1"/>
  <c r="O319" i="9" s="1"/>
  <c r="M318" i="9" l="1"/>
  <c r="N318" i="9" s="1"/>
  <c r="O318" i="9" s="1"/>
  <c r="L317" i="9"/>
  <c r="M317" i="9" l="1"/>
  <c r="N317" i="9" s="1"/>
  <c r="O317" i="9" s="1"/>
  <c r="L316" i="9"/>
  <c r="M316" i="9" l="1"/>
  <c r="N316" i="9" s="1"/>
  <c r="O316" i="9" s="1"/>
  <c r="L315" i="9"/>
  <c r="M315" i="9" l="1"/>
  <c r="N315" i="9" s="1"/>
  <c r="O315" i="9" s="1"/>
  <c r="L314" i="9"/>
  <c r="M314" i="9" l="1"/>
  <c r="N314" i="9" s="1"/>
  <c r="O314" i="9" s="1"/>
  <c r="L313" i="9"/>
  <c r="M313" i="9" l="1"/>
  <c r="N313" i="9" s="1"/>
  <c r="O313" i="9" s="1"/>
  <c r="L312" i="9"/>
  <c r="M312" i="9" l="1"/>
  <c r="N312" i="9" s="1"/>
  <c r="O312" i="9" s="1"/>
  <c r="L311" i="9"/>
  <c r="M311" i="9" l="1"/>
  <c r="N311" i="9" s="1"/>
  <c r="O311" i="9" s="1"/>
  <c r="L310" i="9"/>
  <c r="M310" i="9" l="1"/>
  <c r="N310" i="9" s="1"/>
  <c r="O310" i="9" s="1"/>
  <c r="L309" i="9"/>
  <c r="M309" i="9" l="1"/>
  <c r="N309" i="9" s="1"/>
  <c r="O309" i="9" s="1"/>
  <c r="L308" i="9"/>
  <c r="M308" i="9" l="1"/>
  <c r="N308" i="9" s="1"/>
  <c r="O308" i="9" s="1"/>
  <c r="L307" i="9"/>
  <c r="M307" i="9" l="1"/>
  <c r="N307" i="9" s="1"/>
  <c r="O307" i="9" s="1"/>
  <c r="L306" i="9"/>
  <c r="M306" i="9" l="1"/>
  <c r="N306" i="9" s="1"/>
  <c r="O306" i="9" s="1"/>
  <c r="L305" i="9"/>
  <c r="M305" i="9" l="1"/>
  <c r="N305" i="9" s="1"/>
  <c r="O305" i="9" s="1"/>
  <c r="L304" i="9"/>
  <c r="M304" i="9" l="1"/>
  <c r="N304" i="9" s="1"/>
  <c r="O304" i="9" s="1"/>
  <c r="L303" i="9"/>
  <c r="M303" i="9" l="1"/>
  <c r="N303" i="9" s="1"/>
  <c r="O303" i="9" s="1"/>
  <c r="L302" i="9"/>
  <c r="M302" i="9" l="1"/>
  <c r="N302" i="9" s="1"/>
  <c r="O302" i="9" s="1"/>
  <c r="L301" i="9"/>
  <c r="M301" i="9" l="1"/>
  <c r="N301" i="9" s="1"/>
  <c r="O301" i="9" s="1"/>
  <c r="L300" i="9"/>
  <c r="M300" i="9" l="1"/>
  <c r="N300" i="9" s="1"/>
  <c r="O300" i="9" s="1"/>
  <c r="L299" i="9"/>
  <c r="M299" i="9" l="1"/>
  <c r="N299" i="9" s="1"/>
  <c r="O299" i="9" s="1"/>
  <c r="L298" i="9"/>
  <c r="M298" i="9" l="1"/>
  <c r="N298" i="9" s="1"/>
  <c r="O298" i="9" s="1"/>
  <c r="L297" i="9"/>
  <c r="M297" i="9" l="1"/>
  <c r="N297" i="9" s="1"/>
  <c r="O297" i="9" s="1"/>
  <c r="L296" i="9"/>
  <c r="M296" i="9" l="1"/>
  <c r="N296" i="9" s="1"/>
  <c r="O296" i="9" s="1"/>
  <c r="L295" i="9"/>
  <c r="M295" i="9" l="1"/>
  <c r="N295" i="9" s="1"/>
  <c r="O295" i="9" s="1"/>
  <c r="L294" i="9"/>
  <c r="M294" i="9" l="1"/>
  <c r="N294" i="9" s="1"/>
  <c r="O294" i="9" s="1"/>
  <c r="L293" i="9"/>
  <c r="M293" i="9" l="1"/>
  <c r="N293" i="9" s="1"/>
  <c r="O293" i="9" s="1"/>
  <c r="L292" i="9"/>
  <c r="M292" i="9" l="1"/>
  <c r="N292" i="9" s="1"/>
  <c r="O292" i="9" s="1"/>
  <c r="L291" i="9"/>
  <c r="M291" i="9" l="1"/>
  <c r="N291" i="9" s="1"/>
  <c r="O291" i="9" s="1"/>
  <c r="L290" i="9"/>
  <c r="M290" i="9" l="1"/>
  <c r="N290" i="9" s="1"/>
  <c r="O290" i="9" s="1"/>
  <c r="L289" i="9"/>
  <c r="M289" i="9" l="1"/>
  <c r="N289" i="9" s="1"/>
  <c r="O289" i="9" s="1"/>
  <c r="L288" i="9"/>
  <c r="M288" i="9" l="1"/>
  <c r="N288" i="9" s="1"/>
  <c r="O288" i="9" s="1"/>
  <c r="L287" i="9"/>
  <c r="M287" i="9" l="1"/>
  <c r="N287" i="9" s="1"/>
  <c r="O287" i="9" s="1"/>
  <c r="L286" i="9"/>
  <c r="M286" i="9" l="1"/>
  <c r="N286" i="9" s="1"/>
  <c r="O286" i="9" s="1"/>
  <c r="L285" i="9"/>
  <c r="M285" i="9" l="1"/>
  <c r="N285" i="9" s="1"/>
  <c r="O285" i="9" s="1"/>
  <c r="L284" i="9"/>
  <c r="M284" i="9" l="1"/>
  <c r="N284" i="9" s="1"/>
  <c r="O284" i="9" s="1"/>
  <c r="L283" i="9"/>
  <c r="M283" i="9" l="1"/>
  <c r="N283" i="9" s="1"/>
  <c r="O283" i="9" s="1"/>
  <c r="L282" i="9"/>
  <c r="M282" i="9" l="1"/>
  <c r="N282" i="9" s="1"/>
  <c r="O282" i="9" s="1"/>
  <c r="L281" i="9"/>
  <c r="M281" i="9" l="1"/>
  <c r="N281" i="9" s="1"/>
  <c r="O281" i="9" s="1"/>
  <c r="L280" i="9"/>
  <c r="M280" i="9" l="1"/>
  <c r="N280" i="9" s="1"/>
  <c r="O280" i="9" s="1"/>
  <c r="L279" i="9"/>
  <c r="M279" i="9" l="1"/>
  <c r="N279" i="9" s="1"/>
  <c r="O279" i="9" s="1"/>
  <c r="L278" i="9"/>
  <c r="M278" i="9" l="1"/>
  <c r="N278" i="9" s="1"/>
  <c r="O278" i="9" s="1"/>
  <c r="L277" i="9"/>
  <c r="M277" i="9" l="1"/>
  <c r="N277" i="9" s="1"/>
  <c r="O277" i="9" s="1"/>
  <c r="L276" i="9"/>
  <c r="M276" i="9" l="1"/>
  <c r="N276" i="9" s="1"/>
  <c r="O276" i="9" s="1"/>
  <c r="L275" i="9"/>
  <c r="M275" i="9" l="1"/>
  <c r="N275" i="9" s="1"/>
  <c r="O275" i="9" s="1"/>
  <c r="L274" i="9"/>
  <c r="M274" i="9" l="1"/>
  <c r="N274" i="9" s="1"/>
  <c r="O274" i="9" s="1"/>
  <c r="L273" i="9"/>
  <c r="M273" i="9" l="1"/>
  <c r="N273" i="9" s="1"/>
  <c r="O273" i="9" s="1"/>
  <c r="L272" i="9"/>
  <c r="M272" i="9" l="1"/>
  <c r="N272" i="9" s="1"/>
  <c r="O272" i="9" s="1"/>
  <c r="L271" i="9"/>
  <c r="M271" i="9" l="1"/>
  <c r="N271" i="9" s="1"/>
  <c r="O271" i="9" s="1"/>
  <c r="L270" i="9"/>
  <c r="M270" i="9" l="1"/>
  <c r="N270" i="9" s="1"/>
  <c r="O270" i="9" s="1"/>
  <c r="L269" i="9"/>
  <c r="M269" i="9" l="1"/>
  <c r="N269" i="9" s="1"/>
  <c r="O269" i="9" s="1"/>
  <c r="L268" i="9"/>
  <c r="M268" i="9" l="1"/>
  <c r="N268" i="9" s="1"/>
  <c r="O268" i="9" s="1"/>
  <c r="L267" i="9"/>
  <c r="M267" i="9" l="1"/>
  <c r="N267" i="9" s="1"/>
  <c r="O267" i="9" s="1"/>
  <c r="L266" i="9"/>
  <c r="M266" i="9" l="1"/>
  <c r="N266" i="9" s="1"/>
  <c r="O266" i="9" s="1"/>
  <c r="L265" i="9"/>
  <c r="M265" i="9" l="1"/>
  <c r="N265" i="9" s="1"/>
  <c r="O265" i="9" s="1"/>
  <c r="L264" i="9"/>
  <c r="M264" i="9" l="1"/>
  <c r="N264" i="9" s="1"/>
  <c r="O264" i="9" s="1"/>
  <c r="L263" i="9"/>
  <c r="M263" i="9" l="1"/>
  <c r="N263" i="9" s="1"/>
  <c r="O263" i="9" s="1"/>
  <c r="L262" i="9"/>
  <c r="M262" i="9" l="1"/>
  <c r="N262" i="9" s="1"/>
  <c r="O262" i="9" s="1"/>
  <c r="L261" i="9"/>
  <c r="M261" i="9" l="1"/>
  <c r="N261" i="9" s="1"/>
  <c r="O261" i="9" s="1"/>
  <c r="L260" i="9"/>
  <c r="M260" i="9" l="1"/>
  <c r="N260" i="9" s="1"/>
  <c r="O260" i="9" s="1"/>
  <c r="L259" i="9"/>
  <c r="M259" i="9" l="1"/>
  <c r="N259" i="9" s="1"/>
  <c r="O259" i="9" s="1"/>
  <c r="L258" i="9"/>
  <c r="M258" i="9" l="1"/>
  <c r="N258" i="9" s="1"/>
  <c r="O258" i="9" s="1"/>
  <c r="L257" i="9"/>
  <c r="M257" i="9" l="1"/>
  <c r="N257" i="9" s="1"/>
  <c r="O257" i="9" s="1"/>
  <c r="L256" i="9"/>
  <c r="M256" i="9" l="1"/>
  <c r="N256" i="9" s="1"/>
  <c r="O256" i="9" s="1"/>
  <c r="L255" i="9"/>
  <c r="M255" i="9" l="1"/>
  <c r="N255" i="9" s="1"/>
  <c r="O255" i="9" s="1"/>
  <c r="L254" i="9"/>
  <c r="M254" i="9" l="1"/>
  <c r="N254" i="9" s="1"/>
  <c r="O254" i="9" s="1"/>
  <c r="L253" i="9"/>
  <c r="M253" i="9" l="1"/>
  <c r="N253" i="9" s="1"/>
  <c r="O253" i="9" s="1"/>
  <c r="L252" i="9"/>
  <c r="M252" i="9" l="1"/>
  <c r="N252" i="9" s="1"/>
  <c r="O252" i="9" s="1"/>
  <c r="L251" i="9"/>
  <c r="M251" i="9" l="1"/>
  <c r="N251" i="9" s="1"/>
  <c r="O251" i="9" s="1"/>
  <c r="L250" i="9"/>
  <c r="M250" i="9" l="1"/>
  <c r="N250" i="9" s="1"/>
  <c r="O250" i="9" s="1"/>
  <c r="L249" i="9"/>
  <c r="M249" i="9" l="1"/>
  <c r="N249" i="9" s="1"/>
  <c r="O249" i="9" s="1"/>
  <c r="L248" i="9"/>
  <c r="M248" i="9" l="1"/>
  <c r="N248" i="9" s="1"/>
  <c r="O248" i="9" s="1"/>
  <c r="L247" i="9"/>
  <c r="M247" i="9" l="1"/>
  <c r="N247" i="9" s="1"/>
  <c r="O247" i="9" s="1"/>
  <c r="L246" i="9"/>
  <c r="M246" i="9" l="1"/>
  <c r="N246" i="9" s="1"/>
  <c r="O246" i="9" s="1"/>
  <c r="L245" i="9"/>
  <c r="M245" i="9" l="1"/>
  <c r="N245" i="9" s="1"/>
  <c r="O245" i="9" s="1"/>
  <c r="L244" i="9"/>
  <c r="M244" i="9" l="1"/>
  <c r="N244" i="9" s="1"/>
  <c r="O244" i="9" s="1"/>
  <c r="L243" i="9"/>
  <c r="M243" i="9" l="1"/>
  <c r="N243" i="9" s="1"/>
  <c r="O243" i="9" s="1"/>
  <c r="L242" i="9"/>
  <c r="M242" i="9" l="1"/>
  <c r="N242" i="9" s="1"/>
  <c r="O242" i="9" s="1"/>
  <c r="L241" i="9"/>
  <c r="M241" i="9" l="1"/>
  <c r="N241" i="9" s="1"/>
  <c r="O241" i="9" s="1"/>
  <c r="L240" i="9"/>
  <c r="M240" i="9" l="1"/>
  <c r="N240" i="9" s="1"/>
  <c r="O240" i="9" s="1"/>
  <c r="L239" i="9"/>
  <c r="M239" i="9" l="1"/>
  <c r="N239" i="9" s="1"/>
  <c r="O239" i="9" s="1"/>
  <c r="L238" i="9"/>
  <c r="M238" i="9" l="1"/>
  <c r="N238" i="9" s="1"/>
  <c r="O238" i="9" s="1"/>
  <c r="L237" i="9"/>
  <c r="M237" i="9" l="1"/>
  <c r="N237" i="9" s="1"/>
  <c r="O237" i="9" s="1"/>
  <c r="L236" i="9"/>
  <c r="M236" i="9" l="1"/>
  <c r="N236" i="9" s="1"/>
  <c r="O236" i="9" s="1"/>
  <c r="L235" i="9"/>
  <c r="M235" i="9" l="1"/>
  <c r="N235" i="9" s="1"/>
  <c r="O235" i="9" s="1"/>
  <c r="L234" i="9"/>
  <c r="M234" i="9" l="1"/>
  <c r="N234" i="9" s="1"/>
  <c r="O234" i="9" s="1"/>
  <c r="L233" i="9"/>
  <c r="M233" i="9" l="1"/>
  <c r="N233" i="9" s="1"/>
  <c r="O233" i="9" s="1"/>
  <c r="L232" i="9"/>
  <c r="M232" i="9" l="1"/>
  <c r="N232" i="9" s="1"/>
  <c r="O232" i="9" s="1"/>
  <c r="L231" i="9"/>
  <c r="M231" i="9" l="1"/>
  <c r="N231" i="9" s="1"/>
  <c r="O231" i="9" s="1"/>
  <c r="L230" i="9"/>
  <c r="M230" i="9" l="1"/>
  <c r="N230" i="9" s="1"/>
  <c r="O230" i="9" s="1"/>
  <c r="L229" i="9"/>
  <c r="M229" i="9" l="1"/>
  <c r="N229" i="9" s="1"/>
  <c r="O229" i="9" s="1"/>
  <c r="L228" i="9"/>
  <c r="M228" i="9" l="1"/>
  <c r="N228" i="9" s="1"/>
  <c r="O228" i="9" s="1"/>
  <c r="L227" i="9"/>
  <c r="M227" i="9" l="1"/>
  <c r="N227" i="9" s="1"/>
  <c r="O227" i="9" s="1"/>
  <c r="L226" i="9"/>
  <c r="M226" i="9" l="1"/>
  <c r="N226" i="9" s="1"/>
  <c r="O226" i="9" s="1"/>
  <c r="L225" i="9"/>
  <c r="M225" i="9" l="1"/>
  <c r="N225" i="9" s="1"/>
  <c r="O225" i="9" s="1"/>
  <c r="L224" i="9"/>
  <c r="M224" i="9" l="1"/>
  <c r="N224" i="9" s="1"/>
  <c r="O224" i="9" s="1"/>
  <c r="L223" i="9"/>
  <c r="M223" i="9" l="1"/>
  <c r="N223" i="9" s="1"/>
  <c r="O223" i="9" s="1"/>
  <c r="L222" i="9"/>
  <c r="M222" i="9" l="1"/>
  <c r="N222" i="9" s="1"/>
  <c r="O222" i="9" s="1"/>
  <c r="L221" i="9"/>
  <c r="M221" i="9" l="1"/>
  <c r="N221" i="9" s="1"/>
  <c r="O221" i="9" s="1"/>
  <c r="L220" i="9"/>
  <c r="M220" i="9" l="1"/>
  <c r="N220" i="9" s="1"/>
  <c r="O220" i="9" s="1"/>
  <c r="L219" i="9"/>
  <c r="M219" i="9" l="1"/>
  <c r="N219" i="9" s="1"/>
  <c r="O219" i="9" s="1"/>
  <c r="L218" i="9"/>
  <c r="M218" i="9" l="1"/>
  <c r="N218" i="9" s="1"/>
  <c r="O218" i="9" s="1"/>
  <c r="L217" i="9"/>
  <c r="M217" i="9" l="1"/>
  <c r="N217" i="9" s="1"/>
  <c r="O217" i="9" s="1"/>
  <c r="L216" i="9"/>
  <c r="M216" i="9" l="1"/>
  <c r="N216" i="9" s="1"/>
  <c r="O216" i="9" s="1"/>
  <c r="L215" i="9"/>
  <c r="M215" i="9" l="1"/>
  <c r="N215" i="9" s="1"/>
  <c r="O215" i="9" s="1"/>
  <c r="L214" i="9"/>
  <c r="M214" i="9" l="1"/>
  <c r="N214" i="9" s="1"/>
  <c r="O214" i="9" s="1"/>
  <c r="L213" i="9"/>
  <c r="M213" i="9" l="1"/>
  <c r="N213" i="9" s="1"/>
  <c r="O213" i="9" s="1"/>
  <c r="L212" i="9"/>
  <c r="M212" i="9" l="1"/>
  <c r="N212" i="9" s="1"/>
  <c r="O212" i="9" s="1"/>
  <c r="L211" i="9"/>
  <c r="M211" i="9" l="1"/>
  <c r="N211" i="9" s="1"/>
  <c r="O211" i="9" s="1"/>
  <c r="L210" i="9"/>
  <c r="M210" i="9" l="1"/>
  <c r="N210" i="9" s="1"/>
  <c r="O210" i="9" s="1"/>
  <c r="L209" i="9"/>
  <c r="M209" i="9" l="1"/>
  <c r="N209" i="9" s="1"/>
  <c r="O209" i="9" s="1"/>
  <c r="L208" i="9"/>
  <c r="M208" i="9" l="1"/>
  <c r="N208" i="9" s="1"/>
  <c r="O208" i="9" s="1"/>
  <c r="L207" i="9"/>
  <c r="M207" i="9" l="1"/>
  <c r="N207" i="9" s="1"/>
  <c r="O207" i="9" s="1"/>
  <c r="L206" i="9"/>
  <c r="M206" i="9" l="1"/>
  <c r="N206" i="9" s="1"/>
  <c r="O206" i="9" s="1"/>
  <c r="L205" i="9"/>
  <c r="M205" i="9" l="1"/>
  <c r="N205" i="9" s="1"/>
  <c r="O205" i="9" s="1"/>
  <c r="L204" i="9"/>
  <c r="M204" i="9" l="1"/>
  <c r="N204" i="9" s="1"/>
  <c r="O204" i="9" s="1"/>
  <c r="L203" i="9"/>
  <c r="M203" i="9" l="1"/>
  <c r="N203" i="9" s="1"/>
  <c r="O203" i="9" s="1"/>
  <c r="L202" i="9"/>
  <c r="M202" i="9" l="1"/>
  <c r="N202" i="9" s="1"/>
  <c r="O202" i="9" s="1"/>
  <c r="L201" i="9"/>
  <c r="M201" i="9" l="1"/>
  <c r="N201" i="9" s="1"/>
  <c r="O201" i="9" s="1"/>
  <c r="L200" i="9"/>
  <c r="M200" i="9" l="1"/>
  <c r="N200" i="9" s="1"/>
  <c r="O200" i="9" s="1"/>
  <c r="L199" i="9"/>
  <c r="M199" i="9" l="1"/>
  <c r="N199" i="9" s="1"/>
  <c r="O199" i="9" s="1"/>
  <c r="L198" i="9"/>
  <c r="M198" i="9" l="1"/>
  <c r="N198" i="9" s="1"/>
  <c r="O198" i="9" s="1"/>
  <c r="L197" i="9"/>
  <c r="M197" i="9" l="1"/>
  <c r="N197" i="9" s="1"/>
  <c r="O197" i="9" s="1"/>
  <c r="L196" i="9"/>
  <c r="M196" i="9" l="1"/>
  <c r="N196" i="9" s="1"/>
  <c r="O196" i="9" s="1"/>
  <c r="L195" i="9"/>
  <c r="M195" i="9" l="1"/>
  <c r="N195" i="9" s="1"/>
  <c r="O195" i="9" s="1"/>
  <c r="L194" i="9"/>
  <c r="M194" i="9" l="1"/>
  <c r="N194" i="9" s="1"/>
  <c r="O194" i="9" s="1"/>
  <c r="L193" i="9"/>
  <c r="M193" i="9" l="1"/>
  <c r="N193" i="9" s="1"/>
  <c r="O193" i="9" s="1"/>
  <c r="L192" i="9"/>
  <c r="M192" i="9" l="1"/>
  <c r="N192" i="9" s="1"/>
  <c r="O192" i="9" s="1"/>
  <c r="L191" i="9"/>
  <c r="M191" i="9" l="1"/>
  <c r="N191" i="9" s="1"/>
  <c r="O191" i="9" s="1"/>
  <c r="L190" i="9"/>
  <c r="M190" i="9" l="1"/>
  <c r="N190" i="9" s="1"/>
  <c r="O190" i="9" s="1"/>
  <c r="L189" i="9"/>
  <c r="M189" i="9" l="1"/>
  <c r="N189" i="9" s="1"/>
  <c r="O189" i="9" s="1"/>
  <c r="L188" i="9"/>
  <c r="M188" i="9" l="1"/>
  <c r="N188" i="9" s="1"/>
  <c r="O188" i="9" s="1"/>
  <c r="L187" i="9"/>
  <c r="M187" i="9" l="1"/>
  <c r="N187" i="9" s="1"/>
  <c r="O187" i="9" s="1"/>
  <c r="L186" i="9"/>
  <c r="M186" i="9" l="1"/>
  <c r="N186" i="9" s="1"/>
  <c r="O186" i="9" s="1"/>
  <c r="L185" i="9"/>
  <c r="M185" i="9" l="1"/>
  <c r="N185" i="9" s="1"/>
  <c r="O185" i="9" s="1"/>
  <c r="L184" i="9"/>
  <c r="M184" i="9" l="1"/>
  <c r="N184" i="9" s="1"/>
  <c r="O184" i="9" s="1"/>
  <c r="L183" i="9"/>
  <c r="M183" i="9" l="1"/>
  <c r="N183" i="9" s="1"/>
  <c r="O183" i="9" s="1"/>
  <c r="L182" i="9"/>
  <c r="M182" i="9" l="1"/>
  <c r="N182" i="9" s="1"/>
  <c r="O182" i="9" s="1"/>
  <c r="L181" i="9"/>
  <c r="M181" i="9" l="1"/>
  <c r="N181" i="9" s="1"/>
  <c r="O181" i="9" s="1"/>
  <c r="L180" i="9"/>
  <c r="M180" i="9" l="1"/>
  <c r="N180" i="9" s="1"/>
  <c r="O180" i="9" s="1"/>
  <c r="L179" i="9"/>
  <c r="M179" i="9" l="1"/>
  <c r="N179" i="9" s="1"/>
  <c r="O179" i="9" s="1"/>
  <c r="L178" i="9"/>
  <c r="M178" i="9" l="1"/>
  <c r="N178" i="9" s="1"/>
  <c r="O178" i="9" s="1"/>
  <c r="L177" i="9"/>
  <c r="M177" i="9" l="1"/>
  <c r="N177" i="9" s="1"/>
  <c r="O177" i="9" s="1"/>
  <c r="L176" i="9"/>
  <c r="M176" i="9" l="1"/>
  <c r="N176" i="9" s="1"/>
  <c r="O176" i="9" s="1"/>
  <c r="L175" i="9"/>
  <c r="M175" i="9" l="1"/>
  <c r="N175" i="9" s="1"/>
  <c r="O175" i="9" s="1"/>
  <c r="L174" i="9"/>
  <c r="M174" i="9" l="1"/>
  <c r="N174" i="9" s="1"/>
  <c r="O174" i="9" s="1"/>
  <c r="L173" i="9"/>
  <c r="M173" i="9" l="1"/>
  <c r="N173" i="9" s="1"/>
  <c r="O173" i="9" s="1"/>
  <c r="L172" i="9"/>
  <c r="M172" i="9" l="1"/>
  <c r="N172" i="9" s="1"/>
  <c r="O172" i="9" s="1"/>
  <c r="L171" i="9"/>
  <c r="M171" i="9" l="1"/>
  <c r="N171" i="9" s="1"/>
  <c r="O171" i="9" s="1"/>
  <c r="L170" i="9"/>
  <c r="M170" i="9" l="1"/>
  <c r="N170" i="9" s="1"/>
  <c r="O170" i="9" s="1"/>
  <c r="L169" i="9"/>
  <c r="M169" i="9" l="1"/>
  <c r="N169" i="9" s="1"/>
  <c r="O169" i="9" s="1"/>
  <c r="L168" i="9"/>
  <c r="M168" i="9" l="1"/>
  <c r="N168" i="9" s="1"/>
  <c r="O168" i="9" s="1"/>
  <c r="L167" i="9"/>
  <c r="M167" i="9" l="1"/>
  <c r="N167" i="9" s="1"/>
  <c r="O167" i="9" s="1"/>
  <c r="L166" i="9"/>
  <c r="M166" i="9" l="1"/>
  <c r="N166" i="9" s="1"/>
  <c r="O166" i="9" s="1"/>
  <c r="L165" i="9"/>
  <c r="M165" i="9" l="1"/>
  <c r="N165" i="9" s="1"/>
  <c r="O165" i="9" s="1"/>
  <c r="L164" i="9"/>
  <c r="M164" i="9" l="1"/>
  <c r="N164" i="9" s="1"/>
  <c r="O164" i="9" s="1"/>
  <c r="L163" i="9"/>
  <c r="M163" i="9" l="1"/>
  <c r="N163" i="9" s="1"/>
  <c r="O163" i="9" s="1"/>
  <c r="L162" i="9"/>
  <c r="M162" i="9" l="1"/>
  <c r="N162" i="9" s="1"/>
  <c r="O162" i="9" s="1"/>
  <c r="L161" i="9"/>
  <c r="M161" i="9" l="1"/>
  <c r="N161" i="9" s="1"/>
  <c r="O161" i="9" s="1"/>
  <c r="L160" i="9"/>
  <c r="M160" i="9" l="1"/>
  <c r="N160" i="9" s="1"/>
  <c r="O160" i="9" s="1"/>
  <c r="L159" i="9"/>
  <c r="M159" i="9" l="1"/>
  <c r="N159" i="9" s="1"/>
  <c r="O159" i="9" s="1"/>
  <c r="L158" i="9"/>
  <c r="M158" i="9" l="1"/>
  <c r="N158" i="9" s="1"/>
  <c r="O158" i="9" s="1"/>
  <c r="L157" i="9"/>
  <c r="M157" i="9" l="1"/>
  <c r="N157" i="9" s="1"/>
  <c r="O157" i="9" s="1"/>
  <c r="L156" i="9"/>
  <c r="M156" i="9" l="1"/>
  <c r="N156" i="9" s="1"/>
  <c r="O156" i="9" s="1"/>
  <c r="L155" i="9"/>
  <c r="M155" i="9" l="1"/>
  <c r="N155" i="9" s="1"/>
  <c r="O155" i="9" s="1"/>
  <c r="L154" i="9"/>
  <c r="M154" i="9" l="1"/>
  <c r="N154" i="9" s="1"/>
  <c r="O154" i="9" s="1"/>
  <c r="L153" i="9"/>
  <c r="M153" i="9" l="1"/>
  <c r="N153" i="9" s="1"/>
  <c r="O153" i="9" s="1"/>
  <c r="L152" i="9"/>
  <c r="M152" i="9" l="1"/>
  <c r="N152" i="9" s="1"/>
  <c r="O152" i="9" s="1"/>
  <c r="L151" i="9"/>
  <c r="M151" i="9" l="1"/>
  <c r="N151" i="9" s="1"/>
  <c r="O151" i="9" s="1"/>
  <c r="L150" i="9"/>
  <c r="M150" i="9" l="1"/>
  <c r="N150" i="9" s="1"/>
  <c r="O150" i="9" s="1"/>
  <c r="L149" i="9"/>
  <c r="M149" i="9" l="1"/>
  <c r="N149" i="9" s="1"/>
  <c r="O149" i="9" s="1"/>
  <c r="L148" i="9"/>
  <c r="M148" i="9" l="1"/>
  <c r="N148" i="9" s="1"/>
  <c r="O148" i="9" s="1"/>
  <c r="L147" i="9"/>
  <c r="M147" i="9" l="1"/>
  <c r="N147" i="9" s="1"/>
  <c r="O147" i="9" s="1"/>
  <c r="L146" i="9"/>
  <c r="M146" i="9" l="1"/>
  <c r="N146" i="9" s="1"/>
  <c r="O146" i="9" s="1"/>
  <c r="L145" i="9"/>
  <c r="M145" i="9" l="1"/>
  <c r="N145" i="9" s="1"/>
  <c r="O145" i="9" s="1"/>
  <c r="L144" i="9"/>
  <c r="M144" i="9" l="1"/>
  <c r="N144" i="9" s="1"/>
  <c r="O144" i="9" s="1"/>
  <c r="L143" i="9"/>
  <c r="M143" i="9" l="1"/>
  <c r="N143" i="9" s="1"/>
  <c r="O143" i="9" s="1"/>
  <c r="L142" i="9"/>
  <c r="M142" i="9" l="1"/>
  <c r="N142" i="9" s="1"/>
  <c r="O142" i="9" s="1"/>
  <c r="L141" i="9"/>
  <c r="M141" i="9" l="1"/>
  <c r="N141" i="9" s="1"/>
  <c r="O141" i="9" s="1"/>
  <c r="L140" i="9"/>
  <c r="M140" i="9" l="1"/>
  <c r="N140" i="9" s="1"/>
  <c r="O140" i="9" s="1"/>
  <c r="L139" i="9"/>
  <c r="M139" i="9" l="1"/>
  <c r="N139" i="9" s="1"/>
  <c r="O139" i="9" s="1"/>
  <c r="L138" i="9"/>
  <c r="M138" i="9" l="1"/>
  <c r="N138" i="9" s="1"/>
  <c r="O138" i="9" s="1"/>
  <c r="L137" i="9"/>
  <c r="M137" i="9" l="1"/>
  <c r="N137" i="9" s="1"/>
  <c r="O137" i="9" s="1"/>
  <c r="L136" i="9"/>
  <c r="M136" i="9" l="1"/>
  <c r="N136" i="9" s="1"/>
  <c r="O136" i="9" s="1"/>
  <c r="L135" i="9"/>
  <c r="M135" i="9" l="1"/>
  <c r="N135" i="9" s="1"/>
  <c r="O135" i="9" s="1"/>
  <c r="L134" i="9"/>
  <c r="M134" i="9" l="1"/>
  <c r="N134" i="9" s="1"/>
  <c r="O134" i="9" s="1"/>
  <c r="L133" i="9"/>
  <c r="M133" i="9" l="1"/>
  <c r="N133" i="9" s="1"/>
  <c r="O133" i="9" s="1"/>
  <c r="L132" i="9"/>
  <c r="M132" i="9" l="1"/>
  <c r="N132" i="9" s="1"/>
  <c r="O132" i="9" s="1"/>
  <c r="L131" i="9"/>
  <c r="M131" i="9" l="1"/>
  <c r="N131" i="9" s="1"/>
  <c r="O131" i="9" s="1"/>
  <c r="L130" i="9"/>
  <c r="M130" i="9" l="1"/>
  <c r="N130" i="9" s="1"/>
  <c r="O130" i="9" s="1"/>
  <c r="L129" i="9"/>
  <c r="M129" i="9" l="1"/>
  <c r="N129" i="9" s="1"/>
  <c r="O129" i="9" s="1"/>
  <c r="L128" i="9"/>
  <c r="M128" i="9" l="1"/>
  <c r="N128" i="9" s="1"/>
  <c r="O128" i="9" s="1"/>
  <c r="L127" i="9"/>
  <c r="M127" i="9" l="1"/>
  <c r="N127" i="9" s="1"/>
  <c r="O127" i="9" s="1"/>
  <c r="L126" i="9"/>
  <c r="M126" i="9" l="1"/>
  <c r="N126" i="9" s="1"/>
  <c r="O126" i="9" s="1"/>
  <c r="L125" i="9"/>
  <c r="M125" i="9" l="1"/>
  <c r="N125" i="9" s="1"/>
  <c r="O125" i="9" s="1"/>
  <c r="L124" i="9"/>
  <c r="M124" i="9" l="1"/>
  <c r="N124" i="9" s="1"/>
  <c r="O124" i="9" s="1"/>
  <c r="L123" i="9"/>
  <c r="M123" i="9" l="1"/>
  <c r="N123" i="9" s="1"/>
  <c r="O123" i="9" s="1"/>
  <c r="L122" i="9"/>
  <c r="M122" i="9" l="1"/>
  <c r="N122" i="9" s="1"/>
  <c r="O122" i="9" s="1"/>
  <c r="L121" i="9"/>
  <c r="M121" i="9" l="1"/>
  <c r="N121" i="9" s="1"/>
  <c r="O121" i="9" s="1"/>
  <c r="L120" i="9"/>
  <c r="M120" i="9" l="1"/>
  <c r="N120" i="9" s="1"/>
  <c r="O120" i="9" s="1"/>
  <c r="L119" i="9"/>
  <c r="M119" i="9" l="1"/>
  <c r="N119" i="9" s="1"/>
  <c r="O119" i="9" s="1"/>
  <c r="L118" i="9"/>
  <c r="M118" i="9" l="1"/>
  <c r="N118" i="9" s="1"/>
  <c r="O118" i="9" s="1"/>
  <c r="L117" i="9"/>
  <c r="M117" i="9" l="1"/>
  <c r="N117" i="9" s="1"/>
  <c r="O117" i="9" s="1"/>
  <c r="L116" i="9"/>
  <c r="M116" i="9" l="1"/>
  <c r="N116" i="9" s="1"/>
  <c r="O116" i="9" s="1"/>
  <c r="L115" i="9"/>
  <c r="M115" i="9" l="1"/>
  <c r="N115" i="9" s="1"/>
  <c r="O115" i="9" s="1"/>
  <c r="L114" i="9"/>
  <c r="M114" i="9" l="1"/>
  <c r="N114" i="9" s="1"/>
  <c r="O114" i="9" s="1"/>
  <c r="L113" i="9"/>
  <c r="M113" i="9" l="1"/>
  <c r="N113" i="9" s="1"/>
  <c r="O113" i="9" s="1"/>
  <c r="L112" i="9"/>
  <c r="M112" i="9" l="1"/>
  <c r="N112" i="9" s="1"/>
  <c r="O112" i="9" s="1"/>
  <c r="L111" i="9"/>
  <c r="M111" i="9" l="1"/>
  <c r="N111" i="9" s="1"/>
  <c r="O111" i="9" s="1"/>
  <c r="L110" i="9"/>
  <c r="M110" i="9" l="1"/>
  <c r="N110" i="9" s="1"/>
  <c r="O110" i="9" s="1"/>
  <c r="L109" i="9"/>
  <c r="M109" i="9" l="1"/>
  <c r="N109" i="9" s="1"/>
  <c r="O109" i="9" s="1"/>
  <c r="L108" i="9"/>
  <c r="M108" i="9" l="1"/>
  <c r="N108" i="9" s="1"/>
  <c r="O108" i="9" s="1"/>
  <c r="L107" i="9"/>
  <c r="M107" i="9" l="1"/>
  <c r="N107" i="9" s="1"/>
  <c r="O107" i="9" s="1"/>
  <c r="L106" i="9"/>
  <c r="M106" i="9" l="1"/>
  <c r="N106" i="9" s="1"/>
  <c r="O106" i="9" s="1"/>
  <c r="L105" i="9"/>
  <c r="M105" i="9" l="1"/>
  <c r="N105" i="9" s="1"/>
  <c r="O105" i="9" s="1"/>
  <c r="L104" i="9"/>
  <c r="M104" i="9" l="1"/>
  <c r="N104" i="9" s="1"/>
  <c r="O104" i="9" s="1"/>
  <c r="L103" i="9"/>
  <c r="M103" i="9" l="1"/>
  <c r="N103" i="9" s="1"/>
  <c r="O103" i="9" s="1"/>
  <c r="L102" i="9"/>
  <c r="M102" i="9" l="1"/>
  <c r="N102" i="9" s="1"/>
  <c r="O102" i="9" s="1"/>
  <c r="L101" i="9"/>
  <c r="M101" i="9" l="1"/>
  <c r="N101" i="9" s="1"/>
  <c r="O101" i="9" s="1"/>
  <c r="L100" i="9"/>
  <c r="M100" i="9" l="1"/>
  <c r="N100" i="9" s="1"/>
  <c r="O100" i="9" s="1"/>
  <c r="L99" i="9"/>
  <c r="M99" i="9" l="1"/>
  <c r="N99" i="9" s="1"/>
  <c r="O99" i="9" s="1"/>
  <c r="L98" i="9"/>
  <c r="M98" i="9" l="1"/>
  <c r="N98" i="9" s="1"/>
  <c r="O98" i="9" s="1"/>
  <c r="L97" i="9"/>
  <c r="M97" i="9" l="1"/>
  <c r="N97" i="9" s="1"/>
  <c r="O97" i="9" s="1"/>
  <c r="L96" i="9"/>
  <c r="M96" i="9" l="1"/>
  <c r="N96" i="9" s="1"/>
  <c r="O96" i="9" s="1"/>
  <c r="L95" i="9"/>
  <c r="M95" i="9" l="1"/>
  <c r="N95" i="9" s="1"/>
  <c r="O95" i="9" s="1"/>
  <c r="L94" i="9"/>
  <c r="M94" i="9" l="1"/>
  <c r="N94" i="9" s="1"/>
  <c r="O94" i="9" s="1"/>
  <c r="L93" i="9"/>
  <c r="M93" i="9" l="1"/>
  <c r="N93" i="9" s="1"/>
  <c r="O93" i="9" s="1"/>
  <c r="L92" i="9"/>
  <c r="M92" i="9" l="1"/>
  <c r="N92" i="9" s="1"/>
  <c r="O92" i="9" s="1"/>
  <c r="L91" i="9"/>
  <c r="M91" i="9" l="1"/>
  <c r="N91" i="9" s="1"/>
  <c r="O91" i="9" s="1"/>
  <c r="L90" i="9"/>
  <c r="M90" i="9" l="1"/>
  <c r="N90" i="9" s="1"/>
  <c r="O90" i="9" s="1"/>
  <c r="L89" i="9"/>
  <c r="M89" i="9" l="1"/>
  <c r="N89" i="9" s="1"/>
  <c r="O89" i="9" s="1"/>
  <c r="L88" i="9"/>
  <c r="M88" i="9" l="1"/>
  <c r="N88" i="9" s="1"/>
  <c r="O88" i="9" s="1"/>
  <c r="L87" i="9"/>
  <c r="M87" i="9" l="1"/>
  <c r="N87" i="9" s="1"/>
  <c r="O87" i="9" s="1"/>
  <c r="L86" i="9"/>
  <c r="M86" i="9" l="1"/>
  <c r="N86" i="9" s="1"/>
  <c r="O86" i="9" s="1"/>
  <c r="L85" i="9"/>
  <c r="M85" i="9" l="1"/>
  <c r="N85" i="9" s="1"/>
  <c r="O85" i="9" s="1"/>
  <c r="L84" i="9"/>
  <c r="M84" i="9" l="1"/>
  <c r="N84" i="9" s="1"/>
  <c r="O84" i="9" s="1"/>
  <c r="L83" i="9"/>
  <c r="M83" i="9" l="1"/>
  <c r="N83" i="9" s="1"/>
  <c r="O83" i="9" s="1"/>
  <c r="L82" i="9"/>
  <c r="M82" i="9" l="1"/>
  <c r="N82" i="9" s="1"/>
  <c r="O82" i="9" s="1"/>
  <c r="L81" i="9"/>
  <c r="M81" i="9" l="1"/>
  <c r="N81" i="9" s="1"/>
  <c r="O81" i="9" s="1"/>
  <c r="L80" i="9"/>
  <c r="M80" i="9" l="1"/>
  <c r="N80" i="9" s="1"/>
  <c r="O80" i="9" s="1"/>
  <c r="L79" i="9"/>
  <c r="M79" i="9" l="1"/>
  <c r="N79" i="9" s="1"/>
  <c r="O79" i="9" s="1"/>
  <c r="L78" i="9"/>
  <c r="M78" i="9" l="1"/>
  <c r="N78" i="9" s="1"/>
  <c r="O78" i="9" s="1"/>
  <c r="L77" i="9"/>
  <c r="M77" i="9" l="1"/>
  <c r="N77" i="9" s="1"/>
  <c r="O77" i="9" s="1"/>
  <c r="L76" i="9"/>
  <c r="M76" i="9" l="1"/>
  <c r="N76" i="9" s="1"/>
  <c r="O76" i="9" s="1"/>
  <c r="L75" i="9"/>
  <c r="M75" i="9" l="1"/>
  <c r="N75" i="9" s="1"/>
  <c r="O75" i="9" s="1"/>
  <c r="L74" i="9"/>
  <c r="M74" i="9" l="1"/>
  <c r="N74" i="9" s="1"/>
  <c r="O74" i="9" s="1"/>
  <c r="L73" i="9"/>
  <c r="M73" i="9" l="1"/>
  <c r="N73" i="9" s="1"/>
  <c r="O73" i="9" s="1"/>
  <c r="L72" i="9"/>
  <c r="M72" i="9" l="1"/>
  <c r="N72" i="9" s="1"/>
  <c r="O72" i="9" s="1"/>
  <c r="L71" i="9"/>
  <c r="M71" i="9" l="1"/>
  <c r="N71" i="9" s="1"/>
  <c r="O71" i="9" s="1"/>
  <c r="L70" i="9"/>
  <c r="M70" i="9" l="1"/>
  <c r="N70" i="9" s="1"/>
  <c r="O70" i="9" s="1"/>
  <c r="L69" i="9"/>
  <c r="M69" i="9" l="1"/>
  <c r="N69" i="9" s="1"/>
  <c r="O69" i="9" s="1"/>
  <c r="L68" i="9"/>
  <c r="M68" i="9" l="1"/>
  <c r="N68" i="9" s="1"/>
  <c r="O68" i="9" s="1"/>
  <c r="L67" i="9"/>
  <c r="M67" i="9" l="1"/>
  <c r="N67" i="9" s="1"/>
  <c r="O67" i="9" s="1"/>
  <c r="L66" i="9"/>
  <c r="M66" i="9" l="1"/>
  <c r="N66" i="9" s="1"/>
  <c r="O66" i="9" s="1"/>
  <c r="L65" i="9"/>
  <c r="M65" i="9" l="1"/>
  <c r="N65" i="9" s="1"/>
  <c r="O65" i="9" s="1"/>
  <c r="L64" i="9"/>
  <c r="M64" i="9" l="1"/>
  <c r="N64" i="9" s="1"/>
  <c r="O64" i="9" s="1"/>
  <c r="L63" i="9"/>
  <c r="M63" i="9" l="1"/>
  <c r="N63" i="9" s="1"/>
  <c r="O63" i="9" s="1"/>
  <c r="L62" i="9"/>
  <c r="M62" i="9" l="1"/>
  <c r="N62" i="9" s="1"/>
  <c r="O62" i="9" s="1"/>
  <c r="L61" i="9"/>
  <c r="M61" i="9" l="1"/>
  <c r="N61" i="9" s="1"/>
  <c r="O61" i="9" s="1"/>
  <c r="L60" i="9"/>
  <c r="M60" i="9" l="1"/>
  <c r="N60" i="9" s="1"/>
  <c r="O60" i="9" s="1"/>
  <c r="L59" i="9"/>
  <c r="M59" i="9" l="1"/>
  <c r="N59" i="9" s="1"/>
  <c r="O59" i="9" s="1"/>
  <c r="L58" i="9"/>
  <c r="M58" i="9" l="1"/>
  <c r="N58" i="9" s="1"/>
  <c r="O58" i="9" s="1"/>
  <c r="L57" i="9"/>
  <c r="M57" i="9" l="1"/>
  <c r="N57" i="9" s="1"/>
  <c r="O57" i="9" s="1"/>
  <c r="L56" i="9"/>
  <c r="M56" i="9" l="1"/>
  <c r="N56" i="9" s="1"/>
  <c r="O56" i="9" s="1"/>
  <c r="L55" i="9"/>
  <c r="O325" i="9"/>
  <c r="O326" i="9"/>
  <c r="O324" i="9"/>
  <c r="M55" i="9" l="1"/>
  <c r="N55" i="9" s="1"/>
  <c r="O55" i="9" s="1"/>
  <c r="L54" i="9"/>
  <c r="M54" i="9" l="1"/>
  <c r="N54" i="9" s="1"/>
  <c r="O54" i="9" s="1"/>
  <c r="L53" i="9"/>
  <c r="M53" i="9" l="1"/>
  <c r="N53" i="9" s="1"/>
  <c r="O53" i="9" s="1"/>
  <c r="L52" i="9"/>
  <c r="M52" i="9" l="1"/>
  <c r="N52" i="9" s="1"/>
  <c r="O52" i="9" s="1"/>
  <c r="L51" i="9"/>
  <c r="M51" i="9" l="1"/>
  <c r="N51" i="9" s="1"/>
  <c r="O51" i="9" s="1"/>
  <c r="L50" i="9"/>
  <c r="M50" i="9" l="1"/>
  <c r="N50" i="9" s="1"/>
  <c r="O50" i="9" s="1"/>
  <c r="L49" i="9"/>
  <c r="M49" i="9" l="1"/>
  <c r="N49" i="9" s="1"/>
  <c r="O49" i="9" s="1"/>
  <c r="L48" i="9"/>
  <c r="M48" i="9" l="1"/>
  <c r="N48" i="9" s="1"/>
  <c r="O48" i="9" s="1"/>
  <c r="L47" i="9"/>
  <c r="M47" i="9" l="1"/>
  <c r="N47" i="9" s="1"/>
  <c r="O47" i="9" s="1"/>
  <c r="L46" i="9"/>
  <c r="M46" i="9" l="1"/>
  <c r="N46" i="9" s="1"/>
  <c r="O46" i="9" s="1"/>
  <c r="L45" i="9"/>
  <c r="M45" i="9" l="1"/>
  <c r="N45" i="9" s="1"/>
  <c r="O45" i="9" s="1"/>
  <c r="L44" i="9"/>
  <c r="M44" i="9" l="1"/>
  <c r="N44" i="9" s="1"/>
  <c r="O44" i="9" s="1"/>
  <c r="L43" i="9"/>
  <c r="M43" i="9" l="1"/>
  <c r="N43" i="9" s="1"/>
  <c r="O43" i="9" s="1"/>
  <c r="L42" i="9"/>
  <c r="M42" i="9" l="1"/>
  <c r="N42" i="9" s="1"/>
  <c r="O42" i="9" s="1"/>
  <c r="L41" i="9"/>
  <c r="M41" i="9" l="1"/>
  <c r="N41" i="9" s="1"/>
  <c r="O41" i="9" s="1"/>
  <c r="L40" i="9"/>
  <c r="M40" i="9" l="1"/>
  <c r="N40" i="9" s="1"/>
  <c r="O40" i="9" s="1"/>
  <c r="L39" i="9"/>
  <c r="M39" i="9" l="1"/>
  <c r="N39" i="9" s="1"/>
  <c r="O39" i="9" s="1"/>
  <c r="L38" i="9"/>
  <c r="M38" i="9" l="1"/>
  <c r="N38" i="9" s="1"/>
  <c r="O38" i="9" s="1"/>
  <c r="L37" i="9"/>
  <c r="M37" i="9" l="1"/>
  <c r="N37" i="9" s="1"/>
  <c r="O37" i="9" s="1"/>
  <c r="L36" i="9"/>
  <c r="M36" i="9" l="1"/>
  <c r="N36" i="9" s="1"/>
  <c r="O36" i="9" s="1"/>
  <c r="L35" i="9"/>
  <c r="M35" i="9" l="1"/>
  <c r="N35" i="9" s="1"/>
  <c r="O35" i="9" s="1"/>
  <c r="L34" i="9"/>
  <c r="M34" i="9" l="1"/>
  <c r="N34" i="9" s="1"/>
  <c r="O34" i="9" s="1"/>
  <c r="L33" i="9"/>
  <c r="M33" i="9" l="1"/>
  <c r="N33" i="9" s="1"/>
  <c r="O33" i="9" s="1"/>
  <c r="L32" i="9"/>
  <c r="M32" i="9" l="1"/>
  <c r="N32" i="9" s="1"/>
  <c r="O32" i="9" s="1"/>
  <c r="L31" i="9"/>
  <c r="M31" i="9" l="1"/>
  <c r="N31" i="9" s="1"/>
  <c r="O31" i="9" s="1"/>
  <c r="L30" i="9"/>
  <c r="M30" i="9" l="1"/>
  <c r="N30" i="9" s="1"/>
  <c r="O30" i="9" s="1"/>
  <c r="L29" i="9"/>
  <c r="M29" i="9" l="1"/>
  <c r="N29" i="9" s="1"/>
  <c r="O29" i="9" s="1"/>
  <c r="L28" i="9"/>
  <c r="M28" i="9" l="1"/>
  <c r="N28" i="9" s="1"/>
  <c r="O28" i="9" s="1"/>
  <c r="L27" i="9"/>
  <c r="M27" i="9" l="1"/>
  <c r="N27" i="9" s="1"/>
  <c r="O27" i="9" s="1"/>
  <c r="L26" i="9"/>
  <c r="M26" i="9" l="1"/>
  <c r="N26" i="9" s="1"/>
  <c r="O26" i="9" s="1"/>
  <c r="L25" i="9"/>
  <c r="M25" i="9" l="1"/>
  <c r="N25" i="9" s="1"/>
  <c r="O25" i="9" s="1"/>
  <c r="L24" i="9"/>
  <c r="M24" i="9" l="1"/>
  <c r="N24" i="9" s="1"/>
  <c r="O24" i="9" s="1"/>
  <c r="L23" i="9"/>
  <c r="M23" i="9" l="1"/>
  <c r="N23" i="9" s="1"/>
  <c r="O23" i="9" s="1"/>
  <c r="L22" i="9"/>
  <c r="M22" i="9" l="1"/>
  <c r="N22" i="9" s="1"/>
  <c r="O22" i="9" s="1"/>
  <c r="L21" i="9"/>
  <c r="M21" i="9" l="1"/>
  <c r="N21" i="9" s="1"/>
  <c r="O21" i="9" s="1"/>
  <c r="L20" i="9"/>
  <c r="M20" i="9" l="1"/>
  <c r="N20" i="9" s="1"/>
  <c r="O20" i="9" s="1"/>
  <c r="L19" i="9"/>
  <c r="M19" i="9" l="1"/>
  <c r="N19" i="9" s="1"/>
  <c r="O19" i="9" s="1"/>
  <c r="L18" i="9"/>
  <c r="M18" i="9" l="1"/>
  <c r="N18" i="9" s="1"/>
  <c r="O18" i="9" s="1"/>
  <c r="L17" i="9"/>
  <c r="M17" i="9" l="1"/>
  <c r="N17" i="9" s="1"/>
  <c r="O17" i="9" s="1"/>
  <c r="L16" i="9"/>
  <c r="M16" i="9" l="1"/>
  <c r="N16" i="9" s="1"/>
  <c r="O16" i="9" s="1"/>
  <c r="L15" i="9"/>
  <c r="M15" i="9" l="1"/>
  <c r="N15" i="9" s="1"/>
  <c r="O15" i="9" s="1"/>
  <c r="L14" i="9"/>
  <c r="M14" i="9" l="1"/>
  <c r="N14" i="9" s="1"/>
  <c r="O14" i="9" s="1"/>
  <c r="L13" i="9"/>
  <c r="M13" i="9" l="1"/>
  <c r="N13" i="9" s="1"/>
  <c r="O13" i="9" s="1"/>
  <c r="L12" i="9"/>
  <c r="M12" i="9" l="1"/>
  <c r="N12" i="9" s="1"/>
  <c r="O12" i="9" s="1"/>
  <c r="L11" i="9"/>
  <c r="M11" i="9" l="1"/>
  <c r="N11" i="9" s="1"/>
  <c r="O11" i="9" s="1"/>
  <c r="L10" i="9"/>
  <c r="M10" i="9" l="1"/>
  <c r="N10" i="9" s="1"/>
  <c r="O10" i="9" s="1"/>
  <c r="L9" i="9"/>
  <c r="M9" i="9" l="1"/>
  <c r="N9" i="9" s="1"/>
  <c r="O9" i="9" s="1"/>
  <c r="L8" i="9"/>
  <c r="M8" i="9" l="1"/>
  <c r="N8" i="9" s="1"/>
  <c r="O8" i="9" s="1"/>
  <c r="L7" i="9"/>
  <c r="M7" i="9" l="1"/>
  <c r="N7" i="9" s="1"/>
  <c r="O7" i="9" s="1"/>
  <c r="L6" i="9"/>
  <c r="M6" i="9" l="1"/>
  <c r="N6" i="9" s="1"/>
  <c r="O6" i="9" s="1"/>
  <c r="L5" i="9"/>
  <c r="M5" i="9" l="1"/>
  <c r="N5" i="9" s="1"/>
  <c r="O5" i="9" s="1"/>
  <c r="L4" i="9"/>
  <c r="M4" i="9" l="1"/>
  <c r="N4" i="9" s="1"/>
  <c r="O4" i="9" s="1"/>
  <c r="L3" i="9"/>
  <c r="M3" i="9" l="1"/>
  <c r="N3" i="9" s="1"/>
  <c r="O3" i="9" s="1"/>
  <c r="L2" i="9"/>
  <c r="M2" i="9" l="1"/>
  <c r="N2" i="9" s="1"/>
  <c r="O2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# of matched IOT commodities. -1 because of ll</t>
        </r>
      </text>
    </comment>
    <comment ref="D2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ll: matched at detailed lower level
1…245: matched w/ IOT
999: direct fossil fuel consumption
996: direct electricity consumption
998: no link to fossil fuels assumed
997: consumption expenditure relevant (&gt;0.1% of total expenditures)?
?: suitable sector not clear</t>
        </r>
      </text>
    </comment>
  </commentList>
</comments>
</file>

<file path=xl/sharedStrings.xml><?xml version="1.0" encoding="utf-8"?>
<sst xmlns="http://schemas.openxmlformats.org/spreadsheetml/2006/main" count="8377" uniqueCount="2523">
  <si>
    <t>Electricidad</t>
  </si>
  <si>
    <t>Trabajos de construcción y construcción</t>
  </si>
  <si>
    <t>Servicios de telecomunicaciones, transmisión e información</t>
  </si>
  <si>
    <t>TOTAL CONSUMO INTERMEDIO COMPONENTE NACIONAL  A PRECIOS DE COMPRADOR</t>
  </si>
  <si>
    <t>TOTAL CONSUMO INTERMEDIO A PRECIOS DE COMPRADOR</t>
  </si>
  <si>
    <t>VALOR AGREGADO BRUTO</t>
  </si>
  <si>
    <t>MATRIZ SIMÉTRICA PRODUCTO-PRODUCTO, TECNOLOGÍA PRODUCTO en Miles de Dólares</t>
  </si>
  <si>
    <t>001001001+001001004 (parte)</t>
  </si>
  <si>
    <t>001001002+001001004 (parte)</t>
  </si>
  <si>
    <t>001001003+001001004 (parte)</t>
  </si>
  <si>
    <t>002001001</t>
  </si>
  <si>
    <t>002001002</t>
  </si>
  <si>
    <t>002001003</t>
  </si>
  <si>
    <t>002001004</t>
  </si>
  <si>
    <t>002001005</t>
  </si>
  <si>
    <t>002001006</t>
  </si>
  <si>
    <t>002001009</t>
  </si>
  <si>
    <t>003001001</t>
  </si>
  <si>
    <t>003001002</t>
  </si>
  <si>
    <t>003001003</t>
  </si>
  <si>
    <t>003001004+003001009</t>
  </si>
  <si>
    <t>003001005</t>
  </si>
  <si>
    <t>004001001</t>
  </si>
  <si>
    <t>004001002</t>
  </si>
  <si>
    <t>004001003</t>
  </si>
  <si>
    <t>004001004</t>
  </si>
  <si>
    <t>004001005</t>
  </si>
  <si>
    <t>004001006</t>
  </si>
  <si>
    <t>004001007</t>
  </si>
  <si>
    <t>004001008</t>
  </si>
  <si>
    <t>004001009</t>
  </si>
  <si>
    <t>004001010</t>
  </si>
  <si>
    <t>004001011</t>
  </si>
  <si>
    <t>004001012</t>
  </si>
  <si>
    <t>004001013</t>
  </si>
  <si>
    <t>004001014</t>
  </si>
  <si>
    <t>004001015</t>
  </si>
  <si>
    <t>004001016</t>
  </si>
  <si>
    <t>004001017+004001026 (parte)</t>
  </si>
  <si>
    <t>004001018+004001026 (parte)</t>
  </si>
  <si>
    <t>004001019+004001026 (parte)</t>
  </si>
  <si>
    <t>004001020+004001026 (parte)</t>
  </si>
  <si>
    <t>004001021+004001026 (parte)</t>
  </si>
  <si>
    <t>004001022+004001026 (parte)</t>
  </si>
  <si>
    <t>004001023+004001026 (parte)</t>
  </si>
  <si>
    <t>004001024</t>
  </si>
  <si>
    <t>004001025+004001026 (parte)</t>
  </si>
  <si>
    <t>004001029</t>
  </si>
  <si>
    <t>004002001+004002005+004002012</t>
  </si>
  <si>
    <t>004002002</t>
  </si>
  <si>
    <t>004002003</t>
  </si>
  <si>
    <t>004002006</t>
  </si>
  <si>
    <t>004002007</t>
  </si>
  <si>
    <t>004002008</t>
  </si>
  <si>
    <t>004002009+004002004</t>
  </si>
  <si>
    <t>004002010</t>
  </si>
  <si>
    <t>004002011</t>
  </si>
  <si>
    <t>004002019</t>
  </si>
  <si>
    <t>04003001</t>
  </si>
  <si>
    <t>005001001+005001009+005001013</t>
  </si>
  <si>
    <t>005001002+005001012</t>
  </si>
  <si>
    <t>005001003</t>
  </si>
  <si>
    <t>005001004</t>
  </si>
  <si>
    <t>005001005</t>
  </si>
  <si>
    <t>005001006</t>
  </si>
  <si>
    <t>005001007</t>
  </si>
  <si>
    <t>005001008</t>
  </si>
  <si>
    <t>005001010</t>
  </si>
  <si>
    <t>005001011</t>
  </si>
  <si>
    <t>005001019</t>
  </si>
  <si>
    <t>006001001</t>
  </si>
  <si>
    <t>006001002</t>
  </si>
  <si>
    <t>006001003</t>
  </si>
  <si>
    <t>006001009</t>
  </si>
  <si>
    <t>007001001</t>
  </si>
  <si>
    <t>007001002</t>
  </si>
  <si>
    <t>008001001</t>
  </si>
  <si>
    <t>008001002</t>
  </si>
  <si>
    <t>008001009</t>
  </si>
  <si>
    <t>008002001</t>
  </si>
  <si>
    <t>008002002</t>
  </si>
  <si>
    <t>009001001</t>
  </si>
  <si>
    <t>009001002</t>
  </si>
  <si>
    <t>09002001</t>
  </si>
  <si>
    <t>010001001</t>
  </si>
  <si>
    <t>010001002</t>
  </si>
  <si>
    <t>010001003</t>
  </si>
  <si>
    <t>010002001</t>
  </si>
  <si>
    <t>010002009</t>
  </si>
  <si>
    <t>011001001+011001006(parte)+011001019</t>
  </si>
  <si>
    <t>011001002+011001006(parte)+'011001008</t>
  </si>
  <si>
    <t>011001003+011001006(parte)</t>
  </si>
  <si>
    <t>011001004+011001005+011001006(parte)</t>
  </si>
  <si>
    <t>011001007</t>
  </si>
  <si>
    <t>012001001</t>
  </si>
  <si>
    <t>013001001</t>
  </si>
  <si>
    <t>013001002+013001009</t>
  </si>
  <si>
    <t>013001003</t>
  </si>
  <si>
    <t>013002001</t>
  </si>
  <si>
    <t>014001001</t>
  </si>
  <si>
    <t>014001002</t>
  </si>
  <si>
    <t>014001003</t>
  </si>
  <si>
    <t>014001004</t>
  </si>
  <si>
    <t>014001009</t>
  </si>
  <si>
    <t>015001001</t>
  </si>
  <si>
    <t>015001002</t>
  </si>
  <si>
    <t>016001001</t>
  </si>
  <si>
    <t>016001002</t>
  </si>
  <si>
    <t>016001003</t>
  </si>
  <si>
    <t>016001004</t>
  </si>
  <si>
    <t>016002001</t>
  </si>
  <si>
    <t>016003001</t>
  </si>
  <si>
    <t>017001001+017001002</t>
  </si>
  <si>
    <t>018001001</t>
  </si>
  <si>
    <t>018001002</t>
  </si>
  <si>
    <t>018001003</t>
  </si>
  <si>
    <t>019001001</t>
  </si>
  <si>
    <t>019002001</t>
  </si>
  <si>
    <t>019003001</t>
  </si>
  <si>
    <t>020001001+020001002</t>
  </si>
  <si>
    <t>020002001</t>
  </si>
  <si>
    <t>020003001</t>
  </si>
  <si>
    <t>021001001</t>
  </si>
  <si>
    <t>021001002</t>
  </si>
  <si>
    <t>021001003</t>
  </si>
  <si>
    <t>021002001</t>
  </si>
  <si>
    <t>021003001</t>
  </si>
  <si>
    <t>021003002</t>
  </si>
  <si>
    <t>021003009</t>
  </si>
  <si>
    <t>022001001</t>
  </si>
  <si>
    <t>022001002</t>
  </si>
  <si>
    <t>022001003</t>
  </si>
  <si>
    <t>022001009</t>
  </si>
  <si>
    <t>023001001+023001002</t>
  </si>
  <si>
    <t>023001003</t>
  </si>
  <si>
    <t>023001004</t>
  </si>
  <si>
    <t>024001001+024001002</t>
  </si>
  <si>
    <t>024001003</t>
  </si>
  <si>
    <t>024001004</t>
  </si>
  <si>
    <t>024001005+024001006+024001009</t>
  </si>
  <si>
    <t>024001007</t>
  </si>
  <si>
    <t>025001001</t>
  </si>
  <si>
    <t>025001002</t>
  </si>
  <si>
    <t>025001003</t>
  </si>
  <si>
    <t>025002001</t>
  </si>
  <si>
    <t>025002002</t>
  </si>
  <si>
    <t>025002003</t>
  </si>
  <si>
    <t>025002004</t>
  </si>
  <si>
    <t>025002005</t>
  </si>
  <si>
    <t>025002006+025002009</t>
  </si>
  <si>
    <t>026001001</t>
  </si>
  <si>
    <t>026001009</t>
  </si>
  <si>
    <t>026002001</t>
  </si>
  <si>
    <t>027001001</t>
  </si>
  <si>
    <t>027001002</t>
  </si>
  <si>
    <t>027001003</t>
  </si>
  <si>
    <t>027002001</t>
  </si>
  <si>
    <t>027002002</t>
  </si>
  <si>
    <t>027002009</t>
  </si>
  <si>
    <t>028001001</t>
  </si>
  <si>
    <t>028001002</t>
  </si>
  <si>
    <t>028001009</t>
  </si>
  <si>
    <t>028002001</t>
  </si>
  <si>
    <t>028002002</t>
  </si>
  <si>
    <t>028002003</t>
  </si>
  <si>
    <t>028002009</t>
  </si>
  <si>
    <t>029001001</t>
  </si>
  <si>
    <t>029001002</t>
  </si>
  <si>
    <t>029001003</t>
  </si>
  <si>
    <t>029001004</t>
  </si>
  <si>
    <t>029001005</t>
  </si>
  <si>
    <t>029001006</t>
  </si>
  <si>
    <t>029001007</t>
  </si>
  <si>
    <t>029001009</t>
  </si>
  <si>
    <t>030001001</t>
  </si>
  <si>
    <t>030001009</t>
  </si>
  <si>
    <t>031001001</t>
  </si>
  <si>
    <t>032001001</t>
  </si>
  <si>
    <t>032001002</t>
  </si>
  <si>
    <t>032001009</t>
  </si>
  <si>
    <t>032001010</t>
  </si>
  <si>
    <t>033001001</t>
  </si>
  <si>
    <t>033001002</t>
  </si>
  <si>
    <t>033002001</t>
  </si>
  <si>
    <t>033002002</t>
  </si>
  <si>
    <t>033002003</t>
  </si>
  <si>
    <t>034001000</t>
  </si>
  <si>
    <t>035001001</t>
  </si>
  <si>
    <t>035002001</t>
  </si>
  <si>
    <t>036001001</t>
  </si>
  <si>
    <t>036002001</t>
  </si>
  <si>
    <t>037001001</t>
  </si>
  <si>
    <t>037001002</t>
  </si>
  <si>
    <t>037001003</t>
  </si>
  <si>
    <t>037001004</t>
  </si>
  <si>
    <t>037001005</t>
  </si>
  <si>
    <t>037001006</t>
  </si>
  <si>
    <t>037001007</t>
  </si>
  <si>
    <t>037001008</t>
  </si>
  <si>
    <t>037001009</t>
  </si>
  <si>
    <t>037001010</t>
  </si>
  <si>
    <t>037001011</t>
  </si>
  <si>
    <t>038001001</t>
  </si>
  <si>
    <t>038002000</t>
  </si>
  <si>
    <t>039001001</t>
  </si>
  <si>
    <t xml:space="preserve">039001002+039001006 </t>
  </si>
  <si>
    <t>039001003</t>
  </si>
  <si>
    <t>039001004</t>
  </si>
  <si>
    <t>039001005</t>
  </si>
  <si>
    <t>040001001</t>
  </si>
  <si>
    <t>040001002</t>
  </si>
  <si>
    <t>040001003</t>
  </si>
  <si>
    <t>041001001</t>
  </si>
  <si>
    <t>041001002</t>
  </si>
  <si>
    <t>041001003</t>
  </si>
  <si>
    <t>042001001+042001016</t>
  </si>
  <si>
    <t>042001002</t>
  </si>
  <si>
    <t>042001003</t>
  </si>
  <si>
    <t>042001004</t>
  </si>
  <si>
    <t>042001005</t>
  </si>
  <si>
    <t>042001006</t>
  </si>
  <si>
    <t>042001007</t>
  </si>
  <si>
    <t>042001008</t>
  </si>
  <si>
    <t>042001009</t>
  </si>
  <si>
    <t>042001010</t>
  </si>
  <si>
    <t>042001011</t>
  </si>
  <si>
    <t>042001012</t>
  </si>
  <si>
    <t>042001013</t>
  </si>
  <si>
    <t>042001014</t>
  </si>
  <si>
    <t>042001015</t>
  </si>
  <si>
    <t>042001017</t>
  </si>
  <si>
    <t>042001029</t>
  </si>
  <si>
    <t>043001001</t>
  </si>
  <si>
    <t>043001002</t>
  </si>
  <si>
    <t>044001001</t>
  </si>
  <si>
    <t>044001002</t>
  </si>
  <si>
    <t>044001003</t>
  </si>
  <si>
    <t>044001004</t>
  </si>
  <si>
    <t>044001009</t>
  </si>
  <si>
    <t>044002001</t>
  </si>
  <si>
    <t>044002002</t>
  </si>
  <si>
    <t>044002003</t>
  </si>
  <si>
    <t>044002009</t>
  </si>
  <si>
    <t>045001001</t>
  </si>
  <si>
    <t>045001002</t>
  </si>
  <si>
    <t>045001009</t>
  </si>
  <si>
    <t>045002001</t>
  </si>
  <si>
    <t>046001001</t>
  </si>
  <si>
    <t>046001002</t>
  </si>
  <si>
    <t>046001003</t>
  </si>
  <si>
    <t>046001009</t>
  </si>
  <si>
    <t>047001001</t>
  </si>
  <si>
    <t xml:space="preserve"> Banano y plátano y plantas de banano (parte)</t>
  </si>
  <si>
    <t xml:space="preserve"> Café cereza, sin tostar, no descafeinado y plantas de café (parte)</t>
  </si>
  <si>
    <t xml:space="preserve"> Cacao en grano, crudo o tostado y plantas de caco (parte)</t>
  </si>
  <si>
    <t xml:space="preserve"> Trigo</t>
  </si>
  <si>
    <t xml:space="preserve"> Maíz suave</t>
  </si>
  <si>
    <t xml:space="preserve"> Maíz duro</t>
  </si>
  <si>
    <t xml:space="preserve"> Arroz con cáscara</t>
  </si>
  <si>
    <t xml:space="preserve"> Cebada</t>
  </si>
  <si>
    <t xml:space="preserve"> Avena</t>
  </si>
  <si>
    <t xml:space="preserve"> Otros cereales n.c.p.</t>
  </si>
  <si>
    <t xml:space="preserve"> Rosas</t>
  </si>
  <si>
    <t xml:space="preserve"> Gypsophilas</t>
  </si>
  <si>
    <t xml:space="preserve"> Claveles</t>
  </si>
  <si>
    <t xml:space="preserve"> Otras flores y Plantas de flores y semillas de flores</t>
  </si>
  <si>
    <t xml:space="preserve"> Ramilletes, coronas, arreglos florales y artículos similares</t>
  </si>
  <si>
    <t xml:space="preserve"> Papa</t>
  </si>
  <si>
    <t xml:space="preserve"> Yuca</t>
  </si>
  <si>
    <t xml:space="preserve"> Otros tubérculos y raíces</t>
  </si>
  <si>
    <t xml:space="preserve"> Brócoli</t>
  </si>
  <si>
    <t xml:space="preserve"> Lechuga</t>
  </si>
  <si>
    <t xml:space="preserve"> Tomate</t>
  </si>
  <si>
    <t xml:space="preserve"> Fréjol fresco o seco</t>
  </si>
  <si>
    <t xml:space="preserve"> Haba fresca o seca</t>
  </si>
  <si>
    <t xml:space="preserve"> Arveja fresca o seca</t>
  </si>
  <si>
    <t xml:space="preserve"> Lenteja</t>
  </si>
  <si>
    <t xml:space="preserve"> Cebolla blanca y colorada</t>
  </si>
  <si>
    <t xml:space="preserve"> Sandía</t>
  </si>
  <si>
    <t xml:space="preserve"> Pimiento</t>
  </si>
  <si>
    <t xml:space="preserve"> Otros vegetales y melones n.c.p.</t>
  </si>
  <si>
    <t xml:space="preserve"> Aguacate</t>
  </si>
  <si>
    <t xml:space="preserve"> Mango</t>
  </si>
  <si>
    <t xml:space="preserve"> Papaya y Plantas de papaya</t>
  </si>
  <si>
    <t xml:space="preserve"> Piña y Plantas de piña</t>
  </si>
  <si>
    <t xml:space="preserve"> Tomate de árbol y Plantas de Tomate de árbol</t>
  </si>
  <si>
    <t xml:space="preserve"> Limón y Plantas de  Limón</t>
  </si>
  <si>
    <t xml:space="preserve"> Naranja y Plantas de  Naranja</t>
  </si>
  <si>
    <t xml:space="preserve"> Mandarina y Plantas de Mandarina</t>
  </si>
  <si>
    <t xml:space="preserve"> Maracuyá y Plantas de Maracuyá</t>
  </si>
  <si>
    <t xml:space="preserve"> Mora</t>
  </si>
  <si>
    <t xml:space="preserve"> Manzana y Plantas de Manzana</t>
  </si>
  <si>
    <t xml:space="preserve"> Otras frutas n.c.p.</t>
  </si>
  <si>
    <t xml:space="preserve"> Palma africana y  Plantas de frutos oleaginosos y Plantas de otros productos agrícolas n.c.p.</t>
  </si>
  <si>
    <t xml:space="preserve"> Soya</t>
  </si>
  <si>
    <t xml:space="preserve"> Maní</t>
  </si>
  <si>
    <t xml:space="preserve"> Otras oleaginosas n.c.p.</t>
  </si>
  <si>
    <t xml:space="preserve"> Caña de azúcar</t>
  </si>
  <si>
    <t xml:space="preserve"> Tabaco en rama</t>
  </si>
  <si>
    <t xml:space="preserve"> Algodón en rama y  Semilla de algodón</t>
  </si>
  <si>
    <t xml:space="preserve"> Abacá</t>
  </si>
  <si>
    <t xml:space="preserve"> Pasto y plantas forrajeras</t>
  </si>
  <si>
    <t xml:space="preserve"> Otros productos agrícolas n.c.p.</t>
  </si>
  <si>
    <t xml:space="preserve"> Servicios relacionados con la agricultura</t>
  </si>
  <si>
    <t xml:space="preserve"> Ganado bovino y Leche fresca sin elaborar y Cuero sin curtir y piel</t>
  </si>
  <si>
    <t xml:space="preserve"> Ganado ovino y caprino y lana</t>
  </si>
  <si>
    <t xml:space="preserve"> Caballos y otros equinos</t>
  </si>
  <si>
    <t xml:space="preserve"> Ganado porcino</t>
  </si>
  <si>
    <t xml:space="preserve"> Conejos y cuyes</t>
  </si>
  <si>
    <t xml:space="preserve"> Pollos (incluidos pollitos de un día)</t>
  </si>
  <si>
    <t xml:space="preserve"> Otras aves n.c.p.</t>
  </si>
  <si>
    <t xml:space="preserve"> Otros animales vivos n.c.p. (excepto ranas)</t>
  </si>
  <si>
    <t xml:space="preserve"> Huevos</t>
  </si>
  <si>
    <t xml:space="preserve"> Productos comestibles de origen animal n.c.p.</t>
  </si>
  <si>
    <t xml:space="preserve"> Otros productos de otros animales n.c.p.</t>
  </si>
  <si>
    <t xml:space="preserve"> Madera sin elaborar</t>
  </si>
  <si>
    <t xml:space="preserve"> Plantas de árboles maderables.</t>
  </si>
  <si>
    <t xml:space="preserve"> Caucho natural (en formas primarias o planchas)</t>
  </si>
  <si>
    <t xml:space="preserve"> Otros productos de la silvicultura n.c.p.</t>
  </si>
  <si>
    <t xml:space="preserve"> Larvas de camarón</t>
  </si>
  <si>
    <t xml:space="preserve"> Camarón vivo o fresco</t>
  </si>
  <si>
    <t xml:space="preserve"> Atún</t>
  </si>
  <si>
    <t xml:space="preserve"> Pescado vivo, fresco o refrigerado (excepto atún)</t>
  </si>
  <si>
    <t xml:space="preserve"> Otros productos de la pesca n.c.p.</t>
  </si>
  <si>
    <t xml:space="preserve"> Tilapia</t>
  </si>
  <si>
    <t xml:space="preserve"> Otros productos de la acuicultura (incluye ranas)</t>
  </si>
  <si>
    <t xml:space="preserve"> Petróleo crudo</t>
  </si>
  <si>
    <t xml:space="preserve"> Gas natural</t>
  </si>
  <si>
    <t xml:space="preserve"> Servicios relacionados con el petróleo y gas natural</t>
  </si>
  <si>
    <t xml:space="preserve"> Minerales de metales preciosos</t>
  </si>
  <si>
    <t xml:space="preserve"> Minerales de cobre y sus concentrados</t>
  </si>
  <si>
    <t xml:space="preserve"> Otros minerales metalíferos</t>
  </si>
  <si>
    <t xml:space="preserve"> Piedras, arenas y arcillas</t>
  </si>
  <si>
    <t xml:space="preserve"> Otros minerales no metálicos n.c.p.</t>
  </si>
  <si>
    <t xml:space="preserve"> Carne de ganado bovino y Despojos comestibles de mamíferos l y Otros productos y subproductos de la carne n.c.p.</t>
  </si>
  <si>
    <t xml:space="preserve"> Carne de ganado porcino, con grasas animales en bruto (incluye manteca de cerdo) y despojos comestibles de mamíferos</t>
  </si>
  <si>
    <t xml:space="preserve"> Carne de otro tipo de ganado n.c.p. y despojos comestibles de mamíferos</t>
  </si>
  <si>
    <t xml:space="preserve"> Carne de pollo y Carne de otras aves de corral y despojos de aves de corral</t>
  </si>
  <si>
    <t xml:space="preserve"> Embutidos, conservas y preparados de carne</t>
  </si>
  <si>
    <t xml:space="preserve"> Camarón elaborado</t>
  </si>
  <si>
    <t xml:space="preserve"> Pescado congelado, seco o salado; filetes de pescado</t>
  </si>
  <si>
    <t xml:space="preserve"> Otros productos de especies acuáticas elaboradas y Otros productos y subproductos de la pesca n.c.p.</t>
  </si>
  <si>
    <t xml:space="preserve"> Harina de pescado (excepto de consumo humano)</t>
  </si>
  <si>
    <t xml:space="preserve"> Preparados y conservas de pescado y de otras especies acuáticas</t>
  </si>
  <si>
    <t xml:space="preserve"> Grasas animales fundidas (excepto de cerdo y aves de corral)</t>
  </si>
  <si>
    <t xml:space="preserve"> Aceites vegetales crudos</t>
  </si>
  <si>
    <t xml:space="preserve"> Aceites refinados</t>
  </si>
  <si>
    <t xml:space="preserve"> Margarina y otros aceites y grasas vegetales</t>
  </si>
  <si>
    <t xml:space="preserve"> Otros productos de oleaginosas</t>
  </si>
  <si>
    <t xml:space="preserve"> Leche elaborada</t>
  </si>
  <si>
    <t xml:space="preserve"> Productos derivados de la leche</t>
  </si>
  <si>
    <t xml:space="preserve"> Harina de trigo</t>
  </si>
  <si>
    <t xml:space="preserve"> Arroz pilado, blanqueado y pulido</t>
  </si>
  <si>
    <t xml:space="preserve"> Otras harinas vegetales, sémolas y otros prod</t>
  </si>
  <si>
    <t xml:space="preserve"> Almidones y sus productos</t>
  </si>
  <si>
    <t xml:space="preserve"> Productos de la panadería y pastelería</t>
  </si>
  <si>
    <t xml:space="preserve"> Fideos, macarrones y otros productos farináceos similares</t>
  </si>
  <si>
    <t>Azúcar sin refinar, refinada y sacarosa y melaza</t>
  </si>
  <si>
    <t xml:space="preserve"> Cacao elaborado sin edulcorantes</t>
  </si>
  <si>
    <t xml:space="preserve"> Chocolate y bombones (incluye polvo de cacao con edulcorante)</t>
  </si>
  <si>
    <t xml:space="preserve"> Productos de confitería</t>
  </si>
  <si>
    <t>Alimento para animales</t>
  </si>
  <si>
    <t xml:space="preserve"> Café tostado, molido, soluble y otros n.c.p.</t>
  </si>
  <si>
    <t xml:space="preserve"> Otros productos alimenticios n.c.p.</t>
  </si>
  <si>
    <t xml:space="preserve"> Alcohol etílico y bebidas alcohólicas;  Cerveza y malta </t>
  </si>
  <si>
    <t xml:space="preserve"> Bebidas no alcohólicas</t>
  </si>
  <si>
    <t xml:space="preserve"> Cigarrillos y otros productos de tabaco</t>
  </si>
  <si>
    <t xml:space="preserve"> Hilos e hilados de fibras textiles</t>
  </si>
  <si>
    <t xml:space="preserve"> Tejidos y telas de fibras textiles</t>
  </si>
  <si>
    <t xml:space="preserve"> Confecciones con materiales textiles (excepto prendas de vestir)</t>
  </si>
  <si>
    <t xml:space="preserve"> Prendas de vestir (inclusive de cuero y piel)</t>
  </si>
  <si>
    <t xml:space="preserve"> Cuero y piel curtida</t>
  </si>
  <si>
    <t xml:space="preserve"> Productos de cuero (excepto calzado y prendas de vestir)</t>
  </si>
  <si>
    <t xml:space="preserve"> Calzado de cualquier material</t>
  </si>
  <si>
    <t xml:space="preserve"> Madera aserrada, cortada o descortezada</t>
  </si>
  <si>
    <t xml:space="preserve"> Tableros, paneles y hojas de madera</t>
  </si>
  <si>
    <t xml:space="preserve"> Obras de carpintería para edificios</t>
  </si>
  <si>
    <t xml:space="preserve"> Cajas, cajones y otros productos de madera, corcho y trensables</t>
  </si>
  <si>
    <t xml:space="preserve">Pasta de papel y Papel y cartón </t>
  </si>
  <si>
    <t xml:space="preserve"> Cajas de cartón y otros prod de papel y cartón</t>
  </si>
  <si>
    <t xml:space="preserve"> Productos editoriales imprentas y otros productos n.c.p.</t>
  </si>
  <si>
    <t xml:space="preserve"> Gasolinas, Nafta y gasolina natural</t>
  </si>
  <si>
    <t xml:space="preserve"> Diesel</t>
  </si>
  <si>
    <t xml:space="preserve"> Fuel Oil</t>
  </si>
  <si>
    <t xml:space="preserve"> Spray oil,  Otros combustibles y aceites de petróleo (incluye lubricantes) y  Otros productos y subproductos de petróleo; coque y alquitrán</t>
  </si>
  <si>
    <t xml:space="preserve"> Gases de hidrocarburos</t>
  </si>
  <si>
    <t xml:space="preserve"> Productos químicos básicos</t>
  </si>
  <si>
    <t xml:space="preserve"> Abonos y plaguicidas</t>
  </si>
  <si>
    <t xml:space="preserve"> Plásticos primarios y caucho sintético y artificial</t>
  </si>
  <si>
    <t xml:space="preserve"> Pinturas, barnices, lacas, colores y tintas</t>
  </si>
  <si>
    <t xml:space="preserve"> Productos farmacéuticos y medicamentos</t>
  </si>
  <si>
    <t xml:space="preserve"> Jabón y detergentes</t>
  </si>
  <si>
    <t xml:space="preserve"> Perfumes y preparados de tocador</t>
  </si>
  <si>
    <t xml:space="preserve"> Preparados para limpiar y pulir</t>
  </si>
  <si>
    <t xml:space="preserve"> Fibras sintéticas (textiles manufacturadas) y Otros productos químicos n.c.p.</t>
  </si>
  <si>
    <t xml:space="preserve"> Neumáticos y cámaras de aire</t>
  </si>
  <si>
    <t xml:space="preserve"> Otros productos de caucho n.c.p.</t>
  </si>
  <si>
    <t xml:space="preserve"> Productos de plástico</t>
  </si>
  <si>
    <t xml:space="preserve"> Vidrio y productos de vidrio</t>
  </si>
  <si>
    <t xml:space="preserve"> Productos de cerámica no estructurales</t>
  </si>
  <si>
    <t xml:space="preserve"> Productos refractarios, productos de arcilla no refractarios estructurales </t>
  </si>
  <si>
    <t xml:space="preserve"> Cemento y clinker de cemento</t>
  </si>
  <si>
    <t xml:space="preserve"> Artículos de hormigón, cemento y yeso; cal y yeso</t>
  </si>
  <si>
    <t xml:space="preserve"> Piedras y otros productos de minerales no metálicos </t>
  </si>
  <si>
    <t xml:space="preserve"> Productos de hierro y acero</t>
  </si>
  <si>
    <t xml:space="preserve"> Metales preciosos y enchapados con metales preciosos </t>
  </si>
  <si>
    <t xml:space="preserve"> Productos de otros metales</t>
  </si>
  <si>
    <t xml:space="preserve"> Productos metálicos estructurales</t>
  </si>
  <si>
    <t xml:space="preserve"> Productos metálicos de uso doméstico</t>
  </si>
  <si>
    <t xml:space="preserve"> Armas y municiones, partes y piezas</t>
  </si>
  <si>
    <t xml:space="preserve"> Otros productos metálicos n.c.p.</t>
  </si>
  <si>
    <t xml:space="preserve"> Maquinaria para usos generales</t>
  </si>
  <si>
    <t xml:space="preserve"> Maquinaria para usos especiales (excepto de uso doméstico)</t>
  </si>
  <si>
    <t xml:space="preserve"> Aparatos de uso doméstico, partes y piezas</t>
  </si>
  <si>
    <t xml:space="preserve"> Máquinas de oficina y contabilidad (excepto informática)</t>
  </si>
  <si>
    <t xml:space="preserve"> Maquinaria informática; partes, piezas y accesorios</t>
  </si>
  <si>
    <t xml:space="preserve"> Maquinaria y aparatos eléctricos</t>
  </si>
  <si>
    <t xml:space="preserve"> Equipos y aparatos de radio, TV y comunicaciones</t>
  </si>
  <si>
    <t xml:space="preserve"> Equipo radiológico, electromédico; instrumentos ópticos; de medición y control; relojes y otra maquin y equipo n.c.p.</t>
  </si>
  <si>
    <t xml:space="preserve"> Vehículos automotores</t>
  </si>
  <si>
    <t xml:space="preserve"> Otro equipo y material de transporte n.c.p.</t>
  </si>
  <si>
    <t xml:space="preserve"> Muebles de cualquier material</t>
  </si>
  <si>
    <t xml:space="preserve"> Joyas</t>
  </si>
  <si>
    <t xml:space="preserve"> Aparatos de laboratorio, odontológicos y otros instrumentos médicos n.c.p. </t>
  </si>
  <si>
    <t xml:space="preserve"> Otros productos manufacturados diversos</t>
  </si>
  <si>
    <t xml:space="preserve"> Servicios de reparación e instalación de maquinaria y equipo</t>
  </si>
  <si>
    <t xml:space="preserve"> Energía eléctrica</t>
  </si>
  <si>
    <t xml:space="preserve"> Servicios de transmisión y distribución eléctrica</t>
  </si>
  <si>
    <t xml:space="preserve"> Agua</t>
  </si>
  <si>
    <t xml:space="preserve"> Gas de productos diferentes al petróleo y distribución de gas por tuberías</t>
  </si>
  <si>
    <t xml:space="preserve"> Servicios de saneamiento y remediación</t>
  </si>
  <si>
    <t xml:space="preserve"> Servicios de comercio</t>
  </si>
  <si>
    <t xml:space="preserve"> Servicios de reparación y mantenimiento de vehículos de motor y motocicletas</t>
  </si>
  <si>
    <t xml:space="preserve"> Servicios de hotelería y alojamiento</t>
  </si>
  <si>
    <t xml:space="preserve"> Servicios de suministro de comida y de bebida</t>
  </si>
  <si>
    <t xml:space="preserve"> Servicios de transporte de pasajeros por carretera</t>
  </si>
  <si>
    <t xml:space="preserve"> Serv de transporte de carga por carretera</t>
  </si>
  <si>
    <t xml:space="preserve"> Servicios de transporte por ferrocarril</t>
  </si>
  <si>
    <t xml:space="preserve"> Servicios de transporte por tubería</t>
  </si>
  <si>
    <t xml:space="preserve"> Servicios de transporte por vía acuática</t>
  </si>
  <si>
    <t xml:space="preserve"> Servicios de transporte de pasajeros por vía aérea </t>
  </si>
  <si>
    <t xml:space="preserve"> Servicios de transporte de carga por vía aérea</t>
  </si>
  <si>
    <t xml:space="preserve"> Servicios de alquiler de vehículos de transporte con tripulación</t>
  </si>
  <si>
    <t xml:space="preserve"> Servicios de carga y descarga</t>
  </si>
  <si>
    <t xml:space="preserve"> Servicios de almacenamiento</t>
  </si>
  <si>
    <t xml:space="preserve"> Servicios complementarios y auxiliares del transporte</t>
  </si>
  <si>
    <t xml:space="preserve"> Servicios postales y de mensajería</t>
  </si>
  <si>
    <t xml:space="preserve"> Servicios de Banca Central</t>
  </si>
  <si>
    <t xml:space="preserve"> Servicios de intermediación financiera de otras instituciones de depósito y  SIFMI (Servicio de Intermediación Financiera Medido Indirectamente)</t>
  </si>
  <si>
    <t xml:space="preserve"> Fondos de inversión</t>
  </si>
  <si>
    <t xml:space="preserve"> Otros servicios de intermediación financiera </t>
  </si>
  <si>
    <t xml:space="preserve"> Servicios auxiliares de intermediación financiera</t>
  </si>
  <si>
    <t xml:space="preserve"> Serv de seguros de vida</t>
  </si>
  <si>
    <t xml:space="preserve"> Serv de planes de pensiones</t>
  </si>
  <si>
    <t xml:space="preserve"> Otros servicios de seguros</t>
  </si>
  <si>
    <t xml:space="preserve"> Alquiler de vivienda</t>
  </si>
  <si>
    <t xml:space="preserve"> Alquiler imputado de vivienda</t>
  </si>
  <si>
    <t xml:space="preserve"> Otros servicios inmobiliarios</t>
  </si>
  <si>
    <t>Servicios de investigación y desarrollo; y,  Servicios de concesión de licencias para el derecho de uso de activos intangibles</t>
  </si>
  <si>
    <t xml:space="preserve"> Servicios jurídicos y legales</t>
  </si>
  <si>
    <t xml:space="preserve"> Servicios de contabilidad, auditoría y otros</t>
  </si>
  <si>
    <t xml:space="preserve"> Servicios de asesoría y consultoría</t>
  </si>
  <si>
    <t xml:space="preserve"> Servicios de arquitectura, ingeniería y análogos</t>
  </si>
  <si>
    <t xml:space="preserve"> Servicios de publicidad</t>
  </si>
  <si>
    <t xml:space="preserve"> Servicios de estudios de mercado y encuestas</t>
  </si>
  <si>
    <t xml:space="preserve"> Servicios fotográficos</t>
  </si>
  <si>
    <t xml:space="preserve"> Otros servicios profesionales y técnicos</t>
  </si>
  <si>
    <t xml:space="preserve"> Servicios veterinarios</t>
  </si>
  <si>
    <t xml:space="preserve"> Servicios de empleo</t>
  </si>
  <si>
    <t xml:space="preserve"> Servicios de investigación y seguridad</t>
  </si>
  <si>
    <t xml:space="preserve"> Servicios de limpieza</t>
  </si>
  <si>
    <t xml:space="preserve"> Servicios de arrendamiento de maquinaria y otros artículos sin operarios</t>
  </si>
  <si>
    <t xml:space="preserve"> Servicios de agencias de viajes y análogos</t>
  </si>
  <si>
    <t xml:space="preserve"> Servicios de reparación de computadoras y otros enseres domésticos</t>
  </si>
  <si>
    <t xml:space="preserve"> Otros servicios empresariales n.c.p.</t>
  </si>
  <si>
    <t xml:space="preserve"> Servicios administrativos del gobierno</t>
  </si>
  <si>
    <t xml:space="preserve"> Servicios de la seguridad social obligatoria</t>
  </si>
  <si>
    <t xml:space="preserve"> Servicios de enseñanza preprimaria y primaria privada (de mercado)</t>
  </si>
  <si>
    <t xml:space="preserve"> Servicios de enseñanza secundaria privada (de mercado)</t>
  </si>
  <si>
    <t xml:space="preserve"> Servicios de enseñanza superior privada (de mercado)</t>
  </si>
  <si>
    <t xml:space="preserve"> Otros servicios de enseñanza privada (de mercado)</t>
  </si>
  <si>
    <t xml:space="preserve"> Otros servicios de enseñanza privada (ISFLSH)</t>
  </si>
  <si>
    <t xml:space="preserve"> Servicios de enseñanza preprimaria y primaria público (no de mercado)</t>
  </si>
  <si>
    <t xml:space="preserve"> Servicios de enseñanza secundaria público (no de mercado)</t>
  </si>
  <si>
    <t xml:space="preserve"> Servicios de enseñanza superior público (no de mercado)</t>
  </si>
  <si>
    <t xml:space="preserve"> Otros servicios de enseñanza público (no de mercado)</t>
  </si>
  <si>
    <t xml:space="preserve"> Servicios de salud de mercado (privados)</t>
  </si>
  <si>
    <t xml:space="preserve"> Servicios sociales de mercado (privados)</t>
  </si>
  <si>
    <t xml:space="preserve"> Otros servicios sociales y de salud (ISFLSH)</t>
  </si>
  <si>
    <t xml:space="preserve"> Servicios de salud no de mercado (pública)</t>
  </si>
  <si>
    <t xml:space="preserve"> Servicios de asociaciones</t>
  </si>
  <si>
    <t xml:space="preserve"> Servicios recreacionales, culturales y deportivos</t>
  </si>
  <si>
    <t xml:space="preserve"> Servicios de asociaciones; esparcimiento; culturales y deportivos (ISFLSH)</t>
  </si>
  <si>
    <t xml:space="preserve"> Otros servicios n.c.p.</t>
  </si>
  <si>
    <t xml:space="preserve"> Servicio doméstico</t>
  </si>
  <si>
    <t xml:space="preserve"> GASTO DE CONSUMO FINAL DE HOGARES RESIDENTES
(pb) </t>
  </si>
  <si>
    <t>GASTO DE CONSUMO FINAL DEL GOBIERNO GENERAL (pb)</t>
  </si>
  <si>
    <t>GASTO DE CONSUMO FINAL DE LAS INSTITUCIONES SIN FINES DE LUCRO QUE SIRVEN A LOS HOGARES (pb)</t>
  </si>
  <si>
    <t>FORMACIÓN BRUTA DE CAPITAL FIJO (pb)</t>
  </si>
  <si>
    <t>VARIACIÓN DE EXISTENCIAS (pb)</t>
  </si>
  <si>
    <t xml:space="preserve"> EXPORTACIONES DE BIENES Y SERVICIOS (pb)</t>
  </si>
  <si>
    <t>Ganado bovino y Leche fresca sin elaborar y Cuero sin curtir y piel</t>
  </si>
  <si>
    <t>TOTAL CONSUMOS INTERMEDIOS A PRECIOS BÁSICOS</t>
  </si>
  <si>
    <t>IMPUESTOS NETOS SOBRE PRODUCTOS</t>
  </si>
  <si>
    <t>IMPORTACIONES</t>
  </si>
  <si>
    <t>PRODUCCIÓN DE LAS INDUSTRIAS pb</t>
  </si>
  <si>
    <t>Comment</t>
  </si>
  <si>
    <t>Code</t>
  </si>
  <si>
    <t>Name</t>
  </si>
  <si>
    <t>01.1.1.521</t>
  </si>
  <si>
    <t>Trigo y germen de trigo</t>
  </si>
  <si>
    <t>01.1.1.514</t>
  </si>
  <si>
    <t>01.1.1.510</t>
  </si>
  <si>
    <t>01.1.1.511</t>
  </si>
  <si>
    <t>Maíz en mazorca seco</t>
  </si>
  <si>
    <t>01.1.1.212</t>
  </si>
  <si>
    <t>Harina de trigo</t>
  </si>
  <si>
    <t>01.1.1.518</t>
  </si>
  <si>
    <t>01.1.1.519</t>
  </si>
  <si>
    <t>Product name</t>
  </si>
  <si>
    <t>Cebada</t>
  </si>
  <si>
    <t>Yuca</t>
  </si>
  <si>
    <t>01.1.1.501</t>
  </si>
  <si>
    <t>Otros cereales y derivados</t>
  </si>
  <si>
    <t>Canguil</t>
  </si>
  <si>
    <t>01.1.1.504</t>
  </si>
  <si>
    <t>Centeno</t>
  </si>
  <si>
    <t>01.1.1.505</t>
  </si>
  <si>
    <t>Cereales preparados (nestum, corn flakles, otro)</t>
  </si>
  <si>
    <t>01.1.1.506</t>
  </si>
  <si>
    <t>Chulpi</t>
  </si>
  <si>
    <t>01.1.1.507</t>
  </si>
  <si>
    <t>Fécula de patata</t>
  </si>
  <si>
    <t>01.1.1.508</t>
  </si>
  <si>
    <t>Fécula o extracto de malta en liquido</t>
  </si>
  <si>
    <t>01.1.1.509</t>
  </si>
  <si>
    <t>Fécula o extracto de malta en polvo</t>
  </si>
  <si>
    <t>01.1.1.512</t>
  </si>
  <si>
    <t>Malta (cebada malteada)</t>
  </si>
  <si>
    <t>01.1.1.513</t>
  </si>
  <si>
    <t>Morocho</t>
  </si>
  <si>
    <t>01.1.1.515</t>
  </si>
  <si>
    <t>Pinol</t>
  </si>
  <si>
    <t>01.1.1.516</t>
  </si>
  <si>
    <t>Quinua</t>
  </si>
  <si>
    <t>01.1.1.517</t>
  </si>
  <si>
    <t>Sagú</t>
  </si>
  <si>
    <t>01.1.1.520</t>
  </si>
  <si>
    <t>Soya</t>
  </si>
  <si>
    <t>01.1.1.599</t>
  </si>
  <si>
    <t>01.1.7.204</t>
  </si>
  <si>
    <t>01.1.7.205</t>
  </si>
  <si>
    <t>01.1.7.206</t>
  </si>
  <si>
    <t>01.1.7.207</t>
  </si>
  <si>
    <t>01.1.7.208</t>
  </si>
  <si>
    <t>01.1.7.209</t>
  </si>
  <si>
    <t>01.1.7.210</t>
  </si>
  <si>
    <t>01.1.7.211</t>
  </si>
  <si>
    <t>01.1.7.212</t>
  </si>
  <si>
    <t>01.1.7.213</t>
  </si>
  <si>
    <t>01.1.7.214</t>
  </si>
  <si>
    <t>01.1.7.201</t>
  </si>
  <si>
    <t>Camote o batata</t>
  </si>
  <si>
    <t>01.1.7.202</t>
  </si>
  <si>
    <t>Mashua</t>
  </si>
  <si>
    <t>01.1.7.203</t>
  </si>
  <si>
    <t>Oca</t>
  </si>
  <si>
    <t>01.1.7.299</t>
  </si>
  <si>
    <t>Otras tubérculos</t>
  </si>
  <si>
    <t>01.1.7.010</t>
  </si>
  <si>
    <t>Brócoli</t>
  </si>
  <si>
    <t>01.1.7.027</t>
  </si>
  <si>
    <t>Lechuga corriente</t>
  </si>
  <si>
    <t>01.1.7.028</t>
  </si>
  <si>
    <t>Lechuga crespa</t>
  </si>
  <si>
    <t>01.1.7.038</t>
  </si>
  <si>
    <t>Tomate riñón</t>
  </si>
  <si>
    <t>01.1.7.103</t>
  </si>
  <si>
    <t>Fréjol tierno (pelado o en vaina)</t>
  </si>
  <si>
    <t>01.1.7.105</t>
  </si>
  <si>
    <t>Habas tiernas (pelada o en vaina)</t>
  </si>
  <si>
    <t>01.1.7.101</t>
  </si>
  <si>
    <t>Arveja tierna (pelada o en vaina)</t>
  </si>
  <si>
    <t>Lenteja</t>
  </si>
  <si>
    <t>Electricity</t>
  </si>
  <si>
    <t>Healthcare</t>
  </si>
  <si>
    <t>Other expenditures</t>
  </si>
  <si>
    <t>01.1.1</t>
  </si>
  <si>
    <t>Type</t>
  </si>
  <si>
    <t>DI</t>
  </si>
  <si>
    <t>GR</t>
  </si>
  <si>
    <t>CL</t>
  </si>
  <si>
    <t>SC</t>
  </si>
  <si>
    <t>SSC</t>
  </si>
  <si>
    <t>Code (formula)</t>
  </si>
  <si>
    <t>01</t>
  </si>
  <si>
    <t/>
  </si>
  <si>
    <t>ALIMENTOS Y BEBIDAS NO ALCOHÓLICAS</t>
  </si>
  <si>
    <t>1</t>
  </si>
  <si>
    <t>01.1</t>
  </si>
  <si>
    <t>ALIMENTOS</t>
  </si>
  <si>
    <t xml:space="preserve">PAN Y CEREALES </t>
  </si>
  <si>
    <t>000</t>
  </si>
  <si>
    <t>01.1.1.000</t>
  </si>
  <si>
    <t>Pan (productos de panadería)</t>
  </si>
  <si>
    <t>100</t>
  </si>
  <si>
    <t>01.1.1.100</t>
  </si>
  <si>
    <t>Otros productos de panadería</t>
  </si>
  <si>
    <t>200</t>
  </si>
  <si>
    <t>01.1.1.200</t>
  </si>
  <si>
    <t>Harinas</t>
  </si>
  <si>
    <t>300</t>
  </si>
  <si>
    <t>01.1.1.300</t>
  </si>
  <si>
    <t>Pastas alimenticias</t>
  </si>
  <si>
    <t>400</t>
  </si>
  <si>
    <t>01.1.1.400</t>
  </si>
  <si>
    <t>Arroz</t>
  </si>
  <si>
    <t>500</t>
  </si>
  <si>
    <t>01.1.1.500</t>
  </si>
  <si>
    <t>2</t>
  </si>
  <si>
    <t>01.1.2</t>
  </si>
  <si>
    <t>CARNES FRESCAS Y CONGELADAS</t>
  </si>
  <si>
    <t>01.1.2.000</t>
  </si>
  <si>
    <t>Carne de bovino fresca, refrigerada o congelada</t>
  </si>
  <si>
    <t>01.1.2.100</t>
  </si>
  <si>
    <t>Carne de porcino fresca, refrigerada o congelada</t>
  </si>
  <si>
    <t>01.1.2.200</t>
  </si>
  <si>
    <t>Carne de ovino y caprino fresca, refrigerada o congelada</t>
  </si>
  <si>
    <t>01.1.2.300</t>
  </si>
  <si>
    <t>01.1.2.400</t>
  </si>
  <si>
    <t>Carne de otros animales fresca, refrigerada o congelada</t>
  </si>
  <si>
    <t>01.1.2.500</t>
  </si>
  <si>
    <t>Carnes preparadas y procesadas</t>
  </si>
  <si>
    <t>3</t>
  </si>
  <si>
    <t>01.1.3</t>
  </si>
  <si>
    <t>PESCADOS Y MARISCOS FRESCOS, PROCESADOS</t>
  </si>
  <si>
    <t>01.1.3.000</t>
  </si>
  <si>
    <t>01.1.3.100</t>
  </si>
  <si>
    <t>Pescados procesados y preparados</t>
  </si>
  <si>
    <t>01.1.3.200</t>
  </si>
  <si>
    <t>Mariscos frescos, refrigerados, congelados</t>
  </si>
  <si>
    <t>01.1.3.300</t>
  </si>
  <si>
    <t>Mariscos procesados y preparados</t>
  </si>
  <si>
    <t>4</t>
  </si>
  <si>
    <t>01.1.4</t>
  </si>
  <si>
    <t xml:space="preserve">LECHE, YOGURT, QUESOS Y HUEVOS </t>
  </si>
  <si>
    <t>01.1.4.000</t>
  </si>
  <si>
    <t>Leche Líquida</t>
  </si>
  <si>
    <t>01.1.4.100</t>
  </si>
  <si>
    <t>Leche conservada</t>
  </si>
  <si>
    <t>01.1.4.200</t>
  </si>
  <si>
    <t>Yogures</t>
  </si>
  <si>
    <t>01.1.4.300</t>
  </si>
  <si>
    <t>Quesos</t>
  </si>
  <si>
    <t>01.1.4.400</t>
  </si>
  <si>
    <t>Huevos</t>
  </si>
  <si>
    <t>5</t>
  </si>
  <si>
    <t>01.1.5</t>
  </si>
  <si>
    <t xml:space="preserve">ACEITES Y GRASAS </t>
  </si>
  <si>
    <t>01.1.5.000</t>
  </si>
  <si>
    <t>Aceites Puros y mezclados</t>
  </si>
  <si>
    <t>01.1.5.100</t>
  </si>
  <si>
    <t>Grasas</t>
  </si>
  <si>
    <t>6</t>
  </si>
  <si>
    <t>01.1.6</t>
  </si>
  <si>
    <t xml:space="preserve">FRUTAS </t>
  </si>
  <si>
    <t>01.1.6.000</t>
  </si>
  <si>
    <t>Frutas frescas refrigeradas y congeladas</t>
  </si>
  <si>
    <t>01.1.6.100</t>
  </si>
  <si>
    <t>Frutas secas y en conserva (procesadas)</t>
  </si>
  <si>
    <t>7</t>
  </si>
  <si>
    <t>01.1.7</t>
  </si>
  <si>
    <t>HORTALIZAS VERDURAS / LEGUMINOSAS Y TUBÉRCULOS</t>
  </si>
  <si>
    <t>01.1.7.000</t>
  </si>
  <si>
    <t>Hortalizas</t>
  </si>
  <si>
    <t>01.1.7.100</t>
  </si>
  <si>
    <t>Leguminosas frescas, refrigeradas y congeladas</t>
  </si>
  <si>
    <t>01.1.7.200</t>
  </si>
  <si>
    <t>Tubérculos</t>
  </si>
  <si>
    <t>01.1.7.300</t>
  </si>
  <si>
    <t xml:space="preserve">Hortalizas verduras / leguminosas secos y en conserva </t>
  </si>
  <si>
    <t>8</t>
  </si>
  <si>
    <t>01.1.8</t>
  </si>
  <si>
    <t>AZÚCAR, MERMELADA, MIEL, CHOCOLATE Y DULCES DE AZÚCAR</t>
  </si>
  <si>
    <t>01.1.8.000</t>
  </si>
  <si>
    <t>Azúcar</t>
  </si>
  <si>
    <t>01.1.8.100</t>
  </si>
  <si>
    <t>Dulces, mermeladas, miel y jarabes</t>
  </si>
  <si>
    <t>01.1.8.200</t>
  </si>
  <si>
    <t>Helados</t>
  </si>
  <si>
    <t>01.1.8.300</t>
  </si>
  <si>
    <t>Chocolates y dulces de azúcar</t>
  </si>
  <si>
    <t>9</t>
  </si>
  <si>
    <t>01.1.9</t>
  </si>
  <si>
    <t>PRODUCTOS ALIMENTICIOS (N.E.P.)</t>
  </si>
  <si>
    <t>01.1.9.000</t>
  </si>
  <si>
    <t>Condimentos naturales frescos</t>
  </si>
  <si>
    <t>01.1.9.100</t>
  </si>
  <si>
    <t>Condimentos procesados</t>
  </si>
  <si>
    <t>01.1.9.200</t>
  </si>
  <si>
    <t>Otros preparados alimenticios</t>
  </si>
  <si>
    <t>01.2</t>
  </si>
  <si>
    <t>BEBIDAS NO ALCOHOLICAS</t>
  </si>
  <si>
    <t>01.2.1</t>
  </si>
  <si>
    <t xml:space="preserve">CAFÉ, TE, CACAO, Y HIERBAS AROMATICAS </t>
  </si>
  <si>
    <t>01.2.1.000</t>
  </si>
  <si>
    <t>Café, té, cacao y hierbas aromáticas</t>
  </si>
  <si>
    <t>01.2.2</t>
  </si>
  <si>
    <t>AGUAS MINERALES, REFRESCOS, JUGOS DE FRUTAS Y DE LEGUMBRES</t>
  </si>
  <si>
    <t>01.2.2.000</t>
  </si>
  <si>
    <t>Aguas minerales y refrescos</t>
  </si>
  <si>
    <t>01.2.2.100</t>
  </si>
  <si>
    <t>Jugos de frutas y verduras</t>
  </si>
  <si>
    <t>02</t>
  </si>
  <si>
    <t>BEBIDAS ALCOHÓLICAS, TABACO Y ESTUPEFACIENTES</t>
  </si>
  <si>
    <t>02.1</t>
  </si>
  <si>
    <t>BEBIDAS ALCOHÓLICAS</t>
  </si>
  <si>
    <t>02.1.1</t>
  </si>
  <si>
    <t xml:space="preserve">BEBIDAS DESTILADAS </t>
  </si>
  <si>
    <t>02.1.1.000</t>
  </si>
  <si>
    <t>Bebidas destiladas</t>
  </si>
  <si>
    <t>02.1.2</t>
  </si>
  <si>
    <t xml:space="preserve">VINO </t>
  </si>
  <si>
    <t>02.1.2.000</t>
  </si>
  <si>
    <t>Vino</t>
  </si>
  <si>
    <t>02.1.3</t>
  </si>
  <si>
    <t xml:space="preserve">CERVEZA </t>
  </si>
  <si>
    <t>02.1.3.000</t>
  </si>
  <si>
    <t>Cerveza</t>
  </si>
  <si>
    <t>02.2</t>
  </si>
  <si>
    <t>TABACO</t>
  </si>
  <si>
    <t>02.2.1</t>
  </si>
  <si>
    <t xml:space="preserve">TABACO </t>
  </si>
  <si>
    <t>02.2.1.000</t>
  </si>
  <si>
    <t xml:space="preserve">Tabaco </t>
  </si>
  <si>
    <t>02.3</t>
  </si>
  <si>
    <t>ESTUPEFACIENTES</t>
  </si>
  <si>
    <t>02.3.1</t>
  </si>
  <si>
    <t xml:space="preserve">ESTUPEFACIENTES </t>
  </si>
  <si>
    <t>02.3.1.000</t>
  </si>
  <si>
    <t xml:space="preserve">Estupefacientes </t>
  </si>
  <si>
    <t>03</t>
  </si>
  <si>
    <t>PRENDAS DE VESTIR Y CALZADO</t>
  </si>
  <si>
    <t>03.1</t>
  </si>
  <si>
    <t>03.1.1</t>
  </si>
  <si>
    <t xml:space="preserve">MATERIALES PARA PRENDAS DE VESTIR </t>
  </si>
  <si>
    <t>03.1.1.000</t>
  </si>
  <si>
    <t>Materiales para prendas de vestir (telas, tejidos)</t>
  </si>
  <si>
    <t>03.1.2</t>
  </si>
  <si>
    <t xml:space="preserve">PRENDAS DE VESTIR </t>
  </si>
  <si>
    <t>03.1.2.000</t>
  </si>
  <si>
    <t>Prendas de vestir de hombres de 13 años y mas</t>
  </si>
  <si>
    <t>03.1.2.100</t>
  </si>
  <si>
    <t>Prendas de vestir de mujeres de 13 años y mas</t>
  </si>
  <si>
    <t>03.1.2.200</t>
  </si>
  <si>
    <t>Prendas de vestir de niños y niñas de 3 a 12 años</t>
  </si>
  <si>
    <t>03.1.2.300</t>
  </si>
  <si>
    <t>Prendas de vestir y complementos para niños y niñas de 0 a 2 años</t>
  </si>
  <si>
    <t>03.1.3</t>
  </si>
  <si>
    <t xml:space="preserve">OTROS ARTÍCULOS Y ACCESORIOS DE VESTIR </t>
  </si>
  <si>
    <t>03.1.3.000</t>
  </si>
  <si>
    <t xml:space="preserve">Otros artículos y accesorios de vestir </t>
  </si>
  <si>
    <t>03.1.4</t>
  </si>
  <si>
    <t>LIMPIEZA, REPARACIÓN Y ALQUILER DE PRENDAS DE VESTIR</t>
  </si>
  <si>
    <t>03.1.4.000</t>
  </si>
  <si>
    <t>Limpieza, reparación y Alquiler de prendas de vestir</t>
  </si>
  <si>
    <t>03.1.5</t>
  </si>
  <si>
    <t>CONFECCIÓN DE PRENDAS DE VESTIR - PARA TODOS LOS MIEMBROS DEL HOGAR</t>
  </si>
  <si>
    <t>03.1.5.000</t>
  </si>
  <si>
    <t>Confección de prendas de vestir para todos los miembros del hogar</t>
  </si>
  <si>
    <t>03.2</t>
  </si>
  <si>
    <t>CALZADO</t>
  </si>
  <si>
    <t>03.2.1</t>
  </si>
  <si>
    <t xml:space="preserve">ZAPATOS Y OTROS CALZADOS </t>
  </si>
  <si>
    <t>03.2.1.000</t>
  </si>
  <si>
    <t>Zapatos de hombres de 13 años y mas</t>
  </si>
  <si>
    <t>03.2.1.100</t>
  </si>
  <si>
    <t>Zapatos de mujeres de 13 años y mas</t>
  </si>
  <si>
    <t>03.2.1.200</t>
  </si>
  <si>
    <t>Zapatos de niños y niñas de 3 a 12 años</t>
  </si>
  <si>
    <t>03.2.1.300</t>
  </si>
  <si>
    <t>Zapatos de niños y niñas de 0 a 2 años</t>
  </si>
  <si>
    <t>03.2.2</t>
  </si>
  <si>
    <t>REPARACIÓN Y ALQUILER DE CALZADO</t>
  </si>
  <si>
    <t>04</t>
  </si>
  <si>
    <t>ALOJAMIENTO, AGUA, ELECTRICIDAD, GAS Y OTROS COMBUSTIBLES</t>
  </si>
  <si>
    <t>04.1</t>
  </si>
  <si>
    <t>ALQUILERES EFECTIVOS DEL ALOJAMIENTO</t>
  </si>
  <si>
    <t>04.1.1</t>
  </si>
  <si>
    <t>ALQUILERES EFECTIVOS PAGADOS POR LOS INQUILINOS</t>
  </si>
  <si>
    <t>04.1.1.000</t>
  </si>
  <si>
    <t>Alquileres efectivos pagados por los inquilinos (vivienda principal)</t>
  </si>
  <si>
    <t>04.1.2</t>
  </si>
  <si>
    <t xml:space="preserve">OTROS ALQUILERES EFECTIVOS </t>
  </si>
  <si>
    <t>04.1.2.000</t>
  </si>
  <si>
    <t>Otros alquileres efectivos</t>
  </si>
  <si>
    <t>04.2</t>
  </si>
  <si>
    <t>ALQUILERES IMPUTADOS DEL ALOJAMIENTO</t>
  </si>
  <si>
    <t>04.2.1</t>
  </si>
  <si>
    <t>ALQUILERES IMPUTADOS DE LOS PROPIETARIOS-OCUPANTES</t>
  </si>
  <si>
    <t>04.2.1.000</t>
  </si>
  <si>
    <t>Alquileres imputados de los propietarios-ocupantes</t>
  </si>
  <si>
    <t>04.2.2</t>
  </si>
  <si>
    <t xml:space="preserve">OTROS ALQUILERES IMPUTADOS </t>
  </si>
  <si>
    <t>04.2.2.000</t>
  </si>
  <si>
    <t>Otros alquileres imputados</t>
  </si>
  <si>
    <t>04.2.3</t>
  </si>
  <si>
    <t>VIVIENDA PROPIA PAGADA A PLAZOS</t>
  </si>
  <si>
    <t>04.2.3.000</t>
  </si>
  <si>
    <t>Vivienda propia pagada a plazos</t>
  </si>
  <si>
    <t>04.3</t>
  </si>
  <si>
    <t>CONSERVACIÓN Y REPARACIÓN DE LA VIVIENDA</t>
  </si>
  <si>
    <t>04.3.1</t>
  </si>
  <si>
    <t>MATERIALES PARA LA CONSEVACION Y LA REPARACIÓN DE LA VIVIENDA</t>
  </si>
  <si>
    <t>04.3.1.000</t>
  </si>
  <si>
    <t>Materiales para la conservación y la reparación de la vivienda</t>
  </si>
  <si>
    <t>04.3.2</t>
  </si>
  <si>
    <t>SERVICIOS PARA LA CONSERVACION Y REPARACION DE LA VIVIENDA</t>
  </si>
  <si>
    <t>04.3.2.000</t>
  </si>
  <si>
    <t xml:space="preserve">Servicios para la conservación y la reparación de la vivienda </t>
  </si>
  <si>
    <t>04.4</t>
  </si>
  <si>
    <t>SUMINISTRO DE AGUA Y SERVICIOS DIVERSOS RELACIONADOS CON LA VIVIENDA</t>
  </si>
  <si>
    <t>04.4.1</t>
  </si>
  <si>
    <t xml:space="preserve">SUMINISTRO DE AGUA </t>
  </si>
  <si>
    <t>04.4.2</t>
  </si>
  <si>
    <t xml:space="preserve">RECOGIDA DE BASURA </t>
  </si>
  <si>
    <t>04.4.3</t>
  </si>
  <si>
    <t xml:space="preserve">ALCANTARILLADO </t>
  </si>
  <si>
    <t>04.4.4</t>
  </si>
  <si>
    <t>OTROS SERVICIOS RELACIONADOS CON LA VIVIENDA N.E.P.</t>
  </si>
  <si>
    <t>04.5</t>
  </si>
  <si>
    <t>ELECTRICIDAD, GAS Y OTROS COMBUSTIBLES</t>
  </si>
  <si>
    <t>04.5.1</t>
  </si>
  <si>
    <t xml:space="preserve">ELECTRICIDAD </t>
  </si>
  <si>
    <t>04.5.1.000</t>
  </si>
  <si>
    <t>001</t>
  </si>
  <si>
    <t>04.5.1.001</t>
  </si>
  <si>
    <t>Compra de medidor de luz</t>
  </si>
  <si>
    <t>002</t>
  </si>
  <si>
    <t>04.5.1.002</t>
  </si>
  <si>
    <t>Gasto por servicio de consumo eléctrico</t>
  </si>
  <si>
    <t>04.5.2</t>
  </si>
  <si>
    <t xml:space="preserve">GAS </t>
  </si>
  <si>
    <t>04.5.2.000</t>
  </si>
  <si>
    <t>Gas</t>
  </si>
  <si>
    <t>04.5.2.001</t>
  </si>
  <si>
    <t>Gasto en gas doméstico</t>
  </si>
  <si>
    <t>04.5.2.002</t>
  </si>
  <si>
    <t>Gasto en gas doméstico centralizado</t>
  </si>
  <si>
    <t>003</t>
  </si>
  <si>
    <t>04.5.2.003</t>
  </si>
  <si>
    <t>Recipientes de almacenamiento (cilindros de gas)</t>
  </si>
  <si>
    <t>Otros</t>
  </si>
  <si>
    <t>04.5.3</t>
  </si>
  <si>
    <t xml:space="preserve">COMBUSTIBLES LÍQUIDOS </t>
  </si>
  <si>
    <t>04.5.3.000</t>
  </si>
  <si>
    <t>Combustibles líquidos [Para la cocina NO para transporte]</t>
  </si>
  <si>
    <t>04.5.3.001</t>
  </si>
  <si>
    <t>Diesel</t>
  </si>
  <si>
    <t>04.5.3.002</t>
  </si>
  <si>
    <t>Gasolina</t>
  </si>
  <si>
    <t>04.5.3.003</t>
  </si>
  <si>
    <t>Kerex</t>
  </si>
  <si>
    <t>Otros combustibles líquidos</t>
  </si>
  <si>
    <t>04.5.4</t>
  </si>
  <si>
    <t xml:space="preserve">COMBUSTIBLES SÓLIDOS </t>
  </si>
  <si>
    <t>04.5.4.000</t>
  </si>
  <si>
    <t>Combustibles sólidos</t>
  </si>
  <si>
    <t>04.5.4.001</t>
  </si>
  <si>
    <t>Briquetas (residuos de madera, cascarilla de arroz, bagazo de caña)</t>
  </si>
  <si>
    <t>04.5.4.002</t>
  </si>
  <si>
    <t>Carbón</t>
  </si>
  <si>
    <t>04.5.4.003</t>
  </si>
  <si>
    <t>Coque</t>
  </si>
  <si>
    <t>004</t>
  </si>
  <si>
    <t>04.5.4.004</t>
  </si>
  <si>
    <t>Leña</t>
  </si>
  <si>
    <t>005</t>
  </si>
  <si>
    <t>04.5.4.005</t>
  </si>
  <si>
    <t>Turba</t>
  </si>
  <si>
    <t>Otros combustibles sólidos</t>
  </si>
  <si>
    <t>04.5.5</t>
  </si>
  <si>
    <t xml:space="preserve">ENERGÍA CALÓRICA </t>
  </si>
  <si>
    <t>04.5.5.000</t>
  </si>
  <si>
    <t>Energía calórica</t>
  </si>
  <si>
    <t>04.5.5.001</t>
  </si>
  <si>
    <t>Agua caliente y vapor comprado en plantas de calefacción</t>
  </si>
  <si>
    <t>04.5.5.002</t>
  </si>
  <si>
    <t>Compra de medidor</t>
  </si>
  <si>
    <t>04.5.5.003</t>
  </si>
  <si>
    <t>Gasto de consumo</t>
  </si>
  <si>
    <t>04.5.5.004</t>
  </si>
  <si>
    <t>Hielo empleado para enfriamiento o refrigeración</t>
  </si>
  <si>
    <t>05</t>
  </si>
  <si>
    <t>MUEBLES, ARTÍCULOS PARA EL HOGAR Y PARA LA CONSERVACIÓN ORDINARIA DEL HOGAR</t>
  </si>
  <si>
    <t>05.1</t>
  </si>
  <si>
    <t>MUEBLES Y ACCESORIOS, ALFOMBRAS Y OTROS MATERIALES PARA PISOS</t>
  </si>
  <si>
    <t>05.1.1</t>
  </si>
  <si>
    <t xml:space="preserve">MUEBLES Y ACCESORIOS </t>
  </si>
  <si>
    <t>05.1.1.000</t>
  </si>
  <si>
    <t>Muebles de Dormitorio</t>
  </si>
  <si>
    <t>05.1.1.100</t>
  </si>
  <si>
    <t>Muebles de Sala</t>
  </si>
  <si>
    <t>05.1.1.200</t>
  </si>
  <si>
    <t>Muebles de Comedor y Cocina</t>
  </si>
  <si>
    <t>05.1.1.300</t>
  </si>
  <si>
    <t>Muebles de Estudio</t>
  </si>
  <si>
    <t>05.1.1.400</t>
  </si>
  <si>
    <t>Muebles para Baño</t>
  </si>
  <si>
    <t>05.1.1.500</t>
  </si>
  <si>
    <t>Decoraciones</t>
  </si>
  <si>
    <t>600</t>
  </si>
  <si>
    <t>05.1.1.600</t>
  </si>
  <si>
    <t>Muebles para Bebé</t>
  </si>
  <si>
    <t>05.1.2</t>
  </si>
  <si>
    <t xml:space="preserve">ALFOMBRAS Y OTROS MATERIALES PARA PISOS </t>
  </si>
  <si>
    <t>05.1.2.000</t>
  </si>
  <si>
    <t>Alfombras y otros materiales para pisos</t>
  </si>
  <si>
    <t>05.1.3</t>
  </si>
  <si>
    <t>REPARACIÓN DE MUEBLES, ACCESORIOS Y MATERIALES PARA PISOS</t>
  </si>
  <si>
    <t>05.1.3.000</t>
  </si>
  <si>
    <t>Reparación de muebles, accesorios y materiales para pisos</t>
  </si>
  <si>
    <t>05.1.4</t>
  </si>
  <si>
    <t>ELABORACIÓN O FABRICACIÓN DE MUEBLES Y ACCESORIOS BAJO PEDIDO</t>
  </si>
  <si>
    <t>05.1.4.000</t>
  </si>
  <si>
    <t>Elaboración o Fabricación de muebles y accesorios bajo pedido</t>
  </si>
  <si>
    <t>05.2</t>
  </si>
  <si>
    <t>PRODUCTOS TEXTILES PARA EL HOGAR</t>
  </si>
  <si>
    <t>05.2.1</t>
  </si>
  <si>
    <t>05.2.1.000</t>
  </si>
  <si>
    <t>Productos textiles para el hogar</t>
  </si>
  <si>
    <t>ARTEFACTOS PARA EL HOGAR</t>
  </si>
  <si>
    <t>05.3.1</t>
  </si>
  <si>
    <t>ARTEFACTOS PARA EL HOGAR GRANDES ELECTRICOS O NO</t>
  </si>
  <si>
    <t>05.3.1.000</t>
  </si>
  <si>
    <t>Artefactos para el hogar grandes, eléctricos o no</t>
  </si>
  <si>
    <t>05.3.2</t>
  </si>
  <si>
    <t>ARTEFACTOS ELÉCTRICOS PEQUEÑOS PARA EL HOGAR</t>
  </si>
  <si>
    <t>05.3.2.000</t>
  </si>
  <si>
    <t>Artefactos eléctricos para el hogar pequeños</t>
  </si>
  <si>
    <t>05.3.3</t>
  </si>
  <si>
    <t xml:space="preserve">REPARACIÓN DE ARTEFACTOS PARA EL HOGAR </t>
  </si>
  <si>
    <t>05.3.3.000</t>
  </si>
  <si>
    <t>Reparación de artefactos para el hogar</t>
  </si>
  <si>
    <t>05.4</t>
  </si>
  <si>
    <t>ARTÍCULOS DE VIDRIO Y CRISTAL, VAJILLA Y  UTENSILIOS PARA EL HOGAR</t>
  </si>
  <si>
    <t>05.4.1</t>
  </si>
  <si>
    <t>05.4.1.000</t>
  </si>
  <si>
    <t>Artículos de vidrio y cristal, vajilla y  utensilios para el hogar</t>
  </si>
  <si>
    <t>05.4.1.100</t>
  </si>
  <si>
    <t>Cuberterías</t>
  </si>
  <si>
    <t>05.4.1.200</t>
  </si>
  <si>
    <t>Artículos, utencillos de plástico y otros materiales para el hogar</t>
  </si>
  <si>
    <t>05.5</t>
  </si>
  <si>
    <t>HERRAMIENTAS Y EQUIPO PARA EL HOGAR Y EL JARDÍN</t>
  </si>
  <si>
    <t>05.5.1</t>
  </si>
  <si>
    <t xml:space="preserve">HERRAMIENTAS Y EQUIPO GRANDES </t>
  </si>
  <si>
    <t>05.5.1.000</t>
  </si>
  <si>
    <t>Herramientas y equipos grandes</t>
  </si>
  <si>
    <t>05.5.2</t>
  </si>
  <si>
    <t xml:space="preserve">HERRAMIENTAS PEQUEÑAS Y ACCESORIOS DIVERSOS </t>
  </si>
  <si>
    <t>05.5.2.000</t>
  </si>
  <si>
    <t xml:space="preserve">Herramientas pequeñas y accesorios diversos </t>
  </si>
  <si>
    <t>05.6</t>
  </si>
  <si>
    <t>BIENES Y SERVICIOS PARA CONSERVACIÓN ORDINARIA DEL HOGAR</t>
  </si>
  <si>
    <t>05.6.1</t>
  </si>
  <si>
    <t xml:space="preserve">BIENES PARA EL HOGAR NO DURADEROS </t>
  </si>
  <si>
    <t>05.6.1.000</t>
  </si>
  <si>
    <t>Productos de limpieza y mantenimiento</t>
  </si>
  <si>
    <t>05.6.1.100</t>
  </si>
  <si>
    <t>Otros productos no duraderos para el hogar</t>
  </si>
  <si>
    <t>05.6.2</t>
  </si>
  <si>
    <t xml:space="preserve">SERVICIOS DOMÉSTICOS Y PARA EL HOGAR </t>
  </si>
  <si>
    <t>05.6.2.000</t>
  </si>
  <si>
    <t>Servicios domésticos</t>
  </si>
  <si>
    <t>05.6.2.100</t>
  </si>
  <si>
    <t>Pagos a la Seguridad Social del servicio domestico</t>
  </si>
  <si>
    <t>05.6.2.200</t>
  </si>
  <si>
    <t>Otros servicios para la vivienda (tintorerías, alquiler de muebles, desinfección)</t>
  </si>
  <si>
    <t>06</t>
  </si>
  <si>
    <t>SALUD</t>
  </si>
  <si>
    <t>06.1</t>
  </si>
  <si>
    <t>PRODUCTOS, ARTEFACTOS Y EQUIPO MÉDICOS</t>
  </si>
  <si>
    <t>06.1.1</t>
  </si>
  <si>
    <t xml:space="preserve">PRODUCTOS FARMACÉUTICOS </t>
  </si>
  <si>
    <t>06.1.1.000</t>
  </si>
  <si>
    <t>Productos farmacéuticos</t>
  </si>
  <si>
    <t>06.1.2</t>
  </si>
  <si>
    <t xml:space="preserve">OTROS PRODUCTOS MÉDICOS </t>
  </si>
  <si>
    <t>06.1.2.000</t>
  </si>
  <si>
    <t>Otros productos médicos</t>
  </si>
  <si>
    <t>06.1.3</t>
  </si>
  <si>
    <t xml:space="preserve">ARTEFACTOS Y EQUIPO TERAPÉUTICOS </t>
  </si>
  <si>
    <t>06.1.3.000</t>
  </si>
  <si>
    <t>Artefactos y equipos terapéuticos</t>
  </si>
  <si>
    <t>06.2</t>
  </si>
  <si>
    <t>SERVICIOS PARA PACIENTES EXTERNOS</t>
  </si>
  <si>
    <t>06.2.1</t>
  </si>
  <si>
    <t xml:space="preserve">SERVICIOS MÉDICOS </t>
  </si>
  <si>
    <t>06.2.2</t>
  </si>
  <si>
    <t xml:space="preserve">SERVICIOS DENTALES </t>
  </si>
  <si>
    <t>06.2.3</t>
  </si>
  <si>
    <t xml:space="preserve">SERVICIOS PARAMÉDICOS </t>
  </si>
  <si>
    <t>06.3</t>
  </si>
  <si>
    <t>SERVICIOS DE HOSPITAL</t>
  </si>
  <si>
    <t>06.3.1</t>
  </si>
  <si>
    <t xml:space="preserve">SERVICIOS DE HOSPITAL </t>
  </si>
  <si>
    <t>07</t>
  </si>
  <si>
    <t>TRANSPORTE</t>
  </si>
  <si>
    <t>07.1</t>
  </si>
  <si>
    <t>ADQUISICIÓN DE VEHÍCULOS</t>
  </si>
  <si>
    <t>07.1.1</t>
  </si>
  <si>
    <t xml:space="preserve">VEHÍCULOS A MOTOR </t>
  </si>
  <si>
    <t>07.1.1.000</t>
  </si>
  <si>
    <t>07.1.1.001</t>
  </si>
  <si>
    <t>Automóvil nuevo</t>
  </si>
  <si>
    <t>07.1.1.002</t>
  </si>
  <si>
    <t>Automóvil usado</t>
  </si>
  <si>
    <t>07.1.1.003</t>
  </si>
  <si>
    <t>Camioneta nueva</t>
  </si>
  <si>
    <t>07.1.1.004</t>
  </si>
  <si>
    <t>Camioneta usada</t>
  </si>
  <si>
    <t>07.1.1.005</t>
  </si>
  <si>
    <t>Furgoneta nueva</t>
  </si>
  <si>
    <t>006</t>
  </si>
  <si>
    <t>07.1.1.006</t>
  </si>
  <si>
    <t>Furgoneta usada</t>
  </si>
  <si>
    <t>007</t>
  </si>
  <si>
    <t>07.1.1.007</t>
  </si>
  <si>
    <t>Vehículo - Doble Tracción nuevo</t>
  </si>
  <si>
    <t>008</t>
  </si>
  <si>
    <t>07.1.1.008</t>
  </si>
  <si>
    <t>Vehículo - Doble Tracción usado</t>
  </si>
  <si>
    <t>Otros medios de transporte personal (Casa rodantes)</t>
  </si>
  <si>
    <t>07.1.2</t>
  </si>
  <si>
    <t xml:space="preserve">MOTOCICLETAS </t>
  </si>
  <si>
    <t>07.1.3</t>
  </si>
  <si>
    <t xml:space="preserve">BICICLETAS </t>
  </si>
  <si>
    <t>07.1.4</t>
  </si>
  <si>
    <t xml:space="preserve">VEHÍCULOS DE TRACCIÓN ANIMAL </t>
  </si>
  <si>
    <t>07.2</t>
  </si>
  <si>
    <t>FUNCIONAMIENTO DE EQUIPO DE TRANSPORTE PERSONAL</t>
  </si>
  <si>
    <t>07.2.1</t>
  </si>
  <si>
    <t xml:space="preserve">PIEZAS, REPUESTOS Y ACCESORIOS PARA EQUIPO DE TRANSPORTE PERSONAL </t>
  </si>
  <si>
    <t>07.2.1.000</t>
  </si>
  <si>
    <t>Piezas de repuesto y accesorios para equipo de transporte personal</t>
  </si>
  <si>
    <t>07.2.2</t>
  </si>
  <si>
    <t xml:space="preserve">COMBUSTIBLE Y LUBRICANTES PARA EQUIPO DE TRANSPORTE PERSONAL </t>
  </si>
  <si>
    <t>07.2.2.000</t>
  </si>
  <si>
    <t>07.2.2.001</t>
  </si>
  <si>
    <t>07.2.2.002</t>
  </si>
  <si>
    <t>Gas licuado</t>
  </si>
  <si>
    <t>07.2.2.003</t>
  </si>
  <si>
    <t>Gasolina ecopaís</t>
  </si>
  <si>
    <t>07.2.2.004</t>
  </si>
  <si>
    <t>Gasolina extra</t>
  </si>
  <si>
    <t>07.2.2.005</t>
  </si>
  <si>
    <t>Gasolina súper</t>
  </si>
  <si>
    <t>07.2.2.100</t>
  </si>
  <si>
    <t>Lubricantes para equipo de transporte personal</t>
  </si>
  <si>
    <t>07.2.3</t>
  </si>
  <si>
    <t xml:space="preserve">CONSERVACIÓN Y REPARACIÓN DE EQUIPO DE TRANSPORTE PERSONAL </t>
  </si>
  <si>
    <t>07.2.3.000</t>
  </si>
  <si>
    <t>Conservación y reparación de equipo de transporte personal</t>
  </si>
  <si>
    <t>07.2.4</t>
  </si>
  <si>
    <t xml:space="preserve">OTROS SERVICIOS RELATIVOS AL EQUIPO DE TRANSPORTE PERSONAL </t>
  </si>
  <si>
    <t>07.2.5</t>
  </si>
  <si>
    <t xml:space="preserve">SERVICIOS DE ESTACIONAMIENTO Y PEAJE </t>
  </si>
  <si>
    <t>SERVICIOS DE TRANSPORTE</t>
  </si>
  <si>
    <t>07.3.1</t>
  </si>
  <si>
    <t xml:space="preserve">TRANSPORTE DE PASAJEROS POR FERROCARRIL </t>
  </si>
  <si>
    <t>07.3.2</t>
  </si>
  <si>
    <t xml:space="preserve">TRANSPORTE DE PASAJEROS POR CARRETERA </t>
  </si>
  <si>
    <t>07.3.3</t>
  </si>
  <si>
    <t xml:space="preserve">TRANSPORTE DE PASAJEROS POR AIRE </t>
  </si>
  <si>
    <t>07.3.4</t>
  </si>
  <si>
    <t>TRANSPORTE DE PASAJEROS POR MAR Y CURSOS DE AGUA INTERIORES</t>
  </si>
  <si>
    <t>07.3.5</t>
  </si>
  <si>
    <t xml:space="preserve">TRANSPORTE COMBINADO DE PASAJEROS </t>
  </si>
  <si>
    <t>07.3.6</t>
  </si>
  <si>
    <t xml:space="preserve">OTROS SERVICIOS DE TRANSPORTE ADQUIRIDOS </t>
  </si>
  <si>
    <t>08</t>
  </si>
  <si>
    <t>COMUNICACIONES</t>
  </si>
  <si>
    <t>08.1</t>
  </si>
  <si>
    <t>SERVICIOS POSTALES</t>
  </si>
  <si>
    <t>08.1.1</t>
  </si>
  <si>
    <t xml:space="preserve">SERVICIOS POSTALES </t>
  </si>
  <si>
    <t>08.2</t>
  </si>
  <si>
    <t>EQUIPO TELEFÓNICO Y DE FACSÍMILE</t>
  </si>
  <si>
    <t>08.2.1</t>
  </si>
  <si>
    <t>08.3</t>
  </si>
  <si>
    <t>SERVICIOS TELEFÓNICOS Y DE FACSÍMILE</t>
  </si>
  <si>
    <t>08.3.1</t>
  </si>
  <si>
    <t>09</t>
  </si>
  <si>
    <t>RECREACIÓN Y CULTURA</t>
  </si>
  <si>
    <t>09.1</t>
  </si>
  <si>
    <t>EQUIPO AUDIOVISUAL, FOTOGRÁFICO Y DE PROCESAMIENTO DE INFORMACIÓN</t>
  </si>
  <si>
    <t>09.1.1</t>
  </si>
  <si>
    <t xml:space="preserve">EQUIPO PARA LA RECEPCIÓN, GRABACIÓN Y REPRODUCCIÓN DE SONIDOS E IMÁGENES </t>
  </si>
  <si>
    <t>09.1.2</t>
  </si>
  <si>
    <t xml:space="preserve">EQUIPO FOTOGRÁFICO Y CINEMATOGRÁFICO E INSTRUMENTOS ÓPTICOS </t>
  </si>
  <si>
    <t>09.1.3</t>
  </si>
  <si>
    <t>EQUIPO DE PROCESAMIENTO E INFORMACIÓN</t>
  </si>
  <si>
    <t>09.1.4</t>
  </si>
  <si>
    <t xml:space="preserve">MEDIOS PARA GRABACIÓN </t>
  </si>
  <si>
    <t>09.1.5</t>
  </si>
  <si>
    <t xml:space="preserve">REPARACIÓN DE EQUIPO AUDIOVISUAL, FOTOGRÁFICO Y DE PROCESAMIENTO DE INFORMACIÓN </t>
  </si>
  <si>
    <t>09.2</t>
  </si>
  <si>
    <t>OTROS PRODUCTOS DURADEROS IMPORTANTES PARA RECREACIÓN Y CULTURA</t>
  </si>
  <si>
    <t>09.2.1</t>
  </si>
  <si>
    <t xml:space="preserve">ARTEFACTOS DURADEROS IMPORTANTES PARA RECREACIÓN EN EXTERIORES </t>
  </si>
  <si>
    <t>09.2.2</t>
  </si>
  <si>
    <t xml:space="preserve">INSTRUMENTOS MUSICALES Y EQUIPOS DURADEROS IMPORTANTES PARA RECREACIÓN EN INTERIORES </t>
  </si>
  <si>
    <t>09.2.3</t>
  </si>
  <si>
    <t>CONSERVACIÓN Y REPARACIÓN DE OTROS BIENES DURADEROS IMPORTANTES PARA RECREACIÓN Y CULTURA</t>
  </si>
  <si>
    <t>09.3</t>
  </si>
  <si>
    <t>OTROS ARTÍCULOS Y EQUIPO PARA RECREACIÓN, JARDINES Y ANIMALES DOMÉSTICOS</t>
  </si>
  <si>
    <t>09.3.1</t>
  </si>
  <si>
    <t xml:space="preserve">JUEGOS, JUGUETES Y AFICIONES </t>
  </si>
  <si>
    <t>09.3.2</t>
  </si>
  <si>
    <t xml:space="preserve">EQUIPO DE DEPORTES, CAMPAMENTOS Y RECREACIÓN AL AIRE LIBRE </t>
  </si>
  <si>
    <t>09.3.3</t>
  </si>
  <si>
    <t xml:space="preserve">JARDINES, PLANTAS Y FLORES </t>
  </si>
  <si>
    <t>09.3.4</t>
  </si>
  <si>
    <t xml:space="preserve">ANIMALES DOMÉSTICOS Y PRODUCTOS CONEXOS </t>
  </si>
  <si>
    <t>09.3.5</t>
  </si>
  <si>
    <t xml:space="preserve">SERVICIOS DE VETERINARIA Y DE OTRO TIPO PARA ANIMALES DOMÉSTICOS </t>
  </si>
  <si>
    <t>09.4</t>
  </si>
  <si>
    <t>SERVICIOS DE RECREACIÓN Y CULTURALES</t>
  </si>
  <si>
    <t>09.4.1</t>
  </si>
  <si>
    <t xml:space="preserve">SERVICIOS DE RECREACIÓN Y DEPORTIVOS </t>
  </si>
  <si>
    <t>09.4.2</t>
  </si>
  <si>
    <t xml:space="preserve">SERVICIOS CULTURALES </t>
  </si>
  <si>
    <t>09.4.3</t>
  </si>
  <si>
    <t xml:space="preserve">JUEGOS DE AZAR </t>
  </si>
  <si>
    <t>09.5</t>
  </si>
  <si>
    <t>PERIÓDICOS, LIBROS Y PAPELES Y ÚTILES DE OFICINA</t>
  </si>
  <si>
    <t>09.5.1</t>
  </si>
  <si>
    <t xml:space="preserve">LIBROS </t>
  </si>
  <si>
    <t>09.5.2</t>
  </si>
  <si>
    <t xml:space="preserve">DIARIOS Y PERIÓDICOS </t>
  </si>
  <si>
    <t>09.5.3</t>
  </si>
  <si>
    <t xml:space="preserve">MATERIAL IMPRESO DIVERSO </t>
  </si>
  <si>
    <t>09.5.4</t>
  </si>
  <si>
    <t xml:space="preserve">PAPEL Y ÚTILES DE OFICINA Y MATERIALES DE DIBUJO </t>
  </si>
  <si>
    <t>09.5.5</t>
  </si>
  <si>
    <t xml:space="preserve">LISTA DE ÚTILES ESCOLARES </t>
  </si>
  <si>
    <t>09.6</t>
  </si>
  <si>
    <t>PAQUETES TURÍSTICOS</t>
  </si>
  <si>
    <t>09.6.1</t>
  </si>
  <si>
    <t xml:space="preserve">PAQUETES TURÍSTICOS </t>
  </si>
  <si>
    <t>10</t>
  </si>
  <si>
    <t>EDUCACIÓN</t>
  </si>
  <si>
    <t>10.1</t>
  </si>
  <si>
    <t xml:space="preserve">ENSEÑANZA PREESCOLAR Y ENSEÑANZA PRIMARIA </t>
  </si>
  <si>
    <t>10.2</t>
  </si>
  <si>
    <t xml:space="preserve">ENSEÑANZA SECUNDARIA </t>
  </si>
  <si>
    <t>10.3</t>
  </si>
  <si>
    <t xml:space="preserve">ENSEÑANZA POST-SECUNDARIA, NO TERCIARIA </t>
  </si>
  <si>
    <t>10.4</t>
  </si>
  <si>
    <t>10.5</t>
  </si>
  <si>
    <t>ENSEÑANZA NO ATRIBUIBLE A NINGÚN NIVEL</t>
  </si>
  <si>
    <t>10.6</t>
  </si>
  <si>
    <t>MATRÍCULAS DE ENSEÑANZA FORMAL</t>
  </si>
  <si>
    <t>11</t>
  </si>
  <si>
    <t>RESTAURANTES Y HOTELES</t>
  </si>
  <si>
    <t>11.1</t>
  </si>
  <si>
    <t>SERVICIOS DE SUMINISTRO DE COMIDAS POR CONTRATO</t>
  </si>
  <si>
    <t>11.1.1</t>
  </si>
  <si>
    <t xml:space="preserve">RESTAURANTES, CAFÉS Y ESTABLECIMIENTOS SIMILARES </t>
  </si>
  <si>
    <t>11.1.1.000</t>
  </si>
  <si>
    <t>Comidas preparadas  (carnes)</t>
  </si>
  <si>
    <t>11.1.1.100</t>
  </si>
  <si>
    <t>Comidas Preparadas (pescados y mariscos)</t>
  </si>
  <si>
    <t>11.1.1.200</t>
  </si>
  <si>
    <t>Otros alimentos Preparados (pastelería y otros)</t>
  </si>
  <si>
    <t>11.1.1.300</t>
  </si>
  <si>
    <t>Bebidas no alcohólicas y otros</t>
  </si>
  <si>
    <t>11.1.2</t>
  </si>
  <si>
    <t xml:space="preserve">COMEDORES </t>
  </si>
  <si>
    <t>11.2</t>
  </si>
  <si>
    <t>SERVICIOS DE ALOJAMIENTO</t>
  </si>
  <si>
    <t>11.2.1</t>
  </si>
  <si>
    <t xml:space="preserve">SERVICIOS DE ALOJAMIENTO </t>
  </si>
  <si>
    <t>12</t>
  </si>
  <si>
    <t>BIENES Y SERVICIOS DIVERSOS</t>
  </si>
  <si>
    <t>12.1</t>
  </si>
  <si>
    <t>CUIDADO PERSONAL</t>
  </si>
  <si>
    <t>12.1.1</t>
  </si>
  <si>
    <t xml:space="preserve">SALONES DE PELUQUERÍA Y ESTABLECIMIENTOS DE CUIDADOS PERSONALES </t>
  </si>
  <si>
    <t>12.1.2</t>
  </si>
  <si>
    <t xml:space="preserve">APARATOS ELÉCTRICOS PARA EL CUIDADO PERSONAL </t>
  </si>
  <si>
    <t>12.1.3</t>
  </si>
  <si>
    <t xml:space="preserve">OTROS APARATOS, ARTÍCULOS Y PRODUCTOS PARA LA ATENCIÓN PERSONAL </t>
  </si>
  <si>
    <t>12.2</t>
  </si>
  <si>
    <t>PROSTITUCIÓN</t>
  </si>
  <si>
    <t>12.2.1</t>
  </si>
  <si>
    <t>12.3</t>
  </si>
  <si>
    <t>EFECTOS PERSONALES N.E.P</t>
  </si>
  <si>
    <t>12.3.1</t>
  </si>
  <si>
    <t xml:space="preserve">JOYERÍA, RELOJES DE PARED Y RELOJES DE PULSERA </t>
  </si>
  <si>
    <t>12.3.2</t>
  </si>
  <si>
    <t xml:space="preserve">OTROS EFECTOS PERSONALES </t>
  </si>
  <si>
    <t>12.4</t>
  </si>
  <si>
    <t>PROTECCIÓN SOCIAL</t>
  </si>
  <si>
    <t>12.4.1</t>
  </si>
  <si>
    <t>12.5</t>
  </si>
  <si>
    <t>SEGUROS EN GENERAL</t>
  </si>
  <si>
    <t>12.5.1</t>
  </si>
  <si>
    <t xml:space="preserve">SEGURO DE VIDA </t>
  </si>
  <si>
    <t>12.5.2</t>
  </si>
  <si>
    <t xml:space="preserve">SEGUROS RELACIONADOS CON LA VIVIENDA </t>
  </si>
  <si>
    <t>12.5.3</t>
  </si>
  <si>
    <t xml:space="preserve">SEGURO RELACIONADO CON LA SALUD </t>
  </si>
  <si>
    <t>12.5.4</t>
  </si>
  <si>
    <t xml:space="preserve">SEGURO RELACIONADO CON EL TRANSPORTE </t>
  </si>
  <si>
    <t>12.5.5</t>
  </si>
  <si>
    <t xml:space="preserve">OTROS SEGUROS </t>
  </si>
  <si>
    <t>12.6</t>
  </si>
  <si>
    <t>SERVICIOS FINANCIEROS N.E.P.</t>
  </si>
  <si>
    <t>12.6.1</t>
  </si>
  <si>
    <t xml:space="preserve">SERVICIOS FINANCIEROS N.E.P </t>
  </si>
  <si>
    <t>12.7</t>
  </si>
  <si>
    <t>OTROS SERVICIOS N.E.P.</t>
  </si>
  <si>
    <t>12.7.1</t>
  </si>
  <si>
    <t>xx</t>
  </si>
  <si>
    <t>No.</t>
  </si>
  <si>
    <t>IOT 2012 Ampliada</t>
  </si>
  <si>
    <t>Meat</t>
  </si>
  <si>
    <t>Fish</t>
  </si>
  <si>
    <t>Dairy</t>
  </si>
  <si>
    <t>Fruits</t>
  </si>
  <si>
    <t>Vegetables</t>
  </si>
  <si>
    <t>Sugar and sweets</t>
  </si>
  <si>
    <t>Bread and cereals</t>
  </si>
  <si>
    <t>Other food products</t>
  </si>
  <si>
    <t>Hot drinks</t>
  </si>
  <si>
    <t>Soft drinks</t>
  </si>
  <si>
    <t>Spirits</t>
  </si>
  <si>
    <t>Wine</t>
  </si>
  <si>
    <t>Beer</t>
  </si>
  <si>
    <t>listed</t>
  </si>
  <si>
    <t>Housing</t>
  </si>
  <si>
    <t>Apparel</t>
  </si>
  <si>
    <t>PRENDAS DE VESTIR</t>
  </si>
  <si>
    <t>Rent</t>
  </si>
  <si>
    <t>04.5.2.099</t>
  </si>
  <si>
    <t>099</t>
  </si>
  <si>
    <t>Carne de aves fresca, refrigerada o congelada</t>
  </si>
  <si>
    <t>Pescados frescos, refrigerados y congeladas</t>
  </si>
  <si>
    <t>01.1.3.001</t>
  </si>
  <si>
    <t>01.1.3.002</t>
  </si>
  <si>
    <t>01.1.3.003</t>
  </si>
  <si>
    <t>01.1.3.004</t>
  </si>
  <si>
    <t>01.1.3.005</t>
  </si>
  <si>
    <t>01.1.3.006</t>
  </si>
  <si>
    <t>01.1.3.007</t>
  </si>
  <si>
    <t>01.1.3.008</t>
  </si>
  <si>
    <t>01.1.3.009</t>
  </si>
  <si>
    <t>01.1.3.010</t>
  </si>
  <si>
    <t>01.1.3.011</t>
  </si>
  <si>
    <t>01.1.3.012</t>
  </si>
  <si>
    <t>01.1.3.013</t>
  </si>
  <si>
    <t>01.1.3.014</t>
  </si>
  <si>
    <t>01.1.3.015</t>
  </si>
  <si>
    <t>01.1.3.016</t>
  </si>
  <si>
    <t>01.1.3.017</t>
  </si>
  <si>
    <t>01.1.3.018</t>
  </si>
  <si>
    <t>01.1.3.019</t>
  </si>
  <si>
    <t>01.1.3.020</t>
  </si>
  <si>
    <t>01.1.3.021</t>
  </si>
  <si>
    <t>01.1.3.022</t>
  </si>
  <si>
    <t>01.1.3.023</t>
  </si>
  <si>
    <t>01.1.3.024</t>
  </si>
  <si>
    <t>01.1.3.025</t>
  </si>
  <si>
    <t>01.1.3.026</t>
  </si>
  <si>
    <t>01.1.3.027</t>
  </si>
  <si>
    <t>01.1.3.099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</si>
  <si>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</si>
  <si>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</si>
  <si>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</si>
  <si>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</si>
  <si>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</si>
  <si>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</si>
  <si>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</si>
  <si>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</si>
  <si>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</si>
  <si>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</si>
  <si>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</si>
  <si>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</si>
  <si>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</si>
  <si>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</si>
  <si>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</si>
  <si>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</si>
  <si>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</si>
  <si>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</si>
  <si>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</si>
  <si>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Albacora</t>
  </si>
  <si>
    <t>Ancas de Rana</t>
  </si>
  <si>
    <t>Anchoas</t>
  </si>
  <si>
    <t>Atún fresco</t>
  </si>
  <si>
    <t>Bacalao</t>
  </si>
  <si>
    <t>Bagre</t>
  </si>
  <si>
    <t>Bocachico</t>
  </si>
  <si>
    <t>Camotillo</t>
  </si>
  <si>
    <t>Cherna</t>
  </si>
  <si>
    <t>Corvina de mar</t>
  </si>
  <si>
    <t>Corvina de río</t>
  </si>
  <si>
    <t>Dorado</t>
  </si>
  <si>
    <t>Lenguado</t>
  </si>
  <si>
    <t>Lisa</t>
  </si>
  <si>
    <t>Merluza</t>
  </si>
  <si>
    <t>Pargo</t>
  </si>
  <si>
    <t>Picudo</t>
  </si>
  <si>
    <t>Pinchagua</t>
  </si>
  <si>
    <t>Salmón</t>
  </si>
  <si>
    <t>Sierra</t>
  </si>
  <si>
    <t>Tilapia</t>
  </si>
  <si>
    <t>Toyo (Tiburón)</t>
  </si>
  <si>
    <t>Trucha</t>
  </si>
  <si>
    <t>Vieja</t>
  </si>
  <si>
    <t>Robalo</t>
  </si>
  <si>
    <t>Pampanito</t>
  </si>
  <si>
    <t>Pescados de otras variedades (hojitas, caritas, etc.)</t>
  </si>
  <si>
    <t>Otros pescados frescos refrigerados y congelados</t>
  </si>
  <si>
    <t>Total consumo  intermedio
(pb)</t>
  </si>
  <si>
    <t>Preparados y conservas de pescado y de otras especies acuáticas</t>
  </si>
  <si>
    <t>Banano y plátano y plantas de banano</t>
  </si>
  <si>
    <t>Café cereza, sin tostar, no descafeinado y plantas de café</t>
  </si>
  <si>
    <t>Cacao en grano, crudo o tostado y plantas de cacao</t>
  </si>
  <si>
    <t>Trigo</t>
  </si>
  <si>
    <t>Maíz suave</t>
  </si>
  <si>
    <t>Maíz duro</t>
  </si>
  <si>
    <t>Arroz con cáscara</t>
  </si>
  <si>
    <t>Avena</t>
  </si>
  <si>
    <t>Otros cereales n.c.p.</t>
  </si>
  <si>
    <t>Rosas</t>
  </si>
  <si>
    <t>Gypsophilas</t>
  </si>
  <si>
    <t>Claveles</t>
  </si>
  <si>
    <t>Otras flores y Plantas de flores y semillas de flores</t>
  </si>
  <si>
    <t>Ramilletes, coronas, arreglos florales y artículos similares</t>
  </si>
  <si>
    <t>Papa</t>
  </si>
  <si>
    <t>Otros tubérculos y raíces</t>
  </si>
  <si>
    <t>Lechuga</t>
  </si>
  <si>
    <t>Tomate</t>
  </si>
  <si>
    <t>Fréjol fresco o seco</t>
  </si>
  <si>
    <t>Haba fresca o seca</t>
  </si>
  <si>
    <t>Arveja fresca o seca</t>
  </si>
  <si>
    <t>Cebolla blanca y colorada</t>
  </si>
  <si>
    <t>Sandía</t>
  </si>
  <si>
    <t>Pimiento</t>
  </si>
  <si>
    <t>Otros vegetales y melones n.c.p.</t>
  </si>
  <si>
    <t>Aguacate</t>
  </si>
  <si>
    <t>Mango</t>
  </si>
  <si>
    <t>Papaya y Plantas de papaya</t>
  </si>
  <si>
    <t>Piña y Plantas de piña</t>
  </si>
  <si>
    <t xml:space="preserve">Tomate de árbol y Plantas de tomate de árbol </t>
  </si>
  <si>
    <t xml:space="preserve">Limón y Plantas de limón </t>
  </si>
  <si>
    <t>Naranja y Plantas de naranja</t>
  </si>
  <si>
    <t>Mandarina y Plantas de</t>
  </si>
  <si>
    <t>Maracuyá y Plantas de</t>
  </si>
  <si>
    <t>Mora</t>
  </si>
  <si>
    <t>Manzana y Plantas de manzana</t>
  </si>
  <si>
    <t>Otras frutas n.c.p.</t>
  </si>
  <si>
    <t>Palma africana y  Plantas de frutos oleaginosos y Plantas de otros productos agrícolas n.c.p.</t>
  </si>
  <si>
    <t>Maní</t>
  </si>
  <si>
    <t>Otras oleaginosas n.c.p.</t>
  </si>
  <si>
    <t>Caña de azúcar</t>
  </si>
  <si>
    <t>Tabaco en rama</t>
  </si>
  <si>
    <t>Algodón en rama y  Semilla de algodón</t>
  </si>
  <si>
    <t>Abacá</t>
  </si>
  <si>
    <t>Pasto y plantas forrajeras</t>
  </si>
  <si>
    <t>Otros productos agrícolas n.c.p.</t>
  </si>
  <si>
    <t>Servicios relacionados con la agricultura</t>
  </si>
  <si>
    <t>Ganado ovino y caprino y lana</t>
  </si>
  <si>
    <t>Caballos y otros equinos</t>
  </si>
  <si>
    <t>Ganado porcino</t>
  </si>
  <si>
    <t>Conejos y cuyes</t>
  </si>
  <si>
    <t>Pollos (incluidos pollitos de un día)</t>
  </si>
  <si>
    <t>Otras aves n.c.p.</t>
  </si>
  <si>
    <t>Otros animales vivos n.c.p. (excepto ranas)</t>
  </si>
  <si>
    <t>Productos comestibles de origen animal n.c.p.</t>
  </si>
  <si>
    <t>Otros productos de otros animales n.c.p.</t>
  </si>
  <si>
    <t>Madera sin elaborar</t>
  </si>
  <si>
    <t>Plantas de árboles maderables.</t>
  </si>
  <si>
    <t>Caucho natural (en formas primarias o planchas)</t>
  </si>
  <si>
    <t>Otros productos de la silvicultura n.c.p.</t>
  </si>
  <si>
    <t>Larvas de camarón</t>
  </si>
  <si>
    <t>Camarón vivo o fresco</t>
  </si>
  <si>
    <t>Atún</t>
  </si>
  <si>
    <t>Pescado vivo, fresco o refrigerado (excepto atún)</t>
  </si>
  <si>
    <t>Otros productos de la pesca n.c.p.</t>
  </si>
  <si>
    <t>Otros productos de la acuicultura (incluye ranas)</t>
  </si>
  <si>
    <t>Petróleo crudo</t>
  </si>
  <si>
    <t>Gas natural</t>
  </si>
  <si>
    <t>Gas natural (%)</t>
  </si>
  <si>
    <t>Servicios relacionados con el petróleo y gas natural</t>
  </si>
  <si>
    <t>Minerales de metales preciosos</t>
  </si>
  <si>
    <t>Minerales de cobre y sus concentrados</t>
  </si>
  <si>
    <t>Otros minerales metalíferos</t>
  </si>
  <si>
    <t>Piedras, arenas y arcillas</t>
  </si>
  <si>
    <t>Otros minerales no metálicos n.c.p.</t>
  </si>
  <si>
    <t>Carne de ganado bovino y Despojos comestibles de mamíferos y Otros productos y subproductos de la carne n.c.p.</t>
  </si>
  <si>
    <t>Carne de ganado porcino , con grasas animales en bruto (incluye manteca de cerdo) y despojos comestibles de mamíferos</t>
  </si>
  <si>
    <t>Carne de otro tipo de ganado n.c.p. y despojos comestibles de mamíferos</t>
  </si>
  <si>
    <t>Carne de pollo y Carne de otras aves de corral y despojos de aves de corral</t>
  </si>
  <si>
    <t>Embutidos, conservas y preparados de carne</t>
  </si>
  <si>
    <t>Camarón elaborado</t>
  </si>
  <si>
    <t>Pescado congelado, seco o salado; filetes de pescado</t>
  </si>
  <si>
    <t>Otros productos de especies acuáticas elaboradas y Otros productos y subproductos de la pesca n.c.p.</t>
  </si>
  <si>
    <t>Harina de pescado (excepto de consumo humano)</t>
  </si>
  <si>
    <t>Grasas animales fundidas (excepto de cerdo y aves de corral)</t>
  </si>
  <si>
    <t>Aceites vegetales crudos</t>
  </si>
  <si>
    <t>Aceites refinados</t>
  </si>
  <si>
    <t>Margarina y otros aceites y grasas vegetales</t>
  </si>
  <si>
    <t>Otros productos de oleaginosas</t>
  </si>
  <si>
    <t>Leche elaborada</t>
  </si>
  <si>
    <t>Productos derivados de la leche</t>
  </si>
  <si>
    <t>Arroz pilado, blanqueado y pulido</t>
  </si>
  <si>
    <t>Otras harinas vegetales, sémolas y otros prod</t>
  </si>
  <si>
    <t>Almidones y sus productos</t>
  </si>
  <si>
    <t>Productos de la panadería y pastelería</t>
  </si>
  <si>
    <t>Fideos, macarrones y otros productos farináceos similares</t>
  </si>
  <si>
    <t>Cacao elaborado sin edulcorantes</t>
  </si>
  <si>
    <t>Chocolate y bombones (incluye polvo de cacao con edulcorante)</t>
  </si>
  <si>
    <t>Productos de confitería</t>
  </si>
  <si>
    <t>Café tostado, molido, soluble y otros n.c.p.</t>
  </si>
  <si>
    <t>Otros productos alimenticios n.c.p.</t>
  </si>
  <si>
    <t xml:space="preserve">Alcohol etílico y bebidas alcohólicas;  Cerveza y malta </t>
  </si>
  <si>
    <t>Bebidas no alcohólicas</t>
  </si>
  <si>
    <t>Cigarrillos y otros productos de tabaco</t>
  </si>
  <si>
    <t>Hilos e hilados de fibras textiles</t>
  </si>
  <si>
    <t>Tejidos y telas de fibras textiles</t>
  </si>
  <si>
    <t>Confecciones con materiales textiles (excepto prendas de vestir)</t>
  </si>
  <si>
    <t>Prendas de vestir (inclusive de cuero y piel)</t>
  </si>
  <si>
    <t>Cuero y piel curtida</t>
  </si>
  <si>
    <t>Productos de cuero (excepto calzado y prendas de vestir)</t>
  </si>
  <si>
    <t>Calzado de cualquier material</t>
  </si>
  <si>
    <t>Madera aserrada, cortada o descortezada</t>
  </si>
  <si>
    <t>Tableros, paneles y hojas de madera</t>
  </si>
  <si>
    <t>Obras de carpintería para edificios</t>
  </si>
  <si>
    <t>Cajas, cajones y otros productos de madera, corcho y trensables</t>
  </si>
  <si>
    <t>Cajas de cartón y otros prod de papel y cartón</t>
  </si>
  <si>
    <t>Productos editoriales imprentas y otros productos n.c.p.</t>
  </si>
  <si>
    <t>Gasolinas, Nafta y gasolina natural</t>
  </si>
  <si>
    <t>Gasolinas, Nafta y gasolina natural (%)</t>
  </si>
  <si>
    <t>Diesel (%)</t>
  </si>
  <si>
    <t>Fuel Oil</t>
  </si>
  <si>
    <t>Fuel Oil (%)</t>
  </si>
  <si>
    <t>Spray oil,  Otros combustibles y aceites de petróleo (incluye lubricantes) y  Otros productos y subproductos de petróleo; coque y alquitrán</t>
  </si>
  <si>
    <t>Spray oil,  Otros combustibles y aceites de petróleo (incluye lubricantes) y  Otros productos y subproductos de petróleo; coque y alquitrán (%)</t>
  </si>
  <si>
    <t>Gases de hidrocarburos</t>
  </si>
  <si>
    <t>Gases de hidrocarburos (%)</t>
  </si>
  <si>
    <t>Productos químicos básicos</t>
  </si>
  <si>
    <t>Abonos y plaguicidas</t>
  </si>
  <si>
    <t>Plásticos primarios y caucho sintético y artificial</t>
  </si>
  <si>
    <t>Pinturas, barnices, lacas, colores y tintas</t>
  </si>
  <si>
    <t>Productos farmacéuticos y medicamentos</t>
  </si>
  <si>
    <t>Jabón y detergentes</t>
  </si>
  <si>
    <t>Perfumes y preparados de tocador</t>
  </si>
  <si>
    <t>Preparados para limpiar y pulir</t>
  </si>
  <si>
    <t>Fibras sintéticas (textiles manufacturadas) y Otros productos químicos n.c.p.</t>
  </si>
  <si>
    <t>Neumáticos y cámaras de aire</t>
  </si>
  <si>
    <t>Otros productos de caucho n.c.p.</t>
  </si>
  <si>
    <t>Productos de plástico</t>
  </si>
  <si>
    <t>Vidrio y productos de vidrio</t>
  </si>
  <si>
    <t>Productos de cerámica no estructurales</t>
  </si>
  <si>
    <t xml:space="preserve">Productos refractarios, productos de arcilla no refractarios estructurales </t>
  </si>
  <si>
    <t>Cemento y clinker de cemento</t>
  </si>
  <si>
    <t>Artículos de hormigón, cemento y yeso; cal y yeso</t>
  </si>
  <si>
    <t xml:space="preserve">Piedras y otros productos de minerales no metálicos </t>
  </si>
  <si>
    <t>Productos de hierro y acero</t>
  </si>
  <si>
    <t xml:space="preserve">Metales preciosos y enchapados con metales preciosos </t>
  </si>
  <si>
    <t>Productos de otros metales</t>
  </si>
  <si>
    <t>Productos metálicos estructurales</t>
  </si>
  <si>
    <t>Productos metálicos de uso doméstico</t>
  </si>
  <si>
    <t>Armas y municiones, partes y piezas</t>
  </si>
  <si>
    <t>Otros productos metálicos n.c.p.</t>
  </si>
  <si>
    <t>Maquinaria para usos generales</t>
  </si>
  <si>
    <t>Maquinaria para usos especiales (excepto de uso doméstico)</t>
  </si>
  <si>
    <t>Aparatos de uso doméstico, partes y piezas</t>
  </si>
  <si>
    <t>Máquinas de oficina y contabilidad (excepto informática)</t>
  </si>
  <si>
    <t>Maquinaria informática; partes, piezas y accesorios</t>
  </si>
  <si>
    <t>Maquinaria y aparatos eléctricos</t>
  </si>
  <si>
    <t>Equipos y aparatos de radio, TV y comunicaciones</t>
  </si>
  <si>
    <t>Equipo radiológico, electromédico; instrumentos ópticos; de medición y control; relojes y otra maquin y equipo n.c.p.</t>
  </si>
  <si>
    <t>Vehículos automotores</t>
  </si>
  <si>
    <t>Otro equipo y material de transporte n.c.p.</t>
  </si>
  <si>
    <t>Muebles de cualquier material</t>
  </si>
  <si>
    <t>Joyas</t>
  </si>
  <si>
    <t xml:space="preserve">Aparatos de laboratorio, odontológicos y otros instrumentos médicos n.c.p. </t>
  </si>
  <si>
    <t>Otros productos manufacturados diversos</t>
  </si>
  <si>
    <t>Servicios de reparación e instalación de maquinaria y equipo</t>
  </si>
  <si>
    <t>Energía eléctrica</t>
  </si>
  <si>
    <t>Servicios de transmisión y distribución eléctrica</t>
  </si>
  <si>
    <t>Agua</t>
  </si>
  <si>
    <t>Gas de productos diferentes al petróleo y distribución de gas por tuberías</t>
  </si>
  <si>
    <t>Servicios de saneamiento y remediación</t>
  </si>
  <si>
    <t>Construcción</t>
  </si>
  <si>
    <t>Servicios de comercio</t>
  </si>
  <si>
    <t>Servicios de reparación y mantenimiento de vehículos de motor y motocicletas</t>
  </si>
  <si>
    <t>Servicios de hotelería y alojamiento</t>
  </si>
  <si>
    <t>Servicios de suministro de comida y de bebida</t>
  </si>
  <si>
    <t>Servicios de transporte de pasajeros por carretera</t>
  </si>
  <si>
    <t>Serv de transporte de carga por carretera</t>
  </si>
  <si>
    <t>Servicios de transporte por ferrocarril</t>
  </si>
  <si>
    <t>Servicios de transporte por tubería</t>
  </si>
  <si>
    <t>Servicios de transporte por vía acuática</t>
  </si>
  <si>
    <t xml:space="preserve">Servicios de transporte de pasajeros por vía aérea </t>
  </si>
  <si>
    <t>Servicios de transporte de carga por vía aérea</t>
  </si>
  <si>
    <t>Servicios de alquiler de vehículos de transporte con tripulación</t>
  </si>
  <si>
    <t>Servicios de carga y descarga</t>
  </si>
  <si>
    <t>Servicios de almacenamiento</t>
  </si>
  <si>
    <t>Servicios complementarios y auxiliares del transporte</t>
  </si>
  <si>
    <t>Servicios postales y de mensajería</t>
  </si>
  <si>
    <t>Servicios de Banca Central</t>
  </si>
  <si>
    <t>Servicios de intermediación financiera de otras instituciones de depósito y  SIFMI (Servicio de Intermediación Financiera Medido Indirectamente)</t>
  </si>
  <si>
    <t>Fondos de inversión</t>
  </si>
  <si>
    <t>Otros servicios de intermediación financiera</t>
  </si>
  <si>
    <t>Servicios auxiliares de intermediación financiera</t>
  </si>
  <si>
    <t>Serv de seguros de vida</t>
  </si>
  <si>
    <t>Serv de planes de pensiones</t>
  </si>
  <si>
    <t>Otros servicios de seguros</t>
  </si>
  <si>
    <t>Alquiler de vivienda</t>
  </si>
  <si>
    <t>Alquiler imputado de vivienda</t>
  </si>
  <si>
    <t>Otros servicios inmobiliarios</t>
  </si>
  <si>
    <t>Servicios jurídicos y legales</t>
  </si>
  <si>
    <t>Servicios de contabilidad, auditoría y otros</t>
  </si>
  <si>
    <t>Servicios de asesoría y consultoría</t>
  </si>
  <si>
    <t>Servicios de arquitectura, ingeniería y análogos</t>
  </si>
  <si>
    <t>Servicios de publicidad</t>
  </si>
  <si>
    <t>Servicios de estudios de mercado y encuestas</t>
  </si>
  <si>
    <t>Servicios fotográficos</t>
  </si>
  <si>
    <t>Otros servicios profesionales y técnicos</t>
  </si>
  <si>
    <t>Servicios veterinarios</t>
  </si>
  <si>
    <t>Servicios de empleo</t>
  </si>
  <si>
    <t>Servicios de investigación y seguridad</t>
  </si>
  <si>
    <t>Servicios de limpieza</t>
  </si>
  <si>
    <t>Servicios de arrendamiento de maquinaria y otros artículos sin operarios</t>
  </si>
  <si>
    <t>Servicios de agencias de viajes y análogos</t>
  </si>
  <si>
    <t>Servicios de reparación de computadoras y otros enseres domésticos</t>
  </si>
  <si>
    <t>Otros servicios empresariales n.c.p.</t>
  </si>
  <si>
    <t>Servicios administrativos del gobierno</t>
  </si>
  <si>
    <t>Servicios de la seguridad social obligatoria</t>
  </si>
  <si>
    <t>Servicios de enseñanza preprimaria y primaria privada (de mercado)</t>
  </si>
  <si>
    <t>Servicios de enseñanza secundaria privada (de mercado)</t>
  </si>
  <si>
    <t>Servicios de enseñanza superior privada (de mercado)</t>
  </si>
  <si>
    <t>Otros servicios de enseñanza privada (de mercado)</t>
  </si>
  <si>
    <t>Otros servicios de enseñanza privada (ISFLSH)</t>
  </si>
  <si>
    <t>Servicios de enseñanza preprimaria y primaria público (no de mercado)</t>
  </si>
  <si>
    <t>Servicios de enseñanza secundaria público (no de mercado)</t>
  </si>
  <si>
    <t>Servicios de enseñanza superior público (no de mercado)</t>
  </si>
  <si>
    <t>Otros servicios de enseñanza público (no de mercado)</t>
  </si>
  <si>
    <t>Servicios de salud de mercado (privados)</t>
  </si>
  <si>
    <t>Servicios sociales de mercado (privados)</t>
  </si>
  <si>
    <t>Otros servicios sociales y de salud (ISFLSH)</t>
  </si>
  <si>
    <t>Servicios de salud no de mercado (pública)</t>
  </si>
  <si>
    <t>Servicios de asociaciones</t>
  </si>
  <si>
    <t>Servicios recreacionales, culturales y deportivos</t>
  </si>
  <si>
    <t>Servicios de asociaciones; esparcimiento; culturales y deportivos (ISFLSH)</t>
  </si>
  <si>
    <t>Otros servicios n.c.p.</t>
  </si>
  <si>
    <t>Servicio doméstico</t>
  </si>
  <si>
    <t>Shrimps is used for seafood in general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</si>
  <si>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</si>
  <si>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</si>
  <si>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</si>
  <si>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</si>
  <si>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</si>
  <si>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</si>
  <si>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</si>
  <si>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</si>
  <si>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</si>
  <si>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</si>
  <si>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</si>
  <si>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199</t>
  </si>
  <si>
    <t>01.1.3.101</t>
  </si>
  <si>
    <t>01.1.3.102</t>
  </si>
  <si>
    <t>01.1.3.103</t>
  </si>
  <si>
    <t>01.1.3.104</t>
  </si>
  <si>
    <t>01.1.3.105</t>
  </si>
  <si>
    <t>01.1.3.106</t>
  </si>
  <si>
    <t>01.1.3.107</t>
  </si>
  <si>
    <t>01.1.3.108</t>
  </si>
  <si>
    <t>01.1.3.109</t>
  </si>
  <si>
    <t>01.1.3.110</t>
  </si>
  <si>
    <t>01.1.3.111</t>
  </si>
  <si>
    <t>01.1.3.199</t>
  </si>
  <si>
    <t>Atún con champiñones</t>
  </si>
  <si>
    <t>Atún con ensalada</t>
  </si>
  <si>
    <t>Atún en aceite de oliva</t>
  </si>
  <si>
    <t>Atún en aceite vegetal</t>
  </si>
  <si>
    <t>Atún en agua</t>
  </si>
  <si>
    <t>Caviar y otras huevas</t>
  </si>
  <si>
    <t>Pescado seco</t>
  </si>
  <si>
    <t>Pescados ahumados o salados</t>
  </si>
  <si>
    <t>Sardinas en aceite</t>
  </si>
  <si>
    <t>Sardinas en salsa de tomate</t>
  </si>
  <si>
    <t>Tartas de pescado</t>
  </si>
  <si>
    <t>Oros pescados procesados y preparad</t>
  </si>
  <si>
    <t>Oil and fats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</si>
  <si>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</si>
  <si>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</si>
  <si>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</si>
  <si>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</si>
  <si>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</si>
  <si>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</si>
  <si>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</si>
  <si>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</si>
  <si>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</si>
  <si>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</si>
  <si>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</si>
  <si>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</si>
  <si>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</si>
  <si>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</si>
  <si>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</si>
  <si>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</si>
  <si>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</si>
  <si>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</si>
  <si>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</si>
  <si>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</si>
  <si>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</si>
  <si>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</si>
  <si>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</si>
  <si>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</si>
  <si>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</si>
  <si>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</si>
  <si>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</si>
  <si>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</si>
  <si>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</si>
  <si>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</si>
  <si>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</si>
  <si>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</si>
  <si>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</si>
  <si>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</si>
  <si>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</si>
  <si>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</si>
  <si>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</si>
  <si>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</si>
  <si>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</si>
  <si>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</si>
  <si>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</si>
  <si>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</si>
  <si>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</si>
  <si>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</si>
  <si>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</si>
  <si>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</si>
  <si>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</si>
  <si>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</si>
  <si>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</si>
  <si>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</si>
  <si>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01.1.6.001</t>
  </si>
  <si>
    <t>01.1.6.002</t>
  </si>
  <si>
    <t>01.1.6.003</t>
  </si>
  <si>
    <t>01.1.6.004</t>
  </si>
  <si>
    <t>01.1.6.005</t>
  </si>
  <si>
    <t>01.1.6.006</t>
  </si>
  <si>
    <t>01.1.6.007</t>
  </si>
  <si>
    <t>01.1.6.008</t>
  </si>
  <si>
    <t>01.1.6.009</t>
  </si>
  <si>
    <t>01.1.6.010</t>
  </si>
  <si>
    <t>01.1.6.011</t>
  </si>
  <si>
    <t>01.1.6.012</t>
  </si>
  <si>
    <t>01.1.6.013</t>
  </si>
  <si>
    <t>01.1.6.014</t>
  </si>
  <si>
    <t>01.1.6.015</t>
  </si>
  <si>
    <t>01.1.6.016</t>
  </si>
  <si>
    <t>01.1.6.017</t>
  </si>
  <si>
    <t>01.1.6.018</t>
  </si>
  <si>
    <t>01.1.6.019</t>
  </si>
  <si>
    <t>01.1.6.020</t>
  </si>
  <si>
    <t>01.1.6.021</t>
  </si>
  <si>
    <t>01.1.6.022</t>
  </si>
  <si>
    <t>01.1.6.023</t>
  </si>
  <si>
    <t>01.1.6.024</t>
  </si>
  <si>
    <t>01.1.6.025</t>
  </si>
  <si>
    <t>01.1.6.026</t>
  </si>
  <si>
    <t>01.1.6.027</t>
  </si>
  <si>
    <t>01.1.6.028</t>
  </si>
  <si>
    <t>01.1.6.029</t>
  </si>
  <si>
    <t>01.1.6.030</t>
  </si>
  <si>
    <t>01.1.6.031</t>
  </si>
  <si>
    <t>01.1.6.032</t>
  </si>
  <si>
    <t>01.1.6.033</t>
  </si>
  <si>
    <t>01.1.6.034</t>
  </si>
  <si>
    <t>01.1.6.035</t>
  </si>
  <si>
    <t>01.1.6.036</t>
  </si>
  <si>
    <t>01.1.6.037</t>
  </si>
  <si>
    <t>01.1.6.038</t>
  </si>
  <si>
    <t>01.1.6.039</t>
  </si>
  <si>
    <t>01.1.6.040</t>
  </si>
  <si>
    <t>01.1.6.041</t>
  </si>
  <si>
    <t>01.1.6.042</t>
  </si>
  <si>
    <t>01.1.6.043</t>
  </si>
  <si>
    <t>01.1.6.044</t>
  </si>
  <si>
    <t>01.1.6.045</t>
  </si>
  <si>
    <t>01.1.6.046</t>
  </si>
  <si>
    <t>01.1.6.047</t>
  </si>
  <si>
    <t>01.1.6.048</t>
  </si>
  <si>
    <t>01.1.6.049</t>
  </si>
  <si>
    <t>01.1.6.050</t>
  </si>
  <si>
    <t>01.1.6.051</t>
  </si>
  <si>
    <t>01.1.6.052</t>
  </si>
  <si>
    <t>01.1.6.053</t>
  </si>
  <si>
    <t>01.1.6.054</t>
  </si>
  <si>
    <t>01.1.6.055</t>
  </si>
  <si>
    <t>01.1.6.056</t>
  </si>
  <si>
    <t>01.1.6.057</t>
  </si>
  <si>
    <t>01.1.6.058</t>
  </si>
  <si>
    <t>01.1.6.059</t>
  </si>
  <si>
    <t>01.1.6.060</t>
  </si>
  <si>
    <t>01.1.6.061</t>
  </si>
  <si>
    <t>01.1.6.062</t>
  </si>
  <si>
    <t>01.1.6.063</t>
  </si>
  <si>
    <t>01.1.6.064</t>
  </si>
  <si>
    <t>01.1.6.065</t>
  </si>
  <si>
    <t>01.1.6.066</t>
  </si>
  <si>
    <t>01.1.6.067</t>
  </si>
  <si>
    <t>01.1.6.068</t>
  </si>
  <si>
    <t>01.1.6.069</t>
  </si>
  <si>
    <t>01.1.6.070</t>
  </si>
  <si>
    <t>01.1.6.071</t>
  </si>
  <si>
    <t>01.1.6.072</t>
  </si>
  <si>
    <t>01.1.6.073</t>
  </si>
  <si>
    <t>01.1.6.074</t>
  </si>
  <si>
    <t>01.1.6.075</t>
  </si>
  <si>
    <t>01.1.6.076</t>
  </si>
  <si>
    <t>01.1.6.077</t>
  </si>
  <si>
    <t>01.1.6.099</t>
  </si>
  <si>
    <t>Achotillo</t>
  </si>
  <si>
    <t>Albaricoque</t>
  </si>
  <si>
    <t>Arazá</t>
  </si>
  <si>
    <t>Babaco</t>
  </si>
  <si>
    <t>Badea</t>
  </si>
  <si>
    <t>Banano (guineo)</t>
  </si>
  <si>
    <t>Bandeja de frutas variadas</t>
  </si>
  <si>
    <t>Borojó</t>
  </si>
  <si>
    <t>Caimito</t>
  </si>
  <si>
    <t>Capulí</t>
  </si>
  <si>
    <t>Cereza y guindas</t>
  </si>
  <si>
    <t>Chamburos</t>
  </si>
  <si>
    <t>Chirimoya</t>
  </si>
  <si>
    <t>Ciruelas</t>
  </si>
  <si>
    <t>Claudias</t>
  </si>
  <si>
    <t>Cocos</t>
  </si>
  <si>
    <t>Durazno</t>
  </si>
  <si>
    <t>Feijoa</t>
  </si>
  <si>
    <t>Frambuesa</t>
  </si>
  <si>
    <t>Fruta china</t>
  </si>
  <si>
    <t>Fruta de pan</t>
  </si>
  <si>
    <t>Frutillas</t>
  </si>
  <si>
    <t>Granada</t>
  </si>
  <si>
    <t>Granadilla</t>
  </si>
  <si>
    <t>Grosellas</t>
  </si>
  <si>
    <t>Guaba de bejuco</t>
  </si>
  <si>
    <t>Guaba machete</t>
  </si>
  <si>
    <t>Guaba pequeña</t>
  </si>
  <si>
    <t>Guanábana</t>
  </si>
  <si>
    <t>Guayaba</t>
  </si>
  <si>
    <t>Guaytambo (durazno abridor)</t>
  </si>
  <si>
    <t>Higo</t>
  </si>
  <si>
    <t>Kiwi</t>
  </si>
  <si>
    <t>Lima</t>
  </si>
  <si>
    <t>Limón mandarina</t>
  </si>
  <si>
    <t>Limón real</t>
  </si>
  <si>
    <t>Limón sutil</t>
  </si>
  <si>
    <t>Mamey</t>
  </si>
  <si>
    <t>Mandarina</t>
  </si>
  <si>
    <t>Manzana</t>
  </si>
  <si>
    <t>Maqueño</t>
  </si>
  <si>
    <t>Maracuyá</t>
  </si>
  <si>
    <t>Melón</t>
  </si>
  <si>
    <t>Membrillo</t>
  </si>
  <si>
    <t>Mora (castilla y silvestre)</t>
  </si>
  <si>
    <t>Mortiño</t>
  </si>
  <si>
    <t>Naranja</t>
  </si>
  <si>
    <t>Naranja agria</t>
  </si>
  <si>
    <t>Naranjilla</t>
  </si>
  <si>
    <t>Níspero</t>
  </si>
  <si>
    <t>Noni</t>
  </si>
  <si>
    <t>Orito</t>
  </si>
  <si>
    <t>Ovos, ciruelos</t>
  </si>
  <si>
    <t>Papaya</t>
  </si>
  <si>
    <t>Papaya hawaiana</t>
  </si>
  <si>
    <t>Pechiche</t>
  </si>
  <si>
    <t>Pepino de dulce</t>
  </si>
  <si>
    <t>Pera</t>
  </si>
  <si>
    <t>Piña</t>
  </si>
  <si>
    <t>Piña hawaiana</t>
  </si>
  <si>
    <t>Pitajaya</t>
  </si>
  <si>
    <t>Plátano maduro</t>
  </si>
  <si>
    <t>Plátano verde</t>
  </si>
  <si>
    <t>Tamarindo</t>
  </si>
  <si>
    <t>Taxo</t>
  </si>
  <si>
    <t>Tomate de árbol</t>
  </si>
  <si>
    <t>Toronja</t>
  </si>
  <si>
    <t>Tuna</t>
  </si>
  <si>
    <t>Uvas negras</t>
  </si>
  <si>
    <t>Uvas rojas</t>
  </si>
  <si>
    <t>Uvas verdes</t>
  </si>
  <si>
    <t>Uvillas</t>
  </si>
  <si>
    <t>Zapote</t>
  </si>
  <si>
    <t>Chonta</t>
  </si>
  <si>
    <t>Otras frutas frescas, refrigeradas y congeladas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</si>
  <si>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</si>
  <si>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</si>
  <si>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</si>
  <si>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</si>
  <si>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</si>
  <si>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</si>
  <si>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</si>
  <si>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</si>
  <si>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</si>
  <si>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</si>
  <si>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</si>
  <si>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</si>
  <si>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</si>
  <si>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299</t>
  </si>
  <si>
    <t>Almidón de achira (se elabora a base de la raíz de la achira)</t>
  </si>
  <si>
    <t>Almidón de papa</t>
  </si>
  <si>
    <t>Almidón de yuca</t>
  </si>
  <si>
    <t>Tapioca (almidón)</t>
  </si>
  <si>
    <t>Harina de arroz</t>
  </si>
  <si>
    <t>Harina de cebada (máchica)</t>
  </si>
  <si>
    <t>Harina de garbanzo</t>
  </si>
  <si>
    <t>Harina de maíz</t>
  </si>
  <si>
    <t>Harina de malta</t>
  </si>
  <si>
    <t>Harina de plátano</t>
  </si>
  <si>
    <t>Harina de morocho (cauca)</t>
  </si>
  <si>
    <t>Maicena (fécula de maíz)</t>
  </si>
  <si>
    <t>Otras harinas</t>
  </si>
  <si>
    <t>01.1.1.201</t>
  </si>
  <si>
    <t>01.1.1.202</t>
  </si>
  <si>
    <t>01.1.1.203</t>
  </si>
  <si>
    <t>01.1.1.204</t>
  </si>
  <si>
    <t>01.1.1.205</t>
  </si>
  <si>
    <t>01.1.1.206</t>
  </si>
  <si>
    <t>01.1.1.207</t>
  </si>
  <si>
    <t>01.1.1.208</t>
  </si>
  <si>
    <t>01.1.1.209</t>
  </si>
  <si>
    <t>01.1.1.210</t>
  </si>
  <si>
    <t>01.1.1.211</t>
  </si>
  <si>
    <t>01.1.1.213</t>
  </si>
  <si>
    <t>01.1.1.299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</si>
  <si>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</si>
  <si>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</si>
  <si>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</si>
  <si>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</si>
  <si>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</si>
  <si>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</si>
  <si>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</si>
  <si>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</si>
  <si>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</si>
  <si>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</si>
  <si>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</si>
  <si>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</si>
  <si>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</si>
  <si>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</si>
  <si>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</si>
  <si>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</si>
  <si>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</si>
  <si>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</si>
  <si>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</si>
  <si>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</si>
  <si>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</si>
  <si>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599</t>
  </si>
  <si>
    <t>Maíz en grano seco</t>
  </si>
  <si>
    <t>Mote (maíz suave seco)</t>
  </si>
  <si>
    <t>Sémola de maíz (harina gruesa poco molida)</t>
  </si>
  <si>
    <t>Sémola de trigo (harina gruesa, poco molida)</t>
  </si>
  <si>
    <t>01.1.1.502</t>
  </si>
  <si>
    <t>01.1.1.503</t>
  </si>
  <si>
    <t>Acelga</t>
  </si>
  <si>
    <t>Achogchas</t>
  </si>
  <si>
    <t>Ají</t>
  </si>
  <si>
    <t>Ajo en pepa (sin pelar)</t>
  </si>
  <si>
    <t>Ajo en pepa (pelado)</t>
  </si>
  <si>
    <t>Alcachofa</t>
  </si>
  <si>
    <t>Apio</t>
  </si>
  <si>
    <t>Berenjena</t>
  </si>
  <si>
    <t>Berros</t>
  </si>
  <si>
    <t>Calabacín</t>
  </si>
  <si>
    <t>Cebolla blanca</t>
  </si>
  <si>
    <t>Cebolla paiteña colorada</t>
  </si>
  <si>
    <t>Cebolla paiteña perla</t>
  </si>
  <si>
    <t>Choclo tierno desgranado</t>
  </si>
  <si>
    <t>Choclo tierno en mazorca</t>
  </si>
  <si>
    <t>Col bruselas</t>
  </si>
  <si>
    <t>Col de seda o col verde</t>
  </si>
  <si>
    <t>Col morada</t>
  </si>
  <si>
    <t>Coliflor</t>
  </si>
  <si>
    <t>Endivia</t>
  </si>
  <si>
    <t>Espárragos</t>
  </si>
  <si>
    <t>Espinaca</t>
  </si>
  <si>
    <t>Hinojo</t>
  </si>
  <si>
    <t>Hongos comestibles (champiñones)</t>
  </si>
  <si>
    <t>Hortalizas, verduras picadas</t>
  </si>
  <si>
    <t>Melloco</t>
  </si>
  <si>
    <t>Nabo</t>
  </si>
  <si>
    <t>Palmito</t>
  </si>
  <si>
    <t>Papanabo</t>
  </si>
  <si>
    <t>Pepinillo (pepino de sal en la costa)</t>
  </si>
  <si>
    <t>Puerro</t>
  </si>
  <si>
    <t>Rábano</t>
  </si>
  <si>
    <t>Remolacha (veteraba)</t>
  </si>
  <si>
    <t>Vainitas (llamada verdura en la costa)</t>
  </si>
  <si>
    <t>Zambo</t>
  </si>
  <si>
    <t>Zanahoria amarilla</t>
  </si>
  <si>
    <t>Zanahoria blanca</t>
  </si>
  <si>
    <t>Zapallo (calabaza)</t>
  </si>
  <si>
    <t>Zuquini</t>
  </si>
  <si>
    <t>Cebollín</t>
  </si>
  <si>
    <t>Otras hortalizas verduras frescas</t>
  </si>
  <si>
    <t>01.1.7.001</t>
  </si>
  <si>
    <t>01.1.7.002</t>
  </si>
  <si>
    <t>01.1.7.003</t>
  </si>
  <si>
    <t>01.1.7.004</t>
  </si>
  <si>
    <t>01.1.7.005</t>
  </si>
  <si>
    <t>01.1.7.006</t>
  </si>
  <si>
    <t>01.1.7.007</t>
  </si>
  <si>
    <t>01.1.7.008</t>
  </si>
  <si>
    <t>01.1.7.009</t>
  </si>
  <si>
    <t>01.1.7.011</t>
  </si>
  <si>
    <t>01.1.7.012</t>
  </si>
  <si>
    <t>01.1.7.013</t>
  </si>
  <si>
    <t>01.1.7.014</t>
  </si>
  <si>
    <t>01.1.7.015</t>
  </si>
  <si>
    <t>01.1.7.016</t>
  </si>
  <si>
    <t>01.1.7.017</t>
  </si>
  <si>
    <t>01.1.7.018</t>
  </si>
  <si>
    <t>01.1.7.019</t>
  </si>
  <si>
    <t>01.1.7.020</t>
  </si>
  <si>
    <t>01.1.7.021</t>
  </si>
  <si>
    <t>01.1.7.022</t>
  </si>
  <si>
    <t>01.1.7.023</t>
  </si>
  <si>
    <t>01.1.7.024</t>
  </si>
  <si>
    <t>01.1.7.025</t>
  </si>
  <si>
    <t>01.1.7.026</t>
  </si>
  <si>
    <t>01.1.7.029</t>
  </si>
  <si>
    <t>01.1.7.030</t>
  </si>
  <si>
    <t>01.1.7.031</t>
  </si>
  <si>
    <t>01.1.7.032</t>
  </si>
  <si>
    <t>01.1.7.033</t>
  </si>
  <si>
    <t>01.1.7.034</t>
  </si>
  <si>
    <t>01.1.7.035</t>
  </si>
  <si>
    <t>01.1.7.036</t>
  </si>
  <si>
    <t>01.1.7.037</t>
  </si>
  <si>
    <t>01.1.7.039</t>
  </si>
  <si>
    <t>01.1.7.040</t>
  </si>
  <si>
    <t>01.1.7.041</t>
  </si>
  <si>
    <t>01.1.7.042</t>
  </si>
  <si>
    <t>01.1.7.043</t>
  </si>
  <si>
    <t>01.1.7.044</t>
  </si>
  <si>
    <t>01.1.7.045</t>
  </si>
  <si>
    <t>01.1.7.099</t>
  </si>
  <si>
    <t>01.1.7.102</t>
  </si>
  <si>
    <t>01.1.7.104</t>
  </si>
  <si>
    <t>01.1.7.106</t>
  </si>
  <si>
    <t>01.1.7.107</t>
  </si>
  <si>
    <t>01.1.7.199</t>
  </si>
  <si>
    <t>Chochos</t>
  </si>
  <si>
    <t>Garbanzos</t>
  </si>
  <si>
    <t>Habichuelas</t>
  </si>
  <si>
    <t>Maní con o sin cáscara (sin procesar)</t>
  </si>
  <si>
    <t>Otras leguminosas frescas, refrigeradas y congeladas</t>
  </si>
  <si>
    <t>214</t>
  </si>
  <si>
    <t>Papa catalina o blanca 1 2</t>
  </si>
  <si>
    <t>Papa cecilia 1 2</t>
  </si>
  <si>
    <t>Papa chaucha 1 2</t>
  </si>
  <si>
    <t>Papa china 1 2</t>
  </si>
  <si>
    <t>Papa chola 1 2</t>
  </si>
  <si>
    <t>Papa de otra variedad 1 2</t>
  </si>
  <si>
    <t>Papa gabriela 1 2</t>
  </si>
  <si>
    <t>Papa leona 1 2</t>
  </si>
  <si>
    <t>Papa semi chola 1 2</t>
  </si>
  <si>
    <t>Papa uvilla 1 2</t>
  </si>
  <si>
    <t>Color coding for conditional formatting</t>
  </si>
  <si>
    <t>product used in dictionary</t>
  </si>
  <si>
    <t>less important products for final consumption. product's final, domestic consumption less than:</t>
  </si>
  <si>
    <t>relevant inputs. inputs larger than:</t>
  </si>
  <si>
    <t>higher direct (!) carbon intensity products. product's fossil fuel intermediate inputs share more than: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</si>
  <si>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</si>
  <si>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</si>
  <si>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</si>
  <si>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</si>
  <si>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</si>
  <si>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</si>
  <si>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</si>
  <si>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</si>
  <si>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</si>
  <si>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</si>
  <si>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</si>
  <si>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</si>
  <si>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</si>
  <si>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</si>
  <si>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</si>
  <si>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</si>
  <si>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</si>
  <si>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</si>
  <si>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</si>
  <si>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</si>
  <si>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</si>
  <si>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</si>
  <si>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</si>
  <si>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</si>
  <si>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</si>
  <si>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</si>
  <si>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</si>
  <si>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</si>
  <si>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</si>
  <si>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</si>
  <si>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</si>
  <si>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397</t>
  </si>
  <si>
    <t>398</t>
  </si>
  <si>
    <t>399</t>
  </si>
  <si>
    <t>01.1.7.301</t>
  </si>
  <si>
    <t>01.1.7.302</t>
  </si>
  <si>
    <t>01.1.7.303</t>
  </si>
  <si>
    <t>01.1.7.304</t>
  </si>
  <si>
    <t>01.1.7.305</t>
  </si>
  <si>
    <t>01.1.7.306</t>
  </si>
  <si>
    <t>01.1.7.307</t>
  </si>
  <si>
    <t>01.1.7.308</t>
  </si>
  <si>
    <t>01.1.7.309</t>
  </si>
  <si>
    <t>01.1.7.310</t>
  </si>
  <si>
    <t>01.1.7.311</t>
  </si>
  <si>
    <t>01.1.7.312</t>
  </si>
  <si>
    <t>01.1.7.313</t>
  </si>
  <si>
    <t>01.1.7.314</t>
  </si>
  <si>
    <t>01.1.7.315</t>
  </si>
  <si>
    <t>01.1.7.316</t>
  </si>
  <si>
    <t>01.1.7.317</t>
  </si>
  <si>
    <t>01.1.7.318</t>
  </si>
  <si>
    <t>01.1.7.319</t>
  </si>
  <si>
    <t>01.1.7.320</t>
  </si>
  <si>
    <t>01.1.7.321</t>
  </si>
  <si>
    <t>01.1.7.322</t>
  </si>
  <si>
    <t>01.1.7.323</t>
  </si>
  <si>
    <t>01.1.7.324</t>
  </si>
  <si>
    <t>01.1.7.325</t>
  </si>
  <si>
    <t>01.1.7.326</t>
  </si>
  <si>
    <t>01.1.7.327</t>
  </si>
  <si>
    <t>01.1.7.328</t>
  </si>
  <si>
    <t>01.1.7.329</t>
  </si>
  <si>
    <t>01.1.7.330</t>
  </si>
  <si>
    <t>01.1.7.331</t>
  </si>
  <si>
    <t>01.1.7.397</t>
  </si>
  <si>
    <t>01.1.7.398</t>
  </si>
  <si>
    <t>01.1.7.399</t>
  </si>
  <si>
    <t>Aceitunas</t>
  </si>
  <si>
    <t>Alcaparras</t>
  </si>
  <si>
    <t>Arveja en conserva</t>
  </si>
  <si>
    <t>Arvejas secas</t>
  </si>
  <si>
    <t>Cebollitas encurtidas</t>
  </si>
  <si>
    <t>Choclo enlatado</t>
  </si>
  <si>
    <t>Encurtido (varios vegetales en vinagre)</t>
  </si>
  <si>
    <t>Espárragos en conserva</t>
  </si>
  <si>
    <t>Fréjol en conserva</t>
  </si>
  <si>
    <t>Fréjol seco (porotos)</t>
  </si>
  <si>
    <t>Garbanzo seco</t>
  </si>
  <si>
    <t>Garbanzos enlatados</t>
  </si>
  <si>
    <t>Habas enlatadas</t>
  </si>
  <si>
    <t>Habas secas</t>
  </si>
  <si>
    <t>Harina de arveja</t>
  </si>
  <si>
    <t>Harina de haba</t>
  </si>
  <si>
    <t>Harina de soya</t>
  </si>
  <si>
    <t>Hongos en conserva (champiñones)</t>
  </si>
  <si>
    <t>Hongos secos (champiñones)</t>
  </si>
  <si>
    <t>Lenteja en conserva</t>
  </si>
  <si>
    <t>Menestra de fréjol</t>
  </si>
  <si>
    <t>Menestra de lenteja</t>
  </si>
  <si>
    <t>Mote cocinado</t>
  </si>
  <si>
    <t>Pepinillo agridulce</t>
  </si>
  <si>
    <t>Tomate natural en conserva</t>
  </si>
  <si>
    <t>Vainitas en conserva</t>
  </si>
  <si>
    <t>Vegetales mixtos en conserva</t>
  </si>
  <si>
    <t>Verduras, hortalizas, leguminosas, cocinadas</t>
  </si>
  <si>
    <t>Zanahorias en conserva</t>
  </si>
  <si>
    <t>Otras harinas de leguminosas</t>
  </si>
  <si>
    <t>Otras hortalizas y verduras en conserva</t>
  </si>
  <si>
    <t>Otras leguminosas secas y en conserva</t>
  </si>
  <si>
    <t>The products "Other oilseeds" is used for dried and canned fruit, as this contains among others sunflower seeds and peanuts.</t>
  </si>
  <si>
    <t>01.1.8.301</t>
  </si>
  <si>
    <t>01.1.8.302</t>
  </si>
  <si>
    <t>01.1.8.303</t>
  </si>
  <si>
    <t>01.1.8.304</t>
  </si>
  <si>
    <t>01.1.8.305</t>
  </si>
  <si>
    <t>01.1.8.306</t>
  </si>
  <si>
    <t>01.1.8.307</t>
  </si>
  <si>
    <t>01.1.8.308</t>
  </si>
  <si>
    <t>01.1.8.309</t>
  </si>
  <si>
    <t>01.1.8.310</t>
  </si>
  <si>
    <t>01.1.8.311</t>
  </si>
  <si>
    <t>01.1.8.312</t>
  </si>
  <si>
    <t>01.1.8.313</t>
  </si>
  <si>
    <t>01.1.8.314</t>
  </si>
  <si>
    <t>01.1.8.315</t>
  </si>
  <si>
    <t>01.1.8.316</t>
  </si>
  <si>
    <t>01.1.8.317</t>
  </si>
  <si>
    <t>01.1.8.318</t>
  </si>
  <si>
    <t>01.1.8.319</t>
  </si>
  <si>
    <t>01.1.8.320</t>
  </si>
  <si>
    <t>01.1.8.321</t>
  </si>
  <si>
    <t>Barras de maní enconfitadas</t>
  </si>
  <si>
    <t>Bolitas de coco</t>
  </si>
  <si>
    <t>Bombones o chocolates</t>
  </si>
  <si>
    <t>Caramelos surtidos</t>
  </si>
  <si>
    <t>Chicles (goma de mascar)</t>
  </si>
  <si>
    <t>Chocolate en barra y otras formas (incluido el amargo)</t>
  </si>
  <si>
    <t>Chupetes</t>
  </si>
  <si>
    <t>Colaciones</t>
  </si>
  <si>
    <t>Confites</t>
  </si>
  <si>
    <t>Dulces de ajonjolí</t>
  </si>
  <si>
    <t>Dulces de frutas</t>
  </si>
  <si>
    <t>Gomitas</t>
  </si>
  <si>
    <t>Grageas</t>
  </si>
  <si>
    <t>Habas enconfitadas</t>
  </si>
  <si>
    <t>Maíz con dulce</t>
  </si>
  <si>
    <t>Maní con dulce</t>
  </si>
  <si>
    <t>Masmelos</t>
  </si>
  <si>
    <t>Nogadas</t>
  </si>
  <si>
    <t>Turrones</t>
  </si>
  <si>
    <t>Caramelos (para flanes y otros postres)</t>
  </si>
  <si>
    <t>Otros chocolates y dulces de azúcar</t>
  </si>
  <si>
    <t>?</t>
  </si>
  <si>
    <t>Servicios de Comunicación e información</t>
  </si>
  <si>
    <t>in bridge matrix</t>
  </si>
  <si>
    <t>direct fossil fuel consumption</t>
  </si>
  <si>
    <t>04.5.3.099</t>
  </si>
  <si>
    <t>04.5.4.099</t>
  </si>
  <si>
    <t>Water and public services</t>
  </si>
  <si>
    <t>Maintenance</t>
  </si>
  <si>
    <t>05.3</t>
  </si>
  <si>
    <t>not "Vidrio y productos de vidrio" because the chosen product has a higher final consumption and seems therefore more relevant. "Productos metálicos de uso doméstico" could be possible as well. Hence, more detailing possible.</t>
  </si>
  <si>
    <t>05.6.1.001</t>
  </si>
  <si>
    <t>05.6.1.002</t>
  </si>
  <si>
    <t>05.6.1.003</t>
  </si>
  <si>
    <t>05.6.1.004</t>
  </si>
  <si>
    <t>05.6.1.005</t>
  </si>
  <si>
    <t>05.6.1.006</t>
  </si>
  <si>
    <t>05.6.1.007</t>
  </si>
  <si>
    <t>05.6.1.008</t>
  </si>
  <si>
    <t>05.6.1.009</t>
  </si>
  <si>
    <t>05.6.1.010</t>
  </si>
  <si>
    <t>05.6.1.011</t>
  </si>
  <si>
    <t>05.6.1.012</t>
  </si>
  <si>
    <t>05.6.1.013</t>
  </si>
  <si>
    <t>05.6.1.014</t>
  </si>
  <si>
    <t>05.6.1.015</t>
  </si>
  <si>
    <t>05.6.1.016</t>
  </si>
  <si>
    <t>05.6.1.017</t>
  </si>
  <si>
    <t>05.6.1.018</t>
  </si>
  <si>
    <t>05.6.1.019</t>
  </si>
  <si>
    <t>05.6.1.020</t>
  </si>
  <si>
    <t>05.6.1.021</t>
  </si>
  <si>
    <t>05.6.1.022</t>
  </si>
  <si>
    <t>05.6.1.023</t>
  </si>
  <si>
    <t>05.6.1.024</t>
  </si>
  <si>
    <t>05.6.1.025</t>
  </si>
  <si>
    <t>05.6.1.026</t>
  </si>
  <si>
    <t>05.6.1.027</t>
  </si>
  <si>
    <t>05.6.1.028</t>
  </si>
  <si>
    <t>05.6.1.029</t>
  </si>
  <si>
    <t>05.6.1.030</t>
  </si>
  <si>
    <t>05.6.1.031</t>
  </si>
  <si>
    <t>05.6.1.032</t>
  </si>
  <si>
    <t>05.6.1.033</t>
  </si>
  <si>
    <t>05.6.1.034</t>
  </si>
  <si>
    <t>05.6.1.035</t>
  </si>
  <si>
    <t>05.6.1.036</t>
  </si>
  <si>
    <t>05.6.1.037</t>
  </si>
  <si>
    <t>05.6.1.038</t>
  </si>
  <si>
    <t>05.6.1.099</t>
  </si>
  <si>
    <t>Aceite de máquina de cocer (aceite 3 en 1)</t>
  </si>
  <si>
    <t>Agua destilada</t>
  </si>
  <si>
    <t>Almidón para tela</t>
  </si>
  <si>
    <t xml:space="preserve">Amoniaco (producto de limpieza) </t>
  </si>
  <si>
    <t>Anilinas</t>
  </si>
  <si>
    <t>Betún en tubo o pasta</t>
  </si>
  <si>
    <t>Betún liqui</t>
  </si>
  <si>
    <t>Betún sólido</t>
  </si>
  <si>
    <t xml:space="preserve">Cera líquida para pisos </t>
  </si>
  <si>
    <t>Cera sólida para pisos</t>
  </si>
  <si>
    <t>Cloro (Blanqueador de ropa, desinfectante puro)</t>
  </si>
  <si>
    <t xml:space="preserve">Desengrasantes o quita grasas </t>
  </si>
  <si>
    <t xml:space="preserve">Desinfectante para uso domestico (Lavaklin, fresklin, Kalipto, etc.) </t>
  </si>
  <si>
    <t>Desodorante ambientales (Líquidos o sólidos)</t>
  </si>
  <si>
    <t>Destapadores de tuberías (sello rojo, asea, lejías, etc.)</t>
  </si>
  <si>
    <t>Detergente en polvo</t>
  </si>
  <si>
    <t xml:space="preserve">Detergente líquido </t>
  </si>
  <si>
    <t xml:space="preserve">Fungicida líquido </t>
  </si>
  <si>
    <t>Fungicida sólido</t>
  </si>
  <si>
    <t xml:space="preserve">Insecticida </t>
  </si>
  <si>
    <t>Jabón en barra para lavar ropa</t>
  </si>
  <si>
    <t>Jabón en barra para lavar vajilla</t>
  </si>
  <si>
    <t>Jabón en crema para lavar vajilla</t>
  </si>
  <si>
    <t xml:space="preserve">Jabón líquido para lavar ropa </t>
  </si>
  <si>
    <t xml:space="preserve">Jabón líquido para lavar vajilla </t>
  </si>
  <si>
    <t xml:space="preserve">Líquido para limpiar vidrios </t>
  </si>
  <si>
    <t>Naftalina</t>
  </si>
  <si>
    <t>Pastilla tanque, (limpia y desinfecta el tanque del inodoro)</t>
  </si>
  <si>
    <t xml:space="preserve">Productos para el mantenimiento y limpieza de la madera </t>
  </si>
  <si>
    <t>Productos para pulir y limpiar metales</t>
  </si>
  <si>
    <t xml:space="preserve">Productos químicos para la limpieza de alfombras </t>
  </si>
  <si>
    <t xml:space="preserve">Quita manchas (alfombras, muebles…etc.) </t>
  </si>
  <si>
    <t>Sosa cáustica</t>
  </si>
  <si>
    <t xml:space="preserve">Suavizantes de ropa (acondicionador) </t>
  </si>
  <si>
    <t>Tinta para ropa y otros tejidos</t>
  </si>
  <si>
    <t>Veneno para ratas</t>
  </si>
  <si>
    <t>Otro tipo de desinfectantes (creso)</t>
  </si>
  <si>
    <t>Otros productos de limpieza y mantenimiento</t>
  </si>
  <si>
    <t>Azul para ropa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</si>
  <si>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</si>
  <si>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</si>
  <si>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</si>
  <si>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</si>
  <si>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</si>
  <si>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</si>
  <si>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</si>
  <si>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</si>
  <si>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</si>
  <si>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</si>
  <si>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</si>
  <si>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</si>
  <si>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</si>
  <si>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</si>
  <si>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</si>
  <si>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</si>
  <si>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</si>
  <si>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</si>
  <si>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</si>
  <si>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</si>
  <si>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</si>
  <si>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</si>
  <si>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</si>
  <si>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</si>
  <si>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</si>
  <si>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</si>
  <si>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</si>
  <si>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</si>
  <si>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</si>
  <si>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</si>
  <si>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</si>
  <si>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</si>
  <si>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</si>
  <si>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</si>
  <si>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</si>
  <si>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</si>
  <si>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</si>
  <si>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</si>
  <si>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</si>
  <si>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05.6.1.101</t>
  </si>
  <si>
    <t>05.6.1.102</t>
  </si>
  <si>
    <t>05.6.1.103</t>
  </si>
  <si>
    <t>05.6.1.104</t>
  </si>
  <si>
    <t>05.6.1.105</t>
  </si>
  <si>
    <t>05.6.1.106</t>
  </si>
  <si>
    <t>05.6.1.107</t>
  </si>
  <si>
    <t>05.6.1.108</t>
  </si>
  <si>
    <t>05.6.1.109</t>
  </si>
  <si>
    <t>05.6.1.110</t>
  </si>
  <si>
    <t>05.6.1.111</t>
  </si>
  <si>
    <t>05.6.1.112</t>
  </si>
  <si>
    <t>05.6.1.113</t>
  </si>
  <si>
    <t>05.6.1.114</t>
  </si>
  <si>
    <t>05.6.1.115</t>
  </si>
  <si>
    <t>05.6.1.116</t>
  </si>
  <si>
    <t>05.6.1.117</t>
  </si>
  <si>
    <t>05.6.1.118</t>
  </si>
  <si>
    <t>05.6.1.119</t>
  </si>
  <si>
    <t>05.6.1.120</t>
  </si>
  <si>
    <t>05.6.1.121</t>
  </si>
  <si>
    <t>05.6.1.122</t>
  </si>
  <si>
    <t>05.6.1.123</t>
  </si>
  <si>
    <t>05.6.1.124</t>
  </si>
  <si>
    <t>05.6.1.125</t>
  </si>
  <si>
    <t>05.6.1.126</t>
  </si>
  <si>
    <t>05.6.1.127</t>
  </si>
  <si>
    <t>05.6.1.128</t>
  </si>
  <si>
    <t>05.6.1.129</t>
  </si>
  <si>
    <t>05.6.1.130</t>
  </si>
  <si>
    <t>05.6.1.131</t>
  </si>
  <si>
    <t>05.6.1.132</t>
  </si>
  <si>
    <t>05.6.1.133</t>
  </si>
  <si>
    <t>05.6.1.134</t>
  </si>
  <si>
    <t>05.6.1.135</t>
  </si>
  <si>
    <t>05.6.1.136</t>
  </si>
  <si>
    <t>05.6.1.137</t>
  </si>
  <si>
    <t>05.6.1.138</t>
  </si>
  <si>
    <t>05.6.1.139</t>
  </si>
  <si>
    <t>05.6.1.140</t>
  </si>
  <si>
    <t>05.6.1.141</t>
  </si>
  <si>
    <t>05.6.1.142</t>
  </si>
  <si>
    <t>05.6.1.143</t>
  </si>
  <si>
    <t>05.6.1.144</t>
  </si>
  <si>
    <t>05.6.1.145</t>
  </si>
  <si>
    <t>05.6.1.146</t>
  </si>
  <si>
    <t>05.6.1.147</t>
  </si>
  <si>
    <t>05.6.1.148</t>
  </si>
  <si>
    <t>05.6.1.149</t>
  </si>
  <si>
    <t>05.6.1.150</t>
  </si>
  <si>
    <t>05.6.1.199</t>
  </si>
  <si>
    <t>Adhesivos y cintas adhesivas de uso domestico</t>
  </si>
  <si>
    <t>Agujas de coser</t>
  </si>
  <si>
    <t>Agujas de tejer, crochet</t>
  </si>
  <si>
    <t>Alcoholes desnaturalizados</t>
  </si>
  <si>
    <t>Alfileres</t>
  </si>
  <si>
    <t>Bolsa para aspiradora</t>
  </si>
  <si>
    <t>Cepillo para lavar botellas</t>
  </si>
  <si>
    <t>Cepillo para limpiar la ropa</t>
  </si>
  <si>
    <t>Cepillo para restregar la ropa</t>
  </si>
  <si>
    <t>Clavos, tornillos</t>
  </si>
  <si>
    <t>Colgadores</t>
  </si>
  <si>
    <t>Cuerdas y cordeles</t>
  </si>
  <si>
    <t>Dedal</t>
  </si>
  <si>
    <t>Escoba</t>
  </si>
  <si>
    <t>Esponjas para el hogar (excepto del baño)</t>
  </si>
  <si>
    <t>Estropajos de fibra o acero (rasqueteador de pisos)</t>
  </si>
  <si>
    <t>Estropajos de fibra o acero de cocina color verde con esponja</t>
  </si>
  <si>
    <t>Estropajos de fibra o acero de cocina color verde cortado</t>
  </si>
  <si>
    <t>Extintores de incendios para los hogares</t>
  </si>
  <si>
    <t>Filtros de papel</t>
  </si>
  <si>
    <t>Fósforos</t>
  </si>
  <si>
    <t>Fundas para la basura</t>
  </si>
  <si>
    <t>Gamuzas quita polvo</t>
  </si>
  <si>
    <t>Guantes de goma para uso doméstico</t>
  </si>
  <si>
    <t>Imperdibles</t>
  </si>
  <si>
    <t>Mantel de plástico</t>
  </si>
  <si>
    <t>Mechas para lámparas</t>
  </si>
  <si>
    <t>Pala, recogedor de basura de metal</t>
  </si>
  <si>
    <t>Pala, recogedor de basura plástico</t>
  </si>
  <si>
    <t>Palillos para dientes</t>
  </si>
  <si>
    <t>Palillos para pinchos</t>
  </si>
  <si>
    <t>Paños o limpiones de cocina</t>
  </si>
  <si>
    <t>Papel absorbente</t>
  </si>
  <si>
    <t>Papel aluminio y revestimientos</t>
  </si>
  <si>
    <t>Papel encerado</t>
  </si>
  <si>
    <t>Perchas</t>
  </si>
  <si>
    <t>Perchas adhesivas</t>
  </si>
  <si>
    <t>Pinzas para ropa</t>
  </si>
  <si>
    <t>Plumeros</t>
  </si>
  <si>
    <t>Servilletas de papel</t>
  </si>
  <si>
    <t>Tazas y platos desechables</t>
  </si>
  <si>
    <t>Tijeras de costura</t>
  </si>
  <si>
    <t>Toallas de papel</t>
  </si>
  <si>
    <t>Trampa para ratones</t>
  </si>
  <si>
    <t>Trapeador</t>
  </si>
  <si>
    <t>Trapos de piso</t>
  </si>
  <si>
    <t>Tuercas y pernos para el hogar</t>
  </si>
  <si>
    <t>Vajilla descartable</t>
  </si>
  <si>
    <t>Velas</t>
  </si>
  <si>
    <t>Household objects</t>
  </si>
  <si>
    <t>Medical equipment</t>
  </si>
  <si>
    <t>Medical services</t>
  </si>
  <si>
    <t>Vehículos a motor (uso del hogar - adquisición)</t>
  </si>
  <si>
    <t>07.1.1.099</t>
  </si>
  <si>
    <t>"Neumáticos y cámaras de aire" would also fit here. More details possible</t>
  </si>
  <si>
    <t>Combustibles para equipo de transporte personal</t>
  </si>
  <si>
    <t>Other</t>
  </si>
  <si>
    <t>Household services</t>
  </si>
  <si>
    <t>Communication</t>
  </si>
  <si>
    <t>Assumption</t>
  </si>
  <si>
    <t>Toys consist mainly of plastics</t>
  </si>
  <si>
    <t>streets are mostly used for transportation</t>
  </si>
  <si>
    <t>This class contains very different objects and so different materials. If necessary objects can be linked individually</t>
  </si>
  <si>
    <t>Equipment consist mainly of plastics</t>
  </si>
  <si>
    <t>This class contains very different objects and so different materials. If necessary objects can be linked individually. Possible products: 127, 138, 146</t>
  </si>
  <si>
    <t>Services</t>
  </si>
  <si>
    <t>Publishing products</t>
  </si>
  <si>
    <t>10.1.1</t>
  </si>
  <si>
    <t>10.2.1</t>
  </si>
  <si>
    <t>10.3.1</t>
  </si>
  <si>
    <t>10.4.1</t>
  </si>
  <si>
    <t>10.5.1</t>
  </si>
  <si>
    <t>10.6.1</t>
  </si>
  <si>
    <t>Education</t>
  </si>
  <si>
    <t>ENSEÑANZA TERCIARIA O UNIVERSITARIA</t>
  </si>
  <si>
    <t>Public medical services, as this sector produces twice the value than the private one (237)</t>
  </si>
  <si>
    <t>Public education, as this sector produces four times the value of the private one</t>
  </si>
  <si>
    <t>Public education, as this sector produces 2.5 times the value of the private one</t>
  </si>
  <si>
    <t>Public education, as this sector produces more than the private one</t>
  </si>
  <si>
    <t>Private education as this sector is larger than the public one and the list of courses seems only be offered by the private sector</t>
  </si>
  <si>
    <t>Public education as this sectore is larger than the private one</t>
  </si>
  <si>
    <t>184 and 233 also possible</t>
  </si>
  <si>
    <t>202 also possible</t>
  </si>
  <si>
    <t>210 also possible</t>
  </si>
  <si>
    <t>Personal care</t>
  </si>
  <si>
    <t>Personal belongings</t>
  </si>
  <si>
    <t>Social protection</t>
  </si>
  <si>
    <t>Insurances and financial services</t>
  </si>
  <si>
    <t>ll</t>
  </si>
  <si>
    <t>explicitely listed</t>
  </si>
  <si>
    <t>matched with product/sector</t>
  </si>
  <si>
    <t>+ lower level listed</t>
  </si>
  <si>
    <t>+ upper level listed</t>
  </si>
  <si>
    <t>07.3</t>
  </si>
  <si>
    <t>Tachuelas, arandelas, remaches para el hogar</t>
  </si>
  <si>
    <t>Otros bienes del hogar no duraderos</t>
  </si>
  <si>
    <t>no link to fossil fuels assumed</t>
  </si>
  <si>
    <t>suitable sector to be defined</t>
  </si>
  <si>
    <t>Major ingredient is sugar</t>
  </si>
  <si>
    <t>also possible 138, 150. Would require further detailing at lower level</t>
  </si>
  <si>
    <t>Check if relevant (high expenditures)</t>
  </si>
  <si>
    <t>consumption expenditure relevant (&gt;0.1% of total expenditures)?</t>
  </si>
  <si>
    <t>Check which of the following subcategories is most relevant in terms of expenditure: "Briquetas (residuos de madera, cascarilla de arroz, bagazo de caña), Carbón, Coque, Turba, Leña, Otros combustibles sólidos"</t>
  </si>
  <si>
    <t>Check which of the following subcategories is most relevant in terms of expenditure: "Agua caliente y vapor comprado en plantas de calefacción, Compra de medidor, Gasto de consumo, Hielo empleado para enfriamiento o refrigeración"</t>
  </si>
  <si>
    <t>Other products also possible, requires further detailing at lower level</t>
  </si>
  <si>
    <t>Color coding for conditional formatting see below table</t>
  </si>
  <si>
    <t>higher direct fossil fuel  intensity</t>
  </si>
  <si>
    <t>Total economic output of sector (sum of all aggregated columns on the left)</t>
  </si>
  <si>
    <t>FINAL DEMAND</t>
  </si>
  <si>
    <t>TOTAL ECONOMIC OUTPUT</t>
  </si>
  <si>
    <t>TOTAL INPUT IN SECTOR FROM OTHER SECTORS</t>
  </si>
  <si>
    <t>TOTAL INPUT FOR OTHER SECTORS (INTERSECTORAL FLOW)</t>
  </si>
  <si>
    <t>direct electricity consumption</t>
  </si>
  <si>
    <t>both, in physical (value: column 5, unit: 6) and monetary (column 13) quantities</t>
  </si>
  <si>
    <t>both, physical (column 4, unit: kilo) and monetary (column 6) quantities
"Gas natural y Gas de la ciudad, Hidrocarburos licuados (butano, propano, etc.)"</t>
  </si>
  <si>
    <t>both, physical (column 4 in kW? (probably be kWh)) and monetary (column 8) quantities
176 would be "Servicios de transmisión y distribución eléctrica", but we look at the direct consumption separately to assess the direct effect</t>
  </si>
  <si>
    <t>- Gas natural y Gas de la ciudad
- Hidrocarburos licuados (butano, propano, etc.) = LPG</t>
  </si>
  <si>
    <t>Unicode</t>
  </si>
  <si>
    <t>matched on SC/SSC level</t>
  </si>
  <si>
    <t>IOT</t>
  </si>
  <si>
    <t>Expenditure categories</t>
  </si>
  <si>
    <t>Excpenditure subcategories</t>
  </si>
  <si>
    <t>Category_no</t>
  </si>
  <si>
    <t>Subcategory_no</t>
  </si>
  <si>
    <t>17.0.3.097</t>
  </si>
  <si>
    <t>17.0.4.097</t>
  </si>
  <si>
    <t>17.0.5.097</t>
  </si>
  <si>
    <t>17.0.6.097</t>
  </si>
  <si>
    <t>Casa</t>
  </si>
  <si>
    <t>18.0.1.001</t>
  </si>
  <si>
    <t>Terreno</t>
  </si>
  <si>
    <t>Departamento</t>
  </si>
  <si>
    <t>Finca o hacienda</t>
  </si>
  <si>
    <t>18.0.1.003</t>
  </si>
  <si>
    <t>18.0.1.002</t>
  </si>
  <si>
    <t>18.0.1.004</t>
  </si>
  <si>
    <t>source: 01 FORMULARIO 1 - Información General</t>
  </si>
  <si>
    <t>source: 02 FORMULARIO 2 - GASTOS DEL HOGAR</t>
  </si>
  <si>
    <t>Farming</t>
  </si>
  <si>
    <t>Property purchases</t>
  </si>
  <si>
    <t>GASTOS EN ACTIVIDADES AGRÍCOLAS</t>
  </si>
  <si>
    <t>GASTOS EN ACTIVIDADES FORESTALES</t>
  </si>
  <si>
    <t>GASTOS EN ACTIVIDADES PECUARIAS</t>
  </si>
  <si>
    <t>GASTOS SALARIALES</t>
  </si>
  <si>
    <t>17.0.3</t>
  </si>
  <si>
    <t>Bienes</t>
  </si>
  <si>
    <t>18.0.1</t>
  </si>
  <si>
    <t>Class</t>
  </si>
  <si>
    <t>Subclass</t>
  </si>
  <si>
    <t>If new items are added, you always need to insert the class before (with 3 or 4 digits)</t>
  </si>
  <si>
    <t>ACTIVIDADES AGROPECUARIAS - Agricolas</t>
  </si>
  <si>
    <t>LPG</t>
  </si>
  <si>
    <t>Gasoline</t>
  </si>
  <si>
    <t>ACTIVIDADES AGROPECUARIAS - Forestales</t>
  </si>
  <si>
    <t>ACTIVIDADES AGROPECUARIAS - Pecuarias</t>
  </si>
  <si>
    <t>ACTIVIDADES AGROPECUARIAS - Salarios</t>
  </si>
  <si>
    <t>17.0.4</t>
  </si>
  <si>
    <t>17.0.5</t>
  </si>
  <si>
    <t>17.0.6</t>
  </si>
  <si>
    <t>Gasoline eco</t>
  </si>
  <si>
    <t>Gasoline extra</t>
  </si>
  <si>
    <t>Gasoline super</t>
  </si>
  <si>
    <t>ENIGHUR 2011-2012</t>
  </si>
  <si>
    <t>n/a</t>
  </si>
  <si>
    <t>Farming expenditures</t>
  </si>
  <si>
    <t>Vehicle Maintenance</t>
  </si>
  <si>
    <t>Restaurants</t>
  </si>
  <si>
    <t>Accomodation</t>
  </si>
  <si>
    <t>Tobacco</t>
  </si>
  <si>
    <t>Food</t>
  </si>
  <si>
    <t>Beverages</t>
  </si>
  <si>
    <t>Index</t>
  </si>
  <si>
    <t>expend_item_no</t>
  </si>
  <si>
    <t>Category_label</t>
  </si>
  <si>
    <t>Subcategory_label</t>
  </si>
  <si>
    <t>Vehicles</t>
  </si>
  <si>
    <t>Health insurance</t>
  </si>
  <si>
    <t>expend_mon_w_noAP_dd_share</t>
  </si>
  <si>
    <t>Furnishings</t>
  </si>
  <si>
    <t>Household supplies</t>
  </si>
  <si>
    <t>Recreation and culture</t>
  </si>
  <si>
    <t>Durable goods</t>
  </si>
  <si>
    <t>Technical equipment</t>
  </si>
  <si>
    <t>Transport services (air)</t>
  </si>
  <si>
    <t>Transporte de pasajeros por carretera</t>
  </si>
  <si>
    <t xml:space="preserve">Alquiler de vehículo con conductor </t>
  </si>
  <si>
    <t>Transporte escolar</t>
  </si>
  <si>
    <t xml:space="preserve">Transporte en bici taxi </t>
  </si>
  <si>
    <t xml:space="preserve">Transporte en bus, trolebús, metro bus, ecovía </t>
  </si>
  <si>
    <t xml:space="preserve">Transporte en camioneta </t>
  </si>
  <si>
    <t xml:space="preserve">Transporte en furgoneta </t>
  </si>
  <si>
    <t xml:space="preserve">Transporte en moto taxi </t>
  </si>
  <si>
    <t xml:space="preserve">Transporte intercantonal </t>
  </si>
  <si>
    <t xml:space="preserve">Transporte interparroquial </t>
  </si>
  <si>
    <t xml:space="preserve">Transporte interprovincial </t>
  </si>
  <si>
    <t xml:space="preserve">Transporte en taxi </t>
  </si>
  <si>
    <t xml:space="preserve">Otros transportes de pasajeros por carretera </t>
  </si>
  <si>
    <t>Transporte de trabajo</t>
  </si>
  <si>
    <t>07.3.2.001</t>
  </si>
  <si>
    <t>07.3.2.002</t>
  </si>
  <si>
    <t>07.3.2.003</t>
  </si>
  <si>
    <t>07.3.2.004</t>
  </si>
  <si>
    <t>07.3.2.005</t>
  </si>
  <si>
    <t>07.3.2.006</t>
  </si>
  <si>
    <t>07.3.2.007</t>
  </si>
  <si>
    <t>07.3.2.008</t>
  </si>
  <si>
    <t>07.3.2.009</t>
  </si>
  <si>
    <t>07.3.2.010</t>
  </si>
  <si>
    <t>07.3.2.011</t>
  </si>
  <si>
    <t>07.3.2.012</t>
  </si>
  <si>
    <t>07.3.2.099</t>
  </si>
  <si>
    <t>07.3.2.000</t>
  </si>
  <si>
    <t>Urban public transport by bus</t>
  </si>
  <si>
    <t>Interregional public transport by bus</t>
  </si>
  <si>
    <t>Private transport services</t>
  </si>
  <si>
    <t>Transport services</t>
  </si>
  <si>
    <t>Diesel includes other fuels and lubricants</t>
  </si>
  <si>
    <t>not important as lower level matching used. Needed for BM</t>
  </si>
  <si>
    <t>No consumption, not relevant</t>
  </si>
  <si>
    <t>IOT 2012 Extended</t>
  </si>
  <si>
    <t>Label</t>
  </si>
  <si>
    <t>Expenditure subcategories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</si>
</sst>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\ _€_-;\-* #,##0.00\ _€_-;_-* &quot;-&quot;??\ _€_-;_-@_-"/>
    <numFmt numFmtId="164" formatCode="_-* #,##0.00\ _$_-;\-* #,##0.00\ _$_-;_-* &quot;-&quot;??\ _$_-;_-@_-"/>
    <numFmt numFmtId="165" formatCode="0.0%"/>
    <numFmt numFmtId="166" formatCode="0.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6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9" fontId="1" fillId="0" borderId="0" applyFont="0" applyFill="0" applyBorder="0" applyAlignment="0" applyProtection="0"/>
  </cellStyleXfs>
  <cellXfs count="192">
    <xf numFmtId="0" fontId="0" fillId="0" borderId="0" xfId="0"/>
    <xf numFmtId="1" fontId="7" fillId="0" borderId="0" xfId="0" applyNumberFormat="1" applyFont="1" applyFill="1" applyAlignment="1" applyProtection="1">
      <alignment vertical="center"/>
    </xf>
    <xf numFmtId="0" fontId="0" fillId="0" borderId="0" xfId="0"/>
    <xf numFmtId="0" fontId="0" fillId="0" borderId="0" xfId="0" applyAlignment="1">
      <alignment wrapText="1"/>
    </xf>
    <xf numFmtId="0" fontId="4" fillId="2" borderId="0" xfId="0" applyFont="1" applyFill="1"/>
    <xf numFmtId="0" fontId="5" fillId="0" borderId="1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vertical="center" wrapText="1"/>
    </xf>
    <xf numFmtId="3" fontId="5" fillId="0" borderId="2" xfId="0" applyNumberFormat="1" applyFont="1" applyFill="1" applyBorder="1" applyAlignment="1">
      <alignment vertical="center" wrapText="1"/>
    </xf>
    <xf numFmtId="0" fontId="5" fillId="0" borderId="3" xfId="0" applyFont="1" applyFill="1" applyBorder="1" applyAlignment="1">
      <alignment vertical="center" wrapText="1"/>
    </xf>
    <xf numFmtId="3" fontId="5" fillId="0" borderId="3" xfId="0" applyNumberFormat="1" applyFont="1" applyFill="1" applyBorder="1" applyAlignment="1">
      <alignment vertical="center" wrapText="1"/>
    </xf>
    <xf numFmtId="3" fontId="5" fillId="0" borderId="4" xfId="0" applyNumberFormat="1" applyFont="1" applyFill="1" applyBorder="1" applyAlignment="1">
      <alignment vertical="center" wrapText="1"/>
    </xf>
    <xf numFmtId="0" fontId="4" fillId="0" borderId="3" xfId="0" applyFont="1" applyFill="1" applyBorder="1"/>
    <xf numFmtId="3" fontId="5" fillId="0" borderId="5" xfId="0" applyNumberFormat="1" applyFont="1" applyFill="1" applyBorder="1" applyAlignment="1">
      <alignment vertical="center" wrapText="1"/>
    </xf>
    <xf numFmtId="3" fontId="8" fillId="0" borderId="12" xfId="0" applyNumberFormat="1" applyFont="1" applyBorder="1"/>
    <xf numFmtId="0" fontId="5" fillId="2" borderId="0" xfId="0" applyFont="1" applyFill="1"/>
    <xf numFmtId="3" fontId="5" fillId="0" borderId="0" xfId="0" applyNumberFormat="1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0" borderId="0" xfId="0" applyFont="1"/>
    <xf numFmtId="3" fontId="9" fillId="2" borderId="0" xfId="0" applyNumberFormat="1" applyFont="1" applyFill="1" applyAlignment="1">
      <alignment vertical="center"/>
    </xf>
    <xf numFmtId="3" fontId="9" fillId="0" borderId="12" xfId="0" applyNumberFormat="1" applyFont="1" applyFill="1" applyBorder="1" applyAlignment="1">
      <alignment horizontal="center" vertical="center" wrapText="1"/>
    </xf>
    <xf numFmtId="3" fontId="9" fillId="0" borderId="2" xfId="0" applyNumberFormat="1" applyFont="1" applyFill="1" applyBorder="1" applyAlignment="1">
      <alignment vertical="center"/>
    </xf>
    <xf numFmtId="0" fontId="0" fillId="0" borderId="2" xfId="0" applyFont="1" applyBorder="1" applyAlignment="1"/>
    <xf numFmtId="3" fontId="9" fillId="0" borderId="7" xfId="0" applyNumberFormat="1" applyFont="1" applyFill="1" applyBorder="1" applyAlignment="1">
      <alignment vertical="center"/>
    </xf>
    <xf numFmtId="0" fontId="0" fillId="0" borderId="3" xfId="0" applyFont="1" applyBorder="1" applyAlignment="1"/>
    <xf numFmtId="3" fontId="0" fillId="0" borderId="3" xfId="0" applyNumberFormat="1" applyFont="1" applyBorder="1"/>
    <xf numFmtId="0" fontId="0" fillId="0" borderId="3" xfId="0" applyFont="1" applyBorder="1"/>
    <xf numFmtId="3" fontId="9" fillId="0" borderId="4" xfId="0" applyNumberFormat="1" applyFont="1" applyFill="1" applyBorder="1" applyAlignment="1">
      <alignment vertical="center"/>
    </xf>
    <xf numFmtId="3" fontId="0" fillId="0" borderId="4" xfId="0" applyNumberFormat="1" applyFont="1" applyBorder="1"/>
    <xf numFmtId="0" fontId="0" fillId="0" borderId="4" xfId="0" applyFont="1" applyBorder="1"/>
    <xf numFmtId="3" fontId="9" fillId="0" borderId="16" xfId="0" applyNumberFormat="1" applyFont="1" applyFill="1" applyBorder="1" applyAlignment="1">
      <alignment horizontal="right" vertical="center"/>
    </xf>
    <xf numFmtId="3" fontId="9" fillId="0" borderId="7" xfId="0" applyNumberFormat="1" applyFont="1" applyFill="1" applyBorder="1" applyAlignment="1">
      <alignment horizontal="right" vertical="center"/>
    </xf>
    <xf numFmtId="3" fontId="0" fillId="0" borderId="2" xfId="0" applyNumberFormat="1" applyFont="1" applyBorder="1"/>
    <xf numFmtId="3" fontId="6" fillId="0" borderId="7" xfId="0" applyNumberFormat="1" applyFont="1" applyFill="1" applyBorder="1" applyAlignment="1">
      <alignment horizontal="right" vertical="center"/>
    </xf>
    <xf numFmtId="3" fontId="6" fillId="0" borderId="3" xfId="0" applyNumberFormat="1" applyFont="1" applyFill="1" applyBorder="1" applyAlignment="1">
      <alignment horizontal="right" vertical="center"/>
    </xf>
    <xf numFmtId="3" fontId="0" fillId="0" borderId="5" xfId="0" applyNumberFormat="1" applyFont="1" applyBorder="1"/>
    <xf numFmtId="0" fontId="0" fillId="0" borderId="5" xfId="0" applyFont="1" applyBorder="1"/>
    <xf numFmtId="3" fontId="9" fillId="0" borderId="11" xfId="0" applyNumberFormat="1" applyFont="1" applyFill="1" applyBorder="1" applyAlignment="1">
      <alignment horizontal="right" vertical="center"/>
    </xf>
    <xf numFmtId="3" fontId="0" fillId="0" borderId="0" xfId="0" applyNumberFormat="1" applyFont="1"/>
    <xf numFmtId="0" fontId="4" fillId="0" borderId="12" xfId="0" applyFont="1" applyFill="1" applyBorder="1" applyAlignment="1">
      <alignment horizontal="center" vertical="center"/>
    </xf>
    <xf numFmtId="3" fontId="4" fillId="0" borderId="18" xfId="0" applyNumberFormat="1" applyFont="1" applyFill="1" applyBorder="1" applyAlignment="1" applyProtection="1">
      <alignment horizontal="center" vertical="center" wrapText="1"/>
      <protection locked="0"/>
    </xf>
    <xf numFmtId="3" fontId="4" fillId="0" borderId="10" xfId="0" applyNumberFormat="1" applyFont="1" applyFill="1" applyBorder="1" applyAlignment="1" applyProtection="1">
      <alignment horizontal="center" vertical="center" wrapText="1"/>
      <protection locked="0"/>
    </xf>
    <xf numFmtId="3" fontId="4" fillId="0" borderId="10" xfId="0" applyNumberFormat="1" applyFont="1" applyFill="1" applyBorder="1" applyAlignment="1" applyProtection="1">
      <alignment horizontal="center" vertical="center"/>
      <protection locked="0"/>
    </xf>
    <xf numFmtId="3" fontId="4" fillId="0" borderId="10" xfId="0" quotePrefix="1" applyNumberFormat="1" applyFont="1" applyFill="1" applyBorder="1" applyAlignment="1" applyProtection="1">
      <alignment horizontal="center" vertical="center"/>
      <protection locked="0"/>
    </xf>
    <xf numFmtId="3" fontId="4" fillId="0" borderId="10" xfId="0" quotePrefix="1" applyNumberFormat="1" applyFont="1" applyFill="1" applyBorder="1" applyAlignment="1" applyProtection="1">
      <alignment horizontal="center" vertical="center" wrapText="1"/>
      <protection locked="0"/>
    </xf>
    <xf numFmtId="3" fontId="4" fillId="0" borderId="12" xfId="0" applyNumberFormat="1" applyFont="1" applyFill="1" applyBorder="1" applyAlignment="1" applyProtection="1">
      <alignment horizontal="center" vertical="center" wrapText="1"/>
      <protection locked="0"/>
    </xf>
    <xf numFmtId="3" fontId="4" fillId="0" borderId="8" xfId="0" applyNumberFormat="1" applyFont="1" applyFill="1" applyBorder="1" applyAlignment="1" applyProtection="1">
      <alignment horizontal="center" vertical="center" wrapText="1"/>
      <protection locked="0"/>
    </xf>
    <xf numFmtId="3" fontId="4" fillId="0" borderId="14" xfId="0" applyNumberFormat="1" applyFont="1" applyFill="1" applyBorder="1" applyAlignment="1" applyProtection="1">
      <alignment vertical="center" wrapText="1"/>
      <protection locked="0"/>
    </xf>
    <xf numFmtId="3" fontId="4" fillId="0" borderId="17" xfId="0" applyNumberFormat="1" applyFont="1" applyFill="1" applyBorder="1" applyAlignment="1">
      <alignment horizontal="right" vertical="center"/>
    </xf>
    <xf numFmtId="3" fontId="4" fillId="0" borderId="5" xfId="0" applyNumberFormat="1" applyFont="1" applyFill="1" applyBorder="1" applyAlignment="1" applyProtection="1">
      <alignment vertical="center" wrapText="1"/>
      <protection locked="0"/>
    </xf>
    <xf numFmtId="3" fontId="4" fillId="0" borderId="4" xfId="0" applyNumberFormat="1" applyFont="1" applyFill="1" applyBorder="1" applyAlignment="1">
      <alignment horizontal="right" vertical="center"/>
    </xf>
    <xf numFmtId="3" fontId="4" fillId="0" borderId="15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Border="1" applyAlignment="1" applyProtection="1">
      <alignment horizontal="right" vertical="center"/>
      <protection locked="0"/>
    </xf>
    <xf numFmtId="3" fontId="5" fillId="0" borderId="10" xfId="0" applyNumberFormat="1" applyFont="1" applyFill="1" applyBorder="1" applyAlignment="1" applyProtection="1">
      <alignment vertical="center" wrapText="1"/>
      <protection locked="0"/>
    </xf>
    <xf numFmtId="3" fontId="5" fillId="0" borderId="16" xfId="0" applyNumberFormat="1" applyFont="1" applyFill="1" applyBorder="1" applyAlignment="1">
      <alignment horizontal="right" vertical="center"/>
    </xf>
    <xf numFmtId="3" fontId="4" fillId="0" borderId="13" xfId="0" applyNumberFormat="1" applyFont="1" applyFill="1" applyBorder="1" applyAlignment="1">
      <alignment horizontal="right" vertical="center"/>
    </xf>
    <xf numFmtId="3" fontId="4" fillId="0" borderId="6" xfId="0" applyNumberFormat="1" applyFont="1" applyFill="1" applyBorder="1" applyAlignment="1">
      <alignment horizontal="right" vertical="center"/>
    </xf>
    <xf numFmtId="3" fontId="4" fillId="0" borderId="16" xfId="0" applyNumberFormat="1" applyFont="1" applyFill="1" applyBorder="1" applyAlignment="1">
      <alignment horizontal="right" vertical="center"/>
    </xf>
    <xf numFmtId="3" fontId="4" fillId="0" borderId="7" xfId="0" applyNumberFormat="1" applyFont="1" applyFill="1" applyBorder="1" applyAlignment="1">
      <alignment horizontal="right" vertical="center"/>
    </xf>
    <xf numFmtId="3" fontId="4" fillId="0" borderId="1" xfId="0" applyNumberFormat="1" applyFont="1" applyFill="1" applyBorder="1" applyAlignment="1">
      <alignment horizontal="right" vertical="center"/>
    </xf>
    <xf numFmtId="3" fontId="4" fillId="0" borderId="19" xfId="0" applyNumberFormat="1" applyFont="1" applyFill="1" applyBorder="1" applyAlignment="1">
      <alignment horizontal="right" vertical="center"/>
    </xf>
    <xf numFmtId="3" fontId="5" fillId="0" borderId="12" xfId="0" applyNumberFormat="1" applyFont="1" applyFill="1" applyBorder="1" applyAlignment="1">
      <alignment horizontal="right" vertical="center"/>
    </xf>
    <xf numFmtId="3" fontId="5" fillId="0" borderId="8" xfId="0" applyNumberFormat="1" applyFont="1" applyFill="1" applyBorder="1" applyAlignment="1">
      <alignment horizontal="right" vertical="center"/>
    </xf>
    <xf numFmtId="3" fontId="5" fillId="0" borderId="20" xfId="0" applyNumberFormat="1" applyFont="1" applyFill="1" applyBorder="1" applyAlignment="1">
      <alignment horizontal="right" vertical="center"/>
    </xf>
    <xf numFmtId="3" fontId="5" fillId="0" borderId="11" xfId="0" applyNumberFormat="1" applyFont="1" applyFill="1" applyBorder="1" applyAlignment="1">
      <alignment horizontal="right" vertical="center"/>
    </xf>
    <xf numFmtId="0" fontId="4" fillId="0" borderId="2" xfId="0" applyFont="1" applyFill="1" applyBorder="1" applyAlignment="1">
      <alignment wrapText="1"/>
    </xf>
    <xf numFmtId="1" fontId="4" fillId="0" borderId="3" xfId="0" applyNumberFormat="1" applyFont="1" applyFill="1" applyBorder="1" applyAlignment="1">
      <alignment horizontal="left" vertical="center" wrapText="1"/>
    </xf>
    <xf numFmtId="1" fontId="5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5" fillId="0" borderId="4" xfId="0" applyFont="1" applyFill="1" applyBorder="1" applyAlignment="1">
      <alignment horizontal="left" vertical="center" wrapText="1"/>
    </xf>
    <xf numFmtId="3" fontId="5" fillId="0" borderId="11" xfId="0" applyNumberFormat="1" applyFont="1" applyFill="1" applyBorder="1" applyAlignment="1">
      <alignment horizontal="left" vertical="center" wrapText="1"/>
    </xf>
    <xf numFmtId="0" fontId="4" fillId="3" borderId="12" xfId="0" applyFont="1" applyFill="1" applyBorder="1" applyAlignment="1">
      <alignment horizontal="center" vertical="center"/>
    </xf>
    <xf numFmtId="3" fontId="4" fillId="4" borderId="5" xfId="0" applyNumberFormat="1" applyFont="1" applyFill="1" applyBorder="1" applyAlignment="1" applyProtection="1">
      <alignment vertical="center" wrapText="1"/>
      <protection locked="0"/>
    </xf>
    <xf numFmtId="3" fontId="0" fillId="0" borderId="3" xfId="0" applyNumberFormat="1" applyFont="1" applyFill="1" applyBorder="1"/>
    <xf numFmtId="0" fontId="0" fillId="0" borderId="3" xfId="0" applyFont="1" applyFill="1" applyBorder="1"/>
    <xf numFmtId="0" fontId="0" fillId="0" borderId="0" xfId="0" applyFont="1" applyFill="1"/>
    <xf numFmtId="9" fontId="4" fillId="0" borderId="17" xfId="7" applyFont="1" applyFill="1" applyBorder="1" applyAlignment="1">
      <alignment horizontal="right" vertical="center"/>
    </xf>
    <xf numFmtId="10" fontId="4" fillId="0" borderId="17" xfId="7" applyNumberFormat="1" applyFont="1" applyFill="1" applyBorder="1" applyAlignment="1">
      <alignment horizontal="right" vertical="center"/>
    </xf>
    <xf numFmtId="0" fontId="11" fillId="0" borderId="0" xfId="0" applyFont="1" applyBorder="1"/>
    <xf numFmtId="0" fontId="8" fillId="0" borderId="0" xfId="0" applyFont="1"/>
    <xf numFmtId="0" fontId="10" fillId="0" borderId="0" xfId="0" applyFont="1" applyBorder="1" applyAlignment="1">
      <alignment horizontal="center"/>
    </xf>
    <xf numFmtId="0" fontId="0" fillId="0" borderId="0" xfId="0" applyFont="1" applyBorder="1"/>
    <xf numFmtId="0" fontId="8" fillId="0" borderId="0" xfId="0" applyFont="1" applyBorder="1" applyAlignment="1">
      <alignment horizontal="center"/>
    </xf>
    <xf numFmtId="0" fontId="11" fillId="0" borderId="0" xfId="0" applyNumberFormat="1" applyFont="1" applyBorder="1"/>
    <xf numFmtId="2" fontId="0" fillId="0" borderId="0" xfId="0" applyNumberFormat="1"/>
    <xf numFmtId="2" fontId="0" fillId="0" borderId="0" xfId="0" applyNumberFormat="1" applyAlignment="1">
      <alignment wrapText="1"/>
    </xf>
    <xf numFmtId="0" fontId="8" fillId="0" borderId="0" xfId="0" applyFont="1" applyBorder="1"/>
    <xf numFmtId="0" fontId="8" fillId="0" borderId="0" xfId="0" applyFont="1" applyBorder="1" applyAlignment="1">
      <alignment horizontal="left"/>
    </xf>
    <xf numFmtId="0" fontId="0" fillId="0" borderId="0" xfId="0" applyFont="1" applyFill="1" applyBorder="1"/>
    <xf numFmtId="2" fontId="11" fillId="0" borderId="0" xfId="0" applyNumberFormat="1" applyFont="1" applyBorder="1"/>
    <xf numFmtId="49" fontId="0" fillId="0" borderId="0" xfId="0" applyNumberFormat="1"/>
    <xf numFmtId="3" fontId="5" fillId="4" borderId="5" xfId="0" applyNumberFormat="1" applyFont="1" applyFill="1" applyBorder="1" applyAlignment="1" applyProtection="1">
      <alignment vertical="center" wrapText="1"/>
      <protection locked="0"/>
    </xf>
    <xf numFmtId="3" fontId="11" fillId="0" borderId="0" xfId="0" applyNumberFormat="1" applyFont="1" applyBorder="1"/>
    <xf numFmtId="0" fontId="8" fillId="6" borderId="0" xfId="0" applyFont="1" applyFill="1"/>
    <xf numFmtId="0" fontId="8" fillId="7" borderId="0" xfId="0" applyFont="1" applyFill="1"/>
    <xf numFmtId="0" fontId="8" fillId="9" borderId="0" xfId="0" applyFont="1" applyFill="1"/>
    <xf numFmtId="0" fontId="8" fillId="10" borderId="0" xfId="0" applyFont="1" applyFill="1"/>
    <xf numFmtId="3" fontId="5" fillId="0" borderId="5" xfId="0" applyNumberFormat="1" applyFont="1" applyFill="1" applyBorder="1" applyAlignment="1" applyProtection="1">
      <alignment vertical="center" wrapText="1"/>
      <protection locked="0"/>
    </xf>
    <xf numFmtId="0" fontId="0" fillId="0" borderId="0" xfId="0" applyFont="1" applyBorder="1" applyAlignment="1"/>
    <xf numFmtId="0" fontId="5" fillId="5" borderId="10" xfId="0" applyFont="1" applyFill="1" applyBorder="1" applyAlignment="1">
      <alignment horizontal="center" vertical="center" wrapText="1"/>
    </xf>
    <xf numFmtId="3" fontId="4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/>
    <xf numFmtId="0" fontId="13" fillId="8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left" vertical="center" wrapText="1"/>
    </xf>
    <xf numFmtId="0" fontId="13" fillId="11" borderId="0" xfId="0" applyFont="1" applyFill="1" applyAlignment="1">
      <alignment horizontal="right" vertical="center"/>
    </xf>
    <xf numFmtId="0" fontId="13" fillId="6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right"/>
    </xf>
    <xf numFmtId="0" fontId="13" fillId="12" borderId="0" xfId="0" applyFont="1" applyFill="1" applyAlignment="1">
      <alignment horizontal="left" vertical="center" wrapText="1"/>
    </xf>
    <xf numFmtId="165" fontId="13" fillId="12" borderId="0" xfId="7" applyNumberFormat="1" applyFont="1" applyFill="1" applyAlignment="1">
      <alignment horizontal="right" vertical="center" wrapText="1"/>
    </xf>
    <xf numFmtId="3" fontId="4" fillId="0" borderId="16" xfId="0" applyNumberFormat="1" applyFont="1" applyFill="1" applyBorder="1" applyAlignment="1" applyProtection="1">
      <alignment horizontal="center" vertical="center"/>
      <protection locked="0"/>
    </xf>
    <xf numFmtId="3" fontId="4" fillId="4" borderId="16" xfId="0" applyNumberFormat="1" applyFont="1" applyFill="1" applyBorder="1" applyAlignment="1" applyProtection="1">
      <alignment horizontal="center" vertical="center"/>
      <protection locked="0"/>
    </xf>
    <xf numFmtId="3" fontId="5" fillId="0" borderId="16" xfId="0" applyNumberFormat="1" applyFont="1" applyFill="1" applyBorder="1" applyAlignment="1" applyProtection="1">
      <alignment horizontal="center" vertical="center"/>
      <protection locked="0"/>
    </xf>
    <xf numFmtId="3" fontId="4" fillId="0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23" xfId="0" applyFont="1" applyBorder="1"/>
    <xf numFmtId="3" fontId="4" fillId="0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23" xfId="0" applyFont="1" applyFill="1" applyBorder="1"/>
    <xf numFmtId="0" fontId="0" fillId="0" borderId="25" xfId="0" applyFont="1" applyBorder="1"/>
    <xf numFmtId="1" fontId="0" fillId="0" borderId="0" xfId="0" applyNumberFormat="1"/>
    <xf numFmtId="0" fontId="0" fillId="0" borderId="0" xfId="0" applyFont="1" applyBorder="1" applyAlignment="1">
      <alignment vertical="top" wrapText="1"/>
    </xf>
    <xf numFmtId="0" fontId="0" fillId="0" borderId="0" xfId="0" applyAlignment="1"/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0" borderId="0" xfId="0" quotePrefix="1" applyFont="1" applyAlignment="1">
      <alignment horizontal="right"/>
    </xf>
    <xf numFmtId="0" fontId="0" fillId="0" borderId="0" xfId="0" applyFont="1" applyAlignment="1">
      <alignment horizontal="left"/>
    </xf>
    <xf numFmtId="0" fontId="8" fillId="0" borderId="0" xfId="0" applyFont="1" applyBorder="1" applyAlignment="1">
      <alignment horizontal="right"/>
    </xf>
    <xf numFmtId="3" fontId="11" fillId="0" borderId="0" xfId="0" applyNumberFormat="1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3" fontId="0" fillId="0" borderId="0" xfId="0" applyNumberFormat="1" applyFont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" fontId="0" fillId="0" borderId="0" xfId="0" applyNumberFormat="1" applyAlignment="1">
      <alignment horizontal="right"/>
    </xf>
    <xf numFmtId="0" fontId="5" fillId="0" borderId="14" xfId="0" applyFont="1" applyFill="1" applyBorder="1" applyAlignment="1">
      <alignment horizontal="center" vertical="center" wrapText="1"/>
    </xf>
    <xf numFmtId="0" fontId="16" fillId="0" borderId="0" xfId="0" applyFont="1"/>
    <xf numFmtId="0" fontId="11" fillId="0" borderId="0" xfId="0" applyFont="1" applyBorder="1" applyAlignment="1">
      <alignment wrapText="1"/>
    </xf>
    <xf numFmtId="0" fontId="0" fillId="0" borderId="0" xfId="0" quotePrefix="1" applyFont="1" applyBorder="1" applyAlignment="1"/>
    <xf numFmtId="0" fontId="8" fillId="0" borderId="0" xfId="0" applyFont="1" applyBorder="1" applyAlignment="1">
      <alignment horizontal="center"/>
    </xf>
    <xf numFmtId="49" fontId="11" fillId="0" borderId="0" xfId="0" applyNumberFormat="1" applyFont="1" applyBorder="1"/>
    <xf numFmtId="0" fontId="0" fillId="0" borderId="0" xfId="0" applyNumberFormat="1" applyFont="1" applyBorder="1"/>
    <xf numFmtId="1" fontId="0" fillId="0" borderId="0" xfId="0" applyNumberFormat="1" applyFont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right" vertical="top"/>
    </xf>
    <xf numFmtId="0" fontId="0" fillId="0" borderId="0" xfId="0" applyNumberFormat="1" applyFont="1" applyFill="1" applyBorder="1"/>
    <xf numFmtId="3" fontId="11" fillId="0" borderId="0" xfId="0" applyNumberFormat="1" applyFont="1" applyFill="1" applyBorder="1" applyAlignment="1">
      <alignment horizontal="right"/>
    </xf>
    <xf numFmtId="3" fontId="8" fillId="13" borderId="0" xfId="0" applyNumberFormat="1" applyFont="1" applyFill="1" applyBorder="1" applyAlignment="1">
      <alignment horizontal="left"/>
    </xf>
    <xf numFmtId="0" fontId="8" fillId="6" borderId="0" xfId="0" applyFont="1" applyFill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11" fillId="0" borderId="0" xfId="0" applyFont="1" applyFill="1" applyBorder="1" applyAlignment="1">
      <alignment horizontal="right"/>
    </xf>
    <xf numFmtId="0" fontId="11" fillId="0" borderId="0" xfId="0" applyFont="1" applyFill="1" applyBorder="1"/>
    <xf numFmtId="166" fontId="11" fillId="0" borderId="0" xfId="0" applyNumberFormat="1" applyFont="1" applyBorder="1"/>
    <xf numFmtId="166" fontId="0" fillId="0" borderId="0" xfId="0" applyNumberFormat="1" applyFont="1" applyBorder="1"/>
    <xf numFmtId="166" fontId="0" fillId="0" borderId="0" xfId="0" applyNumberFormat="1" applyFont="1" applyFill="1" applyBorder="1"/>
    <xf numFmtId="0" fontId="8" fillId="0" borderId="0" xfId="0" applyFont="1" applyBorder="1" applyAlignment="1">
      <alignment horizontal="center" vertical="top"/>
    </xf>
    <xf numFmtId="0" fontId="0" fillId="0" borderId="0" xfId="0" applyBorder="1"/>
    <xf numFmtId="166" fontId="0" fillId="0" borderId="0" xfId="0" applyNumberFormat="1" applyFont="1" applyFill="1" applyBorder="1" applyAlignment="1"/>
    <xf numFmtId="0" fontId="0" fillId="0" borderId="0" xfId="0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11" fontId="0" fillId="0" borderId="0" xfId="0" applyNumberForma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3" fontId="17" fillId="13" borderId="0" xfId="0" applyNumberFormat="1" applyFont="1" applyFill="1" applyBorder="1" applyAlignment="1">
      <alignment horizontal="left" vertical="center"/>
    </xf>
    <xf numFmtId="0" fontId="17" fillId="6" borderId="0" xfId="0" applyFont="1" applyFill="1" applyBorder="1" applyAlignment="1">
      <alignment horizontal="left" vertic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left" vertical="center"/>
    </xf>
    <xf numFmtId="0" fontId="18" fillId="0" borderId="0" xfId="0" applyFont="1" applyAlignment="1">
      <alignment vertical="center"/>
    </xf>
    <xf numFmtId="2" fontId="18" fillId="0" borderId="0" xfId="0" applyNumberFormat="1" applyFont="1" applyAlignment="1">
      <alignment vertical="center"/>
    </xf>
    <xf numFmtId="3" fontId="18" fillId="0" borderId="0" xfId="0" applyNumberFormat="1" applyFont="1" applyFill="1" applyBorder="1" applyAlignment="1">
      <alignment horizontal="right" vertical="center"/>
    </xf>
    <xf numFmtId="3" fontId="18" fillId="0" borderId="0" xfId="0" applyNumberFormat="1" applyFont="1" applyBorder="1" applyAlignment="1">
      <alignment vertical="center"/>
    </xf>
    <xf numFmtId="3" fontId="18" fillId="0" borderId="0" xfId="0" applyNumberFormat="1" applyFont="1" applyBorder="1" applyAlignment="1">
      <alignment horizontal="right" vertical="center"/>
    </xf>
    <xf numFmtId="0" fontId="18" fillId="0" borderId="0" xfId="0" applyFont="1" applyBorder="1" applyAlignment="1">
      <alignment horizontal="right" vertical="center"/>
    </xf>
    <xf numFmtId="2" fontId="18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2" fontId="18" fillId="0" borderId="0" xfId="0" applyNumberFormat="1" applyFont="1" applyBorder="1" applyAlignment="1">
      <alignment vertical="center"/>
    </xf>
    <xf numFmtId="0" fontId="18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vertical="center"/>
    </xf>
    <xf numFmtId="49" fontId="18" fillId="0" borderId="0" xfId="0" applyNumberFormat="1" applyFont="1" applyBorder="1" applyAlignment="1">
      <alignment vertical="center"/>
    </xf>
    <xf numFmtId="1" fontId="18" fillId="0" borderId="0" xfId="0" applyNumberFormat="1" applyFont="1" applyAlignment="1">
      <alignment horizontal="right" vertical="center"/>
    </xf>
    <xf numFmtId="1" fontId="18" fillId="0" borderId="0" xfId="0" applyNumberFormat="1" applyFont="1" applyAlignment="1">
      <alignment vertical="center"/>
    </xf>
    <xf numFmtId="0" fontId="18" fillId="0" borderId="0" xfId="0" applyNumberFormat="1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5" fillId="0" borderId="18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4" fillId="0" borderId="24" xfId="0" applyFont="1" applyFill="1" applyBorder="1" applyAlignment="1">
      <alignment horizontal="center" vertical="center" wrapText="1"/>
    </xf>
    <xf numFmtId="0" fontId="0" fillId="0" borderId="22" xfId="0" applyFont="1" applyBorder="1" applyAlignment="1">
      <alignment horizontal="center" vertical="center" wrapText="1"/>
    </xf>
    <xf numFmtId="0" fontId="0" fillId="0" borderId="23" xfId="0" applyFont="1" applyBorder="1" applyAlignment="1">
      <alignment horizontal="center" vertical="center" wrapText="1"/>
    </xf>
    <xf numFmtId="3" fontId="5" fillId="2" borderId="26" xfId="0" applyNumberFormat="1" applyFont="1" applyFill="1" applyBorder="1" applyAlignment="1">
      <alignment horizontal="center" vertical="center"/>
    </xf>
  </cellXfs>
  <cellStyles count="8">
    <cellStyle name="ANCLAS,REZONES Y SUS PARTES,DE FUNDICION,DE HIERRO O DE ACERO" xfId="1" xr:uid="{00000000-0005-0000-0000-000000000000}"/>
    <cellStyle name="Hipervínculo 2" xfId="2" xr:uid="{00000000-0005-0000-0000-000001000000}"/>
    <cellStyle name="Millares 2" xfId="3" xr:uid="{00000000-0005-0000-0000-000002000000}"/>
    <cellStyle name="Millares 2 2" xfId="4" xr:uid="{00000000-0005-0000-0000-000003000000}"/>
    <cellStyle name="Normal" xfId="0" builtinId="0"/>
    <cellStyle name="Normal 2" xfId="5" xr:uid="{00000000-0005-0000-0000-000004000000}"/>
    <cellStyle name="Normal 2 2" xfId="6" xr:uid="{00000000-0005-0000-0000-000005000000}"/>
    <cellStyle name="Percent" xfId="7" builtinId="5"/>
  </cellStyles>
  <dxfs count="41"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D3B5E9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D3B5E9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121023</xdr:colOff>
      <xdr:row>0</xdr:row>
      <xdr:rowOff>0</xdr:rowOff>
    </xdr:from>
    <xdr:to>
      <xdr:col>14</xdr:col>
      <xdr:colOff>446001</xdr:colOff>
      <xdr:row>2</xdr:row>
      <xdr:rowOff>0</xdr:rowOff>
    </xdr:to>
    <xdr:sp macro="[0]!Dictionary_Categories.Dictionary_Categories" textlink="">
      <xdr:nvSpPr>
        <xdr:cNvPr id="2" name="Rechteck 1">
          <a:extLst>
            <a:ext uri="{FF2B5EF4-FFF2-40B4-BE49-F238E27FC236}">
              <a16:creationId xmlns:a16="http://schemas.microsoft.com/office/drawing/2014/main" id="{434153E1-9F1A-4133-96AF-D305228E1E09}"/>
            </a:ext>
          </a:extLst>
        </xdr:cNvPr>
        <xdr:cNvSpPr/>
      </xdr:nvSpPr>
      <xdr:spPr>
        <a:xfrm>
          <a:off x="14455588" y="0"/>
          <a:ext cx="1113872" cy="3585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1100" b="1"/>
            <a:t>Update Dictionary Categories</a:t>
          </a:r>
        </a:p>
      </xdr:txBody>
    </xdr:sp>
    <xdr:clientData/>
  </xdr:twoCellAnchor>
  <xdr:twoCellAnchor>
    <xdr:from>
      <xdr:col>14</xdr:col>
      <xdr:colOff>542368</xdr:colOff>
      <xdr:row>0</xdr:row>
      <xdr:rowOff>0</xdr:rowOff>
    </xdr:from>
    <xdr:to>
      <xdr:col>16</xdr:col>
      <xdr:colOff>87411</xdr:colOff>
      <xdr:row>2</xdr:row>
      <xdr:rowOff>0</xdr:rowOff>
    </xdr:to>
    <xdr:sp macro="[0]!Dictionary_Subategories" textlink="">
      <xdr:nvSpPr>
        <xdr:cNvPr id="3" name="Rechteck 1">
          <a:extLst>
            <a:ext uri="{FF2B5EF4-FFF2-40B4-BE49-F238E27FC236}">
              <a16:creationId xmlns:a16="http://schemas.microsoft.com/office/drawing/2014/main" id="{156FE592-A95A-4429-A5F5-9C99AA859D32}"/>
            </a:ext>
          </a:extLst>
        </xdr:cNvPr>
        <xdr:cNvSpPr/>
      </xdr:nvSpPr>
      <xdr:spPr>
        <a:xfrm>
          <a:off x="15665827" y="0"/>
          <a:ext cx="1122831" cy="3585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1100" b="1"/>
            <a:t>Update Dictionary</a:t>
          </a:r>
          <a:r>
            <a:rPr lang="de-DE" sz="1100" b="1" baseline="0"/>
            <a:t> Subcategories</a:t>
          </a:r>
          <a:endParaRPr lang="de-DE" sz="1100" b="1"/>
        </a:p>
      </xdr:txBody>
    </xdr:sp>
    <xdr:clientData/>
  </xdr:twoCellAnchor>
  <xdr:twoCellAnchor>
    <xdr:from>
      <xdr:col>16</xdr:col>
      <xdr:colOff>177054</xdr:colOff>
      <xdr:row>0</xdr:row>
      <xdr:rowOff>22412</xdr:rowOff>
    </xdr:from>
    <xdr:to>
      <xdr:col>17</xdr:col>
      <xdr:colOff>580467</xdr:colOff>
      <xdr:row>2</xdr:row>
      <xdr:rowOff>11351</xdr:rowOff>
    </xdr:to>
    <xdr:sp macro="[0]!Dictionary_ENI_IOT.Dictionary_ENI_IOT" textlink="">
      <xdr:nvSpPr>
        <xdr:cNvPr id="4" name="Rechteck 1">
          <a:extLst>
            <a:ext uri="{FF2B5EF4-FFF2-40B4-BE49-F238E27FC236}">
              <a16:creationId xmlns:a16="http://schemas.microsoft.com/office/drawing/2014/main" id="{2447BC65-5B96-4552-832A-0248D76974BF}"/>
            </a:ext>
          </a:extLst>
        </xdr:cNvPr>
        <xdr:cNvSpPr/>
      </xdr:nvSpPr>
      <xdr:spPr>
        <a:xfrm>
          <a:off x="16046532" y="22412"/>
          <a:ext cx="1185292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1100" b="1"/>
            <a:t>Update Dictionary ENI-IOT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3712368</xdr:colOff>
      <xdr:row>3</xdr:row>
      <xdr:rowOff>330993</xdr:rowOff>
    </xdr:from>
    <xdr:to>
      <xdr:col>3</xdr:col>
      <xdr:colOff>4931568</xdr:colOff>
      <xdr:row>4</xdr:row>
      <xdr:rowOff>107156</xdr:rowOff>
    </xdr:to>
    <xdr:sp macro="" textlink="">
      <xdr:nvSpPr>
        <xdr:cNvPr id="2" name="2 CuadroText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884193" y="2074068"/>
          <a:ext cx="1219200" cy="271463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100"/>
            <a:t>Producto</a:t>
          </a:r>
        </a:p>
      </xdr:txBody>
    </xdr:sp>
    <xdr:clientData/>
  </xdr:twoCellAnchor>
  <xdr:twoCellAnchor>
    <xdr:from>
      <xdr:col>3</xdr:col>
      <xdr:colOff>9525</xdr:colOff>
      <xdr:row>2</xdr:row>
      <xdr:rowOff>19050</xdr:rowOff>
    </xdr:from>
    <xdr:to>
      <xdr:col>4</xdr:col>
      <xdr:colOff>0</xdr:colOff>
      <xdr:row>5</xdr:row>
      <xdr:rowOff>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/>
      </xdr:nvCxnSpPr>
      <xdr:spPr>
        <a:xfrm>
          <a:off x="3181350" y="1476375"/>
          <a:ext cx="5562600" cy="25527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91017</xdr:colOff>
      <xdr:row>4</xdr:row>
      <xdr:rowOff>54429</xdr:rowOff>
    </xdr:from>
    <xdr:to>
      <xdr:col>3</xdr:col>
      <xdr:colOff>844306</xdr:colOff>
      <xdr:row>4</xdr:row>
      <xdr:rowOff>269487</xdr:rowOff>
    </xdr:to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43517" y="707572"/>
          <a:ext cx="753289" cy="215058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ctr"/>
        <a:lstStyle/>
        <a:p>
          <a:r>
            <a:rPr lang="es-ES" sz="1100"/>
            <a:t>Producto</a:t>
          </a:r>
        </a:p>
      </xdr:txBody>
    </xdr:sp>
    <xdr:clientData/>
  </xdr:twoCellAnchor>
  <xdr:twoCellAnchor editAs="oneCell">
    <xdr:from>
      <xdr:col>3</xdr:col>
      <xdr:colOff>3419475</xdr:colOff>
      <xdr:row>2</xdr:row>
      <xdr:rowOff>0</xdr:rowOff>
    </xdr:from>
    <xdr:to>
      <xdr:col>3</xdr:col>
      <xdr:colOff>3419475</xdr:colOff>
      <xdr:row>4</xdr:row>
      <xdr:rowOff>238125</xdr:rowOff>
    </xdr:to>
    <xdr:pic>
      <xdr:nvPicPr>
        <xdr:cNvPr id="5" name="7 Imagen" descr="SS.jp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91300" y="295275"/>
          <a:ext cx="1924050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570"/>
  <sheetViews>
    <sheetView topLeftCell="A446" zoomScaleNormal="100" workbookViewId="0">
      <selection activeCell="F501" sqref="F501"/>
    </sheetView>
  </sheetViews>
  <sheetFormatPr defaultColWidth="9.140625" defaultRowHeight="10.5" customHeight="1" x14ac:dyDescent="0.25"/>
  <cols>
    <col min="1" max="1" width="8.28515625" style="157" bestFit="1" customWidth="1"/>
    <col min="2" max="2" width="40.140625" style="157" customWidth="1"/>
    <col min="3" max="3" width="3.5703125" style="157" bestFit="1" customWidth="1"/>
    <col min="4" max="4" width="33.7109375" style="157" customWidth="1"/>
    <col min="5" max="5" width="3.5703125" style="157" bestFit="1" customWidth="1"/>
    <col min="6" max="6" width="18.5703125" style="157" customWidth="1"/>
    <col min="7" max="7" width="3.5703125" style="157" bestFit="1" customWidth="1"/>
    <col min="8" max="8" width="23.5703125" style="157" bestFit="1" customWidth="1"/>
    <col min="9" max="9" width="5.140625" style="157" bestFit="1" customWidth="1"/>
    <col min="10" max="10" width="7.42578125" style="157" bestFit="1" customWidth="1"/>
    <col min="11" max="16384" width="9.140625" style="157"/>
  </cols>
  <sheetData>
    <row r="1" spans="1:10" ht="10.5" customHeight="1" x14ac:dyDescent="0.25">
      <c r="A1" s="179" t="s">
        <v>2463</v>
      </c>
      <c r="B1" s="179"/>
      <c r="C1" s="179" t="s">
        <v>2520</v>
      </c>
      <c r="D1" s="179"/>
      <c r="E1" s="179" t="s">
        <v>2421</v>
      </c>
      <c r="F1" s="179"/>
      <c r="G1" s="179" t="s">
        <v>2522</v>
      </c>
      <c r="H1" s="179"/>
      <c r="I1" s="160" t="s">
        <v>2448</v>
      </c>
      <c r="J1" s="161" t="s">
        <v>2449</v>
      </c>
    </row>
    <row r="2" spans="1:10" ht="10.5" customHeight="1" x14ac:dyDescent="0.25">
      <c r="A2" s="158" t="s">
        <v>507</v>
      </c>
      <c r="B2" s="158" t="s">
        <v>508</v>
      </c>
      <c r="C2" s="162" t="s">
        <v>1226</v>
      </c>
      <c r="D2" s="163" t="s">
        <v>519</v>
      </c>
      <c r="E2" s="164" t="s">
        <v>1226</v>
      </c>
      <c r="F2" s="164" t="s">
        <v>2521</v>
      </c>
      <c r="G2" s="164" t="s">
        <v>1226</v>
      </c>
      <c r="H2" s="164" t="s">
        <v>2521</v>
      </c>
      <c r="I2" s="164"/>
      <c r="J2" s="164"/>
    </row>
    <row r="3" spans="1:10" ht="10.5" customHeight="1" x14ac:dyDescent="0.25">
      <c r="A3" s="165" t="str">
        <f>'ENIGHUR Consumption items'!H4</f>
        <v>01.1.1</v>
      </c>
      <c r="B3" s="165" t="str">
        <f>'ENIGHUR Consumption items'!J4</f>
        <v xml:space="preserve">PAN Y CEREALES </v>
      </c>
      <c r="C3" s="166" t="s">
        <v>2389</v>
      </c>
      <c r="D3" s="167" t="str">
        <f>IFERROR(VLOOKUP(C3,'symmetric IOT 245 2012'!$C$6:$D$276,2,FALSE),"")</f>
        <v>matched on SC/SSC level</v>
      </c>
      <c r="E3" s="159">
        <f>INDEX('Dictionary Categories'!$A$2:$A$25,MATCH(F3,'Dictionary Categories'!$B$2:$B$25,0))</f>
        <v>1</v>
      </c>
      <c r="F3" s="164" t="s">
        <v>2470</v>
      </c>
      <c r="G3" s="164">
        <f>INDEX('Dictionary Subcategories'!$A$2:$A$70,MATCH(H3,'Dictionary Subcategories'!$B$2:$B$70,0))</f>
        <v>1</v>
      </c>
      <c r="H3" s="164" t="s">
        <v>1234</v>
      </c>
      <c r="I3" s="164"/>
      <c r="J3" s="164"/>
    </row>
    <row r="4" spans="1:10" ht="10.5" customHeight="1" x14ac:dyDescent="0.25">
      <c r="A4" s="165" t="str">
        <f>'ENIGHUR Consumption items'!H5</f>
        <v>01.1.1.000</v>
      </c>
      <c r="B4" s="165" t="str">
        <f>'ENIGHUR Consumption items'!J5</f>
        <v>Pan (productos de panadería)</v>
      </c>
      <c r="C4" s="168">
        <v>104</v>
      </c>
      <c r="D4" s="167" t="str">
        <f>IFERROR(VLOOKUP(C4,'symmetric IOT 245 2012'!$C$6:$D$276,2,FALSE),"")</f>
        <v>Productos de la panadería y pastelería</v>
      </c>
      <c r="E4" s="159">
        <f>INDEX('Dictionary Categories'!$A$2:$A$25,MATCH(F4,'Dictionary Categories'!$B$2:$B$25,0))</f>
        <v>1</v>
      </c>
      <c r="F4" s="164" t="s">
        <v>2470</v>
      </c>
      <c r="G4" s="164">
        <f>INDEX('Dictionary Subcategories'!$A$2:$A$70,MATCH(H4,'Dictionary Subcategories'!$B$2:$B$70,0))</f>
        <v>1</v>
      </c>
      <c r="H4" s="164" t="s">
        <v>1234</v>
      </c>
      <c r="I4" s="164"/>
      <c r="J4" s="164"/>
    </row>
    <row r="5" spans="1:10" ht="10.5" customHeight="1" x14ac:dyDescent="0.25">
      <c r="A5" s="165" t="str">
        <f>'ENIGHUR Consumption items'!H6</f>
        <v>01.1.1.100</v>
      </c>
      <c r="B5" s="165" t="str">
        <f>'ENIGHUR Consumption items'!J6</f>
        <v>Otros productos de panadería</v>
      </c>
      <c r="C5" s="168">
        <v>104</v>
      </c>
      <c r="D5" s="167" t="str">
        <f>IFERROR(VLOOKUP(C5,'symmetric IOT 245 2012'!$C$6:$D$276,2,FALSE),"")</f>
        <v>Productos de la panadería y pastelería</v>
      </c>
      <c r="E5" s="159">
        <f>INDEX('Dictionary Categories'!$A$2:$A$25,MATCH(F5,'Dictionary Categories'!$B$2:$B$25,0))</f>
        <v>1</v>
      </c>
      <c r="F5" s="164" t="s">
        <v>2470</v>
      </c>
      <c r="G5" s="164">
        <f>INDEX('Dictionary Subcategories'!$A$2:$A$70,MATCH(H5,'Dictionary Subcategories'!$B$2:$B$70,0))</f>
        <v>1</v>
      </c>
      <c r="H5" s="164" t="s">
        <v>1234</v>
      </c>
      <c r="I5" s="164"/>
      <c r="J5" s="164"/>
    </row>
    <row r="6" spans="1:10" ht="10.5" customHeight="1" x14ac:dyDescent="0.25">
      <c r="A6" s="165" t="str">
        <f>'ENIGHUR Consumption items'!H7</f>
        <v>01.1.1.200</v>
      </c>
      <c r="B6" s="165" t="str">
        <f>'ENIGHUR Consumption items'!J7</f>
        <v>Harinas</v>
      </c>
      <c r="C6" s="168">
        <v>102</v>
      </c>
      <c r="D6" s="167" t="str">
        <f>IFERROR(VLOOKUP(C6,'symmetric IOT 245 2012'!$C$6:$D$276,2,FALSE),"")</f>
        <v>Otras harinas vegetales, sémolas y otros prod</v>
      </c>
      <c r="E6" s="159">
        <f>INDEX('Dictionary Categories'!$A$2:$A$25,MATCH(F6,'Dictionary Categories'!$B$2:$B$25,0))</f>
        <v>1</v>
      </c>
      <c r="F6" s="164" t="s">
        <v>2470</v>
      </c>
      <c r="G6" s="164">
        <f>INDEX('Dictionary Subcategories'!$A$2:$A$70,MATCH(H6,'Dictionary Subcategories'!$B$2:$B$70,0))</f>
        <v>1</v>
      </c>
      <c r="H6" s="164" t="s">
        <v>1234</v>
      </c>
      <c r="I6" s="164"/>
      <c r="J6" s="164"/>
    </row>
    <row r="7" spans="1:10" ht="10.5" customHeight="1" x14ac:dyDescent="0.25">
      <c r="A7" s="165" t="str">
        <f>'ENIGHUR Consumption items'!H8</f>
        <v>01.1.1.201</v>
      </c>
      <c r="B7" s="165" t="str">
        <f>'ENIGHUR Consumption items'!J8</f>
        <v>Almidón de achira (se elabora a base de la raíz de la achira)</v>
      </c>
      <c r="C7" s="168">
        <v>102</v>
      </c>
      <c r="D7" s="167" t="str">
        <f>IFERROR(VLOOKUP(C7,'symmetric IOT 245 2012'!$C$6:$D$276,2,FALSE),"")</f>
        <v>Otras harinas vegetales, sémolas y otros prod</v>
      </c>
      <c r="E7" s="159">
        <f>INDEX('Dictionary Categories'!$A$2:$A$25,MATCH(F7,'Dictionary Categories'!$B$2:$B$25,0))</f>
        <v>1</v>
      </c>
      <c r="F7" s="164" t="s">
        <v>2470</v>
      </c>
      <c r="G7" s="164">
        <f>INDEX('Dictionary Subcategories'!$A$2:$A$70,MATCH(H7,'Dictionary Subcategories'!$B$2:$B$70,0))</f>
        <v>1</v>
      </c>
      <c r="H7" s="164" t="s">
        <v>1234</v>
      </c>
      <c r="I7" s="164"/>
      <c r="J7" s="164"/>
    </row>
    <row r="8" spans="1:10" ht="10.5" customHeight="1" x14ac:dyDescent="0.25">
      <c r="A8" s="165" t="str">
        <f>'ENIGHUR Consumption items'!H9</f>
        <v>01.1.1.202</v>
      </c>
      <c r="B8" s="165" t="str">
        <f>'ENIGHUR Consumption items'!J9</f>
        <v>Almidón de papa</v>
      </c>
      <c r="C8" s="168">
        <v>102</v>
      </c>
      <c r="D8" s="167" t="str">
        <f>IFERROR(VLOOKUP(C8,'symmetric IOT 245 2012'!$C$6:$D$276,2,FALSE),"")</f>
        <v>Otras harinas vegetales, sémolas y otros prod</v>
      </c>
      <c r="E8" s="159">
        <f>INDEX('Dictionary Categories'!$A$2:$A$25,MATCH(F8,'Dictionary Categories'!$B$2:$B$25,0))</f>
        <v>1</v>
      </c>
      <c r="F8" s="164" t="s">
        <v>2470</v>
      </c>
      <c r="G8" s="164">
        <f>INDEX('Dictionary Subcategories'!$A$2:$A$70,MATCH(H8,'Dictionary Subcategories'!$B$2:$B$70,0))</f>
        <v>1</v>
      </c>
      <c r="H8" s="164" t="s">
        <v>1234</v>
      </c>
      <c r="I8" s="164"/>
      <c r="J8" s="164"/>
    </row>
    <row r="9" spans="1:10" ht="10.5" customHeight="1" x14ac:dyDescent="0.25">
      <c r="A9" s="165" t="str">
        <f>'ENIGHUR Consumption items'!H10</f>
        <v>01.1.1.203</v>
      </c>
      <c r="B9" s="165" t="str">
        <f>'ENIGHUR Consumption items'!J10</f>
        <v>Almidón de yuca</v>
      </c>
      <c r="C9" s="168">
        <v>102</v>
      </c>
      <c r="D9" s="167" t="str">
        <f>IFERROR(VLOOKUP(C9,'symmetric IOT 245 2012'!$C$6:$D$276,2,FALSE),"")</f>
        <v>Otras harinas vegetales, sémolas y otros prod</v>
      </c>
      <c r="E9" s="159">
        <f>INDEX('Dictionary Categories'!$A$2:$A$25,MATCH(F9,'Dictionary Categories'!$B$2:$B$25,0))</f>
        <v>1</v>
      </c>
      <c r="F9" s="164" t="s">
        <v>2470</v>
      </c>
      <c r="G9" s="164">
        <f>INDEX('Dictionary Subcategories'!$A$2:$A$70,MATCH(H9,'Dictionary Subcategories'!$B$2:$B$70,0))</f>
        <v>1</v>
      </c>
      <c r="H9" s="164" t="s">
        <v>1234</v>
      </c>
      <c r="I9" s="164"/>
      <c r="J9" s="164"/>
    </row>
    <row r="10" spans="1:10" ht="10.5" customHeight="1" x14ac:dyDescent="0.25">
      <c r="A10" s="165" t="str">
        <f>'ENIGHUR Consumption items'!H11</f>
        <v>01.1.1.204</v>
      </c>
      <c r="B10" s="165" t="str">
        <f>'ENIGHUR Consumption items'!J11</f>
        <v>Tapioca (almidón)</v>
      </c>
      <c r="C10" s="168">
        <v>102</v>
      </c>
      <c r="D10" s="167" t="str">
        <f>IFERROR(VLOOKUP(C10,'symmetric IOT 245 2012'!$C$6:$D$276,2,FALSE),"")</f>
        <v>Otras harinas vegetales, sémolas y otros prod</v>
      </c>
      <c r="E10" s="159">
        <f>INDEX('Dictionary Categories'!$A$2:$A$25,MATCH(F10,'Dictionary Categories'!$B$2:$B$25,0))</f>
        <v>1</v>
      </c>
      <c r="F10" s="164" t="s">
        <v>2470</v>
      </c>
      <c r="G10" s="164">
        <f>INDEX('Dictionary Subcategories'!$A$2:$A$70,MATCH(H10,'Dictionary Subcategories'!$B$2:$B$70,0))</f>
        <v>1</v>
      </c>
      <c r="H10" s="164" t="s">
        <v>1234</v>
      </c>
      <c r="I10" s="164"/>
      <c r="J10" s="164"/>
    </row>
    <row r="11" spans="1:10" ht="10.5" customHeight="1" x14ac:dyDescent="0.25">
      <c r="A11" s="165" t="str">
        <f>'ENIGHUR Consumption items'!H12</f>
        <v>01.1.1.205</v>
      </c>
      <c r="B11" s="165" t="str">
        <f>'ENIGHUR Consumption items'!J12</f>
        <v>Harina de arroz</v>
      </c>
      <c r="C11" s="168">
        <v>102</v>
      </c>
      <c r="D11" s="167" t="str">
        <f>IFERROR(VLOOKUP(C11,'symmetric IOT 245 2012'!$C$6:$D$276,2,FALSE),"")</f>
        <v>Otras harinas vegetales, sémolas y otros prod</v>
      </c>
      <c r="E11" s="159">
        <f>INDEX('Dictionary Categories'!$A$2:$A$25,MATCH(F11,'Dictionary Categories'!$B$2:$B$25,0))</f>
        <v>1</v>
      </c>
      <c r="F11" s="164" t="s">
        <v>2470</v>
      </c>
      <c r="G11" s="164">
        <f>INDEX('Dictionary Subcategories'!$A$2:$A$70,MATCH(H11,'Dictionary Subcategories'!$B$2:$B$70,0))</f>
        <v>1</v>
      </c>
      <c r="H11" s="164" t="s">
        <v>1234</v>
      </c>
      <c r="I11" s="164"/>
      <c r="J11" s="164"/>
    </row>
    <row r="12" spans="1:10" ht="10.5" customHeight="1" x14ac:dyDescent="0.25">
      <c r="A12" s="165" t="str">
        <f>'ENIGHUR Consumption items'!H13</f>
        <v>01.1.1.206</v>
      </c>
      <c r="B12" s="165" t="str">
        <f>'ENIGHUR Consumption items'!J13</f>
        <v>Harina de cebada (máchica)</v>
      </c>
      <c r="C12" s="168">
        <v>102</v>
      </c>
      <c r="D12" s="167" t="str">
        <f>IFERROR(VLOOKUP(C12,'symmetric IOT 245 2012'!$C$6:$D$276,2,FALSE),"")</f>
        <v>Otras harinas vegetales, sémolas y otros prod</v>
      </c>
      <c r="E12" s="159">
        <f>INDEX('Dictionary Categories'!$A$2:$A$25,MATCH(F12,'Dictionary Categories'!$B$2:$B$25,0))</f>
        <v>1</v>
      </c>
      <c r="F12" s="164" t="s">
        <v>2470</v>
      </c>
      <c r="G12" s="164">
        <f>INDEX('Dictionary Subcategories'!$A$2:$A$70,MATCH(H12,'Dictionary Subcategories'!$B$2:$B$70,0))</f>
        <v>1</v>
      </c>
      <c r="H12" s="164" t="s">
        <v>1234</v>
      </c>
      <c r="I12" s="164"/>
      <c r="J12" s="164"/>
    </row>
    <row r="13" spans="1:10" ht="10.5" customHeight="1" x14ac:dyDescent="0.25">
      <c r="A13" s="165" t="str">
        <f>'ENIGHUR Consumption items'!H14</f>
        <v>01.1.1.207</v>
      </c>
      <c r="B13" s="165" t="str">
        <f>'ENIGHUR Consumption items'!J14</f>
        <v>Harina de garbanzo</v>
      </c>
      <c r="C13" s="168">
        <v>102</v>
      </c>
      <c r="D13" s="167" t="str">
        <f>IFERROR(VLOOKUP(C13,'symmetric IOT 245 2012'!$C$6:$D$276,2,FALSE),"")</f>
        <v>Otras harinas vegetales, sémolas y otros prod</v>
      </c>
      <c r="E13" s="159">
        <f>INDEX('Dictionary Categories'!$A$2:$A$25,MATCH(F13,'Dictionary Categories'!$B$2:$B$25,0))</f>
        <v>1</v>
      </c>
      <c r="F13" s="164" t="s">
        <v>2470</v>
      </c>
      <c r="G13" s="164">
        <f>INDEX('Dictionary Subcategories'!$A$2:$A$70,MATCH(H13,'Dictionary Subcategories'!$B$2:$B$70,0))</f>
        <v>1</v>
      </c>
      <c r="H13" s="164" t="s">
        <v>1234</v>
      </c>
      <c r="I13" s="164"/>
      <c r="J13" s="164"/>
    </row>
    <row r="14" spans="1:10" ht="10.5" customHeight="1" x14ac:dyDescent="0.25">
      <c r="A14" s="165" t="str">
        <f>'ENIGHUR Consumption items'!H15</f>
        <v>01.1.1.208</v>
      </c>
      <c r="B14" s="165" t="str">
        <f>'ENIGHUR Consumption items'!J15</f>
        <v>Harina de maíz</v>
      </c>
      <c r="C14" s="168">
        <v>102</v>
      </c>
      <c r="D14" s="167" t="str">
        <f>IFERROR(VLOOKUP(C14,'symmetric IOT 245 2012'!$C$6:$D$276,2,FALSE),"")</f>
        <v>Otras harinas vegetales, sémolas y otros prod</v>
      </c>
      <c r="E14" s="159">
        <f>INDEX('Dictionary Categories'!$A$2:$A$25,MATCH(F14,'Dictionary Categories'!$B$2:$B$25,0))</f>
        <v>1</v>
      </c>
      <c r="F14" s="164" t="s">
        <v>2470</v>
      </c>
      <c r="G14" s="164">
        <f>INDEX('Dictionary Subcategories'!$A$2:$A$70,MATCH(H14,'Dictionary Subcategories'!$B$2:$B$70,0))</f>
        <v>1</v>
      </c>
      <c r="H14" s="164" t="s">
        <v>1234</v>
      </c>
      <c r="I14" s="164"/>
      <c r="J14" s="164"/>
    </row>
    <row r="15" spans="1:10" ht="10.5" customHeight="1" x14ac:dyDescent="0.25">
      <c r="A15" s="165" t="str">
        <f>'ENIGHUR Consumption items'!H16</f>
        <v>01.1.1.209</v>
      </c>
      <c r="B15" s="165" t="str">
        <f>'ENIGHUR Consumption items'!J16</f>
        <v>Harina de malta</v>
      </c>
      <c r="C15" s="168">
        <v>102</v>
      </c>
      <c r="D15" s="167" t="str">
        <f>IFERROR(VLOOKUP(C15,'symmetric IOT 245 2012'!$C$6:$D$276,2,FALSE),"")</f>
        <v>Otras harinas vegetales, sémolas y otros prod</v>
      </c>
      <c r="E15" s="159">
        <f>INDEX('Dictionary Categories'!$A$2:$A$25,MATCH(F15,'Dictionary Categories'!$B$2:$B$25,0))</f>
        <v>1</v>
      </c>
      <c r="F15" s="164" t="s">
        <v>2470</v>
      </c>
      <c r="G15" s="164">
        <f>INDEX('Dictionary Subcategories'!$A$2:$A$70,MATCH(H15,'Dictionary Subcategories'!$B$2:$B$70,0))</f>
        <v>1</v>
      </c>
      <c r="H15" s="164" t="s">
        <v>1234</v>
      </c>
      <c r="I15" s="164"/>
      <c r="J15" s="164"/>
    </row>
    <row r="16" spans="1:10" ht="10.5" customHeight="1" x14ac:dyDescent="0.25">
      <c r="A16" s="165" t="str">
        <f>'ENIGHUR Consumption items'!H17</f>
        <v>01.1.1.210</v>
      </c>
      <c r="B16" s="165" t="str">
        <f>'ENIGHUR Consumption items'!J17</f>
        <v>Harina de plátano</v>
      </c>
      <c r="C16" s="168">
        <v>102</v>
      </c>
      <c r="D16" s="167" t="str">
        <f>IFERROR(VLOOKUP(C16,'symmetric IOT 245 2012'!$C$6:$D$276,2,FALSE),"")</f>
        <v>Otras harinas vegetales, sémolas y otros prod</v>
      </c>
      <c r="E16" s="159">
        <f>INDEX('Dictionary Categories'!$A$2:$A$25,MATCH(F16,'Dictionary Categories'!$B$2:$B$25,0))</f>
        <v>1</v>
      </c>
      <c r="F16" s="164" t="s">
        <v>2470</v>
      </c>
      <c r="G16" s="164">
        <f>INDEX('Dictionary Subcategories'!$A$2:$A$70,MATCH(H16,'Dictionary Subcategories'!$B$2:$B$70,0))</f>
        <v>1</v>
      </c>
      <c r="H16" s="164" t="s">
        <v>1234</v>
      </c>
      <c r="I16" s="164"/>
      <c r="J16" s="164"/>
    </row>
    <row r="17" spans="1:10" ht="10.5" customHeight="1" x14ac:dyDescent="0.25">
      <c r="A17" s="165" t="str">
        <f>'ENIGHUR Consumption items'!H18</f>
        <v>01.1.1.211</v>
      </c>
      <c r="B17" s="165" t="str">
        <f>'ENIGHUR Consumption items'!J18</f>
        <v>Harina de morocho (cauca)</v>
      </c>
      <c r="C17" s="168">
        <v>102</v>
      </c>
      <c r="D17" s="167" t="str">
        <f>IFERROR(VLOOKUP(C17,'symmetric IOT 245 2012'!$C$6:$D$276,2,FALSE),"")</f>
        <v>Otras harinas vegetales, sémolas y otros prod</v>
      </c>
      <c r="E17" s="159">
        <f>INDEX('Dictionary Categories'!$A$2:$A$25,MATCH(F17,'Dictionary Categories'!$B$2:$B$25,0))</f>
        <v>1</v>
      </c>
      <c r="F17" s="164" t="s">
        <v>2470</v>
      </c>
      <c r="G17" s="164">
        <f>INDEX('Dictionary Subcategories'!$A$2:$A$70,MATCH(H17,'Dictionary Subcategories'!$B$2:$B$70,0))</f>
        <v>1</v>
      </c>
      <c r="H17" s="164" t="s">
        <v>1234</v>
      </c>
      <c r="I17" s="164"/>
      <c r="J17" s="164"/>
    </row>
    <row r="18" spans="1:10" ht="10.5" customHeight="1" x14ac:dyDescent="0.25">
      <c r="A18" s="165" t="str">
        <f>'ENIGHUR Consumption items'!H19</f>
        <v>01.1.1.212</v>
      </c>
      <c r="B18" s="165" t="str">
        <f>'ENIGHUR Consumption items'!J19</f>
        <v>Harina de trigo</v>
      </c>
      <c r="C18" s="168">
        <v>100</v>
      </c>
      <c r="D18" s="167" t="str">
        <f>IFERROR(VLOOKUP(C18,'symmetric IOT 245 2012'!$C$6:$D$276,2,FALSE),"")</f>
        <v>Harina de trigo</v>
      </c>
      <c r="E18" s="159">
        <f>INDEX('Dictionary Categories'!$A$2:$A$25,MATCH(F18,'Dictionary Categories'!$B$2:$B$25,0))</f>
        <v>1</v>
      </c>
      <c r="F18" s="164" t="s">
        <v>2470</v>
      </c>
      <c r="G18" s="164">
        <f>INDEX('Dictionary Subcategories'!$A$2:$A$70,MATCH(H18,'Dictionary Subcategories'!$B$2:$B$70,0))</f>
        <v>1</v>
      </c>
      <c r="H18" s="164" t="s">
        <v>1234</v>
      </c>
      <c r="I18" s="164"/>
      <c r="J18" s="164"/>
    </row>
    <row r="19" spans="1:10" ht="10.5" customHeight="1" x14ac:dyDescent="0.25">
      <c r="A19" s="165" t="str">
        <f>'ENIGHUR Consumption items'!H20</f>
        <v>01.1.1.213</v>
      </c>
      <c r="B19" s="165" t="str">
        <f>'ENIGHUR Consumption items'!J20</f>
        <v>Maicena (fécula de maíz)</v>
      </c>
      <c r="C19" s="168">
        <v>102</v>
      </c>
      <c r="D19" s="167" t="str">
        <f>IFERROR(VLOOKUP(C19,'symmetric IOT 245 2012'!$C$6:$D$276,2,FALSE),"")</f>
        <v>Otras harinas vegetales, sémolas y otros prod</v>
      </c>
      <c r="E19" s="159">
        <f>INDEX('Dictionary Categories'!$A$2:$A$25,MATCH(F19,'Dictionary Categories'!$B$2:$B$25,0))</f>
        <v>1</v>
      </c>
      <c r="F19" s="164" t="s">
        <v>2470</v>
      </c>
      <c r="G19" s="164">
        <f>INDEX('Dictionary Subcategories'!$A$2:$A$70,MATCH(H19,'Dictionary Subcategories'!$B$2:$B$70,0))</f>
        <v>1</v>
      </c>
      <c r="H19" s="164" t="s">
        <v>1234</v>
      </c>
      <c r="I19" s="164"/>
      <c r="J19" s="164"/>
    </row>
    <row r="20" spans="1:10" ht="10.5" customHeight="1" x14ac:dyDescent="0.25">
      <c r="A20" s="165" t="str">
        <f>'ENIGHUR Consumption items'!H21</f>
        <v>01.1.1.299</v>
      </c>
      <c r="B20" s="165" t="str">
        <f>'ENIGHUR Consumption items'!J21</f>
        <v>Otras harinas</v>
      </c>
      <c r="C20" s="168">
        <v>102</v>
      </c>
      <c r="D20" s="167" t="str">
        <f>IFERROR(VLOOKUP(C20,'symmetric IOT 245 2012'!$C$6:$D$276,2,FALSE),"")</f>
        <v>Otras harinas vegetales, sémolas y otros prod</v>
      </c>
      <c r="E20" s="159">
        <f>INDEX('Dictionary Categories'!$A$2:$A$25,MATCH(F20,'Dictionary Categories'!$B$2:$B$25,0))</f>
        <v>1</v>
      </c>
      <c r="F20" s="164" t="s">
        <v>2470</v>
      </c>
      <c r="G20" s="164">
        <f>INDEX('Dictionary Subcategories'!$A$2:$A$70,MATCH(H20,'Dictionary Subcategories'!$B$2:$B$70,0))</f>
        <v>1</v>
      </c>
      <c r="H20" s="164" t="s">
        <v>1234</v>
      </c>
      <c r="I20" s="164"/>
      <c r="J20" s="164"/>
    </row>
    <row r="21" spans="1:10" ht="10.5" customHeight="1" x14ac:dyDescent="0.25">
      <c r="A21" s="165" t="str">
        <f>'ENIGHUR Consumption items'!H22</f>
        <v>01.1.1.300</v>
      </c>
      <c r="B21" s="165" t="str">
        <f>'ENIGHUR Consumption items'!J22</f>
        <v>Pastas alimenticias</v>
      </c>
      <c r="C21" s="168">
        <v>105</v>
      </c>
      <c r="D21" s="167" t="str">
        <f>IFERROR(VLOOKUP(C21,'symmetric IOT 245 2012'!$C$6:$D$276,2,FALSE),"")</f>
        <v>Fideos, macarrones y otros productos farináceos similares</v>
      </c>
      <c r="E21" s="159">
        <f>INDEX('Dictionary Categories'!$A$2:$A$25,MATCH(F21,'Dictionary Categories'!$B$2:$B$25,0))</f>
        <v>1</v>
      </c>
      <c r="F21" s="164" t="s">
        <v>2470</v>
      </c>
      <c r="G21" s="164">
        <f>INDEX('Dictionary Subcategories'!$A$2:$A$70,MATCH(H21,'Dictionary Subcategories'!$B$2:$B$70,0))</f>
        <v>1</v>
      </c>
      <c r="H21" s="164" t="s">
        <v>1234</v>
      </c>
      <c r="I21" s="164"/>
      <c r="J21" s="164"/>
    </row>
    <row r="22" spans="1:10" ht="10.5" customHeight="1" x14ac:dyDescent="0.25">
      <c r="A22" s="165" t="str">
        <f>'ENIGHUR Consumption items'!H23</f>
        <v>01.1.1.400</v>
      </c>
      <c r="B22" s="165" t="str">
        <f>'ENIGHUR Consumption items'!J23</f>
        <v>Arroz</v>
      </c>
      <c r="C22" s="168">
        <v>101</v>
      </c>
      <c r="D22" s="167" t="str">
        <f>IFERROR(VLOOKUP(C22,'symmetric IOT 245 2012'!$C$6:$D$276,2,FALSE),"")</f>
        <v>Arroz pilado, blanqueado y pulido</v>
      </c>
      <c r="E22" s="159">
        <f>INDEX('Dictionary Categories'!$A$2:$A$25,MATCH(F22,'Dictionary Categories'!$B$2:$B$25,0))</f>
        <v>1</v>
      </c>
      <c r="F22" s="164" t="s">
        <v>2470</v>
      </c>
      <c r="G22" s="164">
        <f>INDEX('Dictionary Subcategories'!$A$2:$A$70,MATCH(H22,'Dictionary Subcategories'!$B$2:$B$70,0))</f>
        <v>1</v>
      </c>
      <c r="H22" s="164" t="s">
        <v>1234</v>
      </c>
      <c r="I22" s="164"/>
      <c r="J22" s="164"/>
    </row>
    <row r="23" spans="1:10" ht="10.5" customHeight="1" x14ac:dyDescent="0.25">
      <c r="A23" s="165" t="str">
        <f>'ENIGHUR Consumption items'!H24</f>
        <v>01.1.1.500</v>
      </c>
      <c r="B23" s="165" t="str">
        <f>'ENIGHUR Consumption items'!J24</f>
        <v>Otros cereales y derivados</v>
      </c>
      <c r="C23" s="168">
        <v>10</v>
      </c>
      <c r="D23" s="167" t="str">
        <f>IFERROR(VLOOKUP(C23,'symmetric IOT 245 2012'!$C$6:$D$276,2,FALSE),"")</f>
        <v>Otros cereales n.c.p.</v>
      </c>
      <c r="E23" s="159">
        <f>INDEX('Dictionary Categories'!$A$2:$A$25,MATCH(F23,'Dictionary Categories'!$B$2:$B$25,0))</f>
        <v>1</v>
      </c>
      <c r="F23" s="164" t="s">
        <v>2470</v>
      </c>
      <c r="G23" s="164">
        <f>INDEX('Dictionary Subcategories'!$A$2:$A$70,MATCH(H23,'Dictionary Subcategories'!$B$2:$B$70,0))</f>
        <v>1</v>
      </c>
      <c r="H23" s="164" t="s">
        <v>1234</v>
      </c>
      <c r="I23" s="164"/>
      <c r="J23" s="164"/>
    </row>
    <row r="24" spans="1:10" ht="10.5" customHeight="1" x14ac:dyDescent="0.25">
      <c r="A24" s="165" t="str">
        <f>'ENIGHUR Consumption items'!H25</f>
        <v>01.1.1.501</v>
      </c>
      <c r="B24" s="165" t="str">
        <f>'ENIGHUR Consumption items'!J25</f>
        <v>Avena</v>
      </c>
      <c r="C24" s="168">
        <v>9</v>
      </c>
      <c r="D24" s="167" t="str">
        <f>IFERROR(VLOOKUP(C24,'symmetric IOT 245 2012'!$C$6:$D$276,2,FALSE),"")</f>
        <v>Avena</v>
      </c>
      <c r="E24" s="159">
        <f>INDEX('Dictionary Categories'!$A$2:$A$25,MATCH(F24,'Dictionary Categories'!$B$2:$B$25,0))</f>
        <v>1</v>
      </c>
      <c r="F24" s="164" t="s">
        <v>2470</v>
      </c>
      <c r="G24" s="164">
        <f>INDEX('Dictionary Subcategories'!$A$2:$A$70,MATCH(H24,'Dictionary Subcategories'!$B$2:$B$70,0))</f>
        <v>1</v>
      </c>
      <c r="H24" s="164" t="s">
        <v>1234</v>
      </c>
      <c r="I24" s="164"/>
      <c r="J24" s="164"/>
    </row>
    <row r="25" spans="1:10" ht="10.5" customHeight="1" x14ac:dyDescent="0.25">
      <c r="A25" s="165" t="str">
        <f>'ENIGHUR Consumption items'!H26</f>
        <v>01.1.1.502</v>
      </c>
      <c r="B25" s="165" t="str">
        <f>'ENIGHUR Consumption items'!J26</f>
        <v>Canguil</v>
      </c>
      <c r="C25" s="168">
        <v>10</v>
      </c>
      <c r="D25" s="167" t="str">
        <f>IFERROR(VLOOKUP(C25,'symmetric IOT 245 2012'!$C$6:$D$276,2,FALSE),"")</f>
        <v>Otros cereales n.c.p.</v>
      </c>
      <c r="E25" s="159">
        <f>INDEX('Dictionary Categories'!$A$2:$A$25,MATCH(F25,'Dictionary Categories'!$B$2:$B$25,0))</f>
        <v>1</v>
      </c>
      <c r="F25" s="164" t="s">
        <v>2470</v>
      </c>
      <c r="G25" s="164">
        <f>INDEX('Dictionary Subcategories'!$A$2:$A$70,MATCH(H25,'Dictionary Subcategories'!$B$2:$B$70,0))</f>
        <v>1</v>
      </c>
      <c r="H25" s="164" t="s">
        <v>1234</v>
      </c>
      <c r="I25" s="164"/>
      <c r="J25" s="164"/>
    </row>
    <row r="26" spans="1:10" ht="10.5" customHeight="1" x14ac:dyDescent="0.25">
      <c r="A26" s="165" t="str">
        <f>'ENIGHUR Consumption items'!H27</f>
        <v>01.1.1.503</v>
      </c>
      <c r="B26" s="165" t="str">
        <f>'ENIGHUR Consumption items'!J27</f>
        <v>Cebada</v>
      </c>
      <c r="C26" s="168">
        <v>8</v>
      </c>
      <c r="D26" s="167" t="str">
        <f>IFERROR(VLOOKUP(C26,'symmetric IOT 245 2012'!$C$6:$D$276,2,FALSE),"")</f>
        <v>Cebada</v>
      </c>
      <c r="E26" s="159">
        <f>INDEX('Dictionary Categories'!$A$2:$A$25,MATCH(F26,'Dictionary Categories'!$B$2:$B$25,0))</f>
        <v>1</v>
      </c>
      <c r="F26" s="164" t="s">
        <v>2470</v>
      </c>
      <c r="G26" s="164">
        <f>INDEX('Dictionary Subcategories'!$A$2:$A$70,MATCH(H26,'Dictionary Subcategories'!$B$2:$B$70,0))</f>
        <v>1</v>
      </c>
      <c r="H26" s="164" t="s">
        <v>1234</v>
      </c>
      <c r="I26" s="164"/>
      <c r="J26" s="164"/>
    </row>
    <row r="27" spans="1:10" ht="10.5" customHeight="1" x14ac:dyDescent="0.25">
      <c r="A27" s="165" t="str">
        <f>'ENIGHUR Consumption items'!H28</f>
        <v>01.1.1.504</v>
      </c>
      <c r="B27" s="165" t="str">
        <f>'ENIGHUR Consumption items'!J28</f>
        <v>Centeno</v>
      </c>
      <c r="C27" s="168">
        <v>10</v>
      </c>
      <c r="D27" s="167" t="str">
        <f>IFERROR(VLOOKUP(C27,'symmetric IOT 245 2012'!$C$6:$D$276,2,FALSE),"")</f>
        <v>Otros cereales n.c.p.</v>
      </c>
      <c r="E27" s="159">
        <f>INDEX('Dictionary Categories'!$A$2:$A$25,MATCH(F27,'Dictionary Categories'!$B$2:$B$25,0))</f>
        <v>1</v>
      </c>
      <c r="F27" s="164" t="s">
        <v>2470</v>
      </c>
      <c r="G27" s="164">
        <f>INDEX('Dictionary Subcategories'!$A$2:$A$70,MATCH(H27,'Dictionary Subcategories'!$B$2:$B$70,0))</f>
        <v>1</v>
      </c>
      <c r="H27" s="164" t="s">
        <v>1234</v>
      </c>
      <c r="I27" s="164"/>
      <c r="J27" s="164"/>
    </row>
    <row r="28" spans="1:10" ht="10.5" customHeight="1" x14ac:dyDescent="0.25">
      <c r="A28" s="165" t="str">
        <f>'ENIGHUR Consumption items'!H29</f>
        <v>01.1.1.505</v>
      </c>
      <c r="B28" s="165" t="str">
        <f>'ENIGHUR Consumption items'!J29</f>
        <v>Cereales preparados (nestum, corn flakles, otro)</v>
      </c>
      <c r="C28" s="168">
        <v>10</v>
      </c>
      <c r="D28" s="167" t="str">
        <f>IFERROR(VLOOKUP(C28,'symmetric IOT 245 2012'!$C$6:$D$276,2,FALSE),"")</f>
        <v>Otros cereales n.c.p.</v>
      </c>
      <c r="E28" s="159">
        <f>INDEX('Dictionary Categories'!$A$2:$A$25,MATCH(F28,'Dictionary Categories'!$B$2:$B$25,0))</f>
        <v>1</v>
      </c>
      <c r="F28" s="164" t="s">
        <v>2470</v>
      </c>
      <c r="G28" s="164">
        <f>INDEX('Dictionary Subcategories'!$A$2:$A$70,MATCH(H28,'Dictionary Subcategories'!$B$2:$B$70,0))</f>
        <v>1</v>
      </c>
      <c r="H28" s="164" t="s">
        <v>1234</v>
      </c>
      <c r="I28" s="164"/>
      <c r="J28" s="164"/>
    </row>
    <row r="29" spans="1:10" ht="10.5" customHeight="1" x14ac:dyDescent="0.25">
      <c r="A29" s="165" t="str">
        <f>'ENIGHUR Consumption items'!H30</f>
        <v>01.1.1.506</v>
      </c>
      <c r="B29" s="165" t="str">
        <f>'ENIGHUR Consumption items'!J30</f>
        <v>Chulpi</v>
      </c>
      <c r="C29" s="168">
        <v>10</v>
      </c>
      <c r="D29" s="167" t="str">
        <f>IFERROR(VLOOKUP(C29,'symmetric IOT 245 2012'!$C$6:$D$276,2,FALSE),"")</f>
        <v>Otros cereales n.c.p.</v>
      </c>
      <c r="E29" s="159">
        <f>INDEX('Dictionary Categories'!$A$2:$A$25,MATCH(F29,'Dictionary Categories'!$B$2:$B$25,0))</f>
        <v>1</v>
      </c>
      <c r="F29" s="164" t="s">
        <v>2470</v>
      </c>
      <c r="G29" s="164">
        <f>INDEX('Dictionary Subcategories'!$A$2:$A$70,MATCH(H29,'Dictionary Subcategories'!$B$2:$B$70,0))</f>
        <v>1</v>
      </c>
      <c r="H29" s="164" t="s">
        <v>1234</v>
      </c>
      <c r="I29" s="164"/>
      <c r="J29" s="164"/>
    </row>
    <row r="30" spans="1:10" ht="10.5" customHeight="1" x14ac:dyDescent="0.25">
      <c r="A30" s="165" t="str">
        <f>'ENIGHUR Consumption items'!H31</f>
        <v>01.1.1.507</v>
      </c>
      <c r="B30" s="165" t="str">
        <f>'ENIGHUR Consumption items'!J31</f>
        <v>Fécula de patata</v>
      </c>
      <c r="C30" s="168">
        <v>10</v>
      </c>
      <c r="D30" s="167" t="str">
        <f>IFERROR(VLOOKUP(C30,'symmetric IOT 245 2012'!$C$6:$D$276,2,FALSE),"")</f>
        <v>Otros cereales n.c.p.</v>
      </c>
      <c r="E30" s="159">
        <f>INDEX('Dictionary Categories'!$A$2:$A$25,MATCH(F30,'Dictionary Categories'!$B$2:$B$25,0))</f>
        <v>1</v>
      </c>
      <c r="F30" s="164" t="s">
        <v>2470</v>
      </c>
      <c r="G30" s="164">
        <f>INDEX('Dictionary Subcategories'!$A$2:$A$70,MATCH(H30,'Dictionary Subcategories'!$B$2:$B$70,0))</f>
        <v>1</v>
      </c>
      <c r="H30" s="164" t="s">
        <v>1234</v>
      </c>
      <c r="I30" s="164"/>
      <c r="J30" s="164"/>
    </row>
    <row r="31" spans="1:10" ht="10.5" customHeight="1" x14ac:dyDescent="0.25">
      <c r="A31" s="165" t="str">
        <f>'ENIGHUR Consumption items'!H32</f>
        <v>01.1.1.508</v>
      </c>
      <c r="B31" s="165" t="str">
        <f>'ENIGHUR Consumption items'!J32</f>
        <v>Fécula o extracto de malta en liquido</v>
      </c>
      <c r="C31" s="168">
        <v>10</v>
      </c>
      <c r="D31" s="167" t="str">
        <f>IFERROR(VLOOKUP(C31,'symmetric IOT 245 2012'!$C$6:$D$276,2,FALSE),"")</f>
        <v>Otros cereales n.c.p.</v>
      </c>
      <c r="E31" s="159">
        <f>INDEX('Dictionary Categories'!$A$2:$A$25,MATCH(F31,'Dictionary Categories'!$B$2:$B$25,0))</f>
        <v>1</v>
      </c>
      <c r="F31" s="164" t="s">
        <v>2470</v>
      </c>
      <c r="G31" s="164">
        <f>INDEX('Dictionary Subcategories'!$A$2:$A$70,MATCH(H31,'Dictionary Subcategories'!$B$2:$B$70,0))</f>
        <v>1</v>
      </c>
      <c r="H31" s="164" t="s">
        <v>1234</v>
      </c>
      <c r="I31" s="164"/>
      <c r="J31" s="164"/>
    </row>
    <row r="32" spans="1:10" ht="10.5" customHeight="1" x14ac:dyDescent="0.25">
      <c r="A32" s="165" t="str">
        <f>'ENIGHUR Consumption items'!H33</f>
        <v>01.1.1.509</v>
      </c>
      <c r="B32" s="165" t="str">
        <f>'ENIGHUR Consumption items'!J33</f>
        <v>Fécula o extracto de malta en polvo</v>
      </c>
      <c r="C32" s="168">
        <v>10</v>
      </c>
      <c r="D32" s="167" t="str">
        <f>IFERROR(VLOOKUP(C32,'symmetric IOT 245 2012'!$C$6:$D$276,2,FALSE),"")</f>
        <v>Otros cereales n.c.p.</v>
      </c>
      <c r="E32" s="159">
        <f>INDEX('Dictionary Categories'!$A$2:$A$25,MATCH(F32,'Dictionary Categories'!$B$2:$B$25,0))</f>
        <v>1</v>
      </c>
      <c r="F32" s="164" t="s">
        <v>2470</v>
      </c>
      <c r="G32" s="164">
        <f>INDEX('Dictionary Subcategories'!$A$2:$A$70,MATCH(H32,'Dictionary Subcategories'!$B$2:$B$70,0))</f>
        <v>1</v>
      </c>
      <c r="H32" s="164" t="s">
        <v>1234</v>
      </c>
      <c r="I32" s="164"/>
      <c r="J32" s="164"/>
    </row>
    <row r="33" spans="1:10" ht="10.5" customHeight="1" x14ac:dyDescent="0.25">
      <c r="A33" s="165" t="str">
        <f>'ENIGHUR Consumption items'!H34</f>
        <v>01.1.1.510</v>
      </c>
      <c r="B33" s="165" t="str">
        <f>'ENIGHUR Consumption items'!J34</f>
        <v>Maíz en grano seco</v>
      </c>
      <c r="C33" s="168">
        <v>6</v>
      </c>
      <c r="D33" s="167" t="str">
        <f>IFERROR(VLOOKUP(C33,'symmetric IOT 245 2012'!$C$6:$D$276,2,FALSE),"")</f>
        <v>Maíz duro</v>
      </c>
      <c r="E33" s="159">
        <f>INDEX('Dictionary Categories'!$A$2:$A$25,MATCH(F33,'Dictionary Categories'!$B$2:$B$25,0))</f>
        <v>1</v>
      </c>
      <c r="F33" s="164" t="s">
        <v>2470</v>
      </c>
      <c r="G33" s="164">
        <f>INDEX('Dictionary Subcategories'!$A$2:$A$70,MATCH(H33,'Dictionary Subcategories'!$B$2:$B$70,0))</f>
        <v>1</v>
      </c>
      <c r="H33" s="164" t="s">
        <v>1234</v>
      </c>
      <c r="I33" s="164"/>
      <c r="J33" s="164"/>
    </row>
    <row r="34" spans="1:10" ht="10.5" customHeight="1" x14ac:dyDescent="0.25">
      <c r="A34" s="165" t="str">
        <f>'ENIGHUR Consumption items'!H35</f>
        <v>01.1.1.511</v>
      </c>
      <c r="B34" s="165" t="str">
        <f>'ENIGHUR Consumption items'!J35</f>
        <v>Maíz en mazorca seco</v>
      </c>
      <c r="C34" s="168">
        <v>6</v>
      </c>
      <c r="D34" s="167" t="str">
        <f>IFERROR(VLOOKUP(C34,'symmetric IOT 245 2012'!$C$6:$D$276,2,FALSE),"")</f>
        <v>Maíz duro</v>
      </c>
      <c r="E34" s="159">
        <f>INDEX('Dictionary Categories'!$A$2:$A$25,MATCH(F34,'Dictionary Categories'!$B$2:$B$25,0))</f>
        <v>1</v>
      </c>
      <c r="F34" s="164" t="s">
        <v>2470</v>
      </c>
      <c r="G34" s="164">
        <f>INDEX('Dictionary Subcategories'!$A$2:$A$70,MATCH(H34,'Dictionary Subcategories'!$B$2:$B$70,0))</f>
        <v>1</v>
      </c>
      <c r="H34" s="164" t="s">
        <v>1234</v>
      </c>
      <c r="I34" s="164"/>
      <c r="J34" s="164"/>
    </row>
    <row r="35" spans="1:10" ht="10.5" customHeight="1" x14ac:dyDescent="0.25">
      <c r="A35" s="165" t="str">
        <f>'ENIGHUR Consumption items'!H36</f>
        <v>01.1.1.512</v>
      </c>
      <c r="B35" s="165" t="str">
        <f>'ENIGHUR Consumption items'!J36</f>
        <v>Malta (cebada malteada)</v>
      </c>
      <c r="C35" s="168">
        <v>10</v>
      </c>
      <c r="D35" s="167" t="str">
        <f>IFERROR(VLOOKUP(C35,'symmetric IOT 245 2012'!$C$6:$D$276,2,FALSE),"")</f>
        <v>Otros cereales n.c.p.</v>
      </c>
      <c r="E35" s="159">
        <f>INDEX('Dictionary Categories'!$A$2:$A$25,MATCH(F35,'Dictionary Categories'!$B$2:$B$25,0))</f>
        <v>1</v>
      </c>
      <c r="F35" s="164" t="s">
        <v>2470</v>
      </c>
      <c r="G35" s="164">
        <f>INDEX('Dictionary Subcategories'!$A$2:$A$70,MATCH(H35,'Dictionary Subcategories'!$B$2:$B$70,0))</f>
        <v>1</v>
      </c>
      <c r="H35" s="164" t="s">
        <v>1234</v>
      </c>
      <c r="I35" s="164"/>
      <c r="J35" s="164"/>
    </row>
    <row r="36" spans="1:10" ht="10.5" customHeight="1" x14ac:dyDescent="0.25">
      <c r="A36" s="165" t="str">
        <f>'ENIGHUR Consumption items'!H37</f>
        <v>01.1.1.513</v>
      </c>
      <c r="B36" s="165" t="str">
        <f>'ENIGHUR Consumption items'!J37</f>
        <v>Morocho</v>
      </c>
      <c r="C36" s="168">
        <v>10</v>
      </c>
      <c r="D36" s="167" t="str">
        <f>IFERROR(VLOOKUP(C36,'symmetric IOT 245 2012'!$C$6:$D$276,2,FALSE),"")</f>
        <v>Otros cereales n.c.p.</v>
      </c>
      <c r="E36" s="159">
        <f>INDEX('Dictionary Categories'!$A$2:$A$25,MATCH(F36,'Dictionary Categories'!$B$2:$B$25,0))</f>
        <v>1</v>
      </c>
      <c r="F36" s="164" t="s">
        <v>2470</v>
      </c>
      <c r="G36" s="164">
        <f>INDEX('Dictionary Subcategories'!$A$2:$A$70,MATCH(H36,'Dictionary Subcategories'!$B$2:$B$70,0))</f>
        <v>1</v>
      </c>
      <c r="H36" s="164" t="s">
        <v>1234</v>
      </c>
      <c r="I36" s="164"/>
      <c r="J36" s="164"/>
    </row>
    <row r="37" spans="1:10" ht="10.5" customHeight="1" x14ac:dyDescent="0.25">
      <c r="A37" s="165" t="str">
        <f>'ENIGHUR Consumption items'!H38</f>
        <v>01.1.1.514</v>
      </c>
      <c r="B37" s="165" t="str">
        <f>'ENIGHUR Consumption items'!J38</f>
        <v>Mote (maíz suave seco)</v>
      </c>
      <c r="C37" s="168">
        <v>5</v>
      </c>
      <c r="D37" s="167" t="str">
        <f>IFERROR(VLOOKUP(C37,'symmetric IOT 245 2012'!$C$6:$D$276,2,FALSE),"")</f>
        <v>Maíz suave</v>
      </c>
      <c r="E37" s="159">
        <f>INDEX('Dictionary Categories'!$A$2:$A$25,MATCH(F37,'Dictionary Categories'!$B$2:$B$25,0))</f>
        <v>1</v>
      </c>
      <c r="F37" s="164" t="s">
        <v>2470</v>
      </c>
      <c r="G37" s="164">
        <f>INDEX('Dictionary Subcategories'!$A$2:$A$70,MATCH(H37,'Dictionary Subcategories'!$B$2:$B$70,0))</f>
        <v>1</v>
      </c>
      <c r="H37" s="164" t="s">
        <v>1234</v>
      </c>
      <c r="I37" s="164"/>
      <c r="J37" s="164"/>
    </row>
    <row r="38" spans="1:10" ht="10.5" customHeight="1" x14ac:dyDescent="0.25">
      <c r="A38" s="165" t="str">
        <f>'ENIGHUR Consumption items'!H39</f>
        <v>01.1.1.515</v>
      </c>
      <c r="B38" s="165" t="str">
        <f>'ENIGHUR Consumption items'!J39</f>
        <v>Pinol</v>
      </c>
      <c r="C38" s="168">
        <v>10</v>
      </c>
      <c r="D38" s="167" t="str">
        <f>IFERROR(VLOOKUP(C38,'symmetric IOT 245 2012'!$C$6:$D$276,2,FALSE),"")</f>
        <v>Otros cereales n.c.p.</v>
      </c>
      <c r="E38" s="159">
        <f>INDEX('Dictionary Categories'!$A$2:$A$25,MATCH(F38,'Dictionary Categories'!$B$2:$B$25,0))</f>
        <v>1</v>
      </c>
      <c r="F38" s="164" t="s">
        <v>2470</v>
      </c>
      <c r="G38" s="164">
        <f>INDEX('Dictionary Subcategories'!$A$2:$A$70,MATCH(H38,'Dictionary Subcategories'!$B$2:$B$70,0))</f>
        <v>1</v>
      </c>
      <c r="H38" s="164" t="s">
        <v>1234</v>
      </c>
      <c r="I38" s="164"/>
      <c r="J38" s="164"/>
    </row>
    <row r="39" spans="1:10" ht="10.5" customHeight="1" x14ac:dyDescent="0.25">
      <c r="A39" s="165" t="str">
        <f>'ENIGHUR Consumption items'!H40</f>
        <v>01.1.1.516</v>
      </c>
      <c r="B39" s="165" t="str">
        <f>'ENIGHUR Consumption items'!J40</f>
        <v>Quinua</v>
      </c>
      <c r="C39" s="168">
        <v>10</v>
      </c>
      <c r="D39" s="167" t="str">
        <f>IFERROR(VLOOKUP(C39,'symmetric IOT 245 2012'!$C$6:$D$276,2,FALSE),"")</f>
        <v>Otros cereales n.c.p.</v>
      </c>
      <c r="E39" s="159">
        <f>INDEX('Dictionary Categories'!$A$2:$A$25,MATCH(F39,'Dictionary Categories'!$B$2:$B$25,0))</f>
        <v>1</v>
      </c>
      <c r="F39" s="164" t="s">
        <v>2470</v>
      </c>
      <c r="G39" s="164">
        <f>INDEX('Dictionary Subcategories'!$A$2:$A$70,MATCH(H39,'Dictionary Subcategories'!$B$2:$B$70,0))</f>
        <v>1</v>
      </c>
      <c r="H39" s="164" t="s">
        <v>1234</v>
      </c>
      <c r="I39" s="164"/>
      <c r="J39" s="164"/>
    </row>
    <row r="40" spans="1:10" ht="10.5" customHeight="1" x14ac:dyDescent="0.25">
      <c r="A40" s="165" t="str">
        <f>'ENIGHUR Consumption items'!H41</f>
        <v>01.1.1.517</v>
      </c>
      <c r="B40" s="165" t="str">
        <f>'ENIGHUR Consumption items'!J41</f>
        <v>Sagú</v>
      </c>
      <c r="C40" s="168">
        <v>10</v>
      </c>
      <c r="D40" s="167" t="str">
        <f>IFERROR(VLOOKUP(C40,'symmetric IOT 245 2012'!$C$6:$D$276,2,FALSE),"")</f>
        <v>Otros cereales n.c.p.</v>
      </c>
      <c r="E40" s="159">
        <f>INDEX('Dictionary Categories'!$A$2:$A$25,MATCH(F40,'Dictionary Categories'!$B$2:$B$25,0))</f>
        <v>1</v>
      </c>
      <c r="F40" s="164" t="s">
        <v>2470</v>
      </c>
      <c r="G40" s="164">
        <f>INDEX('Dictionary Subcategories'!$A$2:$A$70,MATCH(H40,'Dictionary Subcategories'!$B$2:$B$70,0))</f>
        <v>1</v>
      </c>
      <c r="H40" s="164" t="s">
        <v>1234</v>
      </c>
      <c r="I40" s="164"/>
      <c r="J40" s="164"/>
    </row>
    <row r="41" spans="1:10" ht="10.5" customHeight="1" x14ac:dyDescent="0.25">
      <c r="A41" s="165" t="str">
        <f>'ENIGHUR Consumption items'!H42</f>
        <v>01.1.1.518</v>
      </c>
      <c r="B41" s="165" t="str">
        <f>'ENIGHUR Consumption items'!J42</f>
        <v>Sémola de maíz (harina gruesa poco molida)</v>
      </c>
      <c r="C41" s="168">
        <v>102</v>
      </c>
      <c r="D41" s="167" t="str">
        <f>IFERROR(VLOOKUP(C41,'symmetric IOT 245 2012'!$C$6:$D$276,2,FALSE),"")</f>
        <v>Otras harinas vegetales, sémolas y otros prod</v>
      </c>
      <c r="E41" s="159">
        <f>INDEX('Dictionary Categories'!$A$2:$A$25,MATCH(F41,'Dictionary Categories'!$B$2:$B$25,0))</f>
        <v>1</v>
      </c>
      <c r="F41" s="164" t="s">
        <v>2470</v>
      </c>
      <c r="G41" s="164">
        <f>INDEX('Dictionary Subcategories'!$A$2:$A$70,MATCH(H41,'Dictionary Subcategories'!$B$2:$B$70,0))</f>
        <v>1</v>
      </c>
      <c r="H41" s="164" t="s">
        <v>1234</v>
      </c>
      <c r="I41" s="164"/>
      <c r="J41" s="164"/>
    </row>
    <row r="42" spans="1:10" ht="10.5" customHeight="1" x14ac:dyDescent="0.25">
      <c r="A42" s="165" t="str">
        <f>'ENIGHUR Consumption items'!H43</f>
        <v>01.1.1.519</v>
      </c>
      <c r="B42" s="165" t="str">
        <f>'ENIGHUR Consumption items'!J43</f>
        <v>Sémola de trigo (harina gruesa, poco molida)</v>
      </c>
      <c r="C42" s="168">
        <v>102</v>
      </c>
      <c r="D42" s="167" t="str">
        <f>IFERROR(VLOOKUP(C42,'symmetric IOT 245 2012'!$C$6:$D$276,2,FALSE),"")</f>
        <v>Otras harinas vegetales, sémolas y otros prod</v>
      </c>
      <c r="E42" s="159">
        <f>INDEX('Dictionary Categories'!$A$2:$A$25,MATCH(F42,'Dictionary Categories'!$B$2:$B$25,0))</f>
        <v>1</v>
      </c>
      <c r="F42" s="164" t="s">
        <v>2470</v>
      </c>
      <c r="G42" s="164">
        <f>INDEX('Dictionary Subcategories'!$A$2:$A$70,MATCH(H42,'Dictionary Subcategories'!$B$2:$B$70,0))</f>
        <v>1</v>
      </c>
      <c r="H42" s="164" t="s">
        <v>1234</v>
      </c>
      <c r="I42" s="164"/>
      <c r="J42" s="164"/>
    </row>
    <row r="43" spans="1:10" ht="10.5" customHeight="1" x14ac:dyDescent="0.25">
      <c r="A43" s="165" t="str">
        <f>'ENIGHUR Consumption items'!H44</f>
        <v>01.1.1.520</v>
      </c>
      <c r="B43" s="165" t="str">
        <f>'ENIGHUR Consumption items'!J44</f>
        <v>Soya</v>
      </c>
      <c r="C43" s="168">
        <v>43</v>
      </c>
      <c r="D43" s="167" t="str">
        <f>IFERROR(VLOOKUP(C43,'symmetric IOT 245 2012'!$C$6:$D$276,2,FALSE),"")</f>
        <v>Soya</v>
      </c>
      <c r="E43" s="159">
        <f>INDEX('Dictionary Categories'!$A$2:$A$25,MATCH(F43,'Dictionary Categories'!$B$2:$B$25,0))</f>
        <v>1</v>
      </c>
      <c r="F43" s="164" t="s">
        <v>2470</v>
      </c>
      <c r="G43" s="164">
        <f>INDEX('Dictionary Subcategories'!$A$2:$A$70,MATCH(H43,'Dictionary Subcategories'!$B$2:$B$70,0))</f>
        <v>1</v>
      </c>
      <c r="H43" s="164" t="s">
        <v>1234</v>
      </c>
      <c r="I43" s="164"/>
      <c r="J43" s="164"/>
    </row>
    <row r="44" spans="1:10" ht="10.5" customHeight="1" x14ac:dyDescent="0.25">
      <c r="A44" s="165" t="str">
        <f>'ENIGHUR Consumption items'!H45</f>
        <v>01.1.1.521</v>
      </c>
      <c r="B44" s="165" t="str">
        <f>'ENIGHUR Consumption items'!J45</f>
        <v>Trigo y germen de trigo</v>
      </c>
      <c r="C44" s="168">
        <v>4</v>
      </c>
      <c r="D44" s="167" t="str">
        <f>IFERROR(VLOOKUP(C44,'symmetric IOT 245 2012'!$C$6:$D$276,2,FALSE),"")</f>
        <v>Trigo</v>
      </c>
      <c r="E44" s="159">
        <f>INDEX('Dictionary Categories'!$A$2:$A$25,MATCH(F44,'Dictionary Categories'!$B$2:$B$25,0))</f>
        <v>1</v>
      </c>
      <c r="F44" s="164" t="s">
        <v>2470</v>
      </c>
      <c r="G44" s="164">
        <f>INDEX('Dictionary Subcategories'!$A$2:$A$70,MATCH(H44,'Dictionary Subcategories'!$B$2:$B$70,0))</f>
        <v>1</v>
      </c>
      <c r="H44" s="164" t="s">
        <v>1234</v>
      </c>
      <c r="I44" s="164"/>
      <c r="J44" s="164"/>
    </row>
    <row r="45" spans="1:10" ht="10.5" customHeight="1" x14ac:dyDescent="0.25">
      <c r="A45" s="165" t="str">
        <f>'ENIGHUR Consumption items'!H46</f>
        <v>01.1.1.599</v>
      </c>
      <c r="B45" s="165" t="str">
        <f>'ENIGHUR Consumption items'!J46</f>
        <v>Otros cereales y derivados</v>
      </c>
      <c r="C45" s="168">
        <v>10</v>
      </c>
      <c r="D45" s="167" t="str">
        <f>IFERROR(VLOOKUP(C45,'symmetric IOT 245 2012'!$C$6:$D$276,2,FALSE),"")</f>
        <v>Otros cereales n.c.p.</v>
      </c>
      <c r="E45" s="159">
        <f>INDEX('Dictionary Categories'!$A$2:$A$25,MATCH(F45,'Dictionary Categories'!$B$2:$B$25,0))</f>
        <v>1</v>
      </c>
      <c r="F45" s="164" t="s">
        <v>2470</v>
      </c>
      <c r="G45" s="164">
        <f>INDEX('Dictionary Subcategories'!$A$2:$A$70,MATCH(H45,'Dictionary Subcategories'!$B$2:$B$70,0))</f>
        <v>1</v>
      </c>
      <c r="H45" s="164" t="s">
        <v>1234</v>
      </c>
      <c r="I45" s="164"/>
      <c r="J45" s="164"/>
    </row>
    <row r="46" spans="1:10" ht="10.5" customHeight="1" x14ac:dyDescent="0.25">
      <c r="A46" s="165" t="str">
        <f>'ENIGHUR Consumption items'!H47</f>
        <v>01.1.2</v>
      </c>
      <c r="B46" s="165" t="str">
        <f>'ENIGHUR Consumption items'!J47</f>
        <v>CARNES FRESCAS Y CONGELADAS</v>
      </c>
      <c r="C46" s="168" t="s">
        <v>2389</v>
      </c>
      <c r="D46" s="167" t="str">
        <f>IFERROR(VLOOKUP(C46,'symmetric IOT 245 2012'!$C$6:$D$276,2,FALSE),"")</f>
        <v>matched on SC/SSC level</v>
      </c>
      <c r="E46" s="159">
        <f>INDEX('Dictionary Categories'!$A$2:$A$25,MATCH(F46,'Dictionary Categories'!$B$2:$B$25,0))</f>
        <v>1</v>
      </c>
      <c r="F46" s="164" t="s">
        <v>2470</v>
      </c>
      <c r="G46" s="164">
        <f>INDEX('Dictionary Subcategories'!$A$2:$A$70,MATCH(H46,'Dictionary Subcategories'!$B$2:$B$70,0))</f>
        <v>2</v>
      </c>
      <c r="H46" s="164" t="s">
        <v>1228</v>
      </c>
      <c r="I46" s="164"/>
      <c r="J46" s="164"/>
    </row>
    <row r="47" spans="1:10" ht="10.5" customHeight="1" x14ac:dyDescent="0.25">
      <c r="A47" s="165" t="str">
        <f>'ENIGHUR Consumption items'!H48</f>
        <v>01.1.2.000</v>
      </c>
      <c r="B47" s="165" t="str">
        <f>'ENIGHUR Consumption items'!J48</f>
        <v>Carne de bovino fresca, refrigerada o congelada</v>
      </c>
      <c r="C47" s="168">
        <v>83</v>
      </c>
      <c r="D47" s="167" t="str">
        <f>IFERROR(VLOOKUP(C47,'symmetric IOT 245 2012'!$C$6:$D$276,2,FALSE),"")</f>
        <v>Carne de ganado bovino y Despojos comestibles de mamíferos y Otros productos y subproductos de la carne n.c.p.</v>
      </c>
      <c r="E47" s="159">
        <f>INDEX('Dictionary Categories'!$A$2:$A$25,MATCH(F47,'Dictionary Categories'!$B$2:$B$25,0))</f>
        <v>1</v>
      </c>
      <c r="F47" s="164" t="s">
        <v>2470</v>
      </c>
      <c r="G47" s="164">
        <f>INDEX('Dictionary Subcategories'!$A$2:$A$70,MATCH(H47,'Dictionary Subcategories'!$B$2:$B$70,0))</f>
        <v>2</v>
      </c>
      <c r="H47" s="164" t="s">
        <v>1228</v>
      </c>
      <c r="I47" s="164"/>
      <c r="J47" s="164"/>
    </row>
    <row r="48" spans="1:10" ht="10.5" customHeight="1" x14ac:dyDescent="0.25">
      <c r="A48" s="165" t="str">
        <f>'ENIGHUR Consumption items'!H49</f>
        <v>01.1.2.100</v>
      </c>
      <c r="B48" s="165" t="str">
        <f>'ENIGHUR Consumption items'!J49</f>
        <v>Carne de porcino fresca, refrigerada o congelada</v>
      </c>
      <c r="C48" s="168">
        <v>84</v>
      </c>
      <c r="D48" s="167" t="str">
        <f>IFERROR(VLOOKUP(C48,'symmetric IOT 245 2012'!$C$6:$D$276,2,FALSE),"")</f>
        <v>Carne de ganado porcino , con grasas animales en bruto (incluye manteca de cerdo) y despojos comestibles de mamíferos</v>
      </c>
      <c r="E48" s="159">
        <f>INDEX('Dictionary Categories'!$A$2:$A$25,MATCH(F48,'Dictionary Categories'!$B$2:$B$25,0))</f>
        <v>1</v>
      </c>
      <c r="F48" s="164" t="s">
        <v>2470</v>
      </c>
      <c r="G48" s="164">
        <f>INDEX('Dictionary Subcategories'!$A$2:$A$70,MATCH(H48,'Dictionary Subcategories'!$B$2:$B$70,0))</f>
        <v>2</v>
      </c>
      <c r="H48" s="164" t="s">
        <v>1228</v>
      </c>
      <c r="I48" s="164"/>
      <c r="J48" s="164"/>
    </row>
    <row r="49" spans="1:10" ht="10.5" customHeight="1" x14ac:dyDescent="0.25">
      <c r="A49" s="165" t="str">
        <f>'ENIGHUR Consumption items'!H50</f>
        <v>01.1.2.200</v>
      </c>
      <c r="B49" s="165" t="str">
        <f>'ENIGHUR Consumption items'!J50</f>
        <v>Carne de ovino y caprino fresca, refrigerada o congelada</v>
      </c>
      <c r="C49" s="168">
        <v>85</v>
      </c>
      <c r="D49" s="167" t="str">
        <f>IFERROR(VLOOKUP(C49,'symmetric IOT 245 2012'!$C$6:$D$276,2,FALSE),"")</f>
        <v>Carne de otro tipo de ganado n.c.p. y despojos comestibles de mamíferos</v>
      </c>
      <c r="E49" s="159">
        <f>INDEX('Dictionary Categories'!$A$2:$A$25,MATCH(F49,'Dictionary Categories'!$B$2:$B$25,0))</f>
        <v>1</v>
      </c>
      <c r="F49" s="164" t="s">
        <v>2470</v>
      </c>
      <c r="G49" s="164">
        <f>INDEX('Dictionary Subcategories'!$A$2:$A$70,MATCH(H49,'Dictionary Subcategories'!$B$2:$B$70,0))</f>
        <v>2</v>
      </c>
      <c r="H49" s="164" t="s">
        <v>1228</v>
      </c>
      <c r="I49" s="164"/>
      <c r="J49" s="164"/>
    </row>
    <row r="50" spans="1:10" ht="10.5" customHeight="1" x14ac:dyDescent="0.25">
      <c r="A50" s="165" t="str">
        <f>'ENIGHUR Consumption items'!H51</f>
        <v>01.1.2.300</v>
      </c>
      <c r="B50" s="165" t="str">
        <f>'ENIGHUR Consumption items'!J51</f>
        <v>Carne de aves fresca, refrigerada o congelada</v>
      </c>
      <c r="C50" s="168">
        <v>86</v>
      </c>
      <c r="D50" s="167" t="str">
        <f>IFERROR(VLOOKUP(C50,'symmetric IOT 245 2012'!$C$6:$D$276,2,FALSE),"")</f>
        <v>Carne de pollo y Carne de otras aves de corral y despojos de aves de corral</v>
      </c>
      <c r="E50" s="159">
        <f>INDEX('Dictionary Categories'!$A$2:$A$25,MATCH(F50,'Dictionary Categories'!$B$2:$B$25,0))</f>
        <v>1</v>
      </c>
      <c r="F50" s="164" t="s">
        <v>2470</v>
      </c>
      <c r="G50" s="164">
        <f>INDEX('Dictionary Subcategories'!$A$2:$A$70,MATCH(H50,'Dictionary Subcategories'!$B$2:$B$70,0))</f>
        <v>2</v>
      </c>
      <c r="H50" s="164" t="s">
        <v>1228</v>
      </c>
      <c r="I50" s="164"/>
      <c r="J50" s="164"/>
    </row>
    <row r="51" spans="1:10" ht="10.5" customHeight="1" x14ac:dyDescent="0.25">
      <c r="A51" s="165" t="str">
        <f>'ENIGHUR Consumption items'!H52</f>
        <v>01.1.2.400</v>
      </c>
      <c r="B51" s="165" t="str">
        <f>'ENIGHUR Consumption items'!J52</f>
        <v>Carne de otros animales fresca, refrigerada o congelada</v>
      </c>
      <c r="C51" s="168">
        <v>85</v>
      </c>
      <c r="D51" s="167" t="str">
        <f>IFERROR(VLOOKUP(C51,'symmetric IOT 245 2012'!$C$6:$D$276,2,FALSE),"")</f>
        <v>Carne de otro tipo de ganado n.c.p. y despojos comestibles de mamíferos</v>
      </c>
      <c r="E51" s="159">
        <f>INDEX('Dictionary Categories'!$A$2:$A$25,MATCH(F51,'Dictionary Categories'!$B$2:$B$25,0))</f>
        <v>1</v>
      </c>
      <c r="F51" s="164" t="s">
        <v>2470</v>
      </c>
      <c r="G51" s="164">
        <f>INDEX('Dictionary Subcategories'!$A$2:$A$70,MATCH(H51,'Dictionary Subcategories'!$B$2:$B$70,0))</f>
        <v>2</v>
      </c>
      <c r="H51" s="164" t="s">
        <v>1228</v>
      </c>
      <c r="I51" s="164"/>
      <c r="J51" s="164"/>
    </row>
    <row r="52" spans="1:10" ht="10.5" customHeight="1" x14ac:dyDescent="0.25">
      <c r="A52" s="165" t="str">
        <f>'ENIGHUR Consumption items'!H53</f>
        <v>01.1.2.500</v>
      </c>
      <c r="B52" s="165" t="str">
        <f>'ENIGHUR Consumption items'!J53</f>
        <v>Carnes preparadas y procesadas</v>
      </c>
      <c r="C52" s="168">
        <v>87</v>
      </c>
      <c r="D52" s="167" t="str">
        <f>IFERROR(VLOOKUP(C52,'symmetric IOT 245 2012'!$C$6:$D$276,2,FALSE),"")</f>
        <v>Embutidos, conservas y preparados de carne</v>
      </c>
      <c r="E52" s="159">
        <f>INDEX('Dictionary Categories'!$A$2:$A$25,MATCH(F52,'Dictionary Categories'!$B$2:$B$25,0))</f>
        <v>1</v>
      </c>
      <c r="F52" s="164" t="s">
        <v>2470</v>
      </c>
      <c r="G52" s="164">
        <f>INDEX('Dictionary Subcategories'!$A$2:$A$70,MATCH(H52,'Dictionary Subcategories'!$B$2:$B$70,0))</f>
        <v>2</v>
      </c>
      <c r="H52" s="164" t="s">
        <v>1228</v>
      </c>
      <c r="I52" s="164"/>
      <c r="J52" s="164"/>
    </row>
    <row r="53" spans="1:10" ht="10.5" customHeight="1" x14ac:dyDescent="0.25">
      <c r="A53" s="165" t="str">
        <f>'ENIGHUR Consumption items'!H54</f>
        <v>01.1.3</v>
      </c>
      <c r="B53" s="165" t="str">
        <f>'ENIGHUR Consumption items'!J54</f>
        <v>PESCADOS Y MARISCOS FRESCOS, PROCESADOS</v>
      </c>
      <c r="C53" s="168" t="s">
        <v>2389</v>
      </c>
      <c r="D53" s="167" t="str">
        <f>IFERROR(VLOOKUP(C53,'symmetric IOT 245 2012'!$C$6:$D$276,2,FALSE),"")</f>
        <v>matched on SC/SSC level</v>
      </c>
      <c r="E53" s="159">
        <f>INDEX('Dictionary Categories'!$A$2:$A$25,MATCH(F53,'Dictionary Categories'!$B$2:$B$25,0))</f>
        <v>1</v>
      </c>
      <c r="F53" s="164" t="s">
        <v>2470</v>
      </c>
      <c r="G53" s="164">
        <f>INDEX('Dictionary Subcategories'!$A$2:$A$70,MATCH(H53,'Dictionary Subcategories'!$B$2:$B$70,0))</f>
        <v>2</v>
      </c>
      <c r="H53" s="164" t="s">
        <v>1228</v>
      </c>
      <c r="I53" s="164"/>
      <c r="J53" s="164"/>
    </row>
    <row r="54" spans="1:10" ht="10.5" customHeight="1" x14ac:dyDescent="0.25">
      <c r="A54" s="165" t="str">
        <f>'ENIGHUR Consumption items'!H55</f>
        <v>01.1.3.000</v>
      </c>
      <c r="B54" s="165" t="str">
        <f>'ENIGHUR Consumption items'!J55</f>
        <v>Pescados frescos, refrigerados y congeladas</v>
      </c>
      <c r="C54" s="168">
        <v>71</v>
      </c>
      <c r="D54" s="167" t="str">
        <f>IFERROR(VLOOKUP(C54,'symmetric IOT 245 2012'!$C$6:$D$276,2,FALSE),"")</f>
        <v>Pescado vivo, fresco o refrigerado (excepto atún)</v>
      </c>
      <c r="E54" s="159">
        <f>INDEX('Dictionary Categories'!$A$2:$A$25,MATCH(F54,'Dictionary Categories'!$B$2:$B$25,0))</f>
        <v>1</v>
      </c>
      <c r="F54" s="164" t="s">
        <v>2470</v>
      </c>
      <c r="G54" s="164">
        <f>INDEX('Dictionary Subcategories'!$A$2:$A$70,MATCH(H54,'Dictionary Subcategories'!$B$2:$B$70,0))</f>
        <v>2</v>
      </c>
      <c r="H54" s="164" t="s">
        <v>1228</v>
      </c>
      <c r="I54" s="164"/>
      <c r="J54" s="164"/>
    </row>
    <row r="55" spans="1:10" ht="10.5" customHeight="1" x14ac:dyDescent="0.25">
      <c r="A55" s="165" t="str">
        <f>'ENIGHUR Consumption items'!H56</f>
        <v>01.1.3.001</v>
      </c>
      <c r="B55" s="165" t="str">
        <f>'ENIGHUR Consumption items'!J56</f>
        <v>Albacora</v>
      </c>
      <c r="C55" s="168">
        <v>71</v>
      </c>
      <c r="D55" s="167" t="str">
        <f>IFERROR(VLOOKUP(C55,'symmetric IOT 245 2012'!$C$6:$D$276,2,FALSE),"")</f>
        <v>Pescado vivo, fresco o refrigerado (excepto atún)</v>
      </c>
      <c r="E55" s="159">
        <f>INDEX('Dictionary Categories'!$A$2:$A$25,MATCH(F55,'Dictionary Categories'!$B$2:$B$25,0))</f>
        <v>1</v>
      </c>
      <c r="F55" s="164" t="s">
        <v>2470</v>
      </c>
      <c r="G55" s="164">
        <f>INDEX('Dictionary Subcategories'!$A$2:$A$70,MATCH(H55,'Dictionary Subcategories'!$B$2:$B$70,0))</f>
        <v>3</v>
      </c>
      <c r="H55" s="164" t="s">
        <v>1229</v>
      </c>
      <c r="I55" s="164"/>
      <c r="J55" s="164"/>
    </row>
    <row r="56" spans="1:10" ht="10.5" customHeight="1" x14ac:dyDescent="0.25">
      <c r="A56" s="165" t="str">
        <f>'ENIGHUR Consumption items'!H57</f>
        <v>01.1.3.002</v>
      </c>
      <c r="B56" s="165" t="str">
        <f>'ENIGHUR Consumption items'!J57</f>
        <v>Ancas de Rana</v>
      </c>
      <c r="C56" s="168">
        <v>71</v>
      </c>
      <c r="D56" s="167" t="str">
        <f>IFERROR(VLOOKUP(C56,'symmetric IOT 245 2012'!$C$6:$D$276,2,FALSE),"")</f>
        <v>Pescado vivo, fresco o refrigerado (excepto atún)</v>
      </c>
      <c r="E56" s="159">
        <f>INDEX('Dictionary Categories'!$A$2:$A$25,MATCH(F56,'Dictionary Categories'!$B$2:$B$25,0))</f>
        <v>1</v>
      </c>
      <c r="F56" s="164" t="s">
        <v>2470</v>
      </c>
      <c r="G56" s="164">
        <f>INDEX('Dictionary Subcategories'!$A$2:$A$70,MATCH(H56,'Dictionary Subcategories'!$B$2:$B$70,0))</f>
        <v>3</v>
      </c>
      <c r="H56" s="164" t="s">
        <v>1229</v>
      </c>
      <c r="I56" s="164"/>
      <c r="J56" s="164"/>
    </row>
    <row r="57" spans="1:10" ht="10.5" customHeight="1" x14ac:dyDescent="0.25">
      <c r="A57" s="165" t="str">
        <f>'ENIGHUR Consumption items'!H58</f>
        <v>01.1.3.003</v>
      </c>
      <c r="B57" s="165" t="str">
        <f>'ENIGHUR Consumption items'!J58</f>
        <v>Anchoas</v>
      </c>
      <c r="C57" s="168">
        <v>71</v>
      </c>
      <c r="D57" s="167" t="str">
        <f>IFERROR(VLOOKUP(C57,'symmetric IOT 245 2012'!$C$6:$D$276,2,FALSE),"")</f>
        <v>Pescado vivo, fresco o refrigerado (excepto atún)</v>
      </c>
      <c r="E57" s="159">
        <f>INDEX('Dictionary Categories'!$A$2:$A$25,MATCH(F57,'Dictionary Categories'!$B$2:$B$25,0))</f>
        <v>1</v>
      </c>
      <c r="F57" s="164" t="s">
        <v>2470</v>
      </c>
      <c r="G57" s="164">
        <f>INDEX('Dictionary Subcategories'!$A$2:$A$70,MATCH(H57,'Dictionary Subcategories'!$B$2:$B$70,0))</f>
        <v>3</v>
      </c>
      <c r="H57" s="164" t="s">
        <v>1229</v>
      </c>
      <c r="I57" s="164"/>
      <c r="J57" s="164"/>
    </row>
    <row r="58" spans="1:10" ht="10.5" customHeight="1" x14ac:dyDescent="0.25">
      <c r="A58" s="165" t="str">
        <f>'ENIGHUR Consumption items'!H59</f>
        <v>01.1.3.004</v>
      </c>
      <c r="B58" s="165" t="str">
        <f>'ENIGHUR Consumption items'!J59</f>
        <v>Atún fresco</v>
      </c>
      <c r="C58" s="168">
        <v>70</v>
      </c>
      <c r="D58" s="167" t="str">
        <f>IFERROR(VLOOKUP(C58,'symmetric IOT 245 2012'!$C$6:$D$276,2,FALSE),"")</f>
        <v>Atún</v>
      </c>
      <c r="E58" s="159">
        <f>INDEX('Dictionary Categories'!$A$2:$A$25,MATCH(F58,'Dictionary Categories'!$B$2:$B$25,0))</f>
        <v>1</v>
      </c>
      <c r="F58" s="164" t="s">
        <v>2470</v>
      </c>
      <c r="G58" s="164">
        <f>INDEX('Dictionary Subcategories'!$A$2:$A$70,MATCH(H58,'Dictionary Subcategories'!$B$2:$B$70,0))</f>
        <v>3</v>
      </c>
      <c r="H58" s="164" t="s">
        <v>1229</v>
      </c>
      <c r="I58" s="164"/>
      <c r="J58" s="164"/>
    </row>
    <row r="59" spans="1:10" ht="10.5" customHeight="1" x14ac:dyDescent="0.25">
      <c r="A59" s="165" t="str">
        <f>'ENIGHUR Consumption items'!H60</f>
        <v>01.1.3.005</v>
      </c>
      <c r="B59" s="165" t="str">
        <f>'ENIGHUR Consumption items'!J60</f>
        <v>Bacalao</v>
      </c>
      <c r="C59" s="168">
        <v>71</v>
      </c>
      <c r="D59" s="167" t="str">
        <f>IFERROR(VLOOKUP(C59,'symmetric IOT 245 2012'!$C$6:$D$276,2,FALSE),"")</f>
        <v>Pescado vivo, fresco o refrigerado (excepto atún)</v>
      </c>
      <c r="E59" s="159">
        <f>INDEX('Dictionary Categories'!$A$2:$A$25,MATCH(F59,'Dictionary Categories'!$B$2:$B$25,0))</f>
        <v>1</v>
      </c>
      <c r="F59" s="164" t="s">
        <v>2470</v>
      </c>
      <c r="G59" s="164">
        <f>INDEX('Dictionary Subcategories'!$A$2:$A$70,MATCH(H59,'Dictionary Subcategories'!$B$2:$B$70,0))</f>
        <v>3</v>
      </c>
      <c r="H59" s="164" t="s">
        <v>1229</v>
      </c>
      <c r="I59" s="164"/>
      <c r="J59" s="164"/>
    </row>
    <row r="60" spans="1:10" ht="10.5" customHeight="1" x14ac:dyDescent="0.25">
      <c r="A60" s="165" t="str">
        <f>'ENIGHUR Consumption items'!H61</f>
        <v>01.1.3.006</v>
      </c>
      <c r="B60" s="165" t="str">
        <f>'ENIGHUR Consumption items'!J61</f>
        <v>Bagre</v>
      </c>
      <c r="C60" s="168">
        <v>71</v>
      </c>
      <c r="D60" s="167" t="str">
        <f>IFERROR(VLOOKUP(C60,'symmetric IOT 245 2012'!$C$6:$D$276,2,FALSE),"")</f>
        <v>Pescado vivo, fresco o refrigerado (excepto atún)</v>
      </c>
      <c r="E60" s="159">
        <f>INDEX('Dictionary Categories'!$A$2:$A$25,MATCH(F60,'Dictionary Categories'!$B$2:$B$25,0))</f>
        <v>1</v>
      </c>
      <c r="F60" s="164" t="s">
        <v>2470</v>
      </c>
      <c r="G60" s="164">
        <f>INDEX('Dictionary Subcategories'!$A$2:$A$70,MATCH(H60,'Dictionary Subcategories'!$B$2:$B$70,0))</f>
        <v>3</v>
      </c>
      <c r="H60" s="164" t="s">
        <v>1229</v>
      </c>
      <c r="I60" s="164"/>
      <c r="J60" s="164"/>
    </row>
    <row r="61" spans="1:10" ht="10.5" customHeight="1" x14ac:dyDescent="0.25">
      <c r="A61" s="165" t="str">
        <f>'ENIGHUR Consumption items'!H62</f>
        <v>01.1.3.007</v>
      </c>
      <c r="B61" s="165" t="str">
        <f>'ENIGHUR Consumption items'!J62</f>
        <v>Bocachico</v>
      </c>
      <c r="C61" s="168">
        <v>71</v>
      </c>
      <c r="D61" s="167" t="str">
        <f>IFERROR(VLOOKUP(C61,'symmetric IOT 245 2012'!$C$6:$D$276,2,FALSE),"")</f>
        <v>Pescado vivo, fresco o refrigerado (excepto atún)</v>
      </c>
      <c r="E61" s="159">
        <f>INDEX('Dictionary Categories'!$A$2:$A$25,MATCH(F61,'Dictionary Categories'!$B$2:$B$25,0))</f>
        <v>1</v>
      </c>
      <c r="F61" s="164" t="s">
        <v>2470</v>
      </c>
      <c r="G61" s="164">
        <f>INDEX('Dictionary Subcategories'!$A$2:$A$70,MATCH(H61,'Dictionary Subcategories'!$B$2:$B$70,0))</f>
        <v>3</v>
      </c>
      <c r="H61" s="164" t="s">
        <v>1229</v>
      </c>
      <c r="I61" s="164"/>
      <c r="J61" s="164"/>
    </row>
    <row r="62" spans="1:10" ht="10.5" customHeight="1" x14ac:dyDescent="0.25">
      <c r="A62" s="165" t="str">
        <f>'ENIGHUR Consumption items'!H63</f>
        <v>01.1.3.008</v>
      </c>
      <c r="B62" s="165" t="str">
        <f>'ENIGHUR Consumption items'!J63</f>
        <v>Camotillo</v>
      </c>
      <c r="C62" s="168">
        <v>71</v>
      </c>
      <c r="D62" s="167" t="str">
        <f>IFERROR(VLOOKUP(C62,'symmetric IOT 245 2012'!$C$6:$D$276,2,FALSE),"")</f>
        <v>Pescado vivo, fresco o refrigerado (excepto atún)</v>
      </c>
      <c r="E62" s="159">
        <f>INDEX('Dictionary Categories'!$A$2:$A$25,MATCH(F62,'Dictionary Categories'!$B$2:$B$25,0))</f>
        <v>1</v>
      </c>
      <c r="F62" s="164" t="s">
        <v>2470</v>
      </c>
      <c r="G62" s="164">
        <f>INDEX('Dictionary Subcategories'!$A$2:$A$70,MATCH(H62,'Dictionary Subcategories'!$B$2:$B$70,0))</f>
        <v>3</v>
      </c>
      <c r="H62" s="164" t="s">
        <v>1229</v>
      </c>
      <c r="I62" s="164"/>
      <c r="J62" s="164"/>
    </row>
    <row r="63" spans="1:10" ht="10.5" customHeight="1" x14ac:dyDescent="0.25">
      <c r="A63" s="165" t="str">
        <f>'ENIGHUR Consumption items'!H64</f>
        <v>01.1.3.009</v>
      </c>
      <c r="B63" s="165" t="str">
        <f>'ENIGHUR Consumption items'!J64</f>
        <v>Cherna</v>
      </c>
      <c r="C63" s="168">
        <v>71</v>
      </c>
      <c r="D63" s="167" t="str">
        <f>IFERROR(VLOOKUP(C63,'symmetric IOT 245 2012'!$C$6:$D$276,2,FALSE),"")</f>
        <v>Pescado vivo, fresco o refrigerado (excepto atún)</v>
      </c>
      <c r="E63" s="159">
        <f>INDEX('Dictionary Categories'!$A$2:$A$25,MATCH(F63,'Dictionary Categories'!$B$2:$B$25,0))</f>
        <v>1</v>
      </c>
      <c r="F63" s="164" t="s">
        <v>2470</v>
      </c>
      <c r="G63" s="164">
        <f>INDEX('Dictionary Subcategories'!$A$2:$A$70,MATCH(H63,'Dictionary Subcategories'!$B$2:$B$70,0))</f>
        <v>3</v>
      </c>
      <c r="H63" s="164" t="s">
        <v>1229</v>
      </c>
      <c r="I63" s="164"/>
      <c r="J63" s="164"/>
    </row>
    <row r="64" spans="1:10" ht="10.5" customHeight="1" x14ac:dyDescent="0.25">
      <c r="A64" s="165" t="str">
        <f>'ENIGHUR Consumption items'!H65</f>
        <v>01.1.3.010</v>
      </c>
      <c r="B64" s="165" t="str">
        <f>'ENIGHUR Consumption items'!J65</f>
        <v>Corvina de mar</v>
      </c>
      <c r="C64" s="168">
        <v>71</v>
      </c>
      <c r="D64" s="167" t="str">
        <f>IFERROR(VLOOKUP(C64,'symmetric IOT 245 2012'!$C$6:$D$276,2,FALSE),"")</f>
        <v>Pescado vivo, fresco o refrigerado (excepto atún)</v>
      </c>
      <c r="E64" s="159">
        <f>INDEX('Dictionary Categories'!$A$2:$A$25,MATCH(F64,'Dictionary Categories'!$B$2:$B$25,0))</f>
        <v>1</v>
      </c>
      <c r="F64" s="164" t="s">
        <v>2470</v>
      </c>
      <c r="G64" s="164">
        <f>INDEX('Dictionary Subcategories'!$A$2:$A$70,MATCH(H64,'Dictionary Subcategories'!$B$2:$B$70,0))</f>
        <v>3</v>
      </c>
      <c r="H64" s="164" t="s">
        <v>1229</v>
      </c>
      <c r="I64" s="164"/>
      <c r="J64" s="164"/>
    </row>
    <row r="65" spans="1:10" ht="10.5" customHeight="1" x14ac:dyDescent="0.25">
      <c r="A65" s="165" t="str">
        <f>'ENIGHUR Consumption items'!H66</f>
        <v>01.1.3.011</v>
      </c>
      <c r="B65" s="165" t="str">
        <f>'ENIGHUR Consumption items'!J66</f>
        <v>Corvina de río</v>
      </c>
      <c r="C65" s="168">
        <v>71</v>
      </c>
      <c r="D65" s="167" t="str">
        <f>IFERROR(VLOOKUP(C65,'symmetric IOT 245 2012'!$C$6:$D$276,2,FALSE),"")</f>
        <v>Pescado vivo, fresco o refrigerado (excepto atún)</v>
      </c>
      <c r="E65" s="159">
        <f>INDEX('Dictionary Categories'!$A$2:$A$25,MATCH(F65,'Dictionary Categories'!$B$2:$B$25,0))</f>
        <v>1</v>
      </c>
      <c r="F65" s="164" t="s">
        <v>2470</v>
      </c>
      <c r="G65" s="164">
        <f>INDEX('Dictionary Subcategories'!$A$2:$A$70,MATCH(H65,'Dictionary Subcategories'!$B$2:$B$70,0))</f>
        <v>3</v>
      </c>
      <c r="H65" s="164" t="s">
        <v>1229</v>
      </c>
      <c r="I65" s="164"/>
      <c r="J65" s="164"/>
    </row>
    <row r="66" spans="1:10" ht="10.5" customHeight="1" x14ac:dyDescent="0.25">
      <c r="A66" s="165" t="str">
        <f>'ENIGHUR Consumption items'!H67</f>
        <v>01.1.3.012</v>
      </c>
      <c r="B66" s="165" t="str">
        <f>'ENIGHUR Consumption items'!J67</f>
        <v>Dorado</v>
      </c>
      <c r="C66" s="168">
        <v>71</v>
      </c>
      <c r="D66" s="167" t="str">
        <f>IFERROR(VLOOKUP(C66,'symmetric IOT 245 2012'!$C$6:$D$276,2,FALSE),"")</f>
        <v>Pescado vivo, fresco o refrigerado (excepto atún)</v>
      </c>
      <c r="E66" s="159">
        <f>INDEX('Dictionary Categories'!$A$2:$A$25,MATCH(F66,'Dictionary Categories'!$B$2:$B$25,0))</f>
        <v>1</v>
      </c>
      <c r="F66" s="164" t="s">
        <v>2470</v>
      </c>
      <c r="G66" s="164">
        <f>INDEX('Dictionary Subcategories'!$A$2:$A$70,MATCH(H66,'Dictionary Subcategories'!$B$2:$B$70,0))</f>
        <v>3</v>
      </c>
      <c r="H66" s="164" t="s">
        <v>1229</v>
      </c>
      <c r="I66" s="164"/>
      <c r="J66" s="164"/>
    </row>
    <row r="67" spans="1:10" ht="10.5" customHeight="1" x14ac:dyDescent="0.25">
      <c r="A67" s="165" t="str">
        <f>'ENIGHUR Consumption items'!H68</f>
        <v>01.1.3.013</v>
      </c>
      <c r="B67" s="165" t="str">
        <f>'ENIGHUR Consumption items'!J68</f>
        <v>Lenguado</v>
      </c>
      <c r="C67" s="168">
        <v>71</v>
      </c>
      <c r="D67" s="167" t="str">
        <f>IFERROR(VLOOKUP(C67,'symmetric IOT 245 2012'!$C$6:$D$276,2,FALSE),"")</f>
        <v>Pescado vivo, fresco o refrigerado (excepto atún)</v>
      </c>
      <c r="E67" s="159">
        <f>INDEX('Dictionary Categories'!$A$2:$A$25,MATCH(F67,'Dictionary Categories'!$B$2:$B$25,0))</f>
        <v>1</v>
      </c>
      <c r="F67" s="164" t="s">
        <v>2470</v>
      </c>
      <c r="G67" s="164">
        <f>INDEX('Dictionary Subcategories'!$A$2:$A$70,MATCH(H67,'Dictionary Subcategories'!$B$2:$B$70,0))</f>
        <v>3</v>
      </c>
      <c r="H67" s="164" t="s">
        <v>1229</v>
      </c>
      <c r="I67" s="164"/>
      <c r="J67" s="164"/>
    </row>
    <row r="68" spans="1:10" ht="10.5" customHeight="1" x14ac:dyDescent="0.25">
      <c r="A68" s="165" t="str">
        <f>'ENIGHUR Consumption items'!H69</f>
        <v>01.1.3.014</v>
      </c>
      <c r="B68" s="165" t="str">
        <f>'ENIGHUR Consumption items'!J69</f>
        <v>Lisa</v>
      </c>
      <c r="C68" s="168">
        <v>71</v>
      </c>
      <c r="D68" s="167" t="str">
        <f>IFERROR(VLOOKUP(C68,'symmetric IOT 245 2012'!$C$6:$D$276,2,FALSE),"")</f>
        <v>Pescado vivo, fresco o refrigerado (excepto atún)</v>
      </c>
      <c r="E68" s="159">
        <f>INDEX('Dictionary Categories'!$A$2:$A$25,MATCH(F68,'Dictionary Categories'!$B$2:$B$25,0))</f>
        <v>1</v>
      </c>
      <c r="F68" s="164" t="s">
        <v>2470</v>
      </c>
      <c r="G68" s="164">
        <f>INDEX('Dictionary Subcategories'!$A$2:$A$70,MATCH(H68,'Dictionary Subcategories'!$B$2:$B$70,0))</f>
        <v>3</v>
      </c>
      <c r="H68" s="164" t="s">
        <v>1229</v>
      </c>
      <c r="I68" s="164"/>
      <c r="J68" s="164"/>
    </row>
    <row r="69" spans="1:10" ht="10.5" customHeight="1" x14ac:dyDescent="0.25">
      <c r="A69" s="165" t="str">
        <f>'ENIGHUR Consumption items'!H70</f>
        <v>01.1.3.015</v>
      </c>
      <c r="B69" s="165" t="str">
        <f>'ENIGHUR Consumption items'!J70</f>
        <v>Merluza</v>
      </c>
      <c r="C69" s="168">
        <v>71</v>
      </c>
      <c r="D69" s="167" t="str">
        <f>IFERROR(VLOOKUP(C69,'symmetric IOT 245 2012'!$C$6:$D$276,2,FALSE),"")</f>
        <v>Pescado vivo, fresco o refrigerado (excepto atún)</v>
      </c>
      <c r="E69" s="159">
        <f>INDEX('Dictionary Categories'!$A$2:$A$25,MATCH(F69,'Dictionary Categories'!$B$2:$B$25,0))</f>
        <v>1</v>
      </c>
      <c r="F69" s="164" t="s">
        <v>2470</v>
      </c>
      <c r="G69" s="164">
        <f>INDEX('Dictionary Subcategories'!$A$2:$A$70,MATCH(H69,'Dictionary Subcategories'!$B$2:$B$70,0))</f>
        <v>3</v>
      </c>
      <c r="H69" s="164" t="s">
        <v>1229</v>
      </c>
      <c r="I69" s="164"/>
      <c r="J69" s="164"/>
    </row>
    <row r="70" spans="1:10" ht="10.5" customHeight="1" x14ac:dyDescent="0.25">
      <c r="A70" s="165" t="str">
        <f>'ENIGHUR Consumption items'!H71</f>
        <v>01.1.3.016</v>
      </c>
      <c r="B70" s="165" t="str">
        <f>'ENIGHUR Consumption items'!J71</f>
        <v>Pargo</v>
      </c>
      <c r="C70" s="168">
        <v>71</v>
      </c>
      <c r="D70" s="167" t="str">
        <f>IFERROR(VLOOKUP(C70,'symmetric IOT 245 2012'!$C$6:$D$276,2,FALSE),"")</f>
        <v>Pescado vivo, fresco o refrigerado (excepto atún)</v>
      </c>
      <c r="E70" s="159">
        <f>INDEX('Dictionary Categories'!$A$2:$A$25,MATCH(F70,'Dictionary Categories'!$B$2:$B$25,0))</f>
        <v>1</v>
      </c>
      <c r="F70" s="164" t="s">
        <v>2470</v>
      </c>
      <c r="G70" s="164">
        <f>INDEX('Dictionary Subcategories'!$A$2:$A$70,MATCH(H70,'Dictionary Subcategories'!$B$2:$B$70,0))</f>
        <v>3</v>
      </c>
      <c r="H70" s="164" t="s">
        <v>1229</v>
      </c>
      <c r="I70" s="164"/>
      <c r="J70" s="164"/>
    </row>
    <row r="71" spans="1:10" ht="10.5" customHeight="1" x14ac:dyDescent="0.25">
      <c r="A71" s="165" t="str">
        <f>'ENIGHUR Consumption items'!H72</f>
        <v>01.1.3.017</v>
      </c>
      <c r="B71" s="165" t="str">
        <f>'ENIGHUR Consumption items'!J72</f>
        <v>Picudo</v>
      </c>
      <c r="C71" s="168">
        <v>71</v>
      </c>
      <c r="D71" s="167" t="str">
        <f>IFERROR(VLOOKUP(C71,'symmetric IOT 245 2012'!$C$6:$D$276,2,FALSE),"")</f>
        <v>Pescado vivo, fresco o refrigerado (excepto atún)</v>
      </c>
      <c r="E71" s="159">
        <f>INDEX('Dictionary Categories'!$A$2:$A$25,MATCH(F71,'Dictionary Categories'!$B$2:$B$25,0))</f>
        <v>1</v>
      </c>
      <c r="F71" s="164" t="s">
        <v>2470</v>
      </c>
      <c r="G71" s="164">
        <f>INDEX('Dictionary Subcategories'!$A$2:$A$70,MATCH(H71,'Dictionary Subcategories'!$B$2:$B$70,0))</f>
        <v>3</v>
      </c>
      <c r="H71" s="164" t="s">
        <v>1229</v>
      </c>
      <c r="I71" s="164"/>
      <c r="J71" s="164"/>
    </row>
    <row r="72" spans="1:10" ht="10.5" customHeight="1" x14ac:dyDescent="0.25">
      <c r="A72" s="165" t="str">
        <f>'ENIGHUR Consumption items'!H73</f>
        <v>01.1.3.018</v>
      </c>
      <c r="B72" s="165" t="str">
        <f>'ENIGHUR Consumption items'!J73</f>
        <v>Pinchagua</v>
      </c>
      <c r="C72" s="168">
        <v>71</v>
      </c>
      <c r="D72" s="167" t="str">
        <f>IFERROR(VLOOKUP(C72,'symmetric IOT 245 2012'!$C$6:$D$276,2,FALSE),"")</f>
        <v>Pescado vivo, fresco o refrigerado (excepto atún)</v>
      </c>
      <c r="E72" s="159">
        <f>INDEX('Dictionary Categories'!$A$2:$A$25,MATCH(F72,'Dictionary Categories'!$B$2:$B$25,0))</f>
        <v>1</v>
      </c>
      <c r="F72" s="164" t="s">
        <v>2470</v>
      </c>
      <c r="G72" s="164">
        <f>INDEX('Dictionary Subcategories'!$A$2:$A$70,MATCH(H72,'Dictionary Subcategories'!$B$2:$B$70,0))</f>
        <v>3</v>
      </c>
      <c r="H72" s="164" t="s">
        <v>1229</v>
      </c>
      <c r="I72" s="164"/>
      <c r="J72" s="164"/>
    </row>
    <row r="73" spans="1:10" ht="10.5" customHeight="1" x14ac:dyDescent="0.25">
      <c r="A73" s="165" t="str">
        <f>'ENIGHUR Consumption items'!H74</f>
        <v>01.1.3.019</v>
      </c>
      <c r="B73" s="165" t="str">
        <f>'ENIGHUR Consumption items'!J74</f>
        <v>Salmón</v>
      </c>
      <c r="C73" s="168">
        <v>71</v>
      </c>
      <c r="D73" s="167" t="str">
        <f>IFERROR(VLOOKUP(C73,'symmetric IOT 245 2012'!$C$6:$D$276,2,FALSE),"")</f>
        <v>Pescado vivo, fresco o refrigerado (excepto atún)</v>
      </c>
      <c r="E73" s="159">
        <f>INDEX('Dictionary Categories'!$A$2:$A$25,MATCH(F73,'Dictionary Categories'!$B$2:$B$25,0))</f>
        <v>1</v>
      </c>
      <c r="F73" s="164" t="s">
        <v>2470</v>
      </c>
      <c r="G73" s="164">
        <f>INDEX('Dictionary Subcategories'!$A$2:$A$70,MATCH(H73,'Dictionary Subcategories'!$B$2:$B$70,0))</f>
        <v>3</v>
      </c>
      <c r="H73" s="164" t="s">
        <v>1229</v>
      </c>
      <c r="I73" s="164"/>
      <c r="J73" s="164"/>
    </row>
    <row r="74" spans="1:10" ht="10.5" customHeight="1" x14ac:dyDescent="0.25">
      <c r="A74" s="165" t="str">
        <f>'ENIGHUR Consumption items'!H75</f>
        <v>01.1.3.020</v>
      </c>
      <c r="B74" s="165" t="str">
        <f>'ENIGHUR Consumption items'!J75</f>
        <v>Sierra</v>
      </c>
      <c r="C74" s="168">
        <v>71</v>
      </c>
      <c r="D74" s="167" t="str">
        <f>IFERROR(VLOOKUP(C74,'symmetric IOT 245 2012'!$C$6:$D$276,2,FALSE),"")</f>
        <v>Pescado vivo, fresco o refrigerado (excepto atún)</v>
      </c>
      <c r="E74" s="159">
        <f>INDEX('Dictionary Categories'!$A$2:$A$25,MATCH(F74,'Dictionary Categories'!$B$2:$B$25,0))</f>
        <v>1</v>
      </c>
      <c r="F74" s="164" t="s">
        <v>2470</v>
      </c>
      <c r="G74" s="164">
        <f>INDEX('Dictionary Subcategories'!$A$2:$A$70,MATCH(H74,'Dictionary Subcategories'!$B$2:$B$70,0))</f>
        <v>3</v>
      </c>
      <c r="H74" s="164" t="s">
        <v>1229</v>
      </c>
      <c r="I74" s="164"/>
      <c r="J74" s="164"/>
    </row>
    <row r="75" spans="1:10" ht="10.5" customHeight="1" x14ac:dyDescent="0.25">
      <c r="A75" s="165" t="str">
        <f>'ENIGHUR Consumption items'!H76</f>
        <v>01.1.3.021</v>
      </c>
      <c r="B75" s="165" t="str">
        <f>'ENIGHUR Consumption items'!J76</f>
        <v>Tilapia</v>
      </c>
      <c r="C75" s="168">
        <v>73</v>
      </c>
      <c r="D75" s="167" t="str">
        <f>IFERROR(VLOOKUP(C75,'symmetric IOT 245 2012'!$C$6:$D$276,2,FALSE),"")</f>
        <v>Tilapia</v>
      </c>
      <c r="E75" s="159">
        <f>INDEX('Dictionary Categories'!$A$2:$A$25,MATCH(F75,'Dictionary Categories'!$B$2:$B$25,0))</f>
        <v>1</v>
      </c>
      <c r="F75" s="164" t="s">
        <v>2470</v>
      </c>
      <c r="G75" s="164">
        <f>INDEX('Dictionary Subcategories'!$A$2:$A$70,MATCH(H75,'Dictionary Subcategories'!$B$2:$B$70,0))</f>
        <v>3</v>
      </c>
      <c r="H75" s="164" t="s">
        <v>1229</v>
      </c>
      <c r="I75" s="164"/>
      <c r="J75" s="164"/>
    </row>
    <row r="76" spans="1:10" ht="10.5" customHeight="1" x14ac:dyDescent="0.25">
      <c r="A76" s="165" t="str">
        <f>'ENIGHUR Consumption items'!H77</f>
        <v>01.1.3.022</v>
      </c>
      <c r="B76" s="165" t="str">
        <f>'ENIGHUR Consumption items'!J77</f>
        <v>Toyo (Tiburón)</v>
      </c>
      <c r="C76" s="168">
        <v>71</v>
      </c>
      <c r="D76" s="167" t="str">
        <f>IFERROR(VLOOKUP(C76,'symmetric IOT 245 2012'!$C$6:$D$276,2,FALSE),"")</f>
        <v>Pescado vivo, fresco o refrigerado (excepto atún)</v>
      </c>
      <c r="E76" s="159">
        <f>INDEX('Dictionary Categories'!$A$2:$A$25,MATCH(F76,'Dictionary Categories'!$B$2:$B$25,0))</f>
        <v>1</v>
      </c>
      <c r="F76" s="164" t="s">
        <v>2470</v>
      </c>
      <c r="G76" s="164">
        <f>INDEX('Dictionary Subcategories'!$A$2:$A$70,MATCH(H76,'Dictionary Subcategories'!$B$2:$B$70,0))</f>
        <v>3</v>
      </c>
      <c r="H76" s="164" t="s">
        <v>1229</v>
      </c>
      <c r="I76" s="164"/>
      <c r="J76" s="164"/>
    </row>
    <row r="77" spans="1:10" ht="10.5" customHeight="1" x14ac:dyDescent="0.25">
      <c r="A77" s="165" t="str">
        <f>'ENIGHUR Consumption items'!H78</f>
        <v>01.1.3.023</v>
      </c>
      <c r="B77" s="165" t="str">
        <f>'ENIGHUR Consumption items'!J78</f>
        <v>Trucha</v>
      </c>
      <c r="C77" s="168">
        <v>71</v>
      </c>
      <c r="D77" s="167" t="str">
        <f>IFERROR(VLOOKUP(C77,'symmetric IOT 245 2012'!$C$6:$D$276,2,FALSE),"")</f>
        <v>Pescado vivo, fresco o refrigerado (excepto atún)</v>
      </c>
      <c r="E77" s="159">
        <f>INDEX('Dictionary Categories'!$A$2:$A$25,MATCH(F77,'Dictionary Categories'!$B$2:$B$25,0))</f>
        <v>1</v>
      </c>
      <c r="F77" s="164" t="s">
        <v>2470</v>
      </c>
      <c r="G77" s="164">
        <f>INDEX('Dictionary Subcategories'!$A$2:$A$70,MATCH(H77,'Dictionary Subcategories'!$B$2:$B$70,0))</f>
        <v>3</v>
      </c>
      <c r="H77" s="164" t="s">
        <v>1229</v>
      </c>
      <c r="I77" s="164"/>
      <c r="J77" s="164"/>
    </row>
    <row r="78" spans="1:10" ht="10.5" customHeight="1" x14ac:dyDescent="0.25">
      <c r="A78" s="165" t="str">
        <f>'ENIGHUR Consumption items'!H79</f>
        <v>01.1.3.024</v>
      </c>
      <c r="B78" s="165" t="str">
        <f>'ENIGHUR Consumption items'!J79</f>
        <v>Vieja</v>
      </c>
      <c r="C78" s="168">
        <v>71</v>
      </c>
      <c r="D78" s="167" t="str">
        <f>IFERROR(VLOOKUP(C78,'symmetric IOT 245 2012'!$C$6:$D$276,2,FALSE),"")</f>
        <v>Pescado vivo, fresco o refrigerado (excepto atún)</v>
      </c>
      <c r="E78" s="159">
        <f>INDEX('Dictionary Categories'!$A$2:$A$25,MATCH(F78,'Dictionary Categories'!$B$2:$B$25,0))</f>
        <v>1</v>
      </c>
      <c r="F78" s="164" t="s">
        <v>2470</v>
      </c>
      <c r="G78" s="164">
        <f>INDEX('Dictionary Subcategories'!$A$2:$A$70,MATCH(H78,'Dictionary Subcategories'!$B$2:$B$70,0))</f>
        <v>3</v>
      </c>
      <c r="H78" s="164" t="s">
        <v>1229</v>
      </c>
      <c r="I78" s="164"/>
      <c r="J78" s="164"/>
    </row>
    <row r="79" spans="1:10" ht="10.5" customHeight="1" x14ac:dyDescent="0.25">
      <c r="A79" s="165" t="str">
        <f>'ENIGHUR Consumption items'!H80</f>
        <v>01.1.3.025</v>
      </c>
      <c r="B79" s="165" t="str">
        <f>'ENIGHUR Consumption items'!J80</f>
        <v>Robalo</v>
      </c>
      <c r="C79" s="168">
        <v>71</v>
      </c>
      <c r="D79" s="167" t="str">
        <f>IFERROR(VLOOKUP(C79,'symmetric IOT 245 2012'!$C$6:$D$276,2,FALSE),"")</f>
        <v>Pescado vivo, fresco o refrigerado (excepto atún)</v>
      </c>
      <c r="E79" s="159">
        <f>INDEX('Dictionary Categories'!$A$2:$A$25,MATCH(F79,'Dictionary Categories'!$B$2:$B$25,0))</f>
        <v>1</v>
      </c>
      <c r="F79" s="164" t="s">
        <v>2470</v>
      </c>
      <c r="G79" s="164">
        <f>INDEX('Dictionary Subcategories'!$A$2:$A$70,MATCH(H79,'Dictionary Subcategories'!$B$2:$B$70,0))</f>
        <v>3</v>
      </c>
      <c r="H79" s="164" t="s">
        <v>1229</v>
      </c>
      <c r="I79" s="164"/>
      <c r="J79" s="164"/>
    </row>
    <row r="80" spans="1:10" ht="10.5" customHeight="1" x14ac:dyDescent="0.25">
      <c r="A80" s="165" t="str">
        <f>'ENIGHUR Consumption items'!H81</f>
        <v>01.1.3.026</v>
      </c>
      <c r="B80" s="165" t="str">
        <f>'ENIGHUR Consumption items'!J81</f>
        <v>Pampanito</v>
      </c>
      <c r="C80" s="168">
        <v>71</v>
      </c>
      <c r="D80" s="167" t="str">
        <f>IFERROR(VLOOKUP(C80,'symmetric IOT 245 2012'!$C$6:$D$276,2,FALSE),"")</f>
        <v>Pescado vivo, fresco o refrigerado (excepto atún)</v>
      </c>
      <c r="E80" s="159">
        <f>INDEX('Dictionary Categories'!$A$2:$A$25,MATCH(F80,'Dictionary Categories'!$B$2:$B$25,0))</f>
        <v>1</v>
      </c>
      <c r="F80" s="164" t="s">
        <v>2470</v>
      </c>
      <c r="G80" s="164">
        <f>INDEX('Dictionary Subcategories'!$A$2:$A$70,MATCH(H80,'Dictionary Subcategories'!$B$2:$B$70,0))</f>
        <v>3</v>
      </c>
      <c r="H80" s="164" t="s">
        <v>1229</v>
      </c>
      <c r="I80" s="164"/>
      <c r="J80" s="164"/>
    </row>
    <row r="81" spans="1:10" ht="10.5" customHeight="1" x14ac:dyDescent="0.25">
      <c r="A81" s="165" t="str">
        <f>'ENIGHUR Consumption items'!H82</f>
        <v>01.1.3.027</v>
      </c>
      <c r="B81" s="165" t="str">
        <f>'ENIGHUR Consumption items'!J82</f>
        <v>Pescados de otras variedades (hojitas, caritas, etc.)</v>
      </c>
      <c r="C81" s="168">
        <v>71</v>
      </c>
      <c r="D81" s="167" t="str">
        <f>IFERROR(VLOOKUP(C81,'symmetric IOT 245 2012'!$C$6:$D$276,2,FALSE),"")</f>
        <v>Pescado vivo, fresco o refrigerado (excepto atún)</v>
      </c>
      <c r="E81" s="159">
        <f>INDEX('Dictionary Categories'!$A$2:$A$25,MATCH(F81,'Dictionary Categories'!$B$2:$B$25,0))</f>
        <v>1</v>
      </c>
      <c r="F81" s="164" t="s">
        <v>2470</v>
      </c>
      <c r="G81" s="164">
        <f>INDEX('Dictionary Subcategories'!$A$2:$A$70,MATCH(H81,'Dictionary Subcategories'!$B$2:$B$70,0))</f>
        <v>3</v>
      </c>
      <c r="H81" s="164" t="s">
        <v>1229</v>
      </c>
      <c r="I81" s="164"/>
      <c r="J81" s="164"/>
    </row>
    <row r="82" spans="1:10" ht="10.5" customHeight="1" x14ac:dyDescent="0.25">
      <c r="A82" s="165" t="str">
        <f>'ENIGHUR Consumption items'!H83</f>
        <v>01.1.3.099</v>
      </c>
      <c r="B82" s="165" t="str">
        <f>'ENIGHUR Consumption items'!J83</f>
        <v>Otros pescados frescos refrigerados y congelados</v>
      </c>
      <c r="C82" s="168">
        <v>71</v>
      </c>
      <c r="D82" s="167" t="str">
        <f>IFERROR(VLOOKUP(C82,'symmetric IOT 245 2012'!$C$6:$D$276,2,FALSE),"")</f>
        <v>Pescado vivo, fresco o refrigerado (excepto atún)</v>
      </c>
      <c r="E82" s="159">
        <f>INDEX('Dictionary Categories'!$A$2:$A$25,MATCH(F82,'Dictionary Categories'!$B$2:$B$25,0))</f>
        <v>1</v>
      </c>
      <c r="F82" s="164" t="s">
        <v>2470</v>
      </c>
      <c r="G82" s="164">
        <f>INDEX('Dictionary Subcategories'!$A$2:$A$70,MATCH(H82,'Dictionary Subcategories'!$B$2:$B$70,0))</f>
        <v>3</v>
      </c>
      <c r="H82" s="164" t="s">
        <v>1229</v>
      </c>
      <c r="I82" s="164"/>
      <c r="J82" s="164"/>
    </row>
    <row r="83" spans="1:10" ht="10.5" customHeight="1" x14ac:dyDescent="0.25">
      <c r="A83" s="165" t="str">
        <f>'ENIGHUR Consumption items'!H84</f>
        <v>01.1.3.100</v>
      </c>
      <c r="B83" s="165" t="str">
        <f>'ENIGHUR Consumption items'!J84</f>
        <v>Pescados procesados y preparados</v>
      </c>
      <c r="C83" s="168">
        <v>92</v>
      </c>
      <c r="D83" s="167" t="str">
        <f>IFERROR(VLOOKUP(C83,'symmetric IOT 245 2012'!$C$6:$D$276,2,FALSE),"")</f>
        <v>Preparados y conservas de pescado y de otras especies acuáticas</v>
      </c>
      <c r="E83" s="159">
        <f>INDEX('Dictionary Categories'!$A$2:$A$25,MATCH(F83,'Dictionary Categories'!$B$2:$B$25,0))</f>
        <v>1</v>
      </c>
      <c r="F83" s="164" t="s">
        <v>2470</v>
      </c>
      <c r="G83" s="164">
        <f>INDEX('Dictionary Subcategories'!$A$2:$A$70,MATCH(H83,'Dictionary Subcategories'!$B$2:$B$70,0))</f>
        <v>3</v>
      </c>
      <c r="H83" s="164" t="s">
        <v>1229</v>
      </c>
      <c r="I83" s="164"/>
      <c r="J83" s="164"/>
    </row>
    <row r="84" spans="1:10" ht="10.5" customHeight="1" x14ac:dyDescent="0.25">
      <c r="A84" s="165" t="str">
        <f>'ENIGHUR Consumption items'!H85</f>
        <v>01.1.3.101</v>
      </c>
      <c r="B84" s="165" t="str">
        <f>'ENIGHUR Consumption items'!J85</f>
        <v>Atún con champiñones</v>
      </c>
      <c r="C84" s="168">
        <v>92</v>
      </c>
      <c r="D84" s="167" t="str">
        <f>IFERROR(VLOOKUP(C84,'symmetric IOT 245 2012'!$C$6:$D$276,2,FALSE),"")</f>
        <v>Preparados y conservas de pescado y de otras especies acuáticas</v>
      </c>
      <c r="E84" s="159">
        <f>INDEX('Dictionary Categories'!$A$2:$A$25,MATCH(F84,'Dictionary Categories'!$B$2:$B$25,0))</f>
        <v>1</v>
      </c>
      <c r="F84" s="164" t="s">
        <v>2470</v>
      </c>
      <c r="G84" s="164">
        <f>INDEX('Dictionary Subcategories'!$A$2:$A$70,MATCH(H84,'Dictionary Subcategories'!$B$2:$B$70,0))</f>
        <v>3</v>
      </c>
      <c r="H84" s="164" t="s">
        <v>1229</v>
      </c>
      <c r="I84" s="164"/>
      <c r="J84" s="164"/>
    </row>
    <row r="85" spans="1:10" ht="10.5" customHeight="1" x14ac:dyDescent="0.25">
      <c r="A85" s="165" t="str">
        <f>'ENIGHUR Consumption items'!H86</f>
        <v>01.1.3.102</v>
      </c>
      <c r="B85" s="165" t="str">
        <f>'ENIGHUR Consumption items'!J86</f>
        <v>Atún con ensalada</v>
      </c>
      <c r="C85" s="168">
        <v>92</v>
      </c>
      <c r="D85" s="167" t="str">
        <f>IFERROR(VLOOKUP(C85,'symmetric IOT 245 2012'!$C$6:$D$276,2,FALSE),"")</f>
        <v>Preparados y conservas de pescado y de otras especies acuáticas</v>
      </c>
      <c r="E85" s="159">
        <f>INDEX('Dictionary Categories'!$A$2:$A$25,MATCH(F85,'Dictionary Categories'!$B$2:$B$25,0))</f>
        <v>1</v>
      </c>
      <c r="F85" s="164" t="s">
        <v>2470</v>
      </c>
      <c r="G85" s="164">
        <f>INDEX('Dictionary Subcategories'!$A$2:$A$70,MATCH(H85,'Dictionary Subcategories'!$B$2:$B$70,0))</f>
        <v>3</v>
      </c>
      <c r="H85" s="164" t="s">
        <v>1229</v>
      </c>
      <c r="I85" s="164"/>
      <c r="J85" s="164"/>
    </row>
    <row r="86" spans="1:10" ht="10.5" customHeight="1" x14ac:dyDescent="0.25">
      <c r="A86" s="165" t="str">
        <f>'ENIGHUR Consumption items'!H87</f>
        <v>01.1.3.103</v>
      </c>
      <c r="B86" s="165" t="str">
        <f>'ENIGHUR Consumption items'!J87</f>
        <v>Atún en aceite de oliva</v>
      </c>
      <c r="C86" s="168">
        <v>92</v>
      </c>
      <c r="D86" s="167" t="str">
        <f>IFERROR(VLOOKUP(C86,'symmetric IOT 245 2012'!$C$6:$D$276,2,FALSE),"")</f>
        <v>Preparados y conservas de pescado y de otras especies acuáticas</v>
      </c>
      <c r="E86" s="159">
        <f>INDEX('Dictionary Categories'!$A$2:$A$25,MATCH(F86,'Dictionary Categories'!$B$2:$B$25,0))</f>
        <v>1</v>
      </c>
      <c r="F86" s="164" t="s">
        <v>2470</v>
      </c>
      <c r="G86" s="164">
        <f>INDEX('Dictionary Subcategories'!$A$2:$A$70,MATCH(H86,'Dictionary Subcategories'!$B$2:$B$70,0))</f>
        <v>3</v>
      </c>
      <c r="H86" s="164" t="s">
        <v>1229</v>
      </c>
      <c r="I86" s="164"/>
      <c r="J86" s="164"/>
    </row>
    <row r="87" spans="1:10" ht="10.5" customHeight="1" x14ac:dyDescent="0.25">
      <c r="A87" s="165" t="str">
        <f>'ENIGHUR Consumption items'!H88</f>
        <v>01.1.3.104</v>
      </c>
      <c r="B87" s="165" t="str">
        <f>'ENIGHUR Consumption items'!J88</f>
        <v>Atún en aceite vegetal</v>
      </c>
      <c r="C87" s="168">
        <v>92</v>
      </c>
      <c r="D87" s="167" t="str">
        <f>IFERROR(VLOOKUP(C87,'symmetric IOT 245 2012'!$C$6:$D$276,2,FALSE),"")</f>
        <v>Preparados y conservas de pescado y de otras especies acuáticas</v>
      </c>
      <c r="E87" s="159">
        <f>INDEX('Dictionary Categories'!$A$2:$A$25,MATCH(F87,'Dictionary Categories'!$B$2:$B$25,0))</f>
        <v>1</v>
      </c>
      <c r="F87" s="164" t="s">
        <v>2470</v>
      </c>
      <c r="G87" s="164">
        <f>INDEX('Dictionary Subcategories'!$A$2:$A$70,MATCH(H87,'Dictionary Subcategories'!$B$2:$B$70,0))</f>
        <v>3</v>
      </c>
      <c r="H87" s="164" t="s">
        <v>1229</v>
      </c>
      <c r="I87" s="164"/>
      <c r="J87" s="164"/>
    </row>
    <row r="88" spans="1:10" ht="10.5" customHeight="1" x14ac:dyDescent="0.25">
      <c r="A88" s="165" t="str">
        <f>'ENIGHUR Consumption items'!H89</f>
        <v>01.1.3.105</v>
      </c>
      <c r="B88" s="165" t="str">
        <f>'ENIGHUR Consumption items'!J89</f>
        <v>Atún en agua</v>
      </c>
      <c r="C88" s="168">
        <v>92</v>
      </c>
      <c r="D88" s="167" t="str">
        <f>IFERROR(VLOOKUP(C88,'symmetric IOT 245 2012'!$C$6:$D$276,2,FALSE),"")</f>
        <v>Preparados y conservas de pescado y de otras especies acuáticas</v>
      </c>
      <c r="E88" s="159">
        <f>INDEX('Dictionary Categories'!$A$2:$A$25,MATCH(F88,'Dictionary Categories'!$B$2:$B$25,0))</f>
        <v>1</v>
      </c>
      <c r="F88" s="164" t="s">
        <v>2470</v>
      </c>
      <c r="G88" s="164">
        <f>INDEX('Dictionary Subcategories'!$A$2:$A$70,MATCH(H88,'Dictionary Subcategories'!$B$2:$B$70,0))</f>
        <v>3</v>
      </c>
      <c r="H88" s="164" t="s">
        <v>1229</v>
      </c>
      <c r="I88" s="164"/>
      <c r="J88" s="164"/>
    </row>
    <row r="89" spans="1:10" ht="10.5" customHeight="1" x14ac:dyDescent="0.25">
      <c r="A89" s="165" t="str">
        <f>'ENIGHUR Consumption items'!H90</f>
        <v>01.1.3.106</v>
      </c>
      <c r="B89" s="165" t="str">
        <f>'ENIGHUR Consumption items'!J90</f>
        <v>Caviar y otras huevas</v>
      </c>
      <c r="C89" s="168">
        <v>92</v>
      </c>
      <c r="D89" s="167" t="str">
        <f>IFERROR(VLOOKUP(C89,'symmetric IOT 245 2012'!$C$6:$D$276,2,FALSE),"")</f>
        <v>Preparados y conservas de pescado y de otras especies acuáticas</v>
      </c>
      <c r="E89" s="159">
        <f>INDEX('Dictionary Categories'!$A$2:$A$25,MATCH(F89,'Dictionary Categories'!$B$2:$B$25,0))</f>
        <v>1</v>
      </c>
      <c r="F89" s="164" t="s">
        <v>2470</v>
      </c>
      <c r="G89" s="164">
        <f>INDEX('Dictionary Subcategories'!$A$2:$A$70,MATCH(H89,'Dictionary Subcategories'!$B$2:$B$70,0))</f>
        <v>3</v>
      </c>
      <c r="H89" s="164" t="s">
        <v>1229</v>
      </c>
      <c r="I89" s="164"/>
      <c r="J89" s="164"/>
    </row>
    <row r="90" spans="1:10" ht="10.5" customHeight="1" x14ac:dyDescent="0.25">
      <c r="A90" s="165" t="str">
        <f>'ENIGHUR Consumption items'!H91</f>
        <v>01.1.3.107</v>
      </c>
      <c r="B90" s="165" t="str">
        <f>'ENIGHUR Consumption items'!J91</f>
        <v>Pescado seco</v>
      </c>
      <c r="C90" s="168">
        <v>89</v>
      </c>
      <c r="D90" s="167" t="str">
        <f>IFERROR(VLOOKUP(C90,'symmetric IOT 245 2012'!$C$6:$D$276,2,FALSE),"")</f>
        <v>Pescado congelado, seco o salado; filetes de pescado</v>
      </c>
      <c r="E90" s="159">
        <f>INDEX('Dictionary Categories'!$A$2:$A$25,MATCH(F90,'Dictionary Categories'!$B$2:$B$25,0))</f>
        <v>1</v>
      </c>
      <c r="F90" s="164" t="s">
        <v>2470</v>
      </c>
      <c r="G90" s="164">
        <f>INDEX('Dictionary Subcategories'!$A$2:$A$70,MATCH(H90,'Dictionary Subcategories'!$B$2:$B$70,0))</f>
        <v>3</v>
      </c>
      <c r="H90" s="164" t="s">
        <v>1229</v>
      </c>
      <c r="I90" s="164"/>
      <c r="J90" s="164"/>
    </row>
    <row r="91" spans="1:10" ht="10.5" customHeight="1" x14ac:dyDescent="0.25">
      <c r="A91" s="165" t="str">
        <f>'ENIGHUR Consumption items'!H92</f>
        <v>01.1.3.108</v>
      </c>
      <c r="B91" s="165" t="str">
        <f>'ENIGHUR Consumption items'!J92</f>
        <v>Pescados ahumados o salados</v>
      </c>
      <c r="C91" s="168">
        <v>89</v>
      </c>
      <c r="D91" s="167" t="str">
        <f>IFERROR(VLOOKUP(C91,'symmetric IOT 245 2012'!$C$6:$D$276,2,FALSE),"")</f>
        <v>Pescado congelado, seco o salado; filetes de pescado</v>
      </c>
      <c r="E91" s="159">
        <f>INDEX('Dictionary Categories'!$A$2:$A$25,MATCH(F91,'Dictionary Categories'!$B$2:$B$25,0))</f>
        <v>1</v>
      </c>
      <c r="F91" s="164" t="s">
        <v>2470</v>
      </c>
      <c r="G91" s="164">
        <f>INDEX('Dictionary Subcategories'!$A$2:$A$70,MATCH(H91,'Dictionary Subcategories'!$B$2:$B$70,0))</f>
        <v>3</v>
      </c>
      <c r="H91" s="164" t="s">
        <v>1229</v>
      </c>
      <c r="I91" s="164"/>
      <c r="J91" s="164"/>
    </row>
    <row r="92" spans="1:10" ht="10.5" customHeight="1" x14ac:dyDescent="0.25">
      <c r="A92" s="165" t="str">
        <f>'ENIGHUR Consumption items'!H93</f>
        <v>01.1.3.109</v>
      </c>
      <c r="B92" s="165" t="str">
        <f>'ENIGHUR Consumption items'!J93</f>
        <v>Sardinas en aceite</v>
      </c>
      <c r="C92" s="168">
        <v>92</v>
      </c>
      <c r="D92" s="167" t="str">
        <f>IFERROR(VLOOKUP(C92,'symmetric IOT 245 2012'!$C$6:$D$276,2,FALSE),"")</f>
        <v>Preparados y conservas de pescado y de otras especies acuáticas</v>
      </c>
      <c r="E92" s="159">
        <f>INDEX('Dictionary Categories'!$A$2:$A$25,MATCH(F92,'Dictionary Categories'!$B$2:$B$25,0))</f>
        <v>1</v>
      </c>
      <c r="F92" s="164" t="s">
        <v>2470</v>
      </c>
      <c r="G92" s="164">
        <f>INDEX('Dictionary Subcategories'!$A$2:$A$70,MATCH(H92,'Dictionary Subcategories'!$B$2:$B$70,0))</f>
        <v>3</v>
      </c>
      <c r="H92" s="164" t="s">
        <v>1229</v>
      </c>
      <c r="I92" s="164"/>
      <c r="J92" s="164"/>
    </row>
    <row r="93" spans="1:10" ht="10.5" customHeight="1" x14ac:dyDescent="0.25">
      <c r="A93" s="165" t="str">
        <f>'ENIGHUR Consumption items'!H94</f>
        <v>01.1.3.110</v>
      </c>
      <c r="B93" s="165" t="str">
        <f>'ENIGHUR Consumption items'!J94</f>
        <v>Sardinas en salsa de tomate</v>
      </c>
      <c r="C93" s="168">
        <v>92</v>
      </c>
      <c r="D93" s="167" t="str">
        <f>IFERROR(VLOOKUP(C93,'symmetric IOT 245 2012'!$C$6:$D$276,2,FALSE),"")</f>
        <v>Preparados y conservas de pescado y de otras especies acuáticas</v>
      </c>
      <c r="E93" s="159">
        <f>INDEX('Dictionary Categories'!$A$2:$A$25,MATCH(F93,'Dictionary Categories'!$B$2:$B$25,0))</f>
        <v>1</v>
      </c>
      <c r="F93" s="164" t="s">
        <v>2470</v>
      </c>
      <c r="G93" s="164">
        <f>INDEX('Dictionary Subcategories'!$A$2:$A$70,MATCH(H93,'Dictionary Subcategories'!$B$2:$B$70,0))</f>
        <v>3</v>
      </c>
      <c r="H93" s="164" t="s">
        <v>1229</v>
      </c>
      <c r="I93" s="164"/>
      <c r="J93" s="164"/>
    </row>
    <row r="94" spans="1:10" ht="10.5" customHeight="1" x14ac:dyDescent="0.25">
      <c r="A94" s="165" t="str">
        <f>'ENIGHUR Consumption items'!H95</f>
        <v>01.1.3.111</v>
      </c>
      <c r="B94" s="165" t="str">
        <f>'ENIGHUR Consumption items'!J95</f>
        <v>Tartas de pescado</v>
      </c>
      <c r="C94" s="168">
        <v>92</v>
      </c>
      <c r="D94" s="167" t="str">
        <f>IFERROR(VLOOKUP(C94,'symmetric IOT 245 2012'!$C$6:$D$276,2,FALSE),"")</f>
        <v>Preparados y conservas de pescado y de otras especies acuáticas</v>
      </c>
      <c r="E94" s="159">
        <f>INDEX('Dictionary Categories'!$A$2:$A$25,MATCH(F94,'Dictionary Categories'!$B$2:$B$25,0))</f>
        <v>1</v>
      </c>
      <c r="F94" s="164" t="s">
        <v>2470</v>
      </c>
      <c r="G94" s="164">
        <f>INDEX('Dictionary Subcategories'!$A$2:$A$70,MATCH(H94,'Dictionary Subcategories'!$B$2:$B$70,0))</f>
        <v>3</v>
      </c>
      <c r="H94" s="164" t="s">
        <v>1229</v>
      </c>
      <c r="I94" s="164"/>
      <c r="J94" s="164"/>
    </row>
    <row r="95" spans="1:10" ht="10.5" customHeight="1" x14ac:dyDescent="0.25">
      <c r="A95" s="165" t="str">
        <f>'ENIGHUR Consumption items'!H96</f>
        <v>01.1.3.199</v>
      </c>
      <c r="B95" s="165" t="str">
        <f>'ENIGHUR Consumption items'!J96</f>
        <v>Oros pescados procesados y preparad</v>
      </c>
      <c r="C95" s="168">
        <v>92</v>
      </c>
      <c r="D95" s="167" t="str">
        <f>IFERROR(VLOOKUP(C95,'symmetric IOT 245 2012'!$C$6:$D$276,2,FALSE),"")</f>
        <v>Preparados y conservas de pescado y de otras especies acuáticas</v>
      </c>
      <c r="E95" s="159">
        <f>INDEX('Dictionary Categories'!$A$2:$A$25,MATCH(F95,'Dictionary Categories'!$B$2:$B$25,0))</f>
        <v>1</v>
      </c>
      <c r="F95" s="164" t="s">
        <v>2470</v>
      </c>
      <c r="G95" s="164">
        <f>INDEX('Dictionary Subcategories'!$A$2:$A$70,MATCH(H95,'Dictionary Subcategories'!$B$2:$B$70,0))</f>
        <v>3</v>
      </c>
      <c r="H95" s="164" t="s">
        <v>1229</v>
      </c>
      <c r="I95" s="164"/>
      <c r="J95" s="164"/>
    </row>
    <row r="96" spans="1:10" ht="10.5" customHeight="1" x14ac:dyDescent="0.25">
      <c r="A96" s="165" t="str">
        <f>'ENIGHUR Consumption items'!H97</f>
        <v>01.1.3.200</v>
      </c>
      <c r="B96" s="165" t="str">
        <f>'ENIGHUR Consumption items'!J97</f>
        <v>Mariscos frescos, refrigerados, congelados</v>
      </c>
      <c r="C96" s="168">
        <v>69</v>
      </c>
      <c r="D96" s="167" t="str">
        <f>IFERROR(VLOOKUP(C96,'symmetric IOT 245 2012'!$C$6:$D$276,2,FALSE),"")</f>
        <v>Camarón vivo o fresco</v>
      </c>
      <c r="E96" s="159">
        <f>INDEX('Dictionary Categories'!$A$2:$A$25,MATCH(F96,'Dictionary Categories'!$B$2:$B$25,0))</f>
        <v>1</v>
      </c>
      <c r="F96" s="164" t="s">
        <v>2470</v>
      </c>
      <c r="G96" s="164">
        <f>INDEX('Dictionary Subcategories'!$A$2:$A$70,MATCH(H96,'Dictionary Subcategories'!$B$2:$B$70,0))</f>
        <v>3</v>
      </c>
      <c r="H96" s="164" t="s">
        <v>1229</v>
      </c>
      <c r="I96" s="164"/>
      <c r="J96" s="164"/>
    </row>
    <row r="97" spans="1:10" ht="10.5" customHeight="1" x14ac:dyDescent="0.25">
      <c r="A97" s="165" t="str">
        <f>'ENIGHUR Consumption items'!H98</f>
        <v>01.1.3.300</v>
      </c>
      <c r="B97" s="165" t="str">
        <f>'ENIGHUR Consumption items'!J98</f>
        <v>Mariscos procesados y preparados</v>
      </c>
      <c r="C97" s="168">
        <v>88</v>
      </c>
      <c r="D97" s="167" t="str">
        <f>IFERROR(VLOOKUP(C97,'symmetric IOT 245 2012'!$C$6:$D$276,2,FALSE),"")</f>
        <v>Camarón elaborado</v>
      </c>
      <c r="E97" s="159">
        <f>INDEX('Dictionary Categories'!$A$2:$A$25,MATCH(F97,'Dictionary Categories'!$B$2:$B$25,0))</f>
        <v>1</v>
      </c>
      <c r="F97" s="164" t="s">
        <v>2470</v>
      </c>
      <c r="G97" s="164">
        <f>INDEX('Dictionary Subcategories'!$A$2:$A$70,MATCH(H97,'Dictionary Subcategories'!$B$2:$B$70,0))</f>
        <v>3</v>
      </c>
      <c r="H97" s="164" t="s">
        <v>1229</v>
      </c>
      <c r="I97" s="164"/>
      <c r="J97" s="164"/>
    </row>
    <row r="98" spans="1:10" ht="10.5" customHeight="1" x14ac:dyDescent="0.25">
      <c r="A98" s="165" t="str">
        <f>'ENIGHUR Consumption items'!H99</f>
        <v>01.1.4</v>
      </c>
      <c r="B98" s="165" t="str">
        <f>'ENIGHUR Consumption items'!J99</f>
        <v xml:space="preserve">LECHE, YOGURT, QUESOS Y HUEVOS </v>
      </c>
      <c r="C98" s="169" t="s">
        <v>2389</v>
      </c>
      <c r="D98" s="167" t="str">
        <f>IFERROR(VLOOKUP(C98,'symmetric IOT 245 2012'!$C$6:$D$276,2,FALSE),"")</f>
        <v>matched on SC/SSC level</v>
      </c>
      <c r="E98" s="159">
        <f>INDEX('Dictionary Categories'!$A$2:$A$25,MATCH(F98,'Dictionary Categories'!$B$2:$B$25,0))</f>
        <v>1</v>
      </c>
      <c r="F98" s="164" t="s">
        <v>2470</v>
      </c>
      <c r="G98" s="164">
        <f>INDEX('Dictionary Subcategories'!$A$2:$A$70,MATCH(H98,'Dictionary Subcategories'!$B$2:$B$70,0))</f>
        <v>4</v>
      </c>
      <c r="H98" s="164" t="s">
        <v>1230</v>
      </c>
      <c r="I98" s="164"/>
      <c r="J98" s="164"/>
    </row>
    <row r="99" spans="1:10" ht="10.5" customHeight="1" x14ac:dyDescent="0.25">
      <c r="A99" s="165" t="str">
        <f>'ENIGHUR Consumption items'!H100</f>
        <v>01.1.4.000</v>
      </c>
      <c r="B99" s="165" t="str">
        <f>'ENIGHUR Consumption items'!J100</f>
        <v>Leche Líquida</v>
      </c>
      <c r="C99" s="168">
        <v>98</v>
      </c>
      <c r="D99" s="167" t="str">
        <f>IFERROR(VLOOKUP(C99,'symmetric IOT 245 2012'!$C$6:$D$276,2,FALSE),"")</f>
        <v>Leche elaborada</v>
      </c>
      <c r="E99" s="159">
        <f>INDEX('Dictionary Categories'!$A$2:$A$25,MATCH(F99,'Dictionary Categories'!$B$2:$B$25,0))</f>
        <v>1</v>
      </c>
      <c r="F99" s="164" t="s">
        <v>2470</v>
      </c>
      <c r="G99" s="164">
        <f>INDEX('Dictionary Subcategories'!$A$2:$A$70,MATCH(H99,'Dictionary Subcategories'!$B$2:$B$70,0))</f>
        <v>4</v>
      </c>
      <c r="H99" s="164" t="s">
        <v>1230</v>
      </c>
      <c r="I99" s="164"/>
      <c r="J99" s="164"/>
    </row>
    <row r="100" spans="1:10" ht="10.5" customHeight="1" x14ac:dyDescent="0.25">
      <c r="A100" s="165" t="str">
        <f>'ENIGHUR Consumption items'!H101</f>
        <v>01.1.4.100</v>
      </c>
      <c r="B100" s="165" t="str">
        <f>'ENIGHUR Consumption items'!J101</f>
        <v>Leche conservada</v>
      </c>
      <c r="C100" s="168">
        <v>98</v>
      </c>
      <c r="D100" s="167" t="str">
        <f>IFERROR(VLOOKUP(C100,'symmetric IOT 245 2012'!$C$6:$D$276,2,FALSE),"")</f>
        <v>Leche elaborada</v>
      </c>
      <c r="E100" s="159">
        <f>INDEX('Dictionary Categories'!$A$2:$A$25,MATCH(F100,'Dictionary Categories'!$B$2:$B$25,0))</f>
        <v>1</v>
      </c>
      <c r="F100" s="164" t="s">
        <v>2470</v>
      </c>
      <c r="G100" s="164">
        <f>INDEX('Dictionary Subcategories'!$A$2:$A$70,MATCH(H100,'Dictionary Subcategories'!$B$2:$B$70,0))</f>
        <v>4</v>
      </c>
      <c r="H100" s="164" t="s">
        <v>1230</v>
      </c>
      <c r="I100" s="164"/>
      <c r="J100" s="164"/>
    </row>
    <row r="101" spans="1:10" ht="10.5" customHeight="1" x14ac:dyDescent="0.25">
      <c r="A101" s="165" t="str">
        <f>'ENIGHUR Consumption items'!H102</f>
        <v>01.1.4.200</v>
      </c>
      <c r="B101" s="165" t="str">
        <f>'ENIGHUR Consumption items'!J102</f>
        <v>Yogures</v>
      </c>
      <c r="C101" s="168">
        <v>99</v>
      </c>
      <c r="D101" s="167" t="str">
        <f>IFERROR(VLOOKUP(C101,'symmetric IOT 245 2012'!$C$6:$D$276,2,FALSE),"")</f>
        <v>Productos derivados de la leche</v>
      </c>
      <c r="E101" s="159">
        <f>INDEX('Dictionary Categories'!$A$2:$A$25,MATCH(F101,'Dictionary Categories'!$B$2:$B$25,0))</f>
        <v>1</v>
      </c>
      <c r="F101" s="164" t="s">
        <v>2470</v>
      </c>
      <c r="G101" s="164">
        <f>INDEX('Dictionary Subcategories'!$A$2:$A$70,MATCH(H101,'Dictionary Subcategories'!$B$2:$B$70,0))</f>
        <v>4</v>
      </c>
      <c r="H101" s="164" t="s">
        <v>1230</v>
      </c>
      <c r="I101" s="164"/>
      <c r="J101" s="164"/>
    </row>
    <row r="102" spans="1:10" ht="10.5" customHeight="1" x14ac:dyDescent="0.25">
      <c r="A102" s="165" t="str">
        <f>'ENIGHUR Consumption items'!H103</f>
        <v>01.1.4.300</v>
      </c>
      <c r="B102" s="165" t="str">
        <f>'ENIGHUR Consumption items'!J103</f>
        <v>Quesos</v>
      </c>
      <c r="C102" s="168">
        <v>99</v>
      </c>
      <c r="D102" s="167" t="str">
        <f>IFERROR(VLOOKUP(C102,'symmetric IOT 245 2012'!$C$6:$D$276,2,FALSE),"")</f>
        <v>Productos derivados de la leche</v>
      </c>
      <c r="E102" s="159">
        <f>INDEX('Dictionary Categories'!$A$2:$A$25,MATCH(F102,'Dictionary Categories'!$B$2:$B$25,0))</f>
        <v>1</v>
      </c>
      <c r="F102" s="164" t="s">
        <v>2470</v>
      </c>
      <c r="G102" s="164">
        <f>INDEX('Dictionary Subcategories'!$A$2:$A$70,MATCH(H102,'Dictionary Subcategories'!$B$2:$B$70,0))</f>
        <v>4</v>
      </c>
      <c r="H102" s="164" t="s">
        <v>1230</v>
      </c>
      <c r="I102" s="164"/>
      <c r="J102" s="164"/>
    </row>
    <row r="103" spans="1:10" ht="10.5" customHeight="1" x14ac:dyDescent="0.25">
      <c r="A103" s="165" t="str">
        <f>'ENIGHUR Consumption items'!H104</f>
        <v>01.1.4.400</v>
      </c>
      <c r="B103" s="165" t="str">
        <f>'ENIGHUR Consumption items'!J104</f>
        <v>Huevos</v>
      </c>
      <c r="C103" s="168">
        <v>61</v>
      </c>
      <c r="D103" s="167" t="str">
        <f>IFERROR(VLOOKUP(C103,'symmetric IOT 245 2012'!$C$6:$D$276,2,FALSE),"")</f>
        <v>Huevos</v>
      </c>
      <c r="E103" s="159">
        <f>INDEX('Dictionary Categories'!$A$2:$A$25,MATCH(F103,'Dictionary Categories'!$B$2:$B$25,0))</f>
        <v>1</v>
      </c>
      <c r="F103" s="164" t="s">
        <v>2470</v>
      </c>
      <c r="G103" s="164">
        <f>INDEX('Dictionary Subcategories'!$A$2:$A$70,MATCH(H103,'Dictionary Subcategories'!$B$2:$B$70,0))</f>
        <v>4</v>
      </c>
      <c r="H103" s="164" t="s">
        <v>1230</v>
      </c>
      <c r="I103" s="164"/>
      <c r="J103" s="164"/>
    </row>
    <row r="104" spans="1:10" ht="10.5" customHeight="1" x14ac:dyDescent="0.25">
      <c r="A104" s="165" t="str">
        <f>'ENIGHUR Consumption items'!H105</f>
        <v>01.1.5</v>
      </c>
      <c r="B104" s="165" t="str">
        <f>'ENIGHUR Consumption items'!J105</f>
        <v xml:space="preserve">ACEITES Y GRASAS </v>
      </c>
      <c r="C104" s="169" t="s">
        <v>2389</v>
      </c>
      <c r="D104" s="167" t="str">
        <f>IFERROR(VLOOKUP(C104,'symmetric IOT 245 2012'!$C$6:$D$276,2,FALSE),"")</f>
        <v>matched on SC/SSC level</v>
      </c>
      <c r="E104" s="159">
        <f>INDEX('Dictionary Categories'!$A$2:$A$25,MATCH(F104,'Dictionary Categories'!$B$2:$B$25,0))</f>
        <v>1</v>
      </c>
      <c r="F104" s="164" t="s">
        <v>2470</v>
      </c>
      <c r="G104" s="164">
        <f>INDEX('Dictionary Subcategories'!$A$2:$A$70,MATCH(H104,'Dictionary Subcategories'!$B$2:$B$70,0))</f>
        <v>5</v>
      </c>
      <c r="H104" s="164" t="s">
        <v>1599</v>
      </c>
      <c r="I104" s="164"/>
      <c r="J104" s="164"/>
    </row>
    <row r="105" spans="1:10" ht="10.5" customHeight="1" x14ac:dyDescent="0.25">
      <c r="A105" s="165" t="str">
        <f>'ENIGHUR Consumption items'!H106</f>
        <v>01.1.5.000</v>
      </c>
      <c r="B105" s="165" t="str">
        <f>'ENIGHUR Consumption items'!J106</f>
        <v>Aceites Puros y mezclados</v>
      </c>
      <c r="C105" s="168">
        <v>95</v>
      </c>
      <c r="D105" s="167" t="str">
        <f>IFERROR(VLOOKUP(C105,'symmetric IOT 245 2012'!$C$6:$D$276,2,FALSE),"")</f>
        <v>Aceites refinados</v>
      </c>
      <c r="E105" s="159">
        <f>INDEX('Dictionary Categories'!$A$2:$A$25,MATCH(F105,'Dictionary Categories'!$B$2:$B$25,0))</f>
        <v>1</v>
      </c>
      <c r="F105" s="164" t="s">
        <v>2470</v>
      </c>
      <c r="G105" s="164">
        <f>INDEX('Dictionary Subcategories'!$A$2:$A$70,MATCH(H105,'Dictionary Subcategories'!$B$2:$B$70,0))</f>
        <v>5</v>
      </c>
      <c r="H105" s="164" t="s">
        <v>1599</v>
      </c>
      <c r="I105" s="164"/>
      <c r="J105" s="164"/>
    </row>
    <row r="106" spans="1:10" ht="10.5" customHeight="1" x14ac:dyDescent="0.25">
      <c r="A106" s="165" t="str">
        <f>'ENIGHUR Consumption items'!H107</f>
        <v>01.1.5.100</v>
      </c>
      <c r="B106" s="165" t="str">
        <f>'ENIGHUR Consumption items'!J107</f>
        <v>Grasas</v>
      </c>
      <c r="C106" s="168">
        <v>96</v>
      </c>
      <c r="D106" s="167" t="str">
        <f>IFERROR(VLOOKUP(C106,'symmetric IOT 245 2012'!$C$6:$D$276,2,FALSE),"")</f>
        <v>Margarina y otros aceites y grasas vegetales</v>
      </c>
      <c r="E106" s="159">
        <f>INDEX('Dictionary Categories'!$A$2:$A$25,MATCH(F106,'Dictionary Categories'!$B$2:$B$25,0))</f>
        <v>1</v>
      </c>
      <c r="F106" s="164" t="s">
        <v>2470</v>
      </c>
      <c r="G106" s="164">
        <f>INDEX('Dictionary Subcategories'!$A$2:$A$70,MATCH(H106,'Dictionary Subcategories'!$B$2:$B$70,0))</f>
        <v>5</v>
      </c>
      <c r="H106" s="164" t="s">
        <v>1599</v>
      </c>
      <c r="I106" s="164"/>
      <c r="J106" s="164"/>
    </row>
    <row r="107" spans="1:10" ht="10.5" customHeight="1" x14ac:dyDescent="0.25">
      <c r="A107" s="165" t="str">
        <f>'ENIGHUR Consumption items'!H108</f>
        <v>01.1.6</v>
      </c>
      <c r="B107" s="165" t="str">
        <f>'ENIGHUR Consumption items'!J108</f>
        <v xml:space="preserve">FRUTAS </v>
      </c>
      <c r="C107" s="169" t="s">
        <v>2389</v>
      </c>
      <c r="D107" s="167" t="str">
        <f>IFERROR(VLOOKUP(C107,'symmetric IOT 245 2012'!$C$6:$D$276,2,FALSE),"")</f>
        <v>matched on SC/SSC level</v>
      </c>
      <c r="E107" s="159">
        <f>INDEX('Dictionary Categories'!$A$2:$A$25,MATCH(F107,'Dictionary Categories'!$B$2:$B$25,0))</f>
        <v>1</v>
      </c>
      <c r="F107" s="164" t="s">
        <v>2470</v>
      </c>
      <c r="G107" s="164">
        <f>INDEX('Dictionary Subcategories'!$A$2:$A$70,MATCH(H107,'Dictionary Subcategories'!$B$2:$B$70,0))</f>
        <v>6</v>
      </c>
      <c r="H107" s="164" t="s">
        <v>1231</v>
      </c>
      <c r="I107" s="164"/>
      <c r="J107" s="164"/>
    </row>
    <row r="108" spans="1:10" ht="10.5" customHeight="1" x14ac:dyDescent="0.25">
      <c r="A108" s="165" t="str">
        <f>'ENIGHUR Consumption items'!H109</f>
        <v>01.1.6.000</v>
      </c>
      <c r="B108" s="165" t="str">
        <f>'ENIGHUR Consumption items'!J109</f>
        <v>Frutas frescas refrigeradas y congeladas</v>
      </c>
      <c r="C108" s="168">
        <v>41</v>
      </c>
      <c r="D108" s="167" t="str">
        <f>IFERROR(VLOOKUP(C108,'symmetric IOT 245 2012'!$C$6:$D$276,2,FALSE),"")</f>
        <v>Otras frutas n.c.p.</v>
      </c>
      <c r="E108" s="159">
        <f>INDEX('Dictionary Categories'!$A$2:$A$25,MATCH(F108,'Dictionary Categories'!$B$2:$B$25,0))</f>
        <v>1</v>
      </c>
      <c r="F108" s="164" t="s">
        <v>2470</v>
      </c>
      <c r="G108" s="164">
        <f>INDEX('Dictionary Subcategories'!$A$2:$A$70,MATCH(H108,'Dictionary Subcategories'!$B$2:$B$70,0))</f>
        <v>6</v>
      </c>
      <c r="H108" s="164" t="s">
        <v>1231</v>
      </c>
      <c r="I108" s="164"/>
      <c r="J108" s="164"/>
    </row>
    <row r="109" spans="1:10" ht="10.5" customHeight="1" x14ac:dyDescent="0.25">
      <c r="A109" s="165" t="str">
        <f>'ENIGHUR Consumption items'!H110</f>
        <v>01.1.6.001</v>
      </c>
      <c r="B109" s="165" t="str">
        <f>'ENIGHUR Consumption items'!J110</f>
        <v>Achotillo</v>
      </c>
      <c r="C109" s="168">
        <v>41</v>
      </c>
      <c r="D109" s="167" t="str">
        <f>IFERROR(VLOOKUP(C109,'symmetric IOT 245 2012'!$C$6:$D$276,2,FALSE),"")</f>
        <v>Otras frutas n.c.p.</v>
      </c>
      <c r="E109" s="159">
        <f>INDEX('Dictionary Categories'!$A$2:$A$25,MATCH(F109,'Dictionary Categories'!$B$2:$B$25,0))</f>
        <v>1</v>
      </c>
      <c r="F109" s="164" t="s">
        <v>2470</v>
      </c>
      <c r="G109" s="164">
        <f>INDEX('Dictionary Subcategories'!$A$2:$A$70,MATCH(H109,'Dictionary Subcategories'!$B$2:$B$70,0))</f>
        <v>6</v>
      </c>
      <c r="H109" s="164" t="s">
        <v>1231</v>
      </c>
      <c r="I109" s="164"/>
      <c r="J109" s="164"/>
    </row>
    <row r="110" spans="1:10" ht="10.5" customHeight="1" x14ac:dyDescent="0.25">
      <c r="A110" s="165" t="str">
        <f>'ENIGHUR Consumption items'!H111</f>
        <v>01.1.6.002</v>
      </c>
      <c r="B110" s="165" t="str">
        <f>'ENIGHUR Consumption items'!J111</f>
        <v>Aguacate</v>
      </c>
      <c r="C110" s="168">
        <v>30</v>
      </c>
      <c r="D110" s="167" t="str">
        <f>IFERROR(VLOOKUP(C110,'symmetric IOT 245 2012'!$C$6:$D$276,2,FALSE),"")</f>
        <v>Aguacate</v>
      </c>
      <c r="E110" s="159">
        <f>INDEX('Dictionary Categories'!$A$2:$A$25,MATCH(F110,'Dictionary Categories'!$B$2:$B$25,0))</f>
        <v>1</v>
      </c>
      <c r="F110" s="164" t="s">
        <v>2470</v>
      </c>
      <c r="G110" s="164">
        <f>INDEX('Dictionary Subcategories'!$A$2:$A$70,MATCH(H110,'Dictionary Subcategories'!$B$2:$B$70,0))</f>
        <v>6</v>
      </c>
      <c r="H110" s="164" t="s">
        <v>1231</v>
      </c>
      <c r="I110" s="164"/>
      <c r="J110" s="164"/>
    </row>
    <row r="111" spans="1:10" ht="10.5" customHeight="1" x14ac:dyDescent="0.25">
      <c r="A111" s="165" t="str">
        <f>'ENIGHUR Consumption items'!H112</f>
        <v>01.1.6.003</v>
      </c>
      <c r="B111" s="165" t="str">
        <f>'ENIGHUR Consumption items'!J112</f>
        <v>Albaricoque</v>
      </c>
      <c r="C111" s="168">
        <v>41</v>
      </c>
      <c r="D111" s="167" t="str">
        <f>IFERROR(VLOOKUP(C111,'symmetric IOT 245 2012'!$C$6:$D$276,2,FALSE),"")</f>
        <v>Otras frutas n.c.p.</v>
      </c>
      <c r="E111" s="159">
        <f>INDEX('Dictionary Categories'!$A$2:$A$25,MATCH(F111,'Dictionary Categories'!$B$2:$B$25,0))</f>
        <v>1</v>
      </c>
      <c r="F111" s="164" t="s">
        <v>2470</v>
      </c>
      <c r="G111" s="164">
        <f>INDEX('Dictionary Subcategories'!$A$2:$A$70,MATCH(H111,'Dictionary Subcategories'!$B$2:$B$70,0))</f>
        <v>6</v>
      </c>
      <c r="H111" s="164" t="s">
        <v>1231</v>
      </c>
      <c r="I111" s="164"/>
      <c r="J111" s="164"/>
    </row>
    <row r="112" spans="1:10" ht="10.5" customHeight="1" x14ac:dyDescent="0.25">
      <c r="A112" s="165" t="str">
        <f>'ENIGHUR Consumption items'!H113</f>
        <v>01.1.6.004</v>
      </c>
      <c r="B112" s="165" t="str">
        <f>'ENIGHUR Consumption items'!J113</f>
        <v>Arazá</v>
      </c>
      <c r="C112" s="168">
        <v>41</v>
      </c>
      <c r="D112" s="167" t="str">
        <f>IFERROR(VLOOKUP(C112,'symmetric IOT 245 2012'!$C$6:$D$276,2,FALSE),"")</f>
        <v>Otras frutas n.c.p.</v>
      </c>
      <c r="E112" s="159">
        <f>INDEX('Dictionary Categories'!$A$2:$A$25,MATCH(F112,'Dictionary Categories'!$B$2:$B$25,0))</f>
        <v>1</v>
      </c>
      <c r="F112" s="164" t="s">
        <v>2470</v>
      </c>
      <c r="G112" s="164">
        <f>INDEX('Dictionary Subcategories'!$A$2:$A$70,MATCH(H112,'Dictionary Subcategories'!$B$2:$B$70,0))</f>
        <v>6</v>
      </c>
      <c r="H112" s="164" t="s">
        <v>1231</v>
      </c>
      <c r="I112" s="164"/>
      <c r="J112" s="164"/>
    </row>
    <row r="113" spans="1:10" ht="10.5" customHeight="1" x14ac:dyDescent="0.25">
      <c r="A113" s="165" t="str">
        <f>'ENIGHUR Consumption items'!H114</f>
        <v>01.1.6.005</v>
      </c>
      <c r="B113" s="165" t="str">
        <f>'ENIGHUR Consumption items'!J114</f>
        <v>Babaco</v>
      </c>
      <c r="C113" s="168">
        <v>41</v>
      </c>
      <c r="D113" s="167" t="str">
        <f>IFERROR(VLOOKUP(C113,'symmetric IOT 245 2012'!$C$6:$D$276,2,FALSE),"")</f>
        <v>Otras frutas n.c.p.</v>
      </c>
      <c r="E113" s="159">
        <f>INDEX('Dictionary Categories'!$A$2:$A$25,MATCH(F113,'Dictionary Categories'!$B$2:$B$25,0))</f>
        <v>1</v>
      </c>
      <c r="F113" s="164" t="s">
        <v>2470</v>
      </c>
      <c r="G113" s="164">
        <f>INDEX('Dictionary Subcategories'!$A$2:$A$70,MATCH(H113,'Dictionary Subcategories'!$B$2:$B$70,0))</f>
        <v>6</v>
      </c>
      <c r="H113" s="164" t="s">
        <v>1231</v>
      </c>
      <c r="I113" s="164"/>
      <c r="J113" s="164"/>
    </row>
    <row r="114" spans="1:10" ht="10.5" customHeight="1" x14ac:dyDescent="0.25">
      <c r="A114" s="165" t="str">
        <f>'ENIGHUR Consumption items'!H115</f>
        <v>01.1.6.006</v>
      </c>
      <c r="B114" s="165" t="str">
        <f>'ENIGHUR Consumption items'!J115</f>
        <v>Badea</v>
      </c>
      <c r="C114" s="168">
        <v>41</v>
      </c>
      <c r="D114" s="167" t="str">
        <f>IFERROR(VLOOKUP(C114,'symmetric IOT 245 2012'!$C$6:$D$276,2,FALSE),"")</f>
        <v>Otras frutas n.c.p.</v>
      </c>
      <c r="E114" s="159">
        <f>INDEX('Dictionary Categories'!$A$2:$A$25,MATCH(F114,'Dictionary Categories'!$B$2:$B$25,0))</f>
        <v>1</v>
      </c>
      <c r="F114" s="164" t="s">
        <v>2470</v>
      </c>
      <c r="G114" s="164">
        <f>INDEX('Dictionary Subcategories'!$A$2:$A$70,MATCH(H114,'Dictionary Subcategories'!$B$2:$B$70,0))</f>
        <v>6</v>
      </c>
      <c r="H114" s="164" t="s">
        <v>1231</v>
      </c>
      <c r="I114" s="164"/>
      <c r="J114" s="164"/>
    </row>
    <row r="115" spans="1:10" ht="10.5" customHeight="1" x14ac:dyDescent="0.25">
      <c r="A115" s="165" t="str">
        <f>'ENIGHUR Consumption items'!H116</f>
        <v>01.1.6.007</v>
      </c>
      <c r="B115" s="165" t="str">
        <f>'ENIGHUR Consumption items'!J116</f>
        <v>Banano (guineo)</v>
      </c>
      <c r="C115" s="168">
        <v>41</v>
      </c>
      <c r="D115" s="167" t="str">
        <f>IFERROR(VLOOKUP(C115,'symmetric IOT 245 2012'!$C$6:$D$276,2,FALSE),"")</f>
        <v>Otras frutas n.c.p.</v>
      </c>
      <c r="E115" s="159">
        <f>INDEX('Dictionary Categories'!$A$2:$A$25,MATCH(F115,'Dictionary Categories'!$B$2:$B$25,0))</f>
        <v>1</v>
      </c>
      <c r="F115" s="164" t="s">
        <v>2470</v>
      </c>
      <c r="G115" s="164">
        <f>INDEX('Dictionary Subcategories'!$A$2:$A$70,MATCH(H115,'Dictionary Subcategories'!$B$2:$B$70,0))</f>
        <v>6</v>
      </c>
      <c r="H115" s="164" t="s">
        <v>1231</v>
      </c>
      <c r="I115" s="164"/>
      <c r="J115" s="164"/>
    </row>
    <row r="116" spans="1:10" ht="10.5" customHeight="1" x14ac:dyDescent="0.25">
      <c r="A116" s="165" t="str">
        <f>'ENIGHUR Consumption items'!H117</f>
        <v>01.1.6.008</v>
      </c>
      <c r="B116" s="165" t="str">
        <f>'ENIGHUR Consumption items'!J117</f>
        <v>Bandeja de frutas variadas</v>
      </c>
      <c r="C116" s="168">
        <v>41</v>
      </c>
      <c r="D116" s="167" t="str">
        <f>IFERROR(VLOOKUP(C116,'symmetric IOT 245 2012'!$C$6:$D$276,2,FALSE),"")</f>
        <v>Otras frutas n.c.p.</v>
      </c>
      <c r="E116" s="159">
        <f>INDEX('Dictionary Categories'!$A$2:$A$25,MATCH(F116,'Dictionary Categories'!$B$2:$B$25,0))</f>
        <v>1</v>
      </c>
      <c r="F116" s="164" t="s">
        <v>2470</v>
      </c>
      <c r="G116" s="164">
        <f>INDEX('Dictionary Subcategories'!$A$2:$A$70,MATCH(H116,'Dictionary Subcategories'!$B$2:$B$70,0))</f>
        <v>6</v>
      </c>
      <c r="H116" s="164" t="s">
        <v>1231</v>
      </c>
      <c r="I116" s="164"/>
      <c r="J116" s="164"/>
    </row>
    <row r="117" spans="1:10" ht="10.5" customHeight="1" x14ac:dyDescent="0.25">
      <c r="A117" s="165" t="str">
        <f>'ENIGHUR Consumption items'!H118</f>
        <v>01.1.6.009</v>
      </c>
      <c r="B117" s="165" t="str">
        <f>'ENIGHUR Consumption items'!J118</f>
        <v>Borojó</v>
      </c>
      <c r="C117" s="168">
        <v>41</v>
      </c>
      <c r="D117" s="167" t="str">
        <f>IFERROR(VLOOKUP(C117,'symmetric IOT 245 2012'!$C$6:$D$276,2,FALSE),"")</f>
        <v>Otras frutas n.c.p.</v>
      </c>
      <c r="E117" s="159">
        <f>INDEX('Dictionary Categories'!$A$2:$A$25,MATCH(F117,'Dictionary Categories'!$B$2:$B$25,0))</f>
        <v>1</v>
      </c>
      <c r="F117" s="164" t="s">
        <v>2470</v>
      </c>
      <c r="G117" s="164">
        <f>INDEX('Dictionary Subcategories'!$A$2:$A$70,MATCH(H117,'Dictionary Subcategories'!$B$2:$B$70,0))</f>
        <v>6</v>
      </c>
      <c r="H117" s="164" t="s">
        <v>1231</v>
      </c>
      <c r="I117" s="164"/>
      <c r="J117" s="164"/>
    </row>
    <row r="118" spans="1:10" ht="10.5" customHeight="1" x14ac:dyDescent="0.25">
      <c r="A118" s="165" t="str">
        <f>'ENIGHUR Consumption items'!H119</f>
        <v>01.1.6.010</v>
      </c>
      <c r="B118" s="165" t="str">
        <f>'ENIGHUR Consumption items'!J119</f>
        <v>Caimito</v>
      </c>
      <c r="C118" s="168">
        <v>41</v>
      </c>
      <c r="D118" s="167" t="str">
        <f>IFERROR(VLOOKUP(C118,'symmetric IOT 245 2012'!$C$6:$D$276,2,FALSE),"")</f>
        <v>Otras frutas n.c.p.</v>
      </c>
      <c r="E118" s="159">
        <f>INDEX('Dictionary Categories'!$A$2:$A$25,MATCH(F118,'Dictionary Categories'!$B$2:$B$25,0))</f>
        <v>1</v>
      </c>
      <c r="F118" s="164" t="s">
        <v>2470</v>
      </c>
      <c r="G118" s="164">
        <f>INDEX('Dictionary Subcategories'!$A$2:$A$70,MATCH(H118,'Dictionary Subcategories'!$B$2:$B$70,0))</f>
        <v>6</v>
      </c>
      <c r="H118" s="164" t="s">
        <v>1231</v>
      </c>
      <c r="I118" s="164"/>
      <c r="J118" s="164"/>
    </row>
    <row r="119" spans="1:10" ht="10.5" customHeight="1" x14ac:dyDescent="0.25">
      <c r="A119" s="165" t="str">
        <f>'ENIGHUR Consumption items'!H120</f>
        <v>01.1.6.011</v>
      </c>
      <c r="B119" s="165" t="str">
        <f>'ENIGHUR Consumption items'!J120</f>
        <v>Capulí</v>
      </c>
      <c r="C119" s="168">
        <v>41</v>
      </c>
      <c r="D119" s="167" t="str">
        <f>IFERROR(VLOOKUP(C119,'symmetric IOT 245 2012'!$C$6:$D$276,2,FALSE),"")</f>
        <v>Otras frutas n.c.p.</v>
      </c>
      <c r="E119" s="159">
        <f>INDEX('Dictionary Categories'!$A$2:$A$25,MATCH(F119,'Dictionary Categories'!$B$2:$B$25,0))</f>
        <v>1</v>
      </c>
      <c r="F119" s="164" t="s">
        <v>2470</v>
      </c>
      <c r="G119" s="164">
        <f>INDEX('Dictionary Subcategories'!$A$2:$A$70,MATCH(H119,'Dictionary Subcategories'!$B$2:$B$70,0))</f>
        <v>6</v>
      </c>
      <c r="H119" s="164" t="s">
        <v>1231</v>
      </c>
      <c r="I119" s="164"/>
      <c r="J119" s="164"/>
    </row>
    <row r="120" spans="1:10" ht="10.5" customHeight="1" x14ac:dyDescent="0.25">
      <c r="A120" s="165" t="str">
        <f>'ENIGHUR Consumption items'!H121</f>
        <v>01.1.6.012</v>
      </c>
      <c r="B120" s="165" t="str">
        <f>'ENIGHUR Consumption items'!J121</f>
        <v>Cereza y guindas</v>
      </c>
      <c r="C120" s="168">
        <v>41</v>
      </c>
      <c r="D120" s="167" t="str">
        <f>IFERROR(VLOOKUP(C120,'symmetric IOT 245 2012'!$C$6:$D$276,2,FALSE),"")</f>
        <v>Otras frutas n.c.p.</v>
      </c>
      <c r="E120" s="159">
        <f>INDEX('Dictionary Categories'!$A$2:$A$25,MATCH(F120,'Dictionary Categories'!$B$2:$B$25,0))</f>
        <v>1</v>
      </c>
      <c r="F120" s="164" t="s">
        <v>2470</v>
      </c>
      <c r="G120" s="164">
        <f>INDEX('Dictionary Subcategories'!$A$2:$A$70,MATCH(H120,'Dictionary Subcategories'!$B$2:$B$70,0))</f>
        <v>6</v>
      </c>
      <c r="H120" s="164" t="s">
        <v>1231</v>
      </c>
      <c r="I120" s="164"/>
      <c r="J120" s="164"/>
    </row>
    <row r="121" spans="1:10" ht="10.5" customHeight="1" x14ac:dyDescent="0.25">
      <c r="A121" s="165" t="str">
        <f>'ENIGHUR Consumption items'!H122</f>
        <v>01.1.6.013</v>
      </c>
      <c r="B121" s="165" t="str">
        <f>'ENIGHUR Consumption items'!J122</f>
        <v>Chamburos</v>
      </c>
      <c r="C121" s="168">
        <v>41</v>
      </c>
      <c r="D121" s="167" t="str">
        <f>IFERROR(VLOOKUP(C121,'symmetric IOT 245 2012'!$C$6:$D$276,2,FALSE),"")</f>
        <v>Otras frutas n.c.p.</v>
      </c>
      <c r="E121" s="159">
        <f>INDEX('Dictionary Categories'!$A$2:$A$25,MATCH(F121,'Dictionary Categories'!$B$2:$B$25,0))</f>
        <v>1</v>
      </c>
      <c r="F121" s="164" t="s">
        <v>2470</v>
      </c>
      <c r="G121" s="164">
        <f>INDEX('Dictionary Subcategories'!$A$2:$A$70,MATCH(H121,'Dictionary Subcategories'!$B$2:$B$70,0))</f>
        <v>6</v>
      </c>
      <c r="H121" s="164" t="s">
        <v>1231</v>
      </c>
      <c r="I121" s="164"/>
      <c r="J121" s="164"/>
    </row>
    <row r="122" spans="1:10" ht="10.5" customHeight="1" x14ac:dyDescent="0.25">
      <c r="A122" s="165" t="str">
        <f>'ENIGHUR Consumption items'!H123</f>
        <v>01.1.6.014</v>
      </c>
      <c r="B122" s="165" t="str">
        <f>'ENIGHUR Consumption items'!J123</f>
        <v>Chirimoya</v>
      </c>
      <c r="C122" s="168">
        <v>41</v>
      </c>
      <c r="D122" s="167" t="str">
        <f>IFERROR(VLOOKUP(C122,'symmetric IOT 245 2012'!$C$6:$D$276,2,FALSE),"")</f>
        <v>Otras frutas n.c.p.</v>
      </c>
      <c r="E122" s="159">
        <f>INDEX('Dictionary Categories'!$A$2:$A$25,MATCH(F122,'Dictionary Categories'!$B$2:$B$25,0))</f>
        <v>1</v>
      </c>
      <c r="F122" s="164" t="s">
        <v>2470</v>
      </c>
      <c r="G122" s="164">
        <f>INDEX('Dictionary Subcategories'!$A$2:$A$70,MATCH(H122,'Dictionary Subcategories'!$B$2:$B$70,0))</f>
        <v>6</v>
      </c>
      <c r="H122" s="164" t="s">
        <v>1231</v>
      </c>
      <c r="I122" s="164"/>
      <c r="J122" s="164"/>
    </row>
    <row r="123" spans="1:10" ht="10.5" customHeight="1" x14ac:dyDescent="0.25">
      <c r="A123" s="165" t="str">
        <f>'ENIGHUR Consumption items'!H124</f>
        <v>01.1.6.015</v>
      </c>
      <c r="B123" s="165" t="str">
        <f>'ENIGHUR Consumption items'!J124</f>
        <v>Ciruelas</v>
      </c>
      <c r="C123" s="168">
        <v>41</v>
      </c>
      <c r="D123" s="167" t="str">
        <f>IFERROR(VLOOKUP(C123,'symmetric IOT 245 2012'!$C$6:$D$276,2,FALSE),"")</f>
        <v>Otras frutas n.c.p.</v>
      </c>
      <c r="E123" s="159">
        <f>INDEX('Dictionary Categories'!$A$2:$A$25,MATCH(F123,'Dictionary Categories'!$B$2:$B$25,0))</f>
        <v>1</v>
      </c>
      <c r="F123" s="164" t="s">
        <v>2470</v>
      </c>
      <c r="G123" s="164">
        <f>INDEX('Dictionary Subcategories'!$A$2:$A$70,MATCH(H123,'Dictionary Subcategories'!$B$2:$B$70,0))</f>
        <v>6</v>
      </c>
      <c r="H123" s="164" t="s">
        <v>1231</v>
      </c>
      <c r="I123" s="164"/>
      <c r="J123" s="164"/>
    </row>
    <row r="124" spans="1:10" ht="10.5" customHeight="1" x14ac:dyDescent="0.25">
      <c r="A124" s="165" t="str">
        <f>'ENIGHUR Consumption items'!H125</f>
        <v>01.1.6.016</v>
      </c>
      <c r="B124" s="165" t="str">
        <f>'ENIGHUR Consumption items'!J125</f>
        <v>Claudias</v>
      </c>
      <c r="C124" s="168">
        <v>41</v>
      </c>
      <c r="D124" s="167" t="str">
        <f>IFERROR(VLOOKUP(C124,'symmetric IOT 245 2012'!$C$6:$D$276,2,FALSE),"")</f>
        <v>Otras frutas n.c.p.</v>
      </c>
      <c r="E124" s="159">
        <f>INDEX('Dictionary Categories'!$A$2:$A$25,MATCH(F124,'Dictionary Categories'!$B$2:$B$25,0))</f>
        <v>1</v>
      </c>
      <c r="F124" s="164" t="s">
        <v>2470</v>
      </c>
      <c r="G124" s="164">
        <f>INDEX('Dictionary Subcategories'!$A$2:$A$70,MATCH(H124,'Dictionary Subcategories'!$B$2:$B$70,0))</f>
        <v>6</v>
      </c>
      <c r="H124" s="164" t="s">
        <v>1231</v>
      </c>
      <c r="I124" s="164"/>
      <c r="J124" s="164"/>
    </row>
    <row r="125" spans="1:10" ht="10.5" customHeight="1" x14ac:dyDescent="0.25">
      <c r="A125" s="165" t="str">
        <f>'ENIGHUR Consumption items'!H126</f>
        <v>01.1.6.017</v>
      </c>
      <c r="B125" s="165" t="str">
        <f>'ENIGHUR Consumption items'!J126</f>
        <v>Cocos</v>
      </c>
      <c r="C125" s="168">
        <v>41</v>
      </c>
      <c r="D125" s="167" t="str">
        <f>IFERROR(VLOOKUP(C125,'symmetric IOT 245 2012'!$C$6:$D$276,2,FALSE),"")</f>
        <v>Otras frutas n.c.p.</v>
      </c>
      <c r="E125" s="159">
        <f>INDEX('Dictionary Categories'!$A$2:$A$25,MATCH(F125,'Dictionary Categories'!$B$2:$B$25,0))</f>
        <v>1</v>
      </c>
      <c r="F125" s="164" t="s">
        <v>2470</v>
      </c>
      <c r="G125" s="164">
        <f>INDEX('Dictionary Subcategories'!$A$2:$A$70,MATCH(H125,'Dictionary Subcategories'!$B$2:$B$70,0))</f>
        <v>6</v>
      </c>
      <c r="H125" s="164" t="s">
        <v>1231</v>
      </c>
      <c r="I125" s="164"/>
      <c r="J125" s="164"/>
    </row>
    <row r="126" spans="1:10" ht="10.5" customHeight="1" x14ac:dyDescent="0.25">
      <c r="A126" s="165" t="str">
        <f>'ENIGHUR Consumption items'!H127</f>
        <v>01.1.6.018</v>
      </c>
      <c r="B126" s="165" t="str">
        <f>'ENIGHUR Consumption items'!J127</f>
        <v>Durazno</v>
      </c>
      <c r="C126" s="168">
        <v>41</v>
      </c>
      <c r="D126" s="167" t="str">
        <f>IFERROR(VLOOKUP(C126,'symmetric IOT 245 2012'!$C$6:$D$276,2,FALSE),"")</f>
        <v>Otras frutas n.c.p.</v>
      </c>
      <c r="E126" s="159">
        <f>INDEX('Dictionary Categories'!$A$2:$A$25,MATCH(F126,'Dictionary Categories'!$B$2:$B$25,0))</f>
        <v>1</v>
      </c>
      <c r="F126" s="164" t="s">
        <v>2470</v>
      </c>
      <c r="G126" s="164">
        <f>INDEX('Dictionary Subcategories'!$A$2:$A$70,MATCH(H126,'Dictionary Subcategories'!$B$2:$B$70,0))</f>
        <v>6</v>
      </c>
      <c r="H126" s="164" t="s">
        <v>1231</v>
      </c>
      <c r="I126" s="164"/>
      <c r="J126" s="164"/>
    </row>
    <row r="127" spans="1:10" ht="10.5" customHeight="1" x14ac:dyDescent="0.25">
      <c r="A127" s="165" t="str">
        <f>'ENIGHUR Consumption items'!H128</f>
        <v>01.1.6.019</v>
      </c>
      <c r="B127" s="165" t="str">
        <f>'ENIGHUR Consumption items'!J128</f>
        <v>Feijoa</v>
      </c>
      <c r="C127" s="168">
        <v>41</v>
      </c>
      <c r="D127" s="167" t="str">
        <f>IFERROR(VLOOKUP(C127,'symmetric IOT 245 2012'!$C$6:$D$276,2,FALSE),"")</f>
        <v>Otras frutas n.c.p.</v>
      </c>
      <c r="E127" s="159">
        <f>INDEX('Dictionary Categories'!$A$2:$A$25,MATCH(F127,'Dictionary Categories'!$B$2:$B$25,0))</f>
        <v>1</v>
      </c>
      <c r="F127" s="164" t="s">
        <v>2470</v>
      </c>
      <c r="G127" s="164">
        <f>INDEX('Dictionary Subcategories'!$A$2:$A$70,MATCH(H127,'Dictionary Subcategories'!$B$2:$B$70,0))</f>
        <v>6</v>
      </c>
      <c r="H127" s="164" t="s">
        <v>1231</v>
      </c>
      <c r="I127" s="164"/>
      <c r="J127" s="164"/>
    </row>
    <row r="128" spans="1:10" ht="10.5" customHeight="1" x14ac:dyDescent="0.25">
      <c r="A128" s="165" t="str">
        <f>'ENIGHUR Consumption items'!H129</f>
        <v>01.1.6.020</v>
      </c>
      <c r="B128" s="165" t="str">
        <f>'ENIGHUR Consumption items'!J129</f>
        <v>Frambuesa</v>
      </c>
      <c r="C128" s="168">
        <v>41</v>
      </c>
      <c r="D128" s="167" t="str">
        <f>IFERROR(VLOOKUP(C128,'symmetric IOT 245 2012'!$C$6:$D$276,2,FALSE),"")</f>
        <v>Otras frutas n.c.p.</v>
      </c>
      <c r="E128" s="159">
        <f>INDEX('Dictionary Categories'!$A$2:$A$25,MATCH(F128,'Dictionary Categories'!$B$2:$B$25,0))</f>
        <v>1</v>
      </c>
      <c r="F128" s="164" t="s">
        <v>2470</v>
      </c>
      <c r="G128" s="164">
        <f>INDEX('Dictionary Subcategories'!$A$2:$A$70,MATCH(H128,'Dictionary Subcategories'!$B$2:$B$70,0))</f>
        <v>6</v>
      </c>
      <c r="H128" s="164" t="s">
        <v>1231</v>
      </c>
      <c r="I128" s="164"/>
      <c r="J128" s="164"/>
    </row>
    <row r="129" spans="1:10" ht="10.5" customHeight="1" x14ac:dyDescent="0.25">
      <c r="A129" s="165" t="str">
        <f>'ENIGHUR Consumption items'!H130</f>
        <v>01.1.6.021</v>
      </c>
      <c r="B129" s="165" t="str">
        <f>'ENIGHUR Consumption items'!J130</f>
        <v>Fruta china</v>
      </c>
      <c r="C129" s="168">
        <v>41</v>
      </c>
      <c r="D129" s="167" t="str">
        <f>IFERROR(VLOOKUP(C129,'symmetric IOT 245 2012'!$C$6:$D$276,2,FALSE),"")</f>
        <v>Otras frutas n.c.p.</v>
      </c>
      <c r="E129" s="159">
        <f>INDEX('Dictionary Categories'!$A$2:$A$25,MATCH(F129,'Dictionary Categories'!$B$2:$B$25,0))</f>
        <v>1</v>
      </c>
      <c r="F129" s="164" t="s">
        <v>2470</v>
      </c>
      <c r="G129" s="164">
        <f>INDEX('Dictionary Subcategories'!$A$2:$A$70,MATCH(H129,'Dictionary Subcategories'!$B$2:$B$70,0))</f>
        <v>6</v>
      </c>
      <c r="H129" s="164" t="s">
        <v>1231</v>
      </c>
      <c r="I129" s="164"/>
      <c r="J129" s="164"/>
    </row>
    <row r="130" spans="1:10" ht="10.5" customHeight="1" x14ac:dyDescent="0.25">
      <c r="A130" s="165" t="str">
        <f>'ENIGHUR Consumption items'!H131</f>
        <v>01.1.6.022</v>
      </c>
      <c r="B130" s="165" t="str">
        <f>'ENIGHUR Consumption items'!J131</f>
        <v>Fruta de pan</v>
      </c>
      <c r="C130" s="168">
        <v>41</v>
      </c>
      <c r="D130" s="167" t="str">
        <f>IFERROR(VLOOKUP(C130,'symmetric IOT 245 2012'!$C$6:$D$276,2,FALSE),"")</f>
        <v>Otras frutas n.c.p.</v>
      </c>
      <c r="E130" s="159">
        <f>INDEX('Dictionary Categories'!$A$2:$A$25,MATCH(F130,'Dictionary Categories'!$B$2:$B$25,0))</f>
        <v>1</v>
      </c>
      <c r="F130" s="164" t="s">
        <v>2470</v>
      </c>
      <c r="G130" s="164">
        <f>INDEX('Dictionary Subcategories'!$A$2:$A$70,MATCH(H130,'Dictionary Subcategories'!$B$2:$B$70,0))</f>
        <v>6</v>
      </c>
      <c r="H130" s="164" t="s">
        <v>1231</v>
      </c>
      <c r="I130" s="164"/>
      <c r="J130" s="164"/>
    </row>
    <row r="131" spans="1:10" ht="10.5" customHeight="1" x14ac:dyDescent="0.25">
      <c r="A131" s="165" t="str">
        <f>'ENIGHUR Consumption items'!H132</f>
        <v>01.1.6.023</v>
      </c>
      <c r="B131" s="165" t="str">
        <f>'ENIGHUR Consumption items'!J132</f>
        <v>Frutillas</v>
      </c>
      <c r="C131" s="168">
        <v>41</v>
      </c>
      <c r="D131" s="167" t="str">
        <f>IFERROR(VLOOKUP(C131,'symmetric IOT 245 2012'!$C$6:$D$276,2,FALSE),"")</f>
        <v>Otras frutas n.c.p.</v>
      </c>
      <c r="E131" s="159">
        <f>INDEX('Dictionary Categories'!$A$2:$A$25,MATCH(F131,'Dictionary Categories'!$B$2:$B$25,0))</f>
        <v>1</v>
      </c>
      <c r="F131" s="164" t="s">
        <v>2470</v>
      </c>
      <c r="G131" s="164">
        <f>INDEX('Dictionary Subcategories'!$A$2:$A$70,MATCH(H131,'Dictionary Subcategories'!$B$2:$B$70,0))</f>
        <v>6</v>
      </c>
      <c r="H131" s="164" t="s">
        <v>1231</v>
      </c>
      <c r="I131" s="164"/>
      <c r="J131" s="164"/>
    </row>
    <row r="132" spans="1:10" ht="10.5" customHeight="1" x14ac:dyDescent="0.25">
      <c r="A132" s="165" t="str">
        <f>'ENIGHUR Consumption items'!H133</f>
        <v>01.1.6.024</v>
      </c>
      <c r="B132" s="165" t="str">
        <f>'ENIGHUR Consumption items'!J133</f>
        <v>Granada</v>
      </c>
      <c r="C132" s="168">
        <v>41</v>
      </c>
      <c r="D132" s="167" t="str">
        <f>IFERROR(VLOOKUP(C132,'symmetric IOT 245 2012'!$C$6:$D$276,2,FALSE),"")</f>
        <v>Otras frutas n.c.p.</v>
      </c>
      <c r="E132" s="159">
        <f>INDEX('Dictionary Categories'!$A$2:$A$25,MATCH(F132,'Dictionary Categories'!$B$2:$B$25,0))</f>
        <v>1</v>
      </c>
      <c r="F132" s="164" t="s">
        <v>2470</v>
      </c>
      <c r="G132" s="164">
        <f>INDEX('Dictionary Subcategories'!$A$2:$A$70,MATCH(H132,'Dictionary Subcategories'!$B$2:$B$70,0))</f>
        <v>6</v>
      </c>
      <c r="H132" s="164" t="s">
        <v>1231</v>
      </c>
      <c r="I132" s="164"/>
      <c r="J132" s="164"/>
    </row>
    <row r="133" spans="1:10" ht="10.5" customHeight="1" x14ac:dyDescent="0.25">
      <c r="A133" s="165" t="str">
        <f>'ENIGHUR Consumption items'!H134</f>
        <v>01.1.6.025</v>
      </c>
      <c r="B133" s="165" t="str">
        <f>'ENIGHUR Consumption items'!J134</f>
        <v>Granadilla</v>
      </c>
      <c r="C133" s="168">
        <v>41</v>
      </c>
      <c r="D133" s="167" t="str">
        <f>IFERROR(VLOOKUP(C133,'symmetric IOT 245 2012'!$C$6:$D$276,2,FALSE),"")</f>
        <v>Otras frutas n.c.p.</v>
      </c>
      <c r="E133" s="159">
        <f>INDEX('Dictionary Categories'!$A$2:$A$25,MATCH(F133,'Dictionary Categories'!$B$2:$B$25,0))</f>
        <v>1</v>
      </c>
      <c r="F133" s="164" t="s">
        <v>2470</v>
      </c>
      <c r="G133" s="164">
        <f>INDEX('Dictionary Subcategories'!$A$2:$A$70,MATCH(H133,'Dictionary Subcategories'!$B$2:$B$70,0))</f>
        <v>6</v>
      </c>
      <c r="H133" s="164" t="s">
        <v>1231</v>
      </c>
      <c r="I133" s="164"/>
      <c r="J133" s="164"/>
    </row>
    <row r="134" spans="1:10" ht="10.5" customHeight="1" x14ac:dyDescent="0.25">
      <c r="A134" s="165" t="str">
        <f>'ENIGHUR Consumption items'!H135</f>
        <v>01.1.6.026</v>
      </c>
      <c r="B134" s="165" t="str">
        <f>'ENIGHUR Consumption items'!J135</f>
        <v>Grosellas</v>
      </c>
      <c r="C134" s="168">
        <v>41</v>
      </c>
      <c r="D134" s="167" t="str">
        <f>IFERROR(VLOOKUP(C134,'symmetric IOT 245 2012'!$C$6:$D$276,2,FALSE),"")</f>
        <v>Otras frutas n.c.p.</v>
      </c>
      <c r="E134" s="159">
        <f>INDEX('Dictionary Categories'!$A$2:$A$25,MATCH(F134,'Dictionary Categories'!$B$2:$B$25,0))</f>
        <v>1</v>
      </c>
      <c r="F134" s="164" t="s">
        <v>2470</v>
      </c>
      <c r="G134" s="164">
        <f>INDEX('Dictionary Subcategories'!$A$2:$A$70,MATCH(H134,'Dictionary Subcategories'!$B$2:$B$70,0))</f>
        <v>6</v>
      </c>
      <c r="H134" s="164" t="s">
        <v>1231</v>
      </c>
      <c r="I134" s="164"/>
      <c r="J134" s="164"/>
    </row>
    <row r="135" spans="1:10" ht="10.5" customHeight="1" x14ac:dyDescent="0.25">
      <c r="A135" s="165" t="str">
        <f>'ENIGHUR Consumption items'!H136</f>
        <v>01.1.6.027</v>
      </c>
      <c r="B135" s="165" t="str">
        <f>'ENIGHUR Consumption items'!J136</f>
        <v>Guaba de bejuco</v>
      </c>
      <c r="C135" s="168">
        <v>41</v>
      </c>
      <c r="D135" s="167" t="str">
        <f>IFERROR(VLOOKUP(C135,'symmetric IOT 245 2012'!$C$6:$D$276,2,FALSE),"")</f>
        <v>Otras frutas n.c.p.</v>
      </c>
      <c r="E135" s="159">
        <f>INDEX('Dictionary Categories'!$A$2:$A$25,MATCH(F135,'Dictionary Categories'!$B$2:$B$25,0))</f>
        <v>1</v>
      </c>
      <c r="F135" s="164" t="s">
        <v>2470</v>
      </c>
      <c r="G135" s="164">
        <f>INDEX('Dictionary Subcategories'!$A$2:$A$70,MATCH(H135,'Dictionary Subcategories'!$B$2:$B$70,0))</f>
        <v>6</v>
      </c>
      <c r="H135" s="164" t="s">
        <v>1231</v>
      </c>
      <c r="I135" s="164"/>
      <c r="J135" s="164"/>
    </row>
    <row r="136" spans="1:10" ht="10.5" customHeight="1" x14ac:dyDescent="0.25">
      <c r="A136" s="165" t="str">
        <f>'ENIGHUR Consumption items'!H137</f>
        <v>01.1.6.028</v>
      </c>
      <c r="B136" s="165" t="str">
        <f>'ENIGHUR Consumption items'!J137</f>
        <v>Guaba machete</v>
      </c>
      <c r="C136" s="168">
        <v>41</v>
      </c>
      <c r="D136" s="167" t="str">
        <f>IFERROR(VLOOKUP(C136,'symmetric IOT 245 2012'!$C$6:$D$276,2,FALSE),"")</f>
        <v>Otras frutas n.c.p.</v>
      </c>
      <c r="E136" s="159">
        <f>INDEX('Dictionary Categories'!$A$2:$A$25,MATCH(F136,'Dictionary Categories'!$B$2:$B$25,0))</f>
        <v>1</v>
      </c>
      <c r="F136" s="164" t="s">
        <v>2470</v>
      </c>
      <c r="G136" s="164">
        <f>INDEX('Dictionary Subcategories'!$A$2:$A$70,MATCH(H136,'Dictionary Subcategories'!$B$2:$B$70,0))</f>
        <v>6</v>
      </c>
      <c r="H136" s="164" t="s">
        <v>1231</v>
      </c>
      <c r="I136" s="164"/>
      <c r="J136" s="164"/>
    </row>
    <row r="137" spans="1:10" ht="10.5" customHeight="1" x14ac:dyDescent="0.25">
      <c r="A137" s="165" t="str">
        <f>'ENIGHUR Consumption items'!H138</f>
        <v>01.1.6.029</v>
      </c>
      <c r="B137" s="165" t="str">
        <f>'ENIGHUR Consumption items'!J138</f>
        <v>Guaba pequeña</v>
      </c>
      <c r="C137" s="168">
        <v>41</v>
      </c>
      <c r="D137" s="167" t="str">
        <f>IFERROR(VLOOKUP(C137,'symmetric IOT 245 2012'!$C$6:$D$276,2,FALSE),"")</f>
        <v>Otras frutas n.c.p.</v>
      </c>
      <c r="E137" s="159">
        <f>INDEX('Dictionary Categories'!$A$2:$A$25,MATCH(F137,'Dictionary Categories'!$B$2:$B$25,0))</f>
        <v>1</v>
      </c>
      <c r="F137" s="164" t="s">
        <v>2470</v>
      </c>
      <c r="G137" s="164">
        <f>INDEX('Dictionary Subcategories'!$A$2:$A$70,MATCH(H137,'Dictionary Subcategories'!$B$2:$B$70,0))</f>
        <v>6</v>
      </c>
      <c r="H137" s="164" t="s">
        <v>1231</v>
      </c>
      <c r="I137" s="164"/>
      <c r="J137" s="164"/>
    </row>
    <row r="138" spans="1:10" ht="10.5" customHeight="1" x14ac:dyDescent="0.25">
      <c r="A138" s="165" t="str">
        <f>'ENIGHUR Consumption items'!H139</f>
        <v>01.1.6.030</v>
      </c>
      <c r="B138" s="165" t="str">
        <f>'ENIGHUR Consumption items'!J139</f>
        <v>Guanábana</v>
      </c>
      <c r="C138" s="168">
        <v>41</v>
      </c>
      <c r="D138" s="167" t="str">
        <f>IFERROR(VLOOKUP(C138,'symmetric IOT 245 2012'!$C$6:$D$276,2,FALSE),"")</f>
        <v>Otras frutas n.c.p.</v>
      </c>
      <c r="E138" s="159">
        <f>INDEX('Dictionary Categories'!$A$2:$A$25,MATCH(F138,'Dictionary Categories'!$B$2:$B$25,0))</f>
        <v>1</v>
      </c>
      <c r="F138" s="164" t="s">
        <v>2470</v>
      </c>
      <c r="G138" s="164">
        <f>INDEX('Dictionary Subcategories'!$A$2:$A$70,MATCH(H138,'Dictionary Subcategories'!$B$2:$B$70,0))</f>
        <v>6</v>
      </c>
      <c r="H138" s="164" t="s">
        <v>1231</v>
      </c>
      <c r="I138" s="164"/>
      <c r="J138" s="164"/>
    </row>
    <row r="139" spans="1:10" ht="10.5" customHeight="1" x14ac:dyDescent="0.25">
      <c r="A139" s="165" t="str">
        <f>'ENIGHUR Consumption items'!H140</f>
        <v>01.1.6.031</v>
      </c>
      <c r="B139" s="165" t="str">
        <f>'ENIGHUR Consumption items'!J140</f>
        <v>Guayaba</v>
      </c>
      <c r="C139" s="168">
        <v>41</v>
      </c>
      <c r="D139" s="167" t="str">
        <f>IFERROR(VLOOKUP(C139,'symmetric IOT 245 2012'!$C$6:$D$276,2,FALSE),"")</f>
        <v>Otras frutas n.c.p.</v>
      </c>
      <c r="E139" s="159">
        <f>INDEX('Dictionary Categories'!$A$2:$A$25,MATCH(F139,'Dictionary Categories'!$B$2:$B$25,0))</f>
        <v>1</v>
      </c>
      <c r="F139" s="164" t="s">
        <v>2470</v>
      </c>
      <c r="G139" s="164">
        <f>INDEX('Dictionary Subcategories'!$A$2:$A$70,MATCH(H139,'Dictionary Subcategories'!$B$2:$B$70,0))</f>
        <v>6</v>
      </c>
      <c r="H139" s="164" t="s">
        <v>1231</v>
      </c>
      <c r="I139" s="164"/>
      <c r="J139" s="164"/>
    </row>
    <row r="140" spans="1:10" ht="10.5" customHeight="1" x14ac:dyDescent="0.25">
      <c r="A140" s="165" t="str">
        <f>'ENIGHUR Consumption items'!H141</f>
        <v>01.1.6.032</v>
      </c>
      <c r="B140" s="165" t="str">
        <f>'ENIGHUR Consumption items'!J141</f>
        <v>Guaytambo (durazno abridor)</v>
      </c>
      <c r="C140" s="168">
        <v>41</v>
      </c>
      <c r="D140" s="167" t="str">
        <f>IFERROR(VLOOKUP(C140,'symmetric IOT 245 2012'!$C$6:$D$276,2,FALSE),"")</f>
        <v>Otras frutas n.c.p.</v>
      </c>
      <c r="E140" s="159">
        <f>INDEX('Dictionary Categories'!$A$2:$A$25,MATCH(F140,'Dictionary Categories'!$B$2:$B$25,0))</f>
        <v>1</v>
      </c>
      <c r="F140" s="164" t="s">
        <v>2470</v>
      </c>
      <c r="G140" s="164">
        <f>INDEX('Dictionary Subcategories'!$A$2:$A$70,MATCH(H140,'Dictionary Subcategories'!$B$2:$B$70,0))</f>
        <v>6</v>
      </c>
      <c r="H140" s="164" t="s">
        <v>1231</v>
      </c>
      <c r="I140" s="164"/>
      <c r="J140" s="164"/>
    </row>
    <row r="141" spans="1:10" ht="10.5" customHeight="1" x14ac:dyDescent="0.25">
      <c r="A141" s="165" t="str">
        <f>'ENIGHUR Consumption items'!H142</f>
        <v>01.1.6.033</v>
      </c>
      <c r="B141" s="165" t="str">
        <f>'ENIGHUR Consumption items'!J142</f>
        <v>Higo</v>
      </c>
      <c r="C141" s="168">
        <v>41</v>
      </c>
      <c r="D141" s="167" t="str">
        <f>IFERROR(VLOOKUP(C141,'symmetric IOT 245 2012'!$C$6:$D$276,2,FALSE),"")</f>
        <v>Otras frutas n.c.p.</v>
      </c>
      <c r="E141" s="159">
        <f>INDEX('Dictionary Categories'!$A$2:$A$25,MATCH(F141,'Dictionary Categories'!$B$2:$B$25,0))</f>
        <v>1</v>
      </c>
      <c r="F141" s="164" t="s">
        <v>2470</v>
      </c>
      <c r="G141" s="164">
        <f>INDEX('Dictionary Subcategories'!$A$2:$A$70,MATCH(H141,'Dictionary Subcategories'!$B$2:$B$70,0))</f>
        <v>6</v>
      </c>
      <c r="H141" s="164" t="s">
        <v>1231</v>
      </c>
      <c r="I141" s="164"/>
      <c r="J141" s="164"/>
    </row>
    <row r="142" spans="1:10" ht="10.5" customHeight="1" x14ac:dyDescent="0.25">
      <c r="A142" s="165" t="str">
        <f>'ENIGHUR Consumption items'!H143</f>
        <v>01.1.6.034</v>
      </c>
      <c r="B142" s="165" t="str">
        <f>'ENIGHUR Consumption items'!J143</f>
        <v>Kiwi</v>
      </c>
      <c r="C142" s="168">
        <v>41</v>
      </c>
      <c r="D142" s="167" t="str">
        <f>IFERROR(VLOOKUP(C142,'symmetric IOT 245 2012'!$C$6:$D$276,2,FALSE),"")</f>
        <v>Otras frutas n.c.p.</v>
      </c>
      <c r="E142" s="159">
        <f>INDEX('Dictionary Categories'!$A$2:$A$25,MATCH(F142,'Dictionary Categories'!$B$2:$B$25,0))</f>
        <v>1</v>
      </c>
      <c r="F142" s="164" t="s">
        <v>2470</v>
      </c>
      <c r="G142" s="164">
        <f>INDEX('Dictionary Subcategories'!$A$2:$A$70,MATCH(H142,'Dictionary Subcategories'!$B$2:$B$70,0))</f>
        <v>6</v>
      </c>
      <c r="H142" s="164" t="s">
        <v>1231</v>
      </c>
      <c r="I142" s="164"/>
      <c r="J142" s="164"/>
    </row>
    <row r="143" spans="1:10" ht="10.5" customHeight="1" x14ac:dyDescent="0.25">
      <c r="A143" s="165" t="str">
        <f>'ENIGHUR Consumption items'!H144</f>
        <v>01.1.6.035</v>
      </c>
      <c r="B143" s="165" t="str">
        <f>'ENIGHUR Consumption items'!J144</f>
        <v>Lima</v>
      </c>
      <c r="C143" s="168">
        <v>41</v>
      </c>
      <c r="D143" s="167" t="str">
        <f>IFERROR(VLOOKUP(C143,'symmetric IOT 245 2012'!$C$6:$D$276,2,FALSE),"")</f>
        <v>Otras frutas n.c.p.</v>
      </c>
      <c r="E143" s="159">
        <f>INDEX('Dictionary Categories'!$A$2:$A$25,MATCH(F143,'Dictionary Categories'!$B$2:$B$25,0))</f>
        <v>1</v>
      </c>
      <c r="F143" s="164" t="s">
        <v>2470</v>
      </c>
      <c r="G143" s="164">
        <f>INDEX('Dictionary Subcategories'!$A$2:$A$70,MATCH(H143,'Dictionary Subcategories'!$B$2:$B$70,0))</f>
        <v>6</v>
      </c>
      <c r="H143" s="164" t="s">
        <v>1231</v>
      </c>
      <c r="I143" s="164"/>
      <c r="J143" s="164"/>
    </row>
    <row r="144" spans="1:10" ht="10.5" customHeight="1" x14ac:dyDescent="0.25">
      <c r="A144" s="165" t="str">
        <f>'ENIGHUR Consumption items'!H145</f>
        <v>01.1.6.036</v>
      </c>
      <c r="B144" s="165" t="str">
        <f>'ENIGHUR Consumption items'!J145</f>
        <v>Limón mandarina</v>
      </c>
      <c r="C144" s="168">
        <v>35</v>
      </c>
      <c r="D144" s="167" t="str">
        <f>IFERROR(VLOOKUP(C144,'symmetric IOT 245 2012'!$C$6:$D$276,2,FALSE),"")</f>
        <v xml:space="preserve">Limón y Plantas de limón </v>
      </c>
      <c r="E144" s="159">
        <f>INDEX('Dictionary Categories'!$A$2:$A$25,MATCH(F144,'Dictionary Categories'!$B$2:$B$25,0))</f>
        <v>1</v>
      </c>
      <c r="F144" s="164" t="s">
        <v>2470</v>
      </c>
      <c r="G144" s="164">
        <f>INDEX('Dictionary Subcategories'!$A$2:$A$70,MATCH(H144,'Dictionary Subcategories'!$B$2:$B$70,0))</f>
        <v>6</v>
      </c>
      <c r="H144" s="164" t="s">
        <v>1231</v>
      </c>
      <c r="I144" s="164"/>
      <c r="J144" s="164"/>
    </row>
    <row r="145" spans="1:10" ht="10.5" customHeight="1" x14ac:dyDescent="0.25">
      <c r="A145" s="165" t="str">
        <f>'ENIGHUR Consumption items'!H146</f>
        <v>01.1.6.037</v>
      </c>
      <c r="B145" s="165" t="str">
        <f>'ENIGHUR Consumption items'!J146</f>
        <v>Limón real</v>
      </c>
      <c r="C145" s="168">
        <v>35</v>
      </c>
      <c r="D145" s="167" t="str">
        <f>IFERROR(VLOOKUP(C145,'symmetric IOT 245 2012'!$C$6:$D$276,2,FALSE),"")</f>
        <v xml:space="preserve">Limón y Plantas de limón </v>
      </c>
      <c r="E145" s="159">
        <f>INDEX('Dictionary Categories'!$A$2:$A$25,MATCH(F145,'Dictionary Categories'!$B$2:$B$25,0))</f>
        <v>1</v>
      </c>
      <c r="F145" s="164" t="s">
        <v>2470</v>
      </c>
      <c r="G145" s="164">
        <f>INDEX('Dictionary Subcategories'!$A$2:$A$70,MATCH(H145,'Dictionary Subcategories'!$B$2:$B$70,0))</f>
        <v>6</v>
      </c>
      <c r="H145" s="164" t="s">
        <v>1231</v>
      </c>
      <c r="I145" s="164"/>
      <c r="J145" s="164"/>
    </row>
    <row r="146" spans="1:10" ht="10.5" customHeight="1" x14ac:dyDescent="0.25">
      <c r="A146" s="165" t="str">
        <f>'ENIGHUR Consumption items'!H147</f>
        <v>01.1.6.038</v>
      </c>
      <c r="B146" s="165" t="str">
        <f>'ENIGHUR Consumption items'!J147</f>
        <v>Limón sutil</v>
      </c>
      <c r="C146" s="168">
        <v>35</v>
      </c>
      <c r="D146" s="167" t="str">
        <f>IFERROR(VLOOKUP(C146,'symmetric IOT 245 2012'!$C$6:$D$276,2,FALSE),"")</f>
        <v xml:space="preserve">Limón y Plantas de limón </v>
      </c>
      <c r="E146" s="159">
        <f>INDEX('Dictionary Categories'!$A$2:$A$25,MATCH(F146,'Dictionary Categories'!$B$2:$B$25,0))</f>
        <v>1</v>
      </c>
      <c r="F146" s="164" t="s">
        <v>2470</v>
      </c>
      <c r="G146" s="164">
        <f>INDEX('Dictionary Subcategories'!$A$2:$A$70,MATCH(H146,'Dictionary Subcategories'!$B$2:$B$70,0))</f>
        <v>6</v>
      </c>
      <c r="H146" s="164" t="s">
        <v>1231</v>
      </c>
      <c r="I146" s="164"/>
      <c r="J146" s="164"/>
    </row>
    <row r="147" spans="1:10" ht="10.5" customHeight="1" x14ac:dyDescent="0.25">
      <c r="A147" s="165" t="str">
        <f>'ENIGHUR Consumption items'!H148</f>
        <v>01.1.6.039</v>
      </c>
      <c r="B147" s="165" t="str">
        <f>'ENIGHUR Consumption items'!J148</f>
        <v>Mamey</v>
      </c>
      <c r="C147" s="168">
        <v>41</v>
      </c>
      <c r="D147" s="167" t="str">
        <f>IFERROR(VLOOKUP(C147,'symmetric IOT 245 2012'!$C$6:$D$276,2,FALSE),"")</f>
        <v>Otras frutas n.c.p.</v>
      </c>
      <c r="E147" s="159">
        <f>INDEX('Dictionary Categories'!$A$2:$A$25,MATCH(F147,'Dictionary Categories'!$B$2:$B$25,0))</f>
        <v>1</v>
      </c>
      <c r="F147" s="164" t="s">
        <v>2470</v>
      </c>
      <c r="G147" s="164">
        <f>INDEX('Dictionary Subcategories'!$A$2:$A$70,MATCH(H147,'Dictionary Subcategories'!$B$2:$B$70,0))</f>
        <v>6</v>
      </c>
      <c r="H147" s="164" t="s">
        <v>1231</v>
      </c>
      <c r="I147" s="164"/>
      <c r="J147" s="164"/>
    </row>
    <row r="148" spans="1:10" ht="10.5" customHeight="1" x14ac:dyDescent="0.25">
      <c r="A148" s="165" t="str">
        <f>'ENIGHUR Consumption items'!H149</f>
        <v>01.1.6.040</v>
      </c>
      <c r="B148" s="165" t="str">
        <f>'ENIGHUR Consumption items'!J149</f>
        <v>Mandarina</v>
      </c>
      <c r="C148" s="168">
        <v>37</v>
      </c>
      <c r="D148" s="167" t="str">
        <f>IFERROR(VLOOKUP(C148,'symmetric IOT 245 2012'!$C$6:$D$276,2,FALSE),"")</f>
        <v>Mandarina y Plantas de</v>
      </c>
      <c r="E148" s="159">
        <f>INDEX('Dictionary Categories'!$A$2:$A$25,MATCH(F148,'Dictionary Categories'!$B$2:$B$25,0))</f>
        <v>1</v>
      </c>
      <c r="F148" s="164" t="s">
        <v>2470</v>
      </c>
      <c r="G148" s="164">
        <f>INDEX('Dictionary Subcategories'!$A$2:$A$70,MATCH(H148,'Dictionary Subcategories'!$B$2:$B$70,0))</f>
        <v>6</v>
      </c>
      <c r="H148" s="164" t="s">
        <v>1231</v>
      </c>
      <c r="I148" s="164"/>
      <c r="J148" s="164"/>
    </row>
    <row r="149" spans="1:10" ht="10.5" customHeight="1" x14ac:dyDescent="0.25">
      <c r="A149" s="165" t="str">
        <f>'ENIGHUR Consumption items'!H150</f>
        <v>01.1.6.041</v>
      </c>
      <c r="B149" s="165" t="str">
        <f>'ENIGHUR Consumption items'!J150</f>
        <v>Mango</v>
      </c>
      <c r="C149" s="168">
        <v>31</v>
      </c>
      <c r="D149" s="167" t="str">
        <f>IFERROR(VLOOKUP(C149,'symmetric IOT 245 2012'!$C$6:$D$276,2,FALSE),"")</f>
        <v>Mango</v>
      </c>
      <c r="E149" s="159">
        <f>INDEX('Dictionary Categories'!$A$2:$A$25,MATCH(F149,'Dictionary Categories'!$B$2:$B$25,0))</f>
        <v>1</v>
      </c>
      <c r="F149" s="164" t="s">
        <v>2470</v>
      </c>
      <c r="G149" s="164">
        <f>INDEX('Dictionary Subcategories'!$A$2:$A$70,MATCH(H149,'Dictionary Subcategories'!$B$2:$B$70,0))</f>
        <v>6</v>
      </c>
      <c r="H149" s="164" t="s">
        <v>1231</v>
      </c>
      <c r="I149" s="164"/>
      <c r="J149" s="164"/>
    </row>
    <row r="150" spans="1:10" ht="10.5" customHeight="1" x14ac:dyDescent="0.25">
      <c r="A150" s="165" t="str">
        <f>'ENIGHUR Consumption items'!H151</f>
        <v>01.1.6.042</v>
      </c>
      <c r="B150" s="165" t="str">
        <f>'ENIGHUR Consumption items'!J151</f>
        <v>Manzana</v>
      </c>
      <c r="C150" s="168">
        <v>40</v>
      </c>
      <c r="D150" s="167" t="str">
        <f>IFERROR(VLOOKUP(C150,'symmetric IOT 245 2012'!$C$6:$D$276,2,FALSE),"")</f>
        <v>Manzana y Plantas de manzana</v>
      </c>
      <c r="E150" s="159">
        <f>INDEX('Dictionary Categories'!$A$2:$A$25,MATCH(F150,'Dictionary Categories'!$B$2:$B$25,0))</f>
        <v>1</v>
      </c>
      <c r="F150" s="164" t="s">
        <v>2470</v>
      </c>
      <c r="G150" s="164">
        <f>INDEX('Dictionary Subcategories'!$A$2:$A$70,MATCH(H150,'Dictionary Subcategories'!$B$2:$B$70,0))</f>
        <v>6</v>
      </c>
      <c r="H150" s="164" t="s">
        <v>1231</v>
      </c>
      <c r="I150" s="164"/>
      <c r="J150" s="164"/>
    </row>
    <row r="151" spans="1:10" ht="10.5" customHeight="1" x14ac:dyDescent="0.25">
      <c r="A151" s="165" t="str">
        <f>'ENIGHUR Consumption items'!H152</f>
        <v>01.1.6.043</v>
      </c>
      <c r="B151" s="165" t="str">
        <f>'ENIGHUR Consumption items'!J152</f>
        <v>Maqueño</v>
      </c>
      <c r="C151" s="168">
        <v>41</v>
      </c>
      <c r="D151" s="167" t="str">
        <f>IFERROR(VLOOKUP(C151,'symmetric IOT 245 2012'!$C$6:$D$276,2,FALSE),"")</f>
        <v>Otras frutas n.c.p.</v>
      </c>
      <c r="E151" s="159">
        <f>INDEX('Dictionary Categories'!$A$2:$A$25,MATCH(F151,'Dictionary Categories'!$B$2:$B$25,0))</f>
        <v>1</v>
      </c>
      <c r="F151" s="164" t="s">
        <v>2470</v>
      </c>
      <c r="G151" s="164">
        <f>INDEX('Dictionary Subcategories'!$A$2:$A$70,MATCH(H151,'Dictionary Subcategories'!$B$2:$B$70,0))</f>
        <v>6</v>
      </c>
      <c r="H151" s="164" t="s">
        <v>1231</v>
      </c>
      <c r="I151" s="164"/>
      <c r="J151" s="164"/>
    </row>
    <row r="152" spans="1:10" ht="10.5" customHeight="1" x14ac:dyDescent="0.25">
      <c r="A152" s="165" t="str">
        <f>'ENIGHUR Consumption items'!H153</f>
        <v>01.1.6.044</v>
      </c>
      <c r="B152" s="165" t="str">
        <f>'ENIGHUR Consumption items'!J153</f>
        <v>Maracuyá</v>
      </c>
      <c r="C152" s="168">
        <v>38</v>
      </c>
      <c r="D152" s="167" t="str">
        <f>IFERROR(VLOOKUP(C152,'symmetric IOT 245 2012'!$C$6:$D$276,2,FALSE),"")</f>
        <v>Maracuyá y Plantas de</v>
      </c>
      <c r="E152" s="159">
        <f>INDEX('Dictionary Categories'!$A$2:$A$25,MATCH(F152,'Dictionary Categories'!$B$2:$B$25,0))</f>
        <v>1</v>
      </c>
      <c r="F152" s="164" t="s">
        <v>2470</v>
      </c>
      <c r="G152" s="164">
        <f>INDEX('Dictionary Subcategories'!$A$2:$A$70,MATCH(H152,'Dictionary Subcategories'!$B$2:$B$70,0))</f>
        <v>6</v>
      </c>
      <c r="H152" s="164" t="s">
        <v>1231</v>
      </c>
      <c r="I152" s="164"/>
      <c r="J152" s="164"/>
    </row>
    <row r="153" spans="1:10" ht="10.5" customHeight="1" x14ac:dyDescent="0.25">
      <c r="A153" s="165" t="str">
        <f>'ENIGHUR Consumption items'!H154</f>
        <v>01.1.6.045</v>
      </c>
      <c r="B153" s="165" t="str">
        <f>'ENIGHUR Consumption items'!J154</f>
        <v>Melón</v>
      </c>
      <c r="C153" s="168">
        <v>41</v>
      </c>
      <c r="D153" s="167" t="str">
        <f>IFERROR(VLOOKUP(C153,'symmetric IOT 245 2012'!$C$6:$D$276,2,FALSE),"")</f>
        <v>Otras frutas n.c.p.</v>
      </c>
      <c r="E153" s="159">
        <f>INDEX('Dictionary Categories'!$A$2:$A$25,MATCH(F153,'Dictionary Categories'!$B$2:$B$25,0))</f>
        <v>1</v>
      </c>
      <c r="F153" s="164" t="s">
        <v>2470</v>
      </c>
      <c r="G153" s="164">
        <f>INDEX('Dictionary Subcategories'!$A$2:$A$70,MATCH(H153,'Dictionary Subcategories'!$B$2:$B$70,0))</f>
        <v>6</v>
      </c>
      <c r="H153" s="164" t="s">
        <v>1231</v>
      </c>
      <c r="I153" s="164"/>
      <c r="J153" s="164"/>
    </row>
    <row r="154" spans="1:10" ht="10.5" customHeight="1" x14ac:dyDescent="0.25">
      <c r="A154" s="165" t="str">
        <f>'ENIGHUR Consumption items'!H155</f>
        <v>01.1.6.046</v>
      </c>
      <c r="B154" s="165" t="str">
        <f>'ENIGHUR Consumption items'!J155</f>
        <v>Membrillo</v>
      </c>
      <c r="C154" s="168">
        <v>41</v>
      </c>
      <c r="D154" s="167" t="str">
        <f>IFERROR(VLOOKUP(C154,'symmetric IOT 245 2012'!$C$6:$D$276,2,FALSE),"")</f>
        <v>Otras frutas n.c.p.</v>
      </c>
      <c r="E154" s="159">
        <f>INDEX('Dictionary Categories'!$A$2:$A$25,MATCH(F154,'Dictionary Categories'!$B$2:$B$25,0))</f>
        <v>1</v>
      </c>
      <c r="F154" s="164" t="s">
        <v>2470</v>
      </c>
      <c r="G154" s="164">
        <f>INDEX('Dictionary Subcategories'!$A$2:$A$70,MATCH(H154,'Dictionary Subcategories'!$B$2:$B$70,0))</f>
        <v>6</v>
      </c>
      <c r="H154" s="164" t="s">
        <v>1231</v>
      </c>
      <c r="I154" s="164"/>
      <c r="J154" s="164"/>
    </row>
    <row r="155" spans="1:10" ht="10.5" customHeight="1" x14ac:dyDescent="0.25">
      <c r="A155" s="165" t="str">
        <f>'ENIGHUR Consumption items'!H156</f>
        <v>01.1.6.047</v>
      </c>
      <c r="B155" s="165" t="str">
        <f>'ENIGHUR Consumption items'!J156</f>
        <v>Mora (castilla y silvestre)</v>
      </c>
      <c r="C155" s="168">
        <v>39</v>
      </c>
      <c r="D155" s="167" t="str">
        <f>IFERROR(VLOOKUP(C155,'symmetric IOT 245 2012'!$C$6:$D$276,2,FALSE),"")</f>
        <v>Mora</v>
      </c>
      <c r="E155" s="159">
        <f>INDEX('Dictionary Categories'!$A$2:$A$25,MATCH(F155,'Dictionary Categories'!$B$2:$B$25,0))</f>
        <v>1</v>
      </c>
      <c r="F155" s="164" t="s">
        <v>2470</v>
      </c>
      <c r="G155" s="164">
        <f>INDEX('Dictionary Subcategories'!$A$2:$A$70,MATCH(H155,'Dictionary Subcategories'!$B$2:$B$70,0))</f>
        <v>6</v>
      </c>
      <c r="H155" s="164" t="s">
        <v>1231</v>
      </c>
      <c r="I155" s="164"/>
      <c r="J155" s="164"/>
    </row>
    <row r="156" spans="1:10" ht="10.5" customHeight="1" x14ac:dyDescent="0.25">
      <c r="A156" s="165" t="str">
        <f>'ENIGHUR Consumption items'!H157</f>
        <v>01.1.6.048</v>
      </c>
      <c r="B156" s="165" t="str">
        <f>'ENIGHUR Consumption items'!J157</f>
        <v>Mortiño</v>
      </c>
      <c r="C156" s="168">
        <v>41</v>
      </c>
      <c r="D156" s="167" t="str">
        <f>IFERROR(VLOOKUP(C156,'symmetric IOT 245 2012'!$C$6:$D$276,2,FALSE),"")</f>
        <v>Otras frutas n.c.p.</v>
      </c>
      <c r="E156" s="159">
        <f>INDEX('Dictionary Categories'!$A$2:$A$25,MATCH(F156,'Dictionary Categories'!$B$2:$B$25,0))</f>
        <v>1</v>
      </c>
      <c r="F156" s="164" t="s">
        <v>2470</v>
      </c>
      <c r="G156" s="164">
        <f>INDEX('Dictionary Subcategories'!$A$2:$A$70,MATCH(H156,'Dictionary Subcategories'!$B$2:$B$70,0))</f>
        <v>6</v>
      </c>
      <c r="H156" s="164" t="s">
        <v>1231</v>
      </c>
      <c r="I156" s="164"/>
      <c r="J156" s="164"/>
    </row>
    <row r="157" spans="1:10" ht="10.5" customHeight="1" x14ac:dyDescent="0.25">
      <c r="A157" s="165" t="str">
        <f>'ENIGHUR Consumption items'!H158</f>
        <v>01.1.6.049</v>
      </c>
      <c r="B157" s="165" t="str">
        <f>'ENIGHUR Consumption items'!J158</f>
        <v>Naranja</v>
      </c>
      <c r="C157" s="168">
        <v>36</v>
      </c>
      <c r="D157" s="167" t="str">
        <f>IFERROR(VLOOKUP(C157,'symmetric IOT 245 2012'!$C$6:$D$276,2,FALSE),"")</f>
        <v>Naranja y Plantas de naranja</v>
      </c>
      <c r="E157" s="159">
        <f>INDEX('Dictionary Categories'!$A$2:$A$25,MATCH(F157,'Dictionary Categories'!$B$2:$B$25,0))</f>
        <v>1</v>
      </c>
      <c r="F157" s="164" t="s">
        <v>2470</v>
      </c>
      <c r="G157" s="164">
        <f>INDEX('Dictionary Subcategories'!$A$2:$A$70,MATCH(H157,'Dictionary Subcategories'!$B$2:$B$70,0))</f>
        <v>6</v>
      </c>
      <c r="H157" s="164" t="s">
        <v>1231</v>
      </c>
      <c r="I157" s="164"/>
      <c r="J157" s="164"/>
    </row>
    <row r="158" spans="1:10" ht="10.5" customHeight="1" x14ac:dyDescent="0.25">
      <c r="A158" s="165" t="str">
        <f>'ENIGHUR Consumption items'!H159</f>
        <v>01.1.6.050</v>
      </c>
      <c r="B158" s="165" t="str">
        <f>'ENIGHUR Consumption items'!J159</f>
        <v>Naranja agria</v>
      </c>
      <c r="C158" s="168">
        <v>41</v>
      </c>
      <c r="D158" s="167" t="str">
        <f>IFERROR(VLOOKUP(C158,'symmetric IOT 245 2012'!$C$6:$D$276,2,FALSE),"")</f>
        <v>Otras frutas n.c.p.</v>
      </c>
      <c r="E158" s="159">
        <f>INDEX('Dictionary Categories'!$A$2:$A$25,MATCH(F158,'Dictionary Categories'!$B$2:$B$25,0))</f>
        <v>1</v>
      </c>
      <c r="F158" s="164" t="s">
        <v>2470</v>
      </c>
      <c r="G158" s="164">
        <f>INDEX('Dictionary Subcategories'!$A$2:$A$70,MATCH(H158,'Dictionary Subcategories'!$B$2:$B$70,0))</f>
        <v>6</v>
      </c>
      <c r="H158" s="164" t="s">
        <v>1231</v>
      </c>
      <c r="I158" s="164"/>
      <c r="J158" s="164"/>
    </row>
    <row r="159" spans="1:10" ht="10.5" customHeight="1" x14ac:dyDescent="0.25">
      <c r="A159" s="165" t="str">
        <f>'ENIGHUR Consumption items'!H160</f>
        <v>01.1.6.051</v>
      </c>
      <c r="B159" s="165" t="str">
        <f>'ENIGHUR Consumption items'!J160</f>
        <v>Naranjilla</v>
      </c>
      <c r="C159" s="168">
        <v>41</v>
      </c>
      <c r="D159" s="167" t="str">
        <f>IFERROR(VLOOKUP(C159,'symmetric IOT 245 2012'!$C$6:$D$276,2,FALSE),"")</f>
        <v>Otras frutas n.c.p.</v>
      </c>
      <c r="E159" s="159">
        <f>INDEX('Dictionary Categories'!$A$2:$A$25,MATCH(F159,'Dictionary Categories'!$B$2:$B$25,0))</f>
        <v>1</v>
      </c>
      <c r="F159" s="164" t="s">
        <v>2470</v>
      </c>
      <c r="G159" s="164">
        <f>INDEX('Dictionary Subcategories'!$A$2:$A$70,MATCH(H159,'Dictionary Subcategories'!$B$2:$B$70,0))</f>
        <v>6</v>
      </c>
      <c r="H159" s="164" t="s">
        <v>1231</v>
      </c>
      <c r="I159" s="164"/>
      <c r="J159" s="164"/>
    </row>
    <row r="160" spans="1:10" ht="10.5" customHeight="1" x14ac:dyDescent="0.25">
      <c r="A160" s="165" t="str">
        <f>'ENIGHUR Consumption items'!H161</f>
        <v>01.1.6.052</v>
      </c>
      <c r="B160" s="165" t="str">
        <f>'ENIGHUR Consumption items'!J161</f>
        <v>Níspero</v>
      </c>
      <c r="C160" s="168">
        <v>41</v>
      </c>
      <c r="D160" s="167" t="str">
        <f>IFERROR(VLOOKUP(C160,'symmetric IOT 245 2012'!$C$6:$D$276,2,FALSE),"")</f>
        <v>Otras frutas n.c.p.</v>
      </c>
      <c r="E160" s="159">
        <f>INDEX('Dictionary Categories'!$A$2:$A$25,MATCH(F160,'Dictionary Categories'!$B$2:$B$25,0))</f>
        <v>1</v>
      </c>
      <c r="F160" s="164" t="s">
        <v>2470</v>
      </c>
      <c r="G160" s="164">
        <f>INDEX('Dictionary Subcategories'!$A$2:$A$70,MATCH(H160,'Dictionary Subcategories'!$B$2:$B$70,0))</f>
        <v>6</v>
      </c>
      <c r="H160" s="164" t="s">
        <v>1231</v>
      </c>
      <c r="I160" s="164"/>
      <c r="J160" s="164"/>
    </row>
    <row r="161" spans="1:10" ht="10.5" customHeight="1" x14ac:dyDescent="0.25">
      <c r="A161" s="165" t="str">
        <f>'ENIGHUR Consumption items'!H162</f>
        <v>01.1.6.053</v>
      </c>
      <c r="B161" s="165" t="str">
        <f>'ENIGHUR Consumption items'!J162</f>
        <v>Noni</v>
      </c>
      <c r="C161" s="168">
        <v>41</v>
      </c>
      <c r="D161" s="167" t="str">
        <f>IFERROR(VLOOKUP(C161,'symmetric IOT 245 2012'!$C$6:$D$276,2,FALSE),"")</f>
        <v>Otras frutas n.c.p.</v>
      </c>
      <c r="E161" s="159">
        <f>INDEX('Dictionary Categories'!$A$2:$A$25,MATCH(F161,'Dictionary Categories'!$B$2:$B$25,0))</f>
        <v>1</v>
      </c>
      <c r="F161" s="164" t="s">
        <v>2470</v>
      </c>
      <c r="G161" s="164">
        <f>INDEX('Dictionary Subcategories'!$A$2:$A$70,MATCH(H161,'Dictionary Subcategories'!$B$2:$B$70,0))</f>
        <v>6</v>
      </c>
      <c r="H161" s="164" t="s">
        <v>1231</v>
      </c>
      <c r="I161" s="164"/>
      <c r="J161" s="164"/>
    </row>
    <row r="162" spans="1:10" ht="10.5" customHeight="1" x14ac:dyDescent="0.25">
      <c r="A162" s="165" t="str">
        <f>'ENIGHUR Consumption items'!H163</f>
        <v>01.1.6.054</v>
      </c>
      <c r="B162" s="165" t="str">
        <f>'ENIGHUR Consumption items'!J163</f>
        <v>Orito</v>
      </c>
      <c r="C162" s="168">
        <v>41</v>
      </c>
      <c r="D162" s="167" t="str">
        <f>IFERROR(VLOOKUP(C162,'symmetric IOT 245 2012'!$C$6:$D$276,2,FALSE),"")</f>
        <v>Otras frutas n.c.p.</v>
      </c>
      <c r="E162" s="159">
        <f>INDEX('Dictionary Categories'!$A$2:$A$25,MATCH(F162,'Dictionary Categories'!$B$2:$B$25,0))</f>
        <v>1</v>
      </c>
      <c r="F162" s="164" t="s">
        <v>2470</v>
      </c>
      <c r="G162" s="164">
        <f>INDEX('Dictionary Subcategories'!$A$2:$A$70,MATCH(H162,'Dictionary Subcategories'!$B$2:$B$70,0))</f>
        <v>6</v>
      </c>
      <c r="H162" s="164" t="s">
        <v>1231</v>
      </c>
      <c r="I162" s="164"/>
      <c r="J162" s="164"/>
    </row>
    <row r="163" spans="1:10" ht="10.5" customHeight="1" x14ac:dyDescent="0.25">
      <c r="A163" s="165" t="str">
        <f>'ENIGHUR Consumption items'!H164</f>
        <v>01.1.6.055</v>
      </c>
      <c r="B163" s="165" t="str">
        <f>'ENIGHUR Consumption items'!J164</f>
        <v>Ovos, ciruelos</v>
      </c>
      <c r="C163" s="168">
        <v>41</v>
      </c>
      <c r="D163" s="167" t="str">
        <f>IFERROR(VLOOKUP(C163,'symmetric IOT 245 2012'!$C$6:$D$276,2,FALSE),"")</f>
        <v>Otras frutas n.c.p.</v>
      </c>
      <c r="E163" s="159">
        <f>INDEX('Dictionary Categories'!$A$2:$A$25,MATCH(F163,'Dictionary Categories'!$B$2:$B$25,0))</f>
        <v>1</v>
      </c>
      <c r="F163" s="164" t="s">
        <v>2470</v>
      </c>
      <c r="G163" s="164">
        <f>INDEX('Dictionary Subcategories'!$A$2:$A$70,MATCH(H163,'Dictionary Subcategories'!$B$2:$B$70,0))</f>
        <v>6</v>
      </c>
      <c r="H163" s="164" t="s">
        <v>1231</v>
      </c>
      <c r="I163" s="164"/>
      <c r="J163" s="164"/>
    </row>
    <row r="164" spans="1:10" ht="10.5" customHeight="1" x14ac:dyDescent="0.25">
      <c r="A164" s="165" t="str">
        <f>'ENIGHUR Consumption items'!H165</f>
        <v>01.1.6.056</v>
      </c>
      <c r="B164" s="165" t="str">
        <f>'ENIGHUR Consumption items'!J165</f>
        <v>Papaya</v>
      </c>
      <c r="C164" s="168">
        <v>32</v>
      </c>
      <c r="D164" s="167" t="str">
        <f>IFERROR(VLOOKUP(C164,'symmetric IOT 245 2012'!$C$6:$D$276,2,FALSE),"")</f>
        <v>Papaya y Plantas de papaya</v>
      </c>
      <c r="E164" s="159">
        <f>INDEX('Dictionary Categories'!$A$2:$A$25,MATCH(F164,'Dictionary Categories'!$B$2:$B$25,0))</f>
        <v>1</v>
      </c>
      <c r="F164" s="164" t="s">
        <v>2470</v>
      </c>
      <c r="G164" s="164">
        <f>INDEX('Dictionary Subcategories'!$A$2:$A$70,MATCH(H164,'Dictionary Subcategories'!$B$2:$B$70,0))</f>
        <v>6</v>
      </c>
      <c r="H164" s="164" t="s">
        <v>1231</v>
      </c>
      <c r="I164" s="164"/>
      <c r="J164" s="164"/>
    </row>
    <row r="165" spans="1:10" ht="10.5" customHeight="1" x14ac:dyDescent="0.25">
      <c r="A165" s="165" t="str">
        <f>'ENIGHUR Consumption items'!H166</f>
        <v>01.1.6.057</v>
      </c>
      <c r="B165" s="165" t="str">
        <f>'ENIGHUR Consumption items'!J166</f>
        <v>Papaya hawaiana</v>
      </c>
      <c r="C165" s="168">
        <v>41</v>
      </c>
      <c r="D165" s="167" t="str">
        <f>IFERROR(VLOOKUP(C165,'symmetric IOT 245 2012'!$C$6:$D$276,2,FALSE),"")</f>
        <v>Otras frutas n.c.p.</v>
      </c>
      <c r="E165" s="159">
        <f>INDEX('Dictionary Categories'!$A$2:$A$25,MATCH(F165,'Dictionary Categories'!$B$2:$B$25,0))</f>
        <v>1</v>
      </c>
      <c r="F165" s="164" t="s">
        <v>2470</v>
      </c>
      <c r="G165" s="164">
        <f>INDEX('Dictionary Subcategories'!$A$2:$A$70,MATCH(H165,'Dictionary Subcategories'!$B$2:$B$70,0))</f>
        <v>6</v>
      </c>
      <c r="H165" s="164" t="s">
        <v>1231</v>
      </c>
      <c r="I165" s="164"/>
      <c r="J165" s="164"/>
    </row>
    <row r="166" spans="1:10" ht="10.5" customHeight="1" x14ac:dyDescent="0.25">
      <c r="A166" s="165" t="str">
        <f>'ENIGHUR Consumption items'!H167</f>
        <v>01.1.6.058</v>
      </c>
      <c r="B166" s="165" t="str">
        <f>'ENIGHUR Consumption items'!J167</f>
        <v>Pechiche</v>
      </c>
      <c r="C166" s="168">
        <v>41</v>
      </c>
      <c r="D166" s="167" t="str">
        <f>IFERROR(VLOOKUP(C166,'symmetric IOT 245 2012'!$C$6:$D$276,2,FALSE),"")</f>
        <v>Otras frutas n.c.p.</v>
      </c>
      <c r="E166" s="159">
        <f>INDEX('Dictionary Categories'!$A$2:$A$25,MATCH(F166,'Dictionary Categories'!$B$2:$B$25,0))</f>
        <v>1</v>
      </c>
      <c r="F166" s="164" t="s">
        <v>2470</v>
      </c>
      <c r="G166" s="164">
        <f>INDEX('Dictionary Subcategories'!$A$2:$A$70,MATCH(H166,'Dictionary Subcategories'!$B$2:$B$70,0))</f>
        <v>6</v>
      </c>
      <c r="H166" s="164" t="s">
        <v>1231</v>
      </c>
      <c r="I166" s="164"/>
      <c r="J166" s="164"/>
    </row>
    <row r="167" spans="1:10" ht="10.5" customHeight="1" x14ac:dyDescent="0.25">
      <c r="A167" s="165" t="str">
        <f>'ENIGHUR Consumption items'!H168</f>
        <v>01.1.6.059</v>
      </c>
      <c r="B167" s="165" t="str">
        <f>'ENIGHUR Consumption items'!J168</f>
        <v>Pepino de dulce</v>
      </c>
      <c r="C167" s="168">
        <v>41</v>
      </c>
      <c r="D167" s="167" t="str">
        <f>IFERROR(VLOOKUP(C167,'symmetric IOT 245 2012'!$C$6:$D$276,2,FALSE),"")</f>
        <v>Otras frutas n.c.p.</v>
      </c>
      <c r="E167" s="159">
        <f>INDEX('Dictionary Categories'!$A$2:$A$25,MATCH(F167,'Dictionary Categories'!$B$2:$B$25,0))</f>
        <v>1</v>
      </c>
      <c r="F167" s="164" t="s">
        <v>2470</v>
      </c>
      <c r="G167" s="164">
        <f>INDEX('Dictionary Subcategories'!$A$2:$A$70,MATCH(H167,'Dictionary Subcategories'!$B$2:$B$70,0))</f>
        <v>6</v>
      </c>
      <c r="H167" s="164" t="s">
        <v>1231</v>
      </c>
      <c r="I167" s="164"/>
      <c r="J167" s="164"/>
    </row>
    <row r="168" spans="1:10" ht="10.5" customHeight="1" x14ac:dyDescent="0.25">
      <c r="A168" s="165" t="str">
        <f>'ENIGHUR Consumption items'!H169</f>
        <v>01.1.6.060</v>
      </c>
      <c r="B168" s="165" t="str">
        <f>'ENIGHUR Consumption items'!J169</f>
        <v>Pera</v>
      </c>
      <c r="C168" s="168">
        <v>41</v>
      </c>
      <c r="D168" s="167" t="str">
        <f>IFERROR(VLOOKUP(C168,'symmetric IOT 245 2012'!$C$6:$D$276,2,FALSE),"")</f>
        <v>Otras frutas n.c.p.</v>
      </c>
      <c r="E168" s="159">
        <f>INDEX('Dictionary Categories'!$A$2:$A$25,MATCH(F168,'Dictionary Categories'!$B$2:$B$25,0))</f>
        <v>1</v>
      </c>
      <c r="F168" s="164" t="s">
        <v>2470</v>
      </c>
      <c r="G168" s="164">
        <f>INDEX('Dictionary Subcategories'!$A$2:$A$70,MATCH(H168,'Dictionary Subcategories'!$B$2:$B$70,0))</f>
        <v>6</v>
      </c>
      <c r="H168" s="164" t="s">
        <v>1231</v>
      </c>
      <c r="I168" s="164"/>
      <c r="J168" s="164"/>
    </row>
    <row r="169" spans="1:10" ht="10.5" customHeight="1" x14ac:dyDescent="0.25">
      <c r="A169" s="165" t="str">
        <f>'ENIGHUR Consumption items'!H170</f>
        <v>01.1.6.061</v>
      </c>
      <c r="B169" s="165" t="str">
        <f>'ENIGHUR Consumption items'!J170</f>
        <v>Piña</v>
      </c>
      <c r="C169" s="168">
        <v>33</v>
      </c>
      <c r="D169" s="167" t="str">
        <f>IFERROR(VLOOKUP(C169,'symmetric IOT 245 2012'!$C$6:$D$276,2,FALSE),"")</f>
        <v>Piña y Plantas de piña</v>
      </c>
      <c r="E169" s="159">
        <f>INDEX('Dictionary Categories'!$A$2:$A$25,MATCH(F169,'Dictionary Categories'!$B$2:$B$25,0))</f>
        <v>1</v>
      </c>
      <c r="F169" s="164" t="s">
        <v>2470</v>
      </c>
      <c r="G169" s="164">
        <f>INDEX('Dictionary Subcategories'!$A$2:$A$70,MATCH(H169,'Dictionary Subcategories'!$B$2:$B$70,0))</f>
        <v>6</v>
      </c>
      <c r="H169" s="164" t="s">
        <v>1231</v>
      </c>
      <c r="I169" s="164"/>
      <c r="J169" s="164"/>
    </row>
    <row r="170" spans="1:10" ht="10.5" customHeight="1" x14ac:dyDescent="0.25">
      <c r="A170" s="165" t="str">
        <f>'ENIGHUR Consumption items'!H171</f>
        <v>01.1.6.062</v>
      </c>
      <c r="B170" s="165" t="str">
        <f>'ENIGHUR Consumption items'!J171</f>
        <v>Piña hawaiana</v>
      </c>
      <c r="C170" s="168">
        <v>41</v>
      </c>
      <c r="D170" s="167" t="str">
        <f>IFERROR(VLOOKUP(C170,'symmetric IOT 245 2012'!$C$6:$D$276,2,FALSE),"")</f>
        <v>Otras frutas n.c.p.</v>
      </c>
      <c r="E170" s="159">
        <f>INDEX('Dictionary Categories'!$A$2:$A$25,MATCH(F170,'Dictionary Categories'!$B$2:$B$25,0))</f>
        <v>1</v>
      </c>
      <c r="F170" s="164" t="s">
        <v>2470</v>
      </c>
      <c r="G170" s="164">
        <f>INDEX('Dictionary Subcategories'!$A$2:$A$70,MATCH(H170,'Dictionary Subcategories'!$B$2:$B$70,0))</f>
        <v>6</v>
      </c>
      <c r="H170" s="164" t="s">
        <v>1231</v>
      </c>
      <c r="I170" s="164"/>
      <c r="J170" s="164"/>
    </row>
    <row r="171" spans="1:10" ht="10.5" customHeight="1" x14ac:dyDescent="0.25">
      <c r="A171" s="165" t="str">
        <f>'ENIGHUR Consumption items'!H172</f>
        <v>01.1.6.063</v>
      </c>
      <c r="B171" s="165" t="str">
        <f>'ENIGHUR Consumption items'!J172</f>
        <v>Pitajaya</v>
      </c>
      <c r="C171" s="168">
        <v>41</v>
      </c>
      <c r="D171" s="167" t="str">
        <f>IFERROR(VLOOKUP(C171,'symmetric IOT 245 2012'!$C$6:$D$276,2,FALSE),"")</f>
        <v>Otras frutas n.c.p.</v>
      </c>
      <c r="E171" s="159">
        <f>INDEX('Dictionary Categories'!$A$2:$A$25,MATCH(F171,'Dictionary Categories'!$B$2:$B$25,0))</f>
        <v>1</v>
      </c>
      <c r="F171" s="164" t="s">
        <v>2470</v>
      </c>
      <c r="G171" s="164">
        <f>INDEX('Dictionary Subcategories'!$A$2:$A$70,MATCH(H171,'Dictionary Subcategories'!$B$2:$B$70,0))</f>
        <v>6</v>
      </c>
      <c r="H171" s="164" t="s">
        <v>1231</v>
      </c>
      <c r="I171" s="164"/>
      <c r="J171" s="164"/>
    </row>
    <row r="172" spans="1:10" ht="10.5" customHeight="1" x14ac:dyDescent="0.25">
      <c r="A172" s="165" t="str">
        <f>'ENIGHUR Consumption items'!H173</f>
        <v>01.1.6.064</v>
      </c>
      <c r="B172" s="165" t="str">
        <f>'ENIGHUR Consumption items'!J173</f>
        <v>Plátano maduro</v>
      </c>
      <c r="C172" s="168">
        <v>1</v>
      </c>
      <c r="D172" s="167" t="str">
        <f>IFERROR(VLOOKUP(C172,'symmetric IOT 245 2012'!$C$6:$D$276,2,FALSE),"")</f>
        <v>Banano y plátano y plantas de banano</v>
      </c>
      <c r="E172" s="159">
        <f>INDEX('Dictionary Categories'!$A$2:$A$25,MATCH(F172,'Dictionary Categories'!$B$2:$B$25,0))</f>
        <v>1</v>
      </c>
      <c r="F172" s="164" t="s">
        <v>2470</v>
      </c>
      <c r="G172" s="164">
        <f>INDEX('Dictionary Subcategories'!$A$2:$A$70,MATCH(H172,'Dictionary Subcategories'!$B$2:$B$70,0))</f>
        <v>6</v>
      </c>
      <c r="H172" s="164" t="s">
        <v>1231</v>
      </c>
      <c r="I172" s="164"/>
      <c r="J172" s="164"/>
    </row>
    <row r="173" spans="1:10" ht="10.5" customHeight="1" x14ac:dyDescent="0.25">
      <c r="A173" s="165" t="str">
        <f>'ENIGHUR Consumption items'!H174</f>
        <v>01.1.6.065</v>
      </c>
      <c r="B173" s="165" t="str">
        <f>'ENIGHUR Consumption items'!J174</f>
        <v>Plátano verde</v>
      </c>
      <c r="C173" s="168">
        <v>1</v>
      </c>
      <c r="D173" s="167" t="str">
        <f>IFERROR(VLOOKUP(C173,'symmetric IOT 245 2012'!$C$6:$D$276,2,FALSE),"")</f>
        <v>Banano y plátano y plantas de banano</v>
      </c>
      <c r="E173" s="159">
        <f>INDEX('Dictionary Categories'!$A$2:$A$25,MATCH(F173,'Dictionary Categories'!$B$2:$B$25,0))</f>
        <v>1</v>
      </c>
      <c r="F173" s="164" t="s">
        <v>2470</v>
      </c>
      <c r="G173" s="164">
        <f>INDEX('Dictionary Subcategories'!$A$2:$A$70,MATCH(H173,'Dictionary Subcategories'!$B$2:$B$70,0))</f>
        <v>6</v>
      </c>
      <c r="H173" s="164" t="s">
        <v>1231</v>
      </c>
      <c r="I173" s="164"/>
      <c r="J173" s="164"/>
    </row>
    <row r="174" spans="1:10" ht="10.5" customHeight="1" x14ac:dyDescent="0.25">
      <c r="A174" s="165" t="str">
        <f>'ENIGHUR Consumption items'!H175</f>
        <v>01.1.6.066</v>
      </c>
      <c r="B174" s="165" t="str">
        <f>'ENIGHUR Consumption items'!J175</f>
        <v>Sandía</v>
      </c>
      <c r="C174" s="168">
        <v>27</v>
      </c>
      <c r="D174" s="167" t="str">
        <f>IFERROR(VLOOKUP(C174,'symmetric IOT 245 2012'!$C$6:$D$276,2,FALSE),"")</f>
        <v>Sandía</v>
      </c>
      <c r="E174" s="159">
        <f>INDEX('Dictionary Categories'!$A$2:$A$25,MATCH(F174,'Dictionary Categories'!$B$2:$B$25,0))</f>
        <v>1</v>
      </c>
      <c r="F174" s="164" t="s">
        <v>2470</v>
      </c>
      <c r="G174" s="164">
        <f>INDEX('Dictionary Subcategories'!$A$2:$A$70,MATCH(H174,'Dictionary Subcategories'!$B$2:$B$70,0))</f>
        <v>6</v>
      </c>
      <c r="H174" s="164" t="s">
        <v>1231</v>
      </c>
      <c r="I174" s="164"/>
      <c r="J174" s="164"/>
    </row>
    <row r="175" spans="1:10" ht="10.5" customHeight="1" x14ac:dyDescent="0.25">
      <c r="A175" s="165" t="str">
        <f>'ENIGHUR Consumption items'!H176</f>
        <v>01.1.6.067</v>
      </c>
      <c r="B175" s="165" t="str">
        <f>'ENIGHUR Consumption items'!J176</f>
        <v>Tamarindo</v>
      </c>
      <c r="C175" s="168">
        <v>41</v>
      </c>
      <c r="D175" s="167" t="str">
        <f>IFERROR(VLOOKUP(C175,'symmetric IOT 245 2012'!$C$6:$D$276,2,FALSE),"")</f>
        <v>Otras frutas n.c.p.</v>
      </c>
      <c r="E175" s="159">
        <f>INDEX('Dictionary Categories'!$A$2:$A$25,MATCH(F175,'Dictionary Categories'!$B$2:$B$25,0))</f>
        <v>1</v>
      </c>
      <c r="F175" s="164" t="s">
        <v>2470</v>
      </c>
      <c r="G175" s="164">
        <f>INDEX('Dictionary Subcategories'!$A$2:$A$70,MATCH(H175,'Dictionary Subcategories'!$B$2:$B$70,0))</f>
        <v>6</v>
      </c>
      <c r="H175" s="164" t="s">
        <v>1231</v>
      </c>
      <c r="I175" s="164"/>
      <c r="J175" s="164"/>
    </row>
    <row r="176" spans="1:10" ht="10.5" customHeight="1" x14ac:dyDescent="0.25">
      <c r="A176" s="165" t="str">
        <f>'ENIGHUR Consumption items'!H177</f>
        <v>01.1.6.068</v>
      </c>
      <c r="B176" s="165" t="str">
        <f>'ENIGHUR Consumption items'!J177</f>
        <v>Taxo</v>
      </c>
      <c r="C176" s="168">
        <v>41</v>
      </c>
      <c r="D176" s="167" t="str">
        <f>IFERROR(VLOOKUP(C176,'symmetric IOT 245 2012'!$C$6:$D$276,2,FALSE),"")</f>
        <v>Otras frutas n.c.p.</v>
      </c>
      <c r="E176" s="159">
        <f>INDEX('Dictionary Categories'!$A$2:$A$25,MATCH(F176,'Dictionary Categories'!$B$2:$B$25,0))</f>
        <v>1</v>
      </c>
      <c r="F176" s="164" t="s">
        <v>2470</v>
      </c>
      <c r="G176" s="164">
        <f>INDEX('Dictionary Subcategories'!$A$2:$A$70,MATCH(H176,'Dictionary Subcategories'!$B$2:$B$70,0))</f>
        <v>6</v>
      </c>
      <c r="H176" s="164" t="s">
        <v>1231</v>
      </c>
      <c r="I176" s="164"/>
      <c r="J176" s="164"/>
    </row>
    <row r="177" spans="1:10" ht="10.5" customHeight="1" x14ac:dyDescent="0.25">
      <c r="A177" s="165" t="str">
        <f>'ENIGHUR Consumption items'!H178</f>
        <v>01.1.6.069</v>
      </c>
      <c r="B177" s="165" t="str">
        <f>'ENIGHUR Consumption items'!J178</f>
        <v>Tomate de árbol</v>
      </c>
      <c r="C177" s="168">
        <v>34</v>
      </c>
      <c r="D177" s="167" t="str">
        <f>IFERROR(VLOOKUP(C177,'symmetric IOT 245 2012'!$C$6:$D$276,2,FALSE),"")</f>
        <v xml:space="preserve">Tomate de árbol y Plantas de tomate de árbol </v>
      </c>
      <c r="E177" s="159">
        <f>INDEX('Dictionary Categories'!$A$2:$A$25,MATCH(F177,'Dictionary Categories'!$B$2:$B$25,0))</f>
        <v>1</v>
      </c>
      <c r="F177" s="164" t="s">
        <v>2470</v>
      </c>
      <c r="G177" s="164">
        <f>INDEX('Dictionary Subcategories'!$A$2:$A$70,MATCH(H177,'Dictionary Subcategories'!$B$2:$B$70,0))</f>
        <v>6</v>
      </c>
      <c r="H177" s="164" t="s">
        <v>1231</v>
      </c>
      <c r="I177" s="164"/>
      <c r="J177" s="164"/>
    </row>
    <row r="178" spans="1:10" ht="10.5" customHeight="1" x14ac:dyDescent="0.25">
      <c r="A178" s="165" t="str">
        <f>'ENIGHUR Consumption items'!H179</f>
        <v>01.1.6.070</v>
      </c>
      <c r="B178" s="165" t="str">
        <f>'ENIGHUR Consumption items'!J179</f>
        <v>Toronja</v>
      </c>
      <c r="C178" s="168">
        <v>41</v>
      </c>
      <c r="D178" s="167" t="str">
        <f>IFERROR(VLOOKUP(C178,'symmetric IOT 245 2012'!$C$6:$D$276,2,FALSE),"")</f>
        <v>Otras frutas n.c.p.</v>
      </c>
      <c r="E178" s="159">
        <f>INDEX('Dictionary Categories'!$A$2:$A$25,MATCH(F178,'Dictionary Categories'!$B$2:$B$25,0))</f>
        <v>1</v>
      </c>
      <c r="F178" s="164" t="s">
        <v>2470</v>
      </c>
      <c r="G178" s="164">
        <f>INDEX('Dictionary Subcategories'!$A$2:$A$70,MATCH(H178,'Dictionary Subcategories'!$B$2:$B$70,0))</f>
        <v>6</v>
      </c>
      <c r="H178" s="164" t="s">
        <v>1231</v>
      </c>
      <c r="I178" s="164"/>
      <c r="J178" s="164"/>
    </row>
    <row r="179" spans="1:10" ht="10.5" customHeight="1" x14ac:dyDescent="0.25">
      <c r="A179" s="165" t="str">
        <f>'ENIGHUR Consumption items'!H180</f>
        <v>01.1.6.071</v>
      </c>
      <c r="B179" s="165" t="str">
        <f>'ENIGHUR Consumption items'!J180</f>
        <v>Tuna</v>
      </c>
      <c r="C179" s="168">
        <v>41</v>
      </c>
      <c r="D179" s="167" t="str">
        <f>IFERROR(VLOOKUP(C179,'symmetric IOT 245 2012'!$C$6:$D$276,2,FALSE),"")</f>
        <v>Otras frutas n.c.p.</v>
      </c>
      <c r="E179" s="159">
        <f>INDEX('Dictionary Categories'!$A$2:$A$25,MATCH(F179,'Dictionary Categories'!$B$2:$B$25,0))</f>
        <v>1</v>
      </c>
      <c r="F179" s="164" t="s">
        <v>2470</v>
      </c>
      <c r="G179" s="164">
        <f>INDEX('Dictionary Subcategories'!$A$2:$A$70,MATCH(H179,'Dictionary Subcategories'!$B$2:$B$70,0))</f>
        <v>6</v>
      </c>
      <c r="H179" s="164" t="s">
        <v>1231</v>
      </c>
      <c r="I179" s="164"/>
      <c r="J179" s="164"/>
    </row>
    <row r="180" spans="1:10" ht="10.5" customHeight="1" x14ac:dyDescent="0.25">
      <c r="A180" s="165" t="str">
        <f>'ENIGHUR Consumption items'!H181</f>
        <v>01.1.6.072</v>
      </c>
      <c r="B180" s="165" t="str">
        <f>'ENIGHUR Consumption items'!J181</f>
        <v>Uvas negras</v>
      </c>
      <c r="C180" s="168">
        <v>41</v>
      </c>
      <c r="D180" s="167" t="str">
        <f>IFERROR(VLOOKUP(C180,'symmetric IOT 245 2012'!$C$6:$D$276,2,FALSE),"")</f>
        <v>Otras frutas n.c.p.</v>
      </c>
      <c r="E180" s="159">
        <f>INDEX('Dictionary Categories'!$A$2:$A$25,MATCH(F180,'Dictionary Categories'!$B$2:$B$25,0))</f>
        <v>1</v>
      </c>
      <c r="F180" s="164" t="s">
        <v>2470</v>
      </c>
      <c r="G180" s="164">
        <f>INDEX('Dictionary Subcategories'!$A$2:$A$70,MATCH(H180,'Dictionary Subcategories'!$B$2:$B$70,0))</f>
        <v>6</v>
      </c>
      <c r="H180" s="164" t="s">
        <v>1231</v>
      </c>
      <c r="I180" s="164"/>
      <c r="J180" s="164"/>
    </row>
    <row r="181" spans="1:10" ht="10.5" customHeight="1" x14ac:dyDescent="0.25">
      <c r="A181" s="165" t="str">
        <f>'ENIGHUR Consumption items'!H182</f>
        <v>01.1.6.073</v>
      </c>
      <c r="B181" s="165" t="str">
        <f>'ENIGHUR Consumption items'!J182</f>
        <v>Uvas rojas</v>
      </c>
      <c r="C181" s="168">
        <v>41</v>
      </c>
      <c r="D181" s="167" t="str">
        <f>IFERROR(VLOOKUP(C181,'symmetric IOT 245 2012'!$C$6:$D$276,2,FALSE),"")</f>
        <v>Otras frutas n.c.p.</v>
      </c>
      <c r="E181" s="159">
        <f>INDEX('Dictionary Categories'!$A$2:$A$25,MATCH(F181,'Dictionary Categories'!$B$2:$B$25,0))</f>
        <v>1</v>
      </c>
      <c r="F181" s="164" t="s">
        <v>2470</v>
      </c>
      <c r="G181" s="164">
        <f>INDEX('Dictionary Subcategories'!$A$2:$A$70,MATCH(H181,'Dictionary Subcategories'!$B$2:$B$70,0))</f>
        <v>6</v>
      </c>
      <c r="H181" s="164" t="s">
        <v>1231</v>
      </c>
      <c r="I181" s="164"/>
      <c r="J181" s="164"/>
    </row>
    <row r="182" spans="1:10" ht="10.5" customHeight="1" x14ac:dyDescent="0.25">
      <c r="A182" s="165" t="str">
        <f>'ENIGHUR Consumption items'!H183</f>
        <v>01.1.6.074</v>
      </c>
      <c r="B182" s="165" t="str">
        <f>'ENIGHUR Consumption items'!J183</f>
        <v>Uvas verdes</v>
      </c>
      <c r="C182" s="168">
        <v>41</v>
      </c>
      <c r="D182" s="167" t="str">
        <f>IFERROR(VLOOKUP(C182,'symmetric IOT 245 2012'!$C$6:$D$276,2,FALSE),"")</f>
        <v>Otras frutas n.c.p.</v>
      </c>
      <c r="E182" s="159">
        <f>INDEX('Dictionary Categories'!$A$2:$A$25,MATCH(F182,'Dictionary Categories'!$B$2:$B$25,0))</f>
        <v>1</v>
      </c>
      <c r="F182" s="164" t="s">
        <v>2470</v>
      </c>
      <c r="G182" s="164">
        <f>INDEX('Dictionary Subcategories'!$A$2:$A$70,MATCH(H182,'Dictionary Subcategories'!$B$2:$B$70,0))</f>
        <v>6</v>
      </c>
      <c r="H182" s="164" t="s">
        <v>1231</v>
      </c>
      <c r="I182" s="164"/>
      <c r="J182" s="164"/>
    </row>
    <row r="183" spans="1:10" ht="10.5" customHeight="1" x14ac:dyDescent="0.25">
      <c r="A183" s="165" t="str">
        <f>'ENIGHUR Consumption items'!H184</f>
        <v>01.1.6.075</v>
      </c>
      <c r="B183" s="165" t="str">
        <f>'ENIGHUR Consumption items'!J184</f>
        <v>Uvillas</v>
      </c>
      <c r="C183" s="168">
        <v>41</v>
      </c>
      <c r="D183" s="167" t="str">
        <f>IFERROR(VLOOKUP(C183,'symmetric IOT 245 2012'!$C$6:$D$276,2,FALSE),"")</f>
        <v>Otras frutas n.c.p.</v>
      </c>
      <c r="E183" s="159">
        <f>INDEX('Dictionary Categories'!$A$2:$A$25,MATCH(F183,'Dictionary Categories'!$B$2:$B$25,0))</f>
        <v>1</v>
      </c>
      <c r="F183" s="164" t="s">
        <v>2470</v>
      </c>
      <c r="G183" s="164">
        <f>INDEX('Dictionary Subcategories'!$A$2:$A$70,MATCH(H183,'Dictionary Subcategories'!$B$2:$B$70,0))</f>
        <v>6</v>
      </c>
      <c r="H183" s="164" t="s">
        <v>1231</v>
      </c>
      <c r="I183" s="164"/>
      <c r="J183" s="164"/>
    </row>
    <row r="184" spans="1:10" ht="10.5" customHeight="1" x14ac:dyDescent="0.25">
      <c r="A184" s="165" t="str">
        <f>'ENIGHUR Consumption items'!H185</f>
        <v>01.1.6.076</v>
      </c>
      <c r="B184" s="165" t="str">
        <f>'ENIGHUR Consumption items'!J185</f>
        <v>Zapote</v>
      </c>
      <c r="C184" s="168">
        <v>41</v>
      </c>
      <c r="D184" s="167" t="str">
        <f>IFERROR(VLOOKUP(C184,'symmetric IOT 245 2012'!$C$6:$D$276,2,FALSE),"")</f>
        <v>Otras frutas n.c.p.</v>
      </c>
      <c r="E184" s="159">
        <f>INDEX('Dictionary Categories'!$A$2:$A$25,MATCH(F184,'Dictionary Categories'!$B$2:$B$25,0))</f>
        <v>1</v>
      </c>
      <c r="F184" s="164" t="s">
        <v>2470</v>
      </c>
      <c r="G184" s="164">
        <f>INDEX('Dictionary Subcategories'!$A$2:$A$70,MATCH(H184,'Dictionary Subcategories'!$B$2:$B$70,0))</f>
        <v>6</v>
      </c>
      <c r="H184" s="164" t="s">
        <v>1231</v>
      </c>
      <c r="I184" s="164"/>
      <c r="J184" s="164"/>
    </row>
    <row r="185" spans="1:10" ht="10.5" customHeight="1" x14ac:dyDescent="0.25">
      <c r="A185" s="165" t="str">
        <f>'ENIGHUR Consumption items'!H186</f>
        <v>01.1.6.077</v>
      </c>
      <c r="B185" s="165" t="str">
        <f>'ENIGHUR Consumption items'!J186</f>
        <v>Chonta</v>
      </c>
      <c r="C185" s="168">
        <v>41</v>
      </c>
      <c r="D185" s="167" t="str">
        <f>IFERROR(VLOOKUP(C185,'symmetric IOT 245 2012'!$C$6:$D$276,2,FALSE),"")</f>
        <v>Otras frutas n.c.p.</v>
      </c>
      <c r="E185" s="159">
        <f>INDEX('Dictionary Categories'!$A$2:$A$25,MATCH(F185,'Dictionary Categories'!$B$2:$B$25,0))</f>
        <v>1</v>
      </c>
      <c r="F185" s="164" t="s">
        <v>2470</v>
      </c>
      <c r="G185" s="164">
        <f>INDEX('Dictionary Subcategories'!$A$2:$A$70,MATCH(H185,'Dictionary Subcategories'!$B$2:$B$70,0))</f>
        <v>6</v>
      </c>
      <c r="H185" s="164" t="s">
        <v>1231</v>
      </c>
      <c r="I185" s="164"/>
      <c r="J185" s="164"/>
    </row>
    <row r="186" spans="1:10" ht="10.5" customHeight="1" x14ac:dyDescent="0.25">
      <c r="A186" s="165" t="str">
        <f>'ENIGHUR Consumption items'!H187</f>
        <v>01.1.6.099</v>
      </c>
      <c r="B186" s="165" t="str">
        <f>'ENIGHUR Consumption items'!J187</f>
        <v>Otras frutas frescas, refrigeradas y congeladas</v>
      </c>
      <c r="C186" s="168">
        <v>41</v>
      </c>
      <c r="D186" s="167" t="str">
        <f>IFERROR(VLOOKUP(C186,'symmetric IOT 245 2012'!$C$6:$D$276,2,FALSE),"")</f>
        <v>Otras frutas n.c.p.</v>
      </c>
      <c r="E186" s="159">
        <f>INDEX('Dictionary Categories'!$A$2:$A$25,MATCH(F186,'Dictionary Categories'!$B$2:$B$25,0))</f>
        <v>1</v>
      </c>
      <c r="F186" s="164" t="s">
        <v>2470</v>
      </c>
      <c r="G186" s="164">
        <f>INDEX('Dictionary Subcategories'!$A$2:$A$70,MATCH(H186,'Dictionary Subcategories'!$B$2:$B$70,0))</f>
        <v>6</v>
      </c>
      <c r="H186" s="164" t="s">
        <v>1231</v>
      </c>
      <c r="I186" s="164"/>
      <c r="J186" s="164"/>
    </row>
    <row r="187" spans="1:10" ht="10.5" customHeight="1" x14ac:dyDescent="0.25">
      <c r="A187" s="165" t="str">
        <f>'ENIGHUR Consumption items'!H188</f>
        <v>01.1.6.100</v>
      </c>
      <c r="B187" s="165" t="str">
        <f>'ENIGHUR Consumption items'!J188</f>
        <v>Frutas secas y en conserva (procesadas)</v>
      </c>
      <c r="C187" s="168">
        <v>45</v>
      </c>
      <c r="D187" s="167" t="str">
        <f>IFERROR(VLOOKUP(C187,'symmetric IOT 245 2012'!$C$6:$D$276,2,FALSE),"")</f>
        <v>Otras oleaginosas n.c.p.</v>
      </c>
      <c r="E187" s="159">
        <f>INDEX('Dictionary Categories'!$A$2:$A$25,MATCH(F187,'Dictionary Categories'!$B$2:$B$25,0))</f>
        <v>1</v>
      </c>
      <c r="F187" s="164" t="s">
        <v>2470</v>
      </c>
      <c r="G187" s="164">
        <f>INDEX('Dictionary Subcategories'!$A$2:$A$70,MATCH(H187,'Dictionary Subcategories'!$B$2:$B$70,0))</f>
        <v>6</v>
      </c>
      <c r="H187" s="164" t="s">
        <v>1231</v>
      </c>
      <c r="I187" s="164"/>
      <c r="J187" s="164"/>
    </row>
    <row r="188" spans="1:10" ht="10.5" customHeight="1" x14ac:dyDescent="0.25">
      <c r="A188" s="165" t="str">
        <f>'ENIGHUR Consumption items'!H189</f>
        <v>01.1.7</v>
      </c>
      <c r="B188" s="165" t="str">
        <f>'ENIGHUR Consumption items'!J189</f>
        <v>HORTALIZAS VERDURAS / LEGUMINOSAS Y TUBÉRCULOS</v>
      </c>
      <c r="C188" s="168" t="s">
        <v>2389</v>
      </c>
      <c r="D188" s="167" t="str">
        <f>IFERROR(VLOOKUP(C188,'symmetric IOT 245 2012'!$C$6:$D$276,2,FALSE),"")</f>
        <v>matched on SC/SSC level</v>
      </c>
      <c r="E188" s="159">
        <f>INDEX('Dictionary Categories'!$A$2:$A$25,MATCH(F188,'Dictionary Categories'!$B$2:$B$25,0))</f>
        <v>1</v>
      </c>
      <c r="F188" s="164" t="s">
        <v>2470</v>
      </c>
      <c r="G188" s="164">
        <f>INDEX('Dictionary Subcategories'!$A$2:$A$70,MATCH(H188,'Dictionary Subcategories'!$B$2:$B$70,0))</f>
        <v>7</v>
      </c>
      <c r="H188" s="164" t="s">
        <v>1232</v>
      </c>
      <c r="I188" s="164"/>
      <c r="J188" s="164"/>
    </row>
    <row r="189" spans="1:10" ht="10.5" customHeight="1" x14ac:dyDescent="0.25">
      <c r="A189" s="165" t="str">
        <f>'ENIGHUR Consumption items'!H190</f>
        <v>01.1.7.000</v>
      </c>
      <c r="B189" s="165" t="str">
        <f>'ENIGHUR Consumption items'!J190</f>
        <v>Hortalizas</v>
      </c>
      <c r="C189" s="168">
        <v>29</v>
      </c>
      <c r="D189" s="167" t="str">
        <f>IFERROR(VLOOKUP(C189,'symmetric IOT 245 2012'!$C$6:$D$276,2,FALSE),"")</f>
        <v>Otros vegetales y melones n.c.p.</v>
      </c>
      <c r="E189" s="159">
        <f>INDEX('Dictionary Categories'!$A$2:$A$25,MATCH(F189,'Dictionary Categories'!$B$2:$B$25,0))</f>
        <v>1</v>
      </c>
      <c r="F189" s="164" t="s">
        <v>2470</v>
      </c>
      <c r="G189" s="164">
        <f>INDEX('Dictionary Subcategories'!$A$2:$A$70,MATCH(H189,'Dictionary Subcategories'!$B$2:$B$70,0))</f>
        <v>7</v>
      </c>
      <c r="H189" s="164" t="s">
        <v>1232</v>
      </c>
      <c r="I189" s="164"/>
      <c r="J189" s="164"/>
    </row>
    <row r="190" spans="1:10" ht="10.5" customHeight="1" x14ac:dyDescent="0.25">
      <c r="A190" s="165" t="str">
        <f>'ENIGHUR Consumption items'!H191</f>
        <v>01.1.7.001</v>
      </c>
      <c r="B190" s="165" t="str">
        <f>'ENIGHUR Consumption items'!J191</f>
        <v>Acelga</v>
      </c>
      <c r="C190" s="168">
        <v>29</v>
      </c>
      <c r="D190" s="167" t="str">
        <f>IFERROR(VLOOKUP(C190,'symmetric IOT 245 2012'!$C$6:$D$276,2,FALSE),"")</f>
        <v>Otros vegetales y melones n.c.p.</v>
      </c>
      <c r="E190" s="159">
        <f>INDEX('Dictionary Categories'!$A$2:$A$25,MATCH(F190,'Dictionary Categories'!$B$2:$B$25,0))</f>
        <v>1</v>
      </c>
      <c r="F190" s="164" t="s">
        <v>2470</v>
      </c>
      <c r="G190" s="164">
        <f>INDEX('Dictionary Subcategories'!$A$2:$A$70,MATCH(H190,'Dictionary Subcategories'!$B$2:$B$70,0))</f>
        <v>7</v>
      </c>
      <c r="H190" s="164" t="s">
        <v>1232</v>
      </c>
      <c r="I190" s="164"/>
      <c r="J190" s="164"/>
    </row>
    <row r="191" spans="1:10" ht="10.5" customHeight="1" x14ac:dyDescent="0.25">
      <c r="A191" s="165" t="str">
        <f>'ENIGHUR Consumption items'!H192</f>
        <v>01.1.7.002</v>
      </c>
      <c r="B191" s="165" t="str">
        <f>'ENIGHUR Consumption items'!J192</f>
        <v>Achogchas</v>
      </c>
      <c r="C191" s="168">
        <v>29</v>
      </c>
      <c r="D191" s="167" t="str">
        <f>IFERROR(VLOOKUP(C191,'symmetric IOT 245 2012'!$C$6:$D$276,2,FALSE),"")</f>
        <v>Otros vegetales y melones n.c.p.</v>
      </c>
      <c r="E191" s="159">
        <f>INDEX('Dictionary Categories'!$A$2:$A$25,MATCH(F191,'Dictionary Categories'!$B$2:$B$25,0))</f>
        <v>1</v>
      </c>
      <c r="F191" s="164" t="s">
        <v>2470</v>
      </c>
      <c r="G191" s="164">
        <f>INDEX('Dictionary Subcategories'!$A$2:$A$70,MATCH(H191,'Dictionary Subcategories'!$B$2:$B$70,0))</f>
        <v>7</v>
      </c>
      <c r="H191" s="164" t="s">
        <v>1232</v>
      </c>
      <c r="I191" s="164"/>
      <c r="J191" s="164"/>
    </row>
    <row r="192" spans="1:10" ht="10.5" customHeight="1" x14ac:dyDescent="0.25">
      <c r="A192" s="165" t="str">
        <f>'ENIGHUR Consumption items'!H193</f>
        <v>01.1.7.003</v>
      </c>
      <c r="B192" s="165" t="str">
        <f>'ENIGHUR Consumption items'!J193</f>
        <v>Ají</v>
      </c>
      <c r="C192" s="168">
        <v>29</v>
      </c>
      <c r="D192" s="167" t="str">
        <f>IFERROR(VLOOKUP(C192,'symmetric IOT 245 2012'!$C$6:$D$276,2,FALSE),"")</f>
        <v>Otros vegetales y melones n.c.p.</v>
      </c>
      <c r="E192" s="159">
        <f>INDEX('Dictionary Categories'!$A$2:$A$25,MATCH(F192,'Dictionary Categories'!$B$2:$B$25,0))</f>
        <v>1</v>
      </c>
      <c r="F192" s="164" t="s">
        <v>2470</v>
      </c>
      <c r="G192" s="164">
        <f>INDEX('Dictionary Subcategories'!$A$2:$A$70,MATCH(H192,'Dictionary Subcategories'!$B$2:$B$70,0))</f>
        <v>7</v>
      </c>
      <c r="H192" s="164" t="s">
        <v>1232</v>
      </c>
      <c r="I192" s="164"/>
      <c r="J192" s="164"/>
    </row>
    <row r="193" spans="1:10" ht="10.5" customHeight="1" x14ac:dyDescent="0.25">
      <c r="A193" s="165" t="str">
        <f>'ENIGHUR Consumption items'!H194</f>
        <v>01.1.7.004</v>
      </c>
      <c r="B193" s="165" t="str">
        <f>'ENIGHUR Consumption items'!J194</f>
        <v>Ajo en pepa (sin pelar)</v>
      </c>
      <c r="C193" s="168">
        <v>29</v>
      </c>
      <c r="D193" s="167" t="str">
        <f>IFERROR(VLOOKUP(C193,'symmetric IOT 245 2012'!$C$6:$D$276,2,FALSE),"")</f>
        <v>Otros vegetales y melones n.c.p.</v>
      </c>
      <c r="E193" s="159">
        <f>INDEX('Dictionary Categories'!$A$2:$A$25,MATCH(F193,'Dictionary Categories'!$B$2:$B$25,0))</f>
        <v>1</v>
      </c>
      <c r="F193" s="164" t="s">
        <v>2470</v>
      </c>
      <c r="G193" s="164">
        <f>INDEX('Dictionary Subcategories'!$A$2:$A$70,MATCH(H193,'Dictionary Subcategories'!$B$2:$B$70,0))</f>
        <v>7</v>
      </c>
      <c r="H193" s="164" t="s">
        <v>1232</v>
      </c>
      <c r="I193" s="164"/>
      <c r="J193" s="164"/>
    </row>
    <row r="194" spans="1:10" ht="10.5" customHeight="1" x14ac:dyDescent="0.25">
      <c r="A194" s="165" t="str">
        <f>'ENIGHUR Consumption items'!H195</f>
        <v>01.1.7.005</v>
      </c>
      <c r="B194" s="165" t="str">
        <f>'ENIGHUR Consumption items'!J195</f>
        <v>Ajo en pepa (pelado)</v>
      </c>
      <c r="C194" s="168">
        <v>29</v>
      </c>
      <c r="D194" s="167" t="str">
        <f>IFERROR(VLOOKUP(C194,'symmetric IOT 245 2012'!$C$6:$D$276,2,FALSE),"")</f>
        <v>Otros vegetales y melones n.c.p.</v>
      </c>
      <c r="E194" s="159">
        <f>INDEX('Dictionary Categories'!$A$2:$A$25,MATCH(F194,'Dictionary Categories'!$B$2:$B$25,0))</f>
        <v>1</v>
      </c>
      <c r="F194" s="164" t="s">
        <v>2470</v>
      </c>
      <c r="G194" s="164">
        <f>INDEX('Dictionary Subcategories'!$A$2:$A$70,MATCH(H194,'Dictionary Subcategories'!$B$2:$B$70,0))</f>
        <v>7</v>
      </c>
      <c r="H194" s="164" t="s">
        <v>1232</v>
      </c>
      <c r="I194" s="164"/>
      <c r="J194" s="164"/>
    </row>
    <row r="195" spans="1:10" ht="10.5" customHeight="1" x14ac:dyDescent="0.25">
      <c r="A195" s="165" t="str">
        <f>'ENIGHUR Consumption items'!H196</f>
        <v>01.1.7.006</v>
      </c>
      <c r="B195" s="165" t="str">
        <f>'ENIGHUR Consumption items'!J196</f>
        <v>Alcachofa</v>
      </c>
      <c r="C195" s="168">
        <v>29</v>
      </c>
      <c r="D195" s="167" t="str">
        <f>IFERROR(VLOOKUP(C195,'symmetric IOT 245 2012'!$C$6:$D$276,2,FALSE),"")</f>
        <v>Otros vegetales y melones n.c.p.</v>
      </c>
      <c r="E195" s="159">
        <f>INDEX('Dictionary Categories'!$A$2:$A$25,MATCH(F195,'Dictionary Categories'!$B$2:$B$25,0))</f>
        <v>1</v>
      </c>
      <c r="F195" s="164" t="s">
        <v>2470</v>
      </c>
      <c r="G195" s="164">
        <f>INDEX('Dictionary Subcategories'!$A$2:$A$70,MATCH(H195,'Dictionary Subcategories'!$B$2:$B$70,0))</f>
        <v>7</v>
      </c>
      <c r="H195" s="164" t="s">
        <v>1232</v>
      </c>
      <c r="I195" s="164"/>
      <c r="J195" s="164"/>
    </row>
    <row r="196" spans="1:10" ht="10.5" customHeight="1" x14ac:dyDescent="0.25">
      <c r="A196" s="165" t="str">
        <f>'ENIGHUR Consumption items'!H197</f>
        <v>01.1.7.007</v>
      </c>
      <c r="B196" s="165" t="str">
        <f>'ENIGHUR Consumption items'!J197</f>
        <v>Apio</v>
      </c>
      <c r="C196" s="168">
        <v>29</v>
      </c>
      <c r="D196" s="167" t="str">
        <f>IFERROR(VLOOKUP(C196,'symmetric IOT 245 2012'!$C$6:$D$276,2,FALSE),"")</f>
        <v>Otros vegetales y melones n.c.p.</v>
      </c>
      <c r="E196" s="159">
        <f>INDEX('Dictionary Categories'!$A$2:$A$25,MATCH(F196,'Dictionary Categories'!$B$2:$B$25,0))</f>
        <v>1</v>
      </c>
      <c r="F196" s="164" t="s">
        <v>2470</v>
      </c>
      <c r="G196" s="164">
        <f>INDEX('Dictionary Subcategories'!$A$2:$A$70,MATCH(H196,'Dictionary Subcategories'!$B$2:$B$70,0))</f>
        <v>7</v>
      </c>
      <c r="H196" s="164" t="s">
        <v>1232</v>
      </c>
      <c r="I196" s="164"/>
      <c r="J196" s="164"/>
    </row>
    <row r="197" spans="1:10" ht="10.5" customHeight="1" x14ac:dyDescent="0.25">
      <c r="A197" s="165" t="str">
        <f>'ENIGHUR Consumption items'!H198</f>
        <v>01.1.7.008</v>
      </c>
      <c r="B197" s="165" t="str">
        <f>'ENIGHUR Consumption items'!J198</f>
        <v>Berenjena</v>
      </c>
      <c r="C197" s="168">
        <v>29</v>
      </c>
      <c r="D197" s="167" t="str">
        <f>IFERROR(VLOOKUP(C197,'symmetric IOT 245 2012'!$C$6:$D$276,2,FALSE),"")</f>
        <v>Otros vegetales y melones n.c.p.</v>
      </c>
      <c r="E197" s="159">
        <f>INDEX('Dictionary Categories'!$A$2:$A$25,MATCH(F197,'Dictionary Categories'!$B$2:$B$25,0))</f>
        <v>1</v>
      </c>
      <c r="F197" s="164" t="s">
        <v>2470</v>
      </c>
      <c r="G197" s="164">
        <f>INDEX('Dictionary Subcategories'!$A$2:$A$70,MATCH(H197,'Dictionary Subcategories'!$B$2:$B$70,0))</f>
        <v>7</v>
      </c>
      <c r="H197" s="164" t="s">
        <v>1232</v>
      </c>
      <c r="I197" s="164"/>
      <c r="J197" s="164"/>
    </row>
    <row r="198" spans="1:10" ht="10.5" customHeight="1" x14ac:dyDescent="0.25">
      <c r="A198" s="165" t="str">
        <f>'ENIGHUR Consumption items'!H199</f>
        <v>01.1.7.009</v>
      </c>
      <c r="B198" s="165" t="str">
        <f>'ENIGHUR Consumption items'!J199</f>
        <v>Berros</v>
      </c>
      <c r="C198" s="168">
        <v>29</v>
      </c>
      <c r="D198" s="167" t="str">
        <f>IFERROR(VLOOKUP(C198,'symmetric IOT 245 2012'!$C$6:$D$276,2,FALSE),"")</f>
        <v>Otros vegetales y melones n.c.p.</v>
      </c>
      <c r="E198" s="159">
        <f>INDEX('Dictionary Categories'!$A$2:$A$25,MATCH(F198,'Dictionary Categories'!$B$2:$B$25,0))</f>
        <v>1</v>
      </c>
      <c r="F198" s="164" t="s">
        <v>2470</v>
      </c>
      <c r="G198" s="164">
        <f>INDEX('Dictionary Subcategories'!$A$2:$A$70,MATCH(H198,'Dictionary Subcategories'!$B$2:$B$70,0))</f>
        <v>7</v>
      </c>
      <c r="H198" s="164" t="s">
        <v>1232</v>
      </c>
      <c r="I198" s="164"/>
      <c r="J198" s="164"/>
    </row>
    <row r="199" spans="1:10" ht="10.5" customHeight="1" x14ac:dyDescent="0.25">
      <c r="A199" s="165" t="str">
        <f>'ENIGHUR Consumption items'!H200</f>
        <v>01.1.7.010</v>
      </c>
      <c r="B199" s="165" t="str">
        <f>'ENIGHUR Consumption items'!J200</f>
        <v>Brócoli</v>
      </c>
      <c r="C199" s="168">
        <v>19</v>
      </c>
      <c r="D199" s="167" t="str">
        <f>IFERROR(VLOOKUP(C199,'symmetric IOT 245 2012'!$C$6:$D$276,2,FALSE),"")</f>
        <v>Brócoli</v>
      </c>
      <c r="E199" s="159">
        <f>INDEX('Dictionary Categories'!$A$2:$A$25,MATCH(F199,'Dictionary Categories'!$B$2:$B$25,0))</f>
        <v>1</v>
      </c>
      <c r="F199" s="164" t="s">
        <v>2470</v>
      </c>
      <c r="G199" s="164">
        <f>INDEX('Dictionary Subcategories'!$A$2:$A$70,MATCH(H199,'Dictionary Subcategories'!$B$2:$B$70,0))</f>
        <v>7</v>
      </c>
      <c r="H199" s="164" t="s">
        <v>1232</v>
      </c>
      <c r="I199" s="164"/>
      <c r="J199" s="164"/>
    </row>
    <row r="200" spans="1:10" ht="10.5" customHeight="1" x14ac:dyDescent="0.25">
      <c r="A200" s="165" t="str">
        <f>'ENIGHUR Consumption items'!H201</f>
        <v>01.1.7.011</v>
      </c>
      <c r="B200" s="165" t="str">
        <f>'ENIGHUR Consumption items'!J201</f>
        <v>Calabacín</v>
      </c>
      <c r="C200" s="168">
        <v>29</v>
      </c>
      <c r="D200" s="167" t="str">
        <f>IFERROR(VLOOKUP(C200,'symmetric IOT 245 2012'!$C$6:$D$276,2,FALSE),"")</f>
        <v>Otros vegetales y melones n.c.p.</v>
      </c>
      <c r="E200" s="159">
        <f>INDEX('Dictionary Categories'!$A$2:$A$25,MATCH(F200,'Dictionary Categories'!$B$2:$B$25,0))</f>
        <v>1</v>
      </c>
      <c r="F200" s="164" t="s">
        <v>2470</v>
      </c>
      <c r="G200" s="164">
        <f>INDEX('Dictionary Subcategories'!$A$2:$A$70,MATCH(H200,'Dictionary Subcategories'!$B$2:$B$70,0))</f>
        <v>7</v>
      </c>
      <c r="H200" s="164" t="s">
        <v>1232</v>
      </c>
      <c r="I200" s="164"/>
      <c r="J200" s="164"/>
    </row>
    <row r="201" spans="1:10" ht="10.5" customHeight="1" x14ac:dyDescent="0.25">
      <c r="A201" s="165" t="str">
        <f>'ENIGHUR Consumption items'!H202</f>
        <v>01.1.7.012</v>
      </c>
      <c r="B201" s="165" t="str">
        <f>'ENIGHUR Consumption items'!J202</f>
        <v>Cebolla blanca</v>
      </c>
      <c r="C201" s="168">
        <v>26</v>
      </c>
      <c r="D201" s="167" t="str">
        <f>IFERROR(VLOOKUP(C201,'symmetric IOT 245 2012'!$C$6:$D$276,2,FALSE),"")</f>
        <v>Cebolla blanca y colorada</v>
      </c>
      <c r="E201" s="159">
        <f>INDEX('Dictionary Categories'!$A$2:$A$25,MATCH(F201,'Dictionary Categories'!$B$2:$B$25,0))</f>
        <v>1</v>
      </c>
      <c r="F201" s="164" t="s">
        <v>2470</v>
      </c>
      <c r="G201" s="164">
        <f>INDEX('Dictionary Subcategories'!$A$2:$A$70,MATCH(H201,'Dictionary Subcategories'!$B$2:$B$70,0))</f>
        <v>7</v>
      </c>
      <c r="H201" s="164" t="s">
        <v>1232</v>
      </c>
      <c r="I201" s="164"/>
      <c r="J201" s="164"/>
    </row>
    <row r="202" spans="1:10" ht="10.5" customHeight="1" x14ac:dyDescent="0.25">
      <c r="A202" s="165" t="str">
        <f>'ENIGHUR Consumption items'!H203</f>
        <v>01.1.7.013</v>
      </c>
      <c r="B202" s="165" t="str">
        <f>'ENIGHUR Consumption items'!J203</f>
        <v>Cebolla paiteña colorada</v>
      </c>
      <c r="C202" s="168">
        <v>26</v>
      </c>
      <c r="D202" s="167" t="str">
        <f>IFERROR(VLOOKUP(C202,'symmetric IOT 245 2012'!$C$6:$D$276,2,FALSE),"")</f>
        <v>Cebolla blanca y colorada</v>
      </c>
      <c r="E202" s="159">
        <f>INDEX('Dictionary Categories'!$A$2:$A$25,MATCH(F202,'Dictionary Categories'!$B$2:$B$25,0))</f>
        <v>1</v>
      </c>
      <c r="F202" s="164" t="s">
        <v>2470</v>
      </c>
      <c r="G202" s="164">
        <f>INDEX('Dictionary Subcategories'!$A$2:$A$70,MATCH(H202,'Dictionary Subcategories'!$B$2:$B$70,0))</f>
        <v>7</v>
      </c>
      <c r="H202" s="164" t="s">
        <v>1232</v>
      </c>
      <c r="I202" s="164"/>
      <c r="J202" s="164"/>
    </row>
    <row r="203" spans="1:10" ht="10.5" customHeight="1" x14ac:dyDescent="0.25">
      <c r="A203" s="165" t="str">
        <f>'ENIGHUR Consumption items'!H204</f>
        <v>01.1.7.014</v>
      </c>
      <c r="B203" s="165" t="str">
        <f>'ENIGHUR Consumption items'!J204</f>
        <v>Cebolla paiteña perla</v>
      </c>
      <c r="C203" s="168">
        <v>26</v>
      </c>
      <c r="D203" s="167" t="str">
        <f>IFERROR(VLOOKUP(C203,'symmetric IOT 245 2012'!$C$6:$D$276,2,FALSE),"")</f>
        <v>Cebolla blanca y colorada</v>
      </c>
      <c r="E203" s="159">
        <f>INDEX('Dictionary Categories'!$A$2:$A$25,MATCH(F203,'Dictionary Categories'!$B$2:$B$25,0))</f>
        <v>1</v>
      </c>
      <c r="F203" s="164" t="s">
        <v>2470</v>
      </c>
      <c r="G203" s="164">
        <f>INDEX('Dictionary Subcategories'!$A$2:$A$70,MATCH(H203,'Dictionary Subcategories'!$B$2:$B$70,0))</f>
        <v>7</v>
      </c>
      <c r="H203" s="164" t="s">
        <v>1232</v>
      </c>
      <c r="I203" s="164"/>
      <c r="J203" s="164"/>
    </row>
    <row r="204" spans="1:10" ht="10.5" customHeight="1" x14ac:dyDescent="0.25">
      <c r="A204" s="165" t="str">
        <f>'ENIGHUR Consumption items'!H205</f>
        <v>01.1.7.015</v>
      </c>
      <c r="B204" s="165" t="str">
        <f>'ENIGHUR Consumption items'!J205</f>
        <v>Choclo tierno desgranado</v>
      </c>
      <c r="C204" s="168">
        <v>29</v>
      </c>
      <c r="D204" s="167" t="str">
        <f>IFERROR(VLOOKUP(C204,'symmetric IOT 245 2012'!$C$6:$D$276,2,FALSE),"")</f>
        <v>Otros vegetales y melones n.c.p.</v>
      </c>
      <c r="E204" s="159">
        <f>INDEX('Dictionary Categories'!$A$2:$A$25,MATCH(F204,'Dictionary Categories'!$B$2:$B$25,0))</f>
        <v>1</v>
      </c>
      <c r="F204" s="164" t="s">
        <v>2470</v>
      </c>
      <c r="G204" s="164">
        <f>INDEX('Dictionary Subcategories'!$A$2:$A$70,MATCH(H204,'Dictionary Subcategories'!$B$2:$B$70,0))</f>
        <v>7</v>
      </c>
      <c r="H204" s="164" t="s">
        <v>1232</v>
      </c>
      <c r="I204" s="164"/>
      <c r="J204" s="164"/>
    </row>
    <row r="205" spans="1:10" ht="10.5" customHeight="1" x14ac:dyDescent="0.25">
      <c r="A205" s="165" t="str">
        <f>'ENIGHUR Consumption items'!H206</f>
        <v>01.1.7.016</v>
      </c>
      <c r="B205" s="165" t="str">
        <f>'ENIGHUR Consumption items'!J206</f>
        <v>Choclo tierno en mazorca</v>
      </c>
      <c r="C205" s="168">
        <v>29</v>
      </c>
      <c r="D205" s="167" t="str">
        <f>IFERROR(VLOOKUP(C205,'symmetric IOT 245 2012'!$C$6:$D$276,2,FALSE),"")</f>
        <v>Otros vegetales y melones n.c.p.</v>
      </c>
      <c r="E205" s="159">
        <f>INDEX('Dictionary Categories'!$A$2:$A$25,MATCH(F205,'Dictionary Categories'!$B$2:$B$25,0))</f>
        <v>1</v>
      </c>
      <c r="F205" s="164" t="s">
        <v>2470</v>
      </c>
      <c r="G205" s="164">
        <f>INDEX('Dictionary Subcategories'!$A$2:$A$70,MATCH(H205,'Dictionary Subcategories'!$B$2:$B$70,0))</f>
        <v>7</v>
      </c>
      <c r="H205" s="164" t="s">
        <v>1232</v>
      </c>
      <c r="I205" s="164"/>
      <c r="J205" s="164"/>
    </row>
    <row r="206" spans="1:10" ht="10.5" customHeight="1" x14ac:dyDescent="0.25">
      <c r="A206" s="165" t="str">
        <f>'ENIGHUR Consumption items'!H207</f>
        <v>01.1.7.017</v>
      </c>
      <c r="B206" s="165" t="str">
        <f>'ENIGHUR Consumption items'!J207</f>
        <v>Col bruselas</v>
      </c>
      <c r="C206" s="168">
        <v>29</v>
      </c>
      <c r="D206" s="167" t="str">
        <f>IFERROR(VLOOKUP(C206,'symmetric IOT 245 2012'!$C$6:$D$276,2,FALSE),"")</f>
        <v>Otros vegetales y melones n.c.p.</v>
      </c>
      <c r="E206" s="159">
        <f>INDEX('Dictionary Categories'!$A$2:$A$25,MATCH(F206,'Dictionary Categories'!$B$2:$B$25,0))</f>
        <v>1</v>
      </c>
      <c r="F206" s="164" t="s">
        <v>2470</v>
      </c>
      <c r="G206" s="164">
        <f>INDEX('Dictionary Subcategories'!$A$2:$A$70,MATCH(H206,'Dictionary Subcategories'!$B$2:$B$70,0))</f>
        <v>7</v>
      </c>
      <c r="H206" s="164" t="s">
        <v>1232</v>
      </c>
      <c r="I206" s="164"/>
      <c r="J206" s="164"/>
    </row>
    <row r="207" spans="1:10" ht="10.5" customHeight="1" x14ac:dyDescent="0.25">
      <c r="A207" s="165" t="str">
        <f>'ENIGHUR Consumption items'!H208</f>
        <v>01.1.7.018</v>
      </c>
      <c r="B207" s="165" t="str">
        <f>'ENIGHUR Consumption items'!J208</f>
        <v>Col de seda o col verde</v>
      </c>
      <c r="C207" s="168">
        <v>29</v>
      </c>
      <c r="D207" s="167" t="str">
        <f>IFERROR(VLOOKUP(C207,'symmetric IOT 245 2012'!$C$6:$D$276,2,FALSE),"")</f>
        <v>Otros vegetales y melones n.c.p.</v>
      </c>
      <c r="E207" s="159">
        <f>INDEX('Dictionary Categories'!$A$2:$A$25,MATCH(F207,'Dictionary Categories'!$B$2:$B$25,0))</f>
        <v>1</v>
      </c>
      <c r="F207" s="164" t="s">
        <v>2470</v>
      </c>
      <c r="G207" s="164">
        <f>INDEX('Dictionary Subcategories'!$A$2:$A$70,MATCH(H207,'Dictionary Subcategories'!$B$2:$B$70,0))</f>
        <v>7</v>
      </c>
      <c r="H207" s="164" t="s">
        <v>1232</v>
      </c>
      <c r="I207" s="164"/>
      <c r="J207" s="164"/>
    </row>
    <row r="208" spans="1:10" ht="10.5" customHeight="1" x14ac:dyDescent="0.25">
      <c r="A208" s="165" t="str">
        <f>'ENIGHUR Consumption items'!H209</f>
        <v>01.1.7.019</v>
      </c>
      <c r="B208" s="165" t="str">
        <f>'ENIGHUR Consumption items'!J209</f>
        <v>Col morada</v>
      </c>
      <c r="C208" s="168">
        <v>29</v>
      </c>
      <c r="D208" s="167" t="str">
        <f>IFERROR(VLOOKUP(C208,'symmetric IOT 245 2012'!$C$6:$D$276,2,FALSE),"")</f>
        <v>Otros vegetales y melones n.c.p.</v>
      </c>
      <c r="E208" s="159">
        <f>INDEX('Dictionary Categories'!$A$2:$A$25,MATCH(F208,'Dictionary Categories'!$B$2:$B$25,0))</f>
        <v>1</v>
      </c>
      <c r="F208" s="164" t="s">
        <v>2470</v>
      </c>
      <c r="G208" s="164">
        <f>INDEX('Dictionary Subcategories'!$A$2:$A$70,MATCH(H208,'Dictionary Subcategories'!$B$2:$B$70,0))</f>
        <v>7</v>
      </c>
      <c r="H208" s="164" t="s">
        <v>1232</v>
      </c>
      <c r="I208" s="164"/>
      <c r="J208" s="164"/>
    </row>
    <row r="209" spans="1:10" ht="10.5" customHeight="1" x14ac:dyDescent="0.25">
      <c r="A209" s="165" t="str">
        <f>'ENIGHUR Consumption items'!H210</f>
        <v>01.1.7.020</v>
      </c>
      <c r="B209" s="165" t="str">
        <f>'ENIGHUR Consumption items'!J210</f>
        <v>Coliflor</v>
      </c>
      <c r="C209" s="168">
        <v>29</v>
      </c>
      <c r="D209" s="167" t="str">
        <f>IFERROR(VLOOKUP(C209,'symmetric IOT 245 2012'!$C$6:$D$276,2,FALSE),"")</f>
        <v>Otros vegetales y melones n.c.p.</v>
      </c>
      <c r="E209" s="159">
        <f>INDEX('Dictionary Categories'!$A$2:$A$25,MATCH(F209,'Dictionary Categories'!$B$2:$B$25,0))</f>
        <v>1</v>
      </c>
      <c r="F209" s="164" t="s">
        <v>2470</v>
      </c>
      <c r="G209" s="164">
        <f>INDEX('Dictionary Subcategories'!$A$2:$A$70,MATCH(H209,'Dictionary Subcategories'!$B$2:$B$70,0))</f>
        <v>7</v>
      </c>
      <c r="H209" s="164" t="s">
        <v>1232</v>
      </c>
      <c r="I209" s="164"/>
      <c r="J209" s="164"/>
    </row>
    <row r="210" spans="1:10" ht="10.5" customHeight="1" x14ac:dyDescent="0.25">
      <c r="A210" s="165" t="str">
        <f>'ENIGHUR Consumption items'!H211</f>
        <v>01.1.7.021</v>
      </c>
      <c r="B210" s="165" t="str">
        <f>'ENIGHUR Consumption items'!J211</f>
        <v>Endivia</v>
      </c>
      <c r="C210" s="168">
        <v>29</v>
      </c>
      <c r="D210" s="167" t="str">
        <f>IFERROR(VLOOKUP(C210,'symmetric IOT 245 2012'!$C$6:$D$276,2,FALSE),"")</f>
        <v>Otros vegetales y melones n.c.p.</v>
      </c>
      <c r="E210" s="159">
        <f>INDEX('Dictionary Categories'!$A$2:$A$25,MATCH(F210,'Dictionary Categories'!$B$2:$B$25,0))</f>
        <v>1</v>
      </c>
      <c r="F210" s="164" t="s">
        <v>2470</v>
      </c>
      <c r="G210" s="164">
        <f>INDEX('Dictionary Subcategories'!$A$2:$A$70,MATCH(H210,'Dictionary Subcategories'!$B$2:$B$70,0))</f>
        <v>7</v>
      </c>
      <c r="H210" s="164" t="s">
        <v>1232</v>
      </c>
      <c r="I210" s="164"/>
      <c r="J210" s="164"/>
    </row>
    <row r="211" spans="1:10" ht="10.5" customHeight="1" x14ac:dyDescent="0.25">
      <c r="A211" s="165" t="str">
        <f>'ENIGHUR Consumption items'!H212</f>
        <v>01.1.7.022</v>
      </c>
      <c r="B211" s="165" t="str">
        <f>'ENIGHUR Consumption items'!J212</f>
        <v>Espárragos</v>
      </c>
      <c r="C211" s="168">
        <v>29</v>
      </c>
      <c r="D211" s="167" t="str">
        <f>IFERROR(VLOOKUP(C211,'symmetric IOT 245 2012'!$C$6:$D$276,2,FALSE),"")</f>
        <v>Otros vegetales y melones n.c.p.</v>
      </c>
      <c r="E211" s="159">
        <f>INDEX('Dictionary Categories'!$A$2:$A$25,MATCH(F211,'Dictionary Categories'!$B$2:$B$25,0))</f>
        <v>1</v>
      </c>
      <c r="F211" s="164" t="s">
        <v>2470</v>
      </c>
      <c r="G211" s="164">
        <f>INDEX('Dictionary Subcategories'!$A$2:$A$70,MATCH(H211,'Dictionary Subcategories'!$B$2:$B$70,0))</f>
        <v>7</v>
      </c>
      <c r="H211" s="164" t="s">
        <v>1232</v>
      </c>
      <c r="I211" s="164"/>
      <c r="J211" s="164"/>
    </row>
    <row r="212" spans="1:10" ht="10.5" customHeight="1" x14ac:dyDescent="0.25">
      <c r="A212" s="165" t="str">
        <f>'ENIGHUR Consumption items'!H213</f>
        <v>01.1.7.023</v>
      </c>
      <c r="B212" s="165" t="str">
        <f>'ENIGHUR Consumption items'!J213</f>
        <v>Espinaca</v>
      </c>
      <c r="C212" s="168">
        <v>29</v>
      </c>
      <c r="D212" s="167" t="str">
        <f>IFERROR(VLOOKUP(C212,'symmetric IOT 245 2012'!$C$6:$D$276,2,FALSE),"")</f>
        <v>Otros vegetales y melones n.c.p.</v>
      </c>
      <c r="E212" s="159">
        <f>INDEX('Dictionary Categories'!$A$2:$A$25,MATCH(F212,'Dictionary Categories'!$B$2:$B$25,0))</f>
        <v>1</v>
      </c>
      <c r="F212" s="164" t="s">
        <v>2470</v>
      </c>
      <c r="G212" s="164">
        <f>INDEX('Dictionary Subcategories'!$A$2:$A$70,MATCH(H212,'Dictionary Subcategories'!$B$2:$B$70,0))</f>
        <v>7</v>
      </c>
      <c r="H212" s="164" t="s">
        <v>1232</v>
      </c>
      <c r="I212" s="164"/>
      <c r="J212" s="164"/>
    </row>
    <row r="213" spans="1:10" ht="10.5" customHeight="1" x14ac:dyDescent="0.25">
      <c r="A213" s="165" t="str">
        <f>'ENIGHUR Consumption items'!H214</f>
        <v>01.1.7.024</v>
      </c>
      <c r="B213" s="165" t="str">
        <f>'ENIGHUR Consumption items'!J214</f>
        <v>Hinojo</v>
      </c>
      <c r="C213" s="168">
        <v>29</v>
      </c>
      <c r="D213" s="167" t="str">
        <f>IFERROR(VLOOKUP(C213,'symmetric IOT 245 2012'!$C$6:$D$276,2,FALSE),"")</f>
        <v>Otros vegetales y melones n.c.p.</v>
      </c>
      <c r="E213" s="159">
        <f>INDEX('Dictionary Categories'!$A$2:$A$25,MATCH(F213,'Dictionary Categories'!$B$2:$B$25,0))</f>
        <v>1</v>
      </c>
      <c r="F213" s="164" t="s">
        <v>2470</v>
      </c>
      <c r="G213" s="164">
        <f>INDEX('Dictionary Subcategories'!$A$2:$A$70,MATCH(H213,'Dictionary Subcategories'!$B$2:$B$70,0))</f>
        <v>7</v>
      </c>
      <c r="H213" s="164" t="s">
        <v>1232</v>
      </c>
      <c r="I213" s="164"/>
      <c r="J213" s="164"/>
    </row>
    <row r="214" spans="1:10" ht="10.5" customHeight="1" x14ac:dyDescent="0.25">
      <c r="A214" s="165" t="str">
        <f>'ENIGHUR Consumption items'!H215</f>
        <v>01.1.7.025</v>
      </c>
      <c r="B214" s="165" t="str">
        <f>'ENIGHUR Consumption items'!J215</f>
        <v>Hongos comestibles (champiñones)</v>
      </c>
      <c r="C214" s="168">
        <v>29</v>
      </c>
      <c r="D214" s="167" t="str">
        <f>IFERROR(VLOOKUP(C214,'symmetric IOT 245 2012'!$C$6:$D$276,2,FALSE),"")</f>
        <v>Otros vegetales y melones n.c.p.</v>
      </c>
      <c r="E214" s="159">
        <f>INDEX('Dictionary Categories'!$A$2:$A$25,MATCH(F214,'Dictionary Categories'!$B$2:$B$25,0))</f>
        <v>1</v>
      </c>
      <c r="F214" s="164" t="s">
        <v>2470</v>
      </c>
      <c r="G214" s="164">
        <f>INDEX('Dictionary Subcategories'!$A$2:$A$70,MATCH(H214,'Dictionary Subcategories'!$B$2:$B$70,0))</f>
        <v>7</v>
      </c>
      <c r="H214" s="164" t="s">
        <v>1232</v>
      </c>
      <c r="I214" s="164"/>
      <c r="J214" s="164"/>
    </row>
    <row r="215" spans="1:10" ht="10.5" customHeight="1" x14ac:dyDescent="0.25">
      <c r="A215" s="165" t="str">
        <f>'ENIGHUR Consumption items'!H216</f>
        <v>01.1.7.026</v>
      </c>
      <c r="B215" s="165" t="str">
        <f>'ENIGHUR Consumption items'!J216</f>
        <v>Hortalizas, verduras picadas</v>
      </c>
      <c r="C215" s="168">
        <v>29</v>
      </c>
      <c r="D215" s="167" t="str">
        <f>IFERROR(VLOOKUP(C215,'symmetric IOT 245 2012'!$C$6:$D$276,2,FALSE),"")</f>
        <v>Otros vegetales y melones n.c.p.</v>
      </c>
      <c r="E215" s="159">
        <f>INDEX('Dictionary Categories'!$A$2:$A$25,MATCH(F215,'Dictionary Categories'!$B$2:$B$25,0))</f>
        <v>1</v>
      </c>
      <c r="F215" s="164" t="s">
        <v>2470</v>
      </c>
      <c r="G215" s="164">
        <f>INDEX('Dictionary Subcategories'!$A$2:$A$70,MATCH(H215,'Dictionary Subcategories'!$B$2:$B$70,0))</f>
        <v>7</v>
      </c>
      <c r="H215" s="164" t="s">
        <v>1232</v>
      </c>
      <c r="I215" s="164"/>
      <c r="J215" s="164"/>
    </row>
    <row r="216" spans="1:10" ht="10.5" customHeight="1" x14ac:dyDescent="0.25">
      <c r="A216" s="165" t="str">
        <f>'ENIGHUR Consumption items'!H217</f>
        <v>01.1.7.027</v>
      </c>
      <c r="B216" s="165" t="str">
        <f>'ENIGHUR Consumption items'!J217</f>
        <v>Lechuga corriente</v>
      </c>
      <c r="C216" s="168">
        <v>20</v>
      </c>
      <c r="D216" s="167" t="str">
        <f>IFERROR(VLOOKUP(C216,'symmetric IOT 245 2012'!$C$6:$D$276,2,FALSE),"")</f>
        <v>Lechuga</v>
      </c>
      <c r="E216" s="159">
        <f>INDEX('Dictionary Categories'!$A$2:$A$25,MATCH(F216,'Dictionary Categories'!$B$2:$B$25,0))</f>
        <v>1</v>
      </c>
      <c r="F216" s="164" t="s">
        <v>2470</v>
      </c>
      <c r="G216" s="164">
        <f>INDEX('Dictionary Subcategories'!$A$2:$A$70,MATCH(H216,'Dictionary Subcategories'!$B$2:$B$70,0))</f>
        <v>7</v>
      </c>
      <c r="H216" s="164" t="s">
        <v>1232</v>
      </c>
      <c r="I216" s="164"/>
      <c r="J216" s="164"/>
    </row>
    <row r="217" spans="1:10" ht="10.5" customHeight="1" x14ac:dyDescent="0.25">
      <c r="A217" s="165" t="str">
        <f>'ENIGHUR Consumption items'!H218</f>
        <v>01.1.7.028</v>
      </c>
      <c r="B217" s="165" t="str">
        <f>'ENIGHUR Consumption items'!J218</f>
        <v>Lechuga crespa</v>
      </c>
      <c r="C217" s="168">
        <v>20</v>
      </c>
      <c r="D217" s="167" t="str">
        <f>IFERROR(VLOOKUP(C217,'symmetric IOT 245 2012'!$C$6:$D$276,2,FALSE),"")</f>
        <v>Lechuga</v>
      </c>
      <c r="E217" s="159">
        <f>INDEX('Dictionary Categories'!$A$2:$A$25,MATCH(F217,'Dictionary Categories'!$B$2:$B$25,0))</f>
        <v>1</v>
      </c>
      <c r="F217" s="164" t="s">
        <v>2470</v>
      </c>
      <c r="G217" s="164">
        <f>INDEX('Dictionary Subcategories'!$A$2:$A$70,MATCH(H217,'Dictionary Subcategories'!$B$2:$B$70,0))</f>
        <v>7</v>
      </c>
      <c r="H217" s="164" t="s">
        <v>1232</v>
      </c>
      <c r="I217" s="164"/>
      <c r="J217" s="164"/>
    </row>
    <row r="218" spans="1:10" ht="10.5" customHeight="1" x14ac:dyDescent="0.25">
      <c r="A218" s="165" t="str">
        <f>'ENIGHUR Consumption items'!H219</f>
        <v>01.1.7.029</v>
      </c>
      <c r="B218" s="165" t="str">
        <f>'ENIGHUR Consumption items'!J219</f>
        <v>Melloco</v>
      </c>
      <c r="C218" s="168">
        <v>29</v>
      </c>
      <c r="D218" s="167" t="str">
        <f>IFERROR(VLOOKUP(C218,'symmetric IOT 245 2012'!$C$6:$D$276,2,FALSE),"")</f>
        <v>Otros vegetales y melones n.c.p.</v>
      </c>
      <c r="E218" s="159">
        <f>INDEX('Dictionary Categories'!$A$2:$A$25,MATCH(F218,'Dictionary Categories'!$B$2:$B$25,0))</f>
        <v>1</v>
      </c>
      <c r="F218" s="164" t="s">
        <v>2470</v>
      </c>
      <c r="G218" s="164">
        <f>INDEX('Dictionary Subcategories'!$A$2:$A$70,MATCH(H218,'Dictionary Subcategories'!$B$2:$B$70,0))</f>
        <v>7</v>
      </c>
      <c r="H218" s="164" t="s">
        <v>1232</v>
      </c>
      <c r="I218" s="164"/>
      <c r="J218" s="164"/>
    </row>
    <row r="219" spans="1:10" ht="10.5" customHeight="1" x14ac:dyDescent="0.25">
      <c r="A219" s="165" t="str">
        <f>'ENIGHUR Consumption items'!H220</f>
        <v>01.1.7.030</v>
      </c>
      <c r="B219" s="165" t="str">
        <f>'ENIGHUR Consumption items'!J220</f>
        <v>Nabo</v>
      </c>
      <c r="C219" s="168">
        <v>29</v>
      </c>
      <c r="D219" s="167" t="str">
        <f>IFERROR(VLOOKUP(C219,'symmetric IOT 245 2012'!$C$6:$D$276,2,FALSE),"")</f>
        <v>Otros vegetales y melones n.c.p.</v>
      </c>
      <c r="E219" s="159">
        <f>INDEX('Dictionary Categories'!$A$2:$A$25,MATCH(F219,'Dictionary Categories'!$B$2:$B$25,0))</f>
        <v>1</v>
      </c>
      <c r="F219" s="164" t="s">
        <v>2470</v>
      </c>
      <c r="G219" s="164">
        <f>INDEX('Dictionary Subcategories'!$A$2:$A$70,MATCH(H219,'Dictionary Subcategories'!$B$2:$B$70,0))</f>
        <v>7</v>
      </c>
      <c r="H219" s="164" t="s">
        <v>1232</v>
      </c>
      <c r="I219" s="164"/>
      <c r="J219" s="164"/>
    </row>
    <row r="220" spans="1:10" ht="10.5" customHeight="1" x14ac:dyDescent="0.25">
      <c r="A220" s="165" t="str">
        <f>'ENIGHUR Consumption items'!H221</f>
        <v>01.1.7.031</v>
      </c>
      <c r="B220" s="165" t="str">
        <f>'ENIGHUR Consumption items'!J221</f>
        <v>Palmito</v>
      </c>
      <c r="C220" s="168">
        <v>29</v>
      </c>
      <c r="D220" s="167" t="str">
        <f>IFERROR(VLOOKUP(C220,'symmetric IOT 245 2012'!$C$6:$D$276,2,FALSE),"")</f>
        <v>Otros vegetales y melones n.c.p.</v>
      </c>
      <c r="E220" s="159">
        <f>INDEX('Dictionary Categories'!$A$2:$A$25,MATCH(F220,'Dictionary Categories'!$B$2:$B$25,0))</f>
        <v>1</v>
      </c>
      <c r="F220" s="164" t="s">
        <v>2470</v>
      </c>
      <c r="G220" s="164">
        <f>INDEX('Dictionary Subcategories'!$A$2:$A$70,MATCH(H220,'Dictionary Subcategories'!$B$2:$B$70,0))</f>
        <v>7</v>
      </c>
      <c r="H220" s="164" t="s">
        <v>1232</v>
      </c>
      <c r="I220" s="164"/>
      <c r="J220" s="164"/>
    </row>
    <row r="221" spans="1:10" ht="10.5" customHeight="1" x14ac:dyDescent="0.25">
      <c r="A221" s="165" t="str">
        <f>'ENIGHUR Consumption items'!H222</f>
        <v>01.1.7.032</v>
      </c>
      <c r="B221" s="165" t="str">
        <f>'ENIGHUR Consumption items'!J222</f>
        <v>Papanabo</v>
      </c>
      <c r="C221" s="168">
        <v>29</v>
      </c>
      <c r="D221" s="167" t="str">
        <f>IFERROR(VLOOKUP(C221,'symmetric IOT 245 2012'!$C$6:$D$276,2,FALSE),"")</f>
        <v>Otros vegetales y melones n.c.p.</v>
      </c>
      <c r="E221" s="159">
        <f>INDEX('Dictionary Categories'!$A$2:$A$25,MATCH(F221,'Dictionary Categories'!$B$2:$B$25,0))</f>
        <v>1</v>
      </c>
      <c r="F221" s="164" t="s">
        <v>2470</v>
      </c>
      <c r="G221" s="164">
        <f>INDEX('Dictionary Subcategories'!$A$2:$A$70,MATCH(H221,'Dictionary Subcategories'!$B$2:$B$70,0))</f>
        <v>7</v>
      </c>
      <c r="H221" s="164" t="s">
        <v>1232</v>
      </c>
      <c r="I221" s="164"/>
      <c r="J221" s="164"/>
    </row>
    <row r="222" spans="1:10" ht="10.5" customHeight="1" x14ac:dyDescent="0.25">
      <c r="A222" s="165" t="str">
        <f>'ENIGHUR Consumption items'!H223</f>
        <v>01.1.7.033</v>
      </c>
      <c r="B222" s="165" t="str">
        <f>'ENIGHUR Consumption items'!J223</f>
        <v>Pepinillo (pepino de sal en la costa)</v>
      </c>
      <c r="C222" s="168">
        <v>29</v>
      </c>
      <c r="D222" s="167" t="str">
        <f>IFERROR(VLOOKUP(C222,'symmetric IOT 245 2012'!$C$6:$D$276,2,FALSE),"")</f>
        <v>Otros vegetales y melones n.c.p.</v>
      </c>
      <c r="E222" s="159">
        <f>INDEX('Dictionary Categories'!$A$2:$A$25,MATCH(F222,'Dictionary Categories'!$B$2:$B$25,0))</f>
        <v>1</v>
      </c>
      <c r="F222" s="164" t="s">
        <v>2470</v>
      </c>
      <c r="G222" s="164">
        <f>INDEX('Dictionary Subcategories'!$A$2:$A$70,MATCH(H222,'Dictionary Subcategories'!$B$2:$B$70,0))</f>
        <v>7</v>
      </c>
      <c r="H222" s="164" t="s">
        <v>1232</v>
      </c>
      <c r="I222" s="164"/>
      <c r="J222" s="164"/>
    </row>
    <row r="223" spans="1:10" ht="10.5" customHeight="1" x14ac:dyDescent="0.25">
      <c r="A223" s="165" t="str">
        <f>'ENIGHUR Consumption items'!H224</f>
        <v>01.1.7.034</v>
      </c>
      <c r="B223" s="165" t="str">
        <f>'ENIGHUR Consumption items'!J224</f>
        <v>Pimiento</v>
      </c>
      <c r="C223" s="168">
        <v>28</v>
      </c>
      <c r="D223" s="167" t="str">
        <f>IFERROR(VLOOKUP(C223,'symmetric IOT 245 2012'!$C$6:$D$276,2,FALSE),"")</f>
        <v>Pimiento</v>
      </c>
      <c r="E223" s="159">
        <f>INDEX('Dictionary Categories'!$A$2:$A$25,MATCH(F223,'Dictionary Categories'!$B$2:$B$25,0))</f>
        <v>1</v>
      </c>
      <c r="F223" s="164" t="s">
        <v>2470</v>
      </c>
      <c r="G223" s="164">
        <f>INDEX('Dictionary Subcategories'!$A$2:$A$70,MATCH(H223,'Dictionary Subcategories'!$B$2:$B$70,0))</f>
        <v>7</v>
      </c>
      <c r="H223" s="164" t="s">
        <v>1232</v>
      </c>
      <c r="I223" s="164"/>
      <c r="J223" s="164"/>
    </row>
    <row r="224" spans="1:10" ht="10.5" customHeight="1" x14ac:dyDescent="0.25">
      <c r="A224" s="165" t="str">
        <f>'ENIGHUR Consumption items'!H225</f>
        <v>01.1.7.035</v>
      </c>
      <c r="B224" s="165" t="str">
        <f>'ENIGHUR Consumption items'!J225</f>
        <v>Puerro</v>
      </c>
      <c r="C224" s="168">
        <v>29</v>
      </c>
      <c r="D224" s="167" t="str">
        <f>IFERROR(VLOOKUP(C224,'symmetric IOT 245 2012'!$C$6:$D$276,2,FALSE),"")</f>
        <v>Otros vegetales y melones n.c.p.</v>
      </c>
      <c r="E224" s="159">
        <f>INDEX('Dictionary Categories'!$A$2:$A$25,MATCH(F224,'Dictionary Categories'!$B$2:$B$25,0))</f>
        <v>1</v>
      </c>
      <c r="F224" s="164" t="s">
        <v>2470</v>
      </c>
      <c r="G224" s="164">
        <f>INDEX('Dictionary Subcategories'!$A$2:$A$70,MATCH(H224,'Dictionary Subcategories'!$B$2:$B$70,0))</f>
        <v>7</v>
      </c>
      <c r="H224" s="164" t="s">
        <v>1232</v>
      </c>
      <c r="I224" s="164"/>
      <c r="J224" s="164"/>
    </row>
    <row r="225" spans="1:10" ht="10.5" customHeight="1" x14ac:dyDescent="0.25">
      <c r="A225" s="165" t="str">
        <f>'ENIGHUR Consumption items'!H226</f>
        <v>01.1.7.036</v>
      </c>
      <c r="B225" s="165" t="str">
        <f>'ENIGHUR Consumption items'!J226</f>
        <v>Rábano</v>
      </c>
      <c r="C225" s="168">
        <v>29</v>
      </c>
      <c r="D225" s="167" t="str">
        <f>IFERROR(VLOOKUP(C225,'symmetric IOT 245 2012'!$C$6:$D$276,2,FALSE),"")</f>
        <v>Otros vegetales y melones n.c.p.</v>
      </c>
      <c r="E225" s="159">
        <f>INDEX('Dictionary Categories'!$A$2:$A$25,MATCH(F225,'Dictionary Categories'!$B$2:$B$25,0))</f>
        <v>1</v>
      </c>
      <c r="F225" s="164" t="s">
        <v>2470</v>
      </c>
      <c r="G225" s="164">
        <f>INDEX('Dictionary Subcategories'!$A$2:$A$70,MATCH(H225,'Dictionary Subcategories'!$B$2:$B$70,0))</f>
        <v>7</v>
      </c>
      <c r="H225" s="164" t="s">
        <v>1232</v>
      </c>
      <c r="I225" s="164"/>
      <c r="J225" s="164"/>
    </row>
    <row r="226" spans="1:10" ht="10.5" customHeight="1" x14ac:dyDescent="0.25">
      <c r="A226" s="165" t="str">
        <f>'ENIGHUR Consumption items'!H227</f>
        <v>01.1.7.037</v>
      </c>
      <c r="B226" s="165" t="str">
        <f>'ENIGHUR Consumption items'!J227</f>
        <v>Remolacha (veteraba)</v>
      </c>
      <c r="C226" s="168">
        <v>29</v>
      </c>
      <c r="D226" s="167" t="str">
        <f>IFERROR(VLOOKUP(C226,'symmetric IOT 245 2012'!$C$6:$D$276,2,FALSE),"")</f>
        <v>Otros vegetales y melones n.c.p.</v>
      </c>
      <c r="E226" s="159">
        <f>INDEX('Dictionary Categories'!$A$2:$A$25,MATCH(F226,'Dictionary Categories'!$B$2:$B$25,0))</f>
        <v>1</v>
      </c>
      <c r="F226" s="164" t="s">
        <v>2470</v>
      </c>
      <c r="G226" s="164">
        <f>INDEX('Dictionary Subcategories'!$A$2:$A$70,MATCH(H226,'Dictionary Subcategories'!$B$2:$B$70,0))</f>
        <v>7</v>
      </c>
      <c r="H226" s="164" t="s">
        <v>1232</v>
      </c>
      <c r="I226" s="164"/>
      <c r="J226" s="164"/>
    </row>
    <row r="227" spans="1:10" ht="10.5" customHeight="1" x14ac:dyDescent="0.25">
      <c r="A227" s="165" t="str">
        <f>'ENIGHUR Consumption items'!H228</f>
        <v>01.1.7.038</v>
      </c>
      <c r="B227" s="165" t="str">
        <f>'ENIGHUR Consumption items'!J228</f>
        <v>Tomate riñón</v>
      </c>
      <c r="C227" s="168">
        <v>21</v>
      </c>
      <c r="D227" s="167" t="str">
        <f>IFERROR(VLOOKUP(C227,'symmetric IOT 245 2012'!$C$6:$D$276,2,FALSE),"")</f>
        <v>Tomate</v>
      </c>
      <c r="E227" s="159">
        <f>INDEX('Dictionary Categories'!$A$2:$A$25,MATCH(F227,'Dictionary Categories'!$B$2:$B$25,0))</f>
        <v>1</v>
      </c>
      <c r="F227" s="164" t="s">
        <v>2470</v>
      </c>
      <c r="G227" s="164">
        <f>INDEX('Dictionary Subcategories'!$A$2:$A$70,MATCH(H227,'Dictionary Subcategories'!$B$2:$B$70,0))</f>
        <v>7</v>
      </c>
      <c r="H227" s="164" t="s">
        <v>1232</v>
      </c>
      <c r="I227" s="164"/>
      <c r="J227" s="164"/>
    </row>
    <row r="228" spans="1:10" ht="10.5" customHeight="1" x14ac:dyDescent="0.25">
      <c r="A228" s="165" t="str">
        <f>'ENIGHUR Consumption items'!H229</f>
        <v>01.1.7.039</v>
      </c>
      <c r="B228" s="165" t="str">
        <f>'ENIGHUR Consumption items'!J229</f>
        <v>Vainitas (llamada verdura en la costa)</v>
      </c>
      <c r="C228" s="168">
        <v>29</v>
      </c>
      <c r="D228" s="167" t="str">
        <f>IFERROR(VLOOKUP(C228,'symmetric IOT 245 2012'!$C$6:$D$276,2,FALSE),"")</f>
        <v>Otros vegetales y melones n.c.p.</v>
      </c>
      <c r="E228" s="159">
        <f>INDEX('Dictionary Categories'!$A$2:$A$25,MATCH(F228,'Dictionary Categories'!$B$2:$B$25,0))</f>
        <v>1</v>
      </c>
      <c r="F228" s="164" t="s">
        <v>2470</v>
      </c>
      <c r="G228" s="164">
        <f>INDEX('Dictionary Subcategories'!$A$2:$A$70,MATCH(H228,'Dictionary Subcategories'!$B$2:$B$70,0))</f>
        <v>7</v>
      </c>
      <c r="H228" s="164" t="s">
        <v>1232</v>
      </c>
      <c r="I228" s="164"/>
      <c r="J228" s="164"/>
    </row>
    <row r="229" spans="1:10" ht="10.5" customHeight="1" x14ac:dyDescent="0.25">
      <c r="A229" s="165" t="str">
        <f>'ENIGHUR Consumption items'!H230</f>
        <v>01.1.7.040</v>
      </c>
      <c r="B229" s="165" t="str">
        <f>'ENIGHUR Consumption items'!J230</f>
        <v>Zambo</v>
      </c>
      <c r="C229" s="168">
        <v>29</v>
      </c>
      <c r="D229" s="167" t="str">
        <f>IFERROR(VLOOKUP(C229,'symmetric IOT 245 2012'!$C$6:$D$276,2,FALSE),"")</f>
        <v>Otros vegetales y melones n.c.p.</v>
      </c>
      <c r="E229" s="159">
        <f>INDEX('Dictionary Categories'!$A$2:$A$25,MATCH(F229,'Dictionary Categories'!$B$2:$B$25,0))</f>
        <v>1</v>
      </c>
      <c r="F229" s="164" t="s">
        <v>2470</v>
      </c>
      <c r="G229" s="164">
        <f>INDEX('Dictionary Subcategories'!$A$2:$A$70,MATCH(H229,'Dictionary Subcategories'!$B$2:$B$70,0))</f>
        <v>7</v>
      </c>
      <c r="H229" s="164" t="s">
        <v>1232</v>
      </c>
      <c r="I229" s="164"/>
      <c r="J229" s="164"/>
    </row>
    <row r="230" spans="1:10" ht="10.5" customHeight="1" x14ac:dyDescent="0.25">
      <c r="A230" s="165" t="str">
        <f>'ENIGHUR Consumption items'!H231</f>
        <v>01.1.7.041</v>
      </c>
      <c r="B230" s="165" t="str">
        <f>'ENIGHUR Consumption items'!J231</f>
        <v>Zanahoria amarilla</v>
      </c>
      <c r="C230" s="168">
        <v>29</v>
      </c>
      <c r="D230" s="167" t="str">
        <f>IFERROR(VLOOKUP(C230,'symmetric IOT 245 2012'!$C$6:$D$276,2,FALSE),"")</f>
        <v>Otros vegetales y melones n.c.p.</v>
      </c>
      <c r="E230" s="159">
        <f>INDEX('Dictionary Categories'!$A$2:$A$25,MATCH(F230,'Dictionary Categories'!$B$2:$B$25,0))</f>
        <v>1</v>
      </c>
      <c r="F230" s="164" t="s">
        <v>2470</v>
      </c>
      <c r="G230" s="164">
        <f>INDEX('Dictionary Subcategories'!$A$2:$A$70,MATCH(H230,'Dictionary Subcategories'!$B$2:$B$70,0))</f>
        <v>7</v>
      </c>
      <c r="H230" s="164" t="s">
        <v>1232</v>
      </c>
      <c r="I230" s="164"/>
      <c r="J230" s="164"/>
    </row>
    <row r="231" spans="1:10" ht="10.5" customHeight="1" x14ac:dyDescent="0.25">
      <c r="A231" s="165" t="str">
        <f>'ENIGHUR Consumption items'!H232</f>
        <v>01.1.7.042</v>
      </c>
      <c r="B231" s="165" t="str">
        <f>'ENIGHUR Consumption items'!J232</f>
        <v>Zanahoria blanca</v>
      </c>
      <c r="C231" s="168">
        <v>29</v>
      </c>
      <c r="D231" s="167" t="str">
        <f>IFERROR(VLOOKUP(C231,'symmetric IOT 245 2012'!$C$6:$D$276,2,FALSE),"")</f>
        <v>Otros vegetales y melones n.c.p.</v>
      </c>
      <c r="E231" s="159">
        <f>INDEX('Dictionary Categories'!$A$2:$A$25,MATCH(F231,'Dictionary Categories'!$B$2:$B$25,0))</f>
        <v>1</v>
      </c>
      <c r="F231" s="164" t="s">
        <v>2470</v>
      </c>
      <c r="G231" s="164">
        <f>INDEX('Dictionary Subcategories'!$A$2:$A$70,MATCH(H231,'Dictionary Subcategories'!$B$2:$B$70,0))</f>
        <v>7</v>
      </c>
      <c r="H231" s="164" t="s">
        <v>1232</v>
      </c>
      <c r="I231" s="164"/>
      <c r="J231" s="164"/>
    </row>
    <row r="232" spans="1:10" ht="10.5" customHeight="1" x14ac:dyDescent="0.25">
      <c r="A232" s="165" t="str">
        <f>'ENIGHUR Consumption items'!H233</f>
        <v>01.1.7.043</v>
      </c>
      <c r="B232" s="165" t="str">
        <f>'ENIGHUR Consumption items'!J233</f>
        <v>Zapallo (calabaza)</v>
      </c>
      <c r="C232" s="168">
        <v>29</v>
      </c>
      <c r="D232" s="167" t="str">
        <f>IFERROR(VLOOKUP(C232,'symmetric IOT 245 2012'!$C$6:$D$276,2,FALSE),"")</f>
        <v>Otros vegetales y melones n.c.p.</v>
      </c>
      <c r="E232" s="159">
        <f>INDEX('Dictionary Categories'!$A$2:$A$25,MATCH(F232,'Dictionary Categories'!$B$2:$B$25,0))</f>
        <v>1</v>
      </c>
      <c r="F232" s="164" t="s">
        <v>2470</v>
      </c>
      <c r="G232" s="164">
        <f>INDEX('Dictionary Subcategories'!$A$2:$A$70,MATCH(H232,'Dictionary Subcategories'!$B$2:$B$70,0))</f>
        <v>7</v>
      </c>
      <c r="H232" s="164" t="s">
        <v>1232</v>
      </c>
      <c r="I232" s="164"/>
      <c r="J232" s="164"/>
    </row>
    <row r="233" spans="1:10" ht="10.5" customHeight="1" x14ac:dyDescent="0.25">
      <c r="A233" s="165" t="str">
        <f>'ENIGHUR Consumption items'!H234</f>
        <v>01.1.7.044</v>
      </c>
      <c r="B233" s="165" t="str">
        <f>'ENIGHUR Consumption items'!J234</f>
        <v>Zuquini</v>
      </c>
      <c r="C233" s="168">
        <v>29</v>
      </c>
      <c r="D233" s="167" t="str">
        <f>IFERROR(VLOOKUP(C233,'symmetric IOT 245 2012'!$C$6:$D$276,2,FALSE),"")</f>
        <v>Otros vegetales y melones n.c.p.</v>
      </c>
      <c r="E233" s="159">
        <f>INDEX('Dictionary Categories'!$A$2:$A$25,MATCH(F233,'Dictionary Categories'!$B$2:$B$25,0))</f>
        <v>1</v>
      </c>
      <c r="F233" s="164" t="s">
        <v>2470</v>
      </c>
      <c r="G233" s="164">
        <f>INDEX('Dictionary Subcategories'!$A$2:$A$70,MATCH(H233,'Dictionary Subcategories'!$B$2:$B$70,0))</f>
        <v>7</v>
      </c>
      <c r="H233" s="164" t="s">
        <v>1232</v>
      </c>
      <c r="I233" s="164"/>
      <c r="J233" s="164"/>
    </row>
    <row r="234" spans="1:10" ht="10.5" customHeight="1" x14ac:dyDescent="0.25">
      <c r="A234" s="165" t="str">
        <f>'ENIGHUR Consumption items'!H235</f>
        <v>01.1.7.045</v>
      </c>
      <c r="B234" s="165" t="str">
        <f>'ENIGHUR Consumption items'!J235</f>
        <v>Cebollín</v>
      </c>
      <c r="C234" s="168">
        <v>29</v>
      </c>
      <c r="D234" s="167" t="str">
        <f>IFERROR(VLOOKUP(C234,'symmetric IOT 245 2012'!$C$6:$D$276,2,FALSE),"")</f>
        <v>Otros vegetales y melones n.c.p.</v>
      </c>
      <c r="E234" s="159">
        <f>INDEX('Dictionary Categories'!$A$2:$A$25,MATCH(F234,'Dictionary Categories'!$B$2:$B$25,0))</f>
        <v>1</v>
      </c>
      <c r="F234" s="164" t="s">
        <v>2470</v>
      </c>
      <c r="G234" s="164">
        <f>INDEX('Dictionary Subcategories'!$A$2:$A$70,MATCH(H234,'Dictionary Subcategories'!$B$2:$B$70,0))</f>
        <v>7</v>
      </c>
      <c r="H234" s="164" t="s">
        <v>1232</v>
      </c>
      <c r="I234" s="164"/>
      <c r="J234" s="164"/>
    </row>
    <row r="235" spans="1:10" ht="10.5" customHeight="1" x14ac:dyDescent="0.25">
      <c r="A235" s="165" t="str">
        <f>'ENIGHUR Consumption items'!H236</f>
        <v>01.1.7.099</v>
      </c>
      <c r="B235" s="165" t="str">
        <f>'ENIGHUR Consumption items'!J236</f>
        <v>Otras hortalizas verduras frescas</v>
      </c>
      <c r="C235" s="168">
        <v>29</v>
      </c>
      <c r="D235" s="167" t="str">
        <f>IFERROR(VLOOKUP(C235,'symmetric IOT 245 2012'!$C$6:$D$276,2,FALSE),"")</f>
        <v>Otros vegetales y melones n.c.p.</v>
      </c>
      <c r="E235" s="159">
        <f>INDEX('Dictionary Categories'!$A$2:$A$25,MATCH(F235,'Dictionary Categories'!$B$2:$B$25,0))</f>
        <v>1</v>
      </c>
      <c r="F235" s="164" t="s">
        <v>2470</v>
      </c>
      <c r="G235" s="164">
        <f>INDEX('Dictionary Subcategories'!$A$2:$A$70,MATCH(H235,'Dictionary Subcategories'!$B$2:$B$70,0))</f>
        <v>7</v>
      </c>
      <c r="H235" s="164" t="s">
        <v>1232</v>
      </c>
      <c r="I235" s="164"/>
      <c r="J235" s="164"/>
    </row>
    <row r="236" spans="1:10" ht="10.5" customHeight="1" x14ac:dyDescent="0.25">
      <c r="A236" s="165" t="str">
        <f>'ENIGHUR Consumption items'!H237</f>
        <v>01.1.7.100</v>
      </c>
      <c r="B236" s="165" t="str">
        <f>'ENIGHUR Consumption items'!J237</f>
        <v>Leguminosas frescas, refrigeradas y congeladas</v>
      </c>
      <c r="C236" s="168">
        <v>23</v>
      </c>
      <c r="D236" s="167" t="str">
        <f>IFERROR(VLOOKUP(C236,'symmetric IOT 245 2012'!$C$6:$D$276,2,FALSE),"")</f>
        <v>Haba fresca o seca</v>
      </c>
      <c r="E236" s="159">
        <f>INDEX('Dictionary Categories'!$A$2:$A$25,MATCH(F236,'Dictionary Categories'!$B$2:$B$25,0))</f>
        <v>1</v>
      </c>
      <c r="F236" s="164" t="s">
        <v>2470</v>
      </c>
      <c r="G236" s="164">
        <f>INDEX('Dictionary Subcategories'!$A$2:$A$70,MATCH(H236,'Dictionary Subcategories'!$B$2:$B$70,0))</f>
        <v>7</v>
      </c>
      <c r="H236" s="164" t="s">
        <v>1232</v>
      </c>
      <c r="I236" s="164"/>
      <c r="J236" s="164"/>
    </row>
    <row r="237" spans="1:10" ht="10.5" customHeight="1" x14ac:dyDescent="0.25">
      <c r="A237" s="165" t="str">
        <f>'ENIGHUR Consumption items'!H238</f>
        <v>01.1.7.101</v>
      </c>
      <c r="B237" s="165" t="str">
        <f>'ENIGHUR Consumption items'!J238</f>
        <v>Arveja tierna (pelada o en vaina)</v>
      </c>
      <c r="C237" s="168">
        <v>24</v>
      </c>
      <c r="D237" s="167" t="str">
        <f>IFERROR(VLOOKUP(C237,'symmetric IOT 245 2012'!$C$6:$D$276,2,FALSE),"")</f>
        <v>Arveja fresca o seca</v>
      </c>
      <c r="E237" s="159">
        <f>INDEX('Dictionary Categories'!$A$2:$A$25,MATCH(F237,'Dictionary Categories'!$B$2:$B$25,0))</f>
        <v>1</v>
      </c>
      <c r="F237" s="164" t="s">
        <v>2470</v>
      </c>
      <c r="G237" s="164">
        <f>INDEX('Dictionary Subcategories'!$A$2:$A$70,MATCH(H237,'Dictionary Subcategories'!$B$2:$B$70,0))</f>
        <v>7</v>
      </c>
      <c r="H237" s="164" t="s">
        <v>1232</v>
      </c>
      <c r="I237" s="164"/>
      <c r="J237" s="164"/>
    </row>
    <row r="238" spans="1:10" ht="10.5" customHeight="1" x14ac:dyDescent="0.25">
      <c r="A238" s="165" t="str">
        <f>'ENIGHUR Consumption items'!H239</f>
        <v>01.1.7.102</v>
      </c>
      <c r="B238" s="165" t="str">
        <f>'ENIGHUR Consumption items'!J239</f>
        <v>Chochos</v>
      </c>
      <c r="C238" s="168">
        <v>24</v>
      </c>
      <c r="D238" s="167" t="str">
        <f>IFERROR(VLOOKUP(C238,'symmetric IOT 245 2012'!$C$6:$D$276,2,FALSE),"")</f>
        <v>Arveja fresca o seca</v>
      </c>
      <c r="E238" s="159">
        <f>INDEX('Dictionary Categories'!$A$2:$A$25,MATCH(F238,'Dictionary Categories'!$B$2:$B$25,0))</f>
        <v>1</v>
      </c>
      <c r="F238" s="164" t="s">
        <v>2470</v>
      </c>
      <c r="G238" s="164">
        <f>INDEX('Dictionary Subcategories'!$A$2:$A$70,MATCH(H238,'Dictionary Subcategories'!$B$2:$B$70,0))</f>
        <v>7</v>
      </c>
      <c r="H238" s="164" t="s">
        <v>1232</v>
      </c>
      <c r="I238" s="164"/>
      <c r="J238" s="164"/>
    </row>
    <row r="239" spans="1:10" ht="10.5" customHeight="1" x14ac:dyDescent="0.25">
      <c r="A239" s="165" t="str">
        <f>'ENIGHUR Consumption items'!H240</f>
        <v>01.1.7.103</v>
      </c>
      <c r="B239" s="165" t="str">
        <f>'ENIGHUR Consumption items'!J240</f>
        <v>Fréjol tierno (pelado o en vaina)</v>
      </c>
      <c r="C239" s="168">
        <v>22</v>
      </c>
      <c r="D239" s="167" t="str">
        <f>IFERROR(VLOOKUP(C239,'symmetric IOT 245 2012'!$C$6:$D$276,2,FALSE),"")</f>
        <v>Fréjol fresco o seco</v>
      </c>
      <c r="E239" s="159">
        <f>INDEX('Dictionary Categories'!$A$2:$A$25,MATCH(F239,'Dictionary Categories'!$B$2:$B$25,0))</f>
        <v>1</v>
      </c>
      <c r="F239" s="164" t="s">
        <v>2470</v>
      </c>
      <c r="G239" s="164">
        <f>INDEX('Dictionary Subcategories'!$A$2:$A$70,MATCH(H239,'Dictionary Subcategories'!$B$2:$B$70,0))</f>
        <v>7</v>
      </c>
      <c r="H239" s="164" t="s">
        <v>1232</v>
      </c>
      <c r="I239" s="164"/>
      <c r="J239" s="164"/>
    </row>
    <row r="240" spans="1:10" ht="10.5" customHeight="1" x14ac:dyDescent="0.25">
      <c r="A240" s="165" t="str">
        <f>'ENIGHUR Consumption items'!H241</f>
        <v>01.1.7.104</v>
      </c>
      <c r="B240" s="165" t="str">
        <f>'ENIGHUR Consumption items'!J241</f>
        <v>Garbanzos</v>
      </c>
      <c r="C240" s="168">
        <v>22</v>
      </c>
      <c r="D240" s="167" t="str">
        <f>IFERROR(VLOOKUP(C240,'symmetric IOT 245 2012'!$C$6:$D$276,2,FALSE),"")</f>
        <v>Fréjol fresco o seco</v>
      </c>
      <c r="E240" s="159">
        <f>INDEX('Dictionary Categories'!$A$2:$A$25,MATCH(F240,'Dictionary Categories'!$B$2:$B$25,0))</f>
        <v>1</v>
      </c>
      <c r="F240" s="164" t="s">
        <v>2470</v>
      </c>
      <c r="G240" s="164">
        <f>INDEX('Dictionary Subcategories'!$A$2:$A$70,MATCH(H240,'Dictionary Subcategories'!$B$2:$B$70,0))</f>
        <v>7</v>
      </c>
      <c r="H240" s="164" t="s">
        <v>1232</v>
      </c>
      <c r="I240" s="164"/>
      <c r="J240" s="164"/>
    </row>
    <row r="241" spans="1:10" ht="10.5" customHeight="1" x14ac:dyDescent="0.25">
      <c r="A241" s="165" t="str">
        <f>'ENIGHUR Consumption items'!H242</f>
        <v>01.1.7.105</v>
      </c>
      <c r="B241" s="165" t="str">
        <f>'ENIGHUR Consumption items'!J242</f>
        <v>Habas tiernas (pelada o en vaina)</v>
      </c>
      <c r="C241" s="168">
        <v>23</v>
      </c>
      <c r="D241" s="167" t="str">
        <f>IFERROR(VLOOKUP(C241,'symmetric IOT 245 2012'!$C$6:$D$276,2,FALSE),"")</f>
        <v>Haba fresca o seca</v>
      </c>
      <c r="E241" s="159">
        <f>INDEX('Dictionary Categories'!$A$2:$A$25,MATCH(F241,'Dictionary Categories'!$B$2:$B$25,0))</f>
        <v>1</v>
      </c>
      <c r="F241" s="164" t="s">
        <v>2470</v>
      </c>
      <c r="G241" s="164">
        <f>INDEX('Dictionary Subcategories'!$A$2:$A$70,MATCH(H241,'Dictionary Subcategories'!$B$2:$B$70,0))</f>
        <v>7</v>
      </c>
      <c r="H241" s="164" t="s">
        <v>1232</v>
      </c>
      <c r="I241" s="164"/>
      <c r="J241" s="164"/>
    </row>
    <row r="242" spans="1:10" ht="10.5" customHeight="1" x14ac:dyDescent="0.25">
      <c r="A242" s="165" t="str">
        <f>'ENIGHUR Consumption items'!H243</f>
        <v>01.1.7.106</v>
      </c>
      <c r="B242" s="165" t="str">
        <f>'ENIGHUR Consumption items'!J243</f>
        <v>Habichuelas</v>
      </c>
      <c r="C242" s="168">
        <v>23</v>
      </c>
      <c r="D242" s="167" t="str">
        <f>IFERROR(VLOOKUP(C242,'symmetric IOT 245 2012'!$C$6:$D$276,2,FALSE),"")</f>
        <v>Haba fresca o seca</v>
      </c>
      <c r="E242" s="159">
        <f>INDEX('Dictionary Categories'!$A$2:$A$25,MATCH(F242,'Dictionary Categories'!$B$2:$B$25,0))</f>
        <v>1</v>
      </c>
      <c r="F242" s="164" t="s">
        <v>2470</v>
      </c>
      <c r="G242" s="164">
        <f>INDEX('Dictionary Subcategories'!$A$2:$A$70,MATCH(H242,'Dictionary Subcategories'!$B$2:$B$70,0))</f>
        <v>7</v>
      </c>
      <c r="H242" s="164" t="s">
        <v>1232</v>
      </c>
      <c r="I242" s="164"/>
      <c r="J242" s="164"/>
    </row>
    <row r="243" spans="1:10" ht="10.5" customHeight="1" x14ac:dyDescent="0.25">
      <c r="A243" s="165" t="str">
        <f>'ENIGHUR Consumption items'!H244</f>
        <v>01.1.7.107</v>
      </c>
      <c r="B243" s="165" t="str">
        <f>'ENIGHUR Consumption items'!J244</f>
        <v>Maní con o sin cáscara (sin procesar)</v>
      </c>
      <c r="C243" s="168">
        <v>44</v>
      </c>
      <c r="D243" s="167" t="str">
        <f>IFERROR(VLOOKUP(C243,'symmetric IOT 245 2012'!$C$6:$D$276,2,FALSE),"")</f>
        <v>Maní</v>
      </c>
      <c r="E243" s="159">
        <f>INDEX('Dictionary Categories'!$A$2:$A$25,MATCH(F243,'Dictionary Categories'!$B$2:$B$25,0))</f>
        <v>1</v>
      </c>
      <c r="F243" s="164" t="s">
        <v>2470</v>
      </c>
      <c r="G243" s="164">
        <f>INDEX('Dictionary Subcategories'!$A$2:$A$70,MATCH(H243,'Dictionary Subcategories'!$B$2:$B$70,0))</f>
        <v>7</v>
      </c>
      <c r="H243" s="164" t="s">
        <v>1232</v>
      </c>
      <c r="I243" s="164"/>
      <c r="J243" s="164"/>
    </row>
    <row r="244" spans="1:10" ht="10.5" customHeight="1" x14ac:dyDescent="0.25">
      <c r="A244" s="165" t="str">
        <f>'ENIGHUR Consumption items'!H245</f>
        <v>01.1.7.199</v>
      </c>
      <c r="B244" s="165" t="str">
        <f>'ENIGHUR Consumption items'!J245</f>
        <v>Otras leguminosas frescas, refrigeradas y congeladas</v>
      </c>
      <c r="C244" s="168">
        <v>23</v>
      </c>
      <c r="D244" s="167" t="str">
        <f>IFERROR(VLOOKUP(C244,'symmetric IOT 245 2012'!$C$6:$D$276,2,FALSE),"")</f>
        <v>Haba fresca o seca</v>
      </c>
      <c r="E244" s="159">
        <f>INDEX('Dictionary Categories'!$A$2:$A$25,MATCH(F244,'Dictionary Categories'!$B$2:$B$25,0))</f>
        <v>1</v>
      </c>
      <c r="F244" s="164" t="s">
        <v>2470</v>
      </c>
      <c r="G244" s="164">
        <f>INDEX('Dictionary Subcategories'!$A$2:$A$70,MATCH(H244,'Dictionary Subcategories'!$B$2:$B$70,0))</f>
        <v>7</v>
      </c>
      <c r="H244" s="164" t="s">
        <v>1232</v>
      </c>
      <c r="I244" s="164"/>
      <c r="J244" s="164"/>
    </row>
    <row r="245" spans="1:10" ht="10.5" customHeight="1" x14ac:dyDescent="0.25">
      <c r="A245" s="165" t="str">
        <f>'ENIGHUR Consumption items'!H246</f>
        <v>01.1.7.200</v>
      </c>
      <c r="B245" s="165" t="str">
        <f>'ENIGHUR Consumption items'!J246</f>
        <v>Tubérculos</v>
      </c>
      <c r="C245" s="168">
        <v>18</v>
      </c>
      <c r="D245" s="167" t="str">
        <f>IFERROR(VLOOKUP(C245,'symmetric IOT 245 2012'!$C$6:$D$276,2,FALSE),"")</f>
        <v>Otros tubérculos y raíces</v>
      </c>
      <c r="E245" s="159">
        <f>INDEX('Dictionary Categories'!$A$2:$A$25,MATCH(F245,'Dictionary Categories'!$B$2:$B$25,0))</f>
        <v>1</v>
      </c>
      <c r="F245" s="164" t="s">
        <v>2470</v>
      </c>
      <c r="G245" s="164">
        <f>INDEX('Dictionary Subcategories'!$A$2:$A$70,MATCH(H245,'Dictionary Subcategories'!$B$2:$B$70,0))</f>
        <v>7</v>
      </c>
      <c r="H245" s="164" t="s">
        <v>1232</v>
      </c>
      <c r="I245" s="164"/>
      <c r="J245" s="164"/>
    </row>
    <row r="246" spans="1:10" ht="10.5" customHeight="1" x14ac:dyDescent="0.25">
      <c r="A246" s="165" t="str">
        <f>'ENIGHUR Consumption items'!H247</f>
        <v>01.1.7.201</v>
      </c>
      <c r="B246" s="165" t="str">
        <f>'ENIGHUR Consumption items'!J247</f>
        <v>Camote o batata</v>
      </c>
      <c r="C246" s="168">
        <v>18</v>
      </c>
      <c r="D246" s="167" t="str">
        <f>IFERROR(VLOOKUP(C246,'symmetric IOT 245 2012'!$C$6:$D$276,2,FALSE),"")</f>
        <v>Otros tubérculos y raíces</v>
      </c>
      <c r="E246" s="159">
        <f>INDEX('Dictionary Categories'!$A$2:$A$25,MATCH(F246,'Dictionary Categories'!$B$2:$B$25,0))</f>
        <v>1</v>
      </c>
      <c r="F246" s="164" t="s">
        <v>2470</v>
      </c>
      <c r="G246" s="164">
        <f>INDEX('Dictionary Subcategories'!$A$2:$A$70,MATCH(H246,'Dictionary Subcategories'!$B$2:$B$70,0))</f>
        <v>7</v>
      </c>
      <c r="H246" s="164" t="s">
        <v>1232</v>
      </c>
      <c r="I246" s="164"/>
      <c r="J246" s="164"/>
    </row>
    <row r="247" spans="1:10" ht="10.5" customHeight="1" x14ac:dyDescent="0.25">
      <c r="A247" s="165" t="str">
        <f>'ENIGHUR Consumption items'!H248</f>
        <v>01.1.7.202</v>
      </c>
      <c r="B247" s="165" t="str">
        <f>'ENIGHUR Consumption items'!J248</f>
        <v>Mashua</v>
      </c>
      <c r="C247" s="168">
        <v>18</v>
      </c>
      <c r="D247" s="167" t="str">
        <f>IFERROR(VLOOKUP(C247,'symmetric IOT 245 2012'!$C$6:$D$276,2,FALSE),"")</f>
        <v>Otros tubérculos y raíces</v>
      </c>
      <c r="E247" s="159">
        <f>INDEX('Dictionary Categories'!$A$2:$A$25,MATCH(F247,'Dictionary Categories'!$B$2:$B$25,0))</f>
        <v>1</v>
      </c>
      <c r="F247" s="164" t="s">
        <v>2470</v>
      </c>
      <c r="G247" s="164">
        <f>INDEX('Dictionary Subcategories'!$A$2:$A$70,MATCH(H247,'Dictionary Subcategories'!$B$2:$B$70,0))</f>
        <v>7</v>
      </c>
      <c r="H247" s="164" t="s">
        <v>1232</v>
      </c>
      <c r="I247" s="164"/>
      <c r="J247" s="164"/>
    </row>
    <row r="248" spans="1:10" ht="10.5" customHeight="1" x14ac:dyDescent="0.25">
      <c r="A248" s="165" t="str">
        <f>'ENIGHUR Consumption items'!H249</f>
        <v>01.1.7.203</v>
      </c>
      <c r="B248" s="165" t="str">
        <f>'ENIGHUR Consumption items'!J249</f>
        <v>Oca</v>
      </c>
      <c r="C248" s="168">
        <v>18</v>
      </c>
      <c r="D248" s="167" t="str">
        <f>IFERROR(VLOOKUP(C248,'symmetric IOT 245 2012'!$C$6:$D$276,2,FALSE),"")</f>
        <v>Otros tubérculos y raíces</v>
      </c>
      <c r="E248" s="159">
        <f>INDEX('Dictionary Categories'!$A$2:$A$25,MATCH(F248,'Dictionary Categories'!$B$2:$B$25,0))</f>
        <v>1</v>
      </c>
      <c r="F248" s="164" t="s">
        <v>2470</v>
      </c>
      <c r="G248" s="164">
        <f>INDEX('Dictionary Subcategories'!$A$2:$A$70,MATCH(H248,'Dictionary Subcategories'!$B$2:$B$70,0))</f>
        <v>7</v>
      </c>
      <c r="H248" s="164" t="s">
        <v>1232</v>
      </c>
      <c r="I248" s="164"/>
      <c r="J248" s="164"/>
    </row>
    <row r="249" spans="1:10" ht="10.5" customHeight="1" x14ac:dyDescent="0.25">
      <c r="A249" s="165" t="str">
        <f>'ENIGHUR Consumption items'!H250</f>
        <v>01.1.7.204</v>
      </c>
      <c r="B249" s="165" t="str">
        <f>'ENIGHUR Consumption items'!J250</f>
        <v>Papa catalina o blanca 1 2</v>
      </c>
      <c r="C249" s="168">
        <v>16</v>
      </c>
      <c r="D249" s="167" t="str">
        <f>IFERROR(VLOOKUP(C249,'symmetric IOT 245 2012'!$C$6:$D$276,2,FALSE),"")</f>
        <v>Papa</v>
      </c>
      <c r="E249" s="159">
        <f>INDEX('Dictionary Categories'!$A$2:$A$25,MATCH(F249,'Dictionary Categories'!$B$2:$B$25,0))</f>
        <v>1</v>
      </c>
      <c r="F249" s="164" t="s">
        <v>2470</v>
      </c>
      <c r="G249" s="164">
        <f>INDEX('Dictionary Subcategories'!$A$2:$A$70,MATCH(H249,'Dictionary Subcategories'!$B$2:$B$70,0))</f>
        <v>7</v>
      </c>
      <c r="H249" s="164" t="s">
        <v>1232</v>
      </c>
      <c r="I249" s="164"/>
      <c r="J249" s="164"/>
    </row>
    <row r="250" spans="1:10" ht="10.5" customHeight="1" x14ac:dyDescent="0.25">
      <c r="A250" s="165" t="str">
        <f>'ENIGHUR Consumption items'!H251</f>
        <v>01.1.7.205</v>
      </c>
      <c r="B250" s="165" t="str">
        <f>'ENIGHUR Consumption items'!J251</f>
        <v>Papa cecilia 1 2</v>
      </c>
      <c r="C250" s="168">
        <v>16</v>
      </c>
      <c r="D250" s="167" t="str">
        <f>IFERROR(VLOOKUP(C250,'symmetric IOT 245 2012'!$C$6:$D$276,2,FALSE),"")</f>
        <v>Papa</v>
      </c>
      <c r="E250" s="159">
        <f>INDEX('Dictionary Categories'!$A$2:$A$25,MATCH(F250,'Dictionary Categories'!$B$2:$B$25,0))</f>
        <v>1</v>
      </c>
      <c r="F250" s="164" t="s">
        <v>2470</v>
      </c>
      <c r="G250" s="164">
        <f>INDEX('Dictionary Subcategories'!$A$2:$A$70,MATCH(H250,'Dictionary Subcategories'!$B$2:$B$70,0))</f>
        <v>7</v>
      </c>
      <c r="H250" s="164" t="s">
        <v>1232</v>
      </c>
      <c r="I250" s="164"/>
      <c r="J250" s="164"/>
    </row>
    <row r="251" spans="1:10" ht="10.5" customHeight="1" x14ac:dyDescent="0.25">
      <c r="A251" s="165" t="str">
        <f>'ENIGHUR Consumption items'!H252</f>
        <v>01.1.7.206</v>
      </c>
      <c r="B251" s="165" t="str">
        <f>'ENIGHUR Consumption items'!J252</f>
        <v>Papa chaucha 1 2</v>
      </c>
      <c r="C251" s="168">
        <v>16</v>
      </c>
      <c r="D251" s="167" t="str">
        <f>IFERROR(VLOOKUP(C251,'symmetric IOT 245 2012'!$C$6:$D$276,2,FALSE),"")</f>
        <v>Papa</v>
      </c>
      <c r="E251" s="159">
        <f>INDEX('Dictionary Categories'!$A$2:$A$25,MATCH(F251,'Dictionary Categories'!$B$2:$B$25,0))</f>
        <v>1</v>
      </c>
      <c r="F251" s="164" t="s">
        <v>2470</v>
      </c>
      <c r="G251" s="164">
        <f>INDEX('Dictionary Subcategories'!$A$2:$A$70,MATCH(H251,'Dictionary Subcategories'!$B$2:$B$70,0))</f>
        <v>7</v>
      </c>
      <c r="H251" s="164" t="s">
        <v>1232</v>
      </c>
      <c r="I251" s="164"/>
      <c r="J251" s="164"/>
    </row>
    <row r="252" spans="1:10" ht="10.5" customHeight="1" x14ac:dyDescent="0.25">
      <c r="A252" s="165" t="str">
        <f>'ENIGHUR Consumption items'!H253</f>
        <v>01.1.7.207</v>
      </c>
      <c r="B252" s="165" t="str">
        <f>'ENIGHUR Consumption items'!J253</f>
        <v>Papa china 1 2</v>
      </c>
      <c r="C252" s="168">
        <v>16</v>
      </c>
      <c r="D252" s="167" t="str">
        <f>IFERROR(VLOOKUP(C252,'symmetric IOT 245 2012'!$C$6:$D$276,2,FALSE),"")</f>
        <v>Papa</v>
      </c>
      <c r="E252" s="159">
        <f>INDEX('Dictionary Categories'!$A$2:$A$25,MATCH(F252,'Dictionary Categories'!$B$2:$B$25,0))</f>
        <v>1</v>
      </c>
      <c r="F252" s="164" t="s">
        <v>2470</v>
      </c>
      <c r="G252" s="164">
        <f>INDEX('Dictionary Subcategories'!$A$2:$A$70,MATCH(H252,'Dictionary Subcategories'!$B$2:$B$70,0))</f>
        <v>7</v>
      </c>
      <c r="H252" s="164" t="s">
        <v>1232</v>
      </c>
      <c r="I252" s="164"/>
      <c r="J252" s="164"/>
    </row>
    <row r="253" spans="1:10" ht="10.5" customHeight="1" x14ac:dyDescent="0.25">
      <c r="A253" s="165" t="str">
        <f>'ENIGHUR Consumption items'!H254</f>
        <v>01.1.7.208</v>
      </c>
      <c r="B253" s="165" t="str">
        <f>'ENIGHUR Consumption items'!J254</f>
        <v>Papa chola 1 2</v>
      </c>
      <c r="C253" s="168">
        <v>16</v>
      </c>
      <c r="D253" s="167" t="str">
        <f>IFERROR(VLOOKUP(C253,'symmetric IOT 245 2012'!$C$6:$D$276,2,FALSE),"")</f>
        <v>Papa</v>
      </c>
      <c r="E253" s="159">
        <f>INDEX('Dictionary Categories'!$A$2:$A$25,MATCH(F253,'Dictionary Categories'!$B$2:$B$25,0))</f>
        <v>1</v>
      </c>
      <c r="F253" s="164" t="s">
        <v>2470</v>
      </c>
      <c r="G253" s="164">
        <f>INDEX('Dictionary Subcategories'!$A$2:$A$70,MATCH(H253,'Dictionary Subcategories'!$B$2:$B$70,0))</f>
        <v>7</v>
      </c>
      <c r="H253" s="164" t="s">
        <v>1232</v>
      </c>
      <c r="I253" s="164"/>
      <c r="J253" s="164"/>
    </row>
    <row r="254" spans="1:10" ht="10.5" customHeight="1" x14ac:dyDescent="0.25">
      <c r="A254" s="165" t="str">
        <f>'ENIGHUR Consumption items'!H255</f>
        <v>01.1.7.209</v>
      </c>
      <c r="B254" s="165" t="str">
        <f>'ENIGHUR Consumption items'!J255</f>
        <v>Papa de otra variedad 1 2</v>
      </c>
      <c r="C254" s="168">
        <v>16</v>
      </c>
      <c r="D254" s="167" t="str">
        <f>IFERROR(VLOOKUP(C254,'symmetric IOT 245 2012'!$C$6:$D$276,2,FALSE),"")</f>
        <v>Papa</v>
      </c>
      <c r="E254" s="159">
        <f>INDEX('Dictionary Categories'!$A$2:$A$25,MATCH(F254,'Dictionary Categories'!$B$2:$B$25,0))</f>
        <v>1</v>
      </c>
      <c r="F254" s="164" t="s">
        <v>2470</v>
      </c>
      <c r="G254" s="164">
        <f>INDEX('Dictionary Subcategories'!$A$2:$A$70,MATCH(H254,'Dictionary Subcategories'!$B$2:$B$70,0))</f>
        <v>7</v>
      </c>
      <c r="H254" s="164" t="s">
        <v>1232</v>
      </c>
      <c r="I254" s="164"/>
      <c r="J254" s="164"/>
    </row>
    <row r="255" spans="1:10" ht="10.5" customHeight="1" x14ac:dyDescent="0.25">
      <c r="A255" s="165" t="str">
        <f>'ENIGHUR Consumption items'!H256</f>
        <v>01.1.7.210</v>
      </c>
      <c r="B255" s="165" t="str">
        <f>'ENIGHUR Consumption items'!J256</f>
        <v>Papa gabriela 1 2</v>
      </c>
      <c r="C255" s="168">
        <v>16</v>
      </c>
      <c r="D255" s="167" t="str">
        <f>IFERROR(VLOOKUP(C255,'symmetric IOT 245 2012'!$C$6:$D$276,2,FALSE),"")</f>
        <v>Papa</v>
      </c>
      <c r="E255" s="159">
        <f>INDEX('Dictionary Categories'!$A$2:$A$25,MATCH(F255,'Dictionary Categories'!$B$2:$B$25,0))</f>
        <v>1</v>
      </c>
      <c r="F255" s="164" t="s">
        <v>2470</v>
      </c>
      <c r="G255" s="164">
        <f>INDEX('Dictionary Subcategories'!$A$2:$A$70,MATCH(H255,'Dictionary Subcategories'!$B$2:$B$70,0))</f>
        <v>7</v>
      </c>
      <c r="H255" s="164" t="s">
        <v>1232</v>
      </c>
      <c r="I255" s="164"/>
      <c r="J255" s="164"/>
    </row>
    <row r="256" spans="1:10" ht="10.5" customHeight="1" x14ac:dyDescent="0.25">
      <c r="A256" s="165" t="str">
        <f>'ENIGHUR Consumption items'!H257</f>
        <v>01.1.7.211</v>
      </c>
      <c r="B256" s="165" t="str">
        <f>'ENIGHUR Consumption items'!J257</f>
        <v>Papa leona 1 2</v>
      </c>
      <c r="C256" s="168">
        <v>16</v>
      </c>
      <c r="D256" s="167" t="str">
        <f>IFERROR(VLOOKUP(C256,'symmetric IOT 245 2012'!$C$6:$D$276,2,FALSE),"")</f>
        <v>Papa</v>
      </c>
      <c r="E256" s="159">
        <f>INDEX('Dictionary Categories'!$A$2:$A$25,MATCH(F256,'Dictionary Categories'!$B$2:$B$25,0))</f>
        <v>1</v>
      </c>
      <c r="F256" s="164" t="s">
        <v>2470</v>
      </c>
      <c r="G256" s="164">
        <f>INDEX('Dictionary Subcategories'!$A$2:$A$70,MATCH(H256,'Dictionary Subcategories'!$B$2:$B$70,0))</f>
        <v>7</v>
      </c>
      <c r="H256" s="164" t="s">
        <v>1232</v>
      </c>
      <c r="I256" s="164"/>
      <c r="J256" s="164"/>
    </row>
    <row r="257" spans="1:10" ht="10.5" customHeight="1" x14ac:dyDescent="0.25">
      <c r="A257" s="165" t="str">
        <f>'ENIGHUR Consumption items'!H258</f>
        <v>01.1.7.212</v>
      </c>
      <c r="B257" s="165" t="str">
        <f>'ENIGHUR Consumption items'!J258</f>
        <v>Papa semi chola 1 2</v>
      </c>
      <c r="C257" s="168">
        <v>16</v>
      </c>
      <c r="D257" s="167" t="str">
        <f>IFERROR(VLOOKUP(C257,'symmetric IOT 245 2012'!$C$6:$D$276,2,FALSE),"")</f>
        <v>Papa</v>
      </c>
      <c r="E257" s="159">
        <f>INDEX('Dictionary Categories'!$A$2:$A$25,MATCH(F257,'Dictionary Categories'!$B$2:$B$25,0))</f>
        <v>1</v>
      </c>
      <c r="F257" s="164" t="s">
        <v>2470</v>
      </c>
      <c r="G257" s="164">
        <f>INDEX('Dictionary Subcategories'!$A$2:$A$70,MATCH(H257,'Dictionary Subcategories'!$B$2:$B$70,0))</f>
        <v>7</v>
      </c>
      <c r="H257" s="164" t="s">
        <v>1232</v>
      </c>
      <c r="I257" s="164"/>
      <c r="J257" s="164"/>
    </row>
    <row r="258" spans="1:10" ht="10.5" customHeight="1" x14ac:dyDescent="0.25">
      <c r="A258" s="165" t="str">
        <f>'ENIGHUR Consumption items'!H259</f>
        <v>01.1.7.213</v>
      </c>
      <c r="B258" s="165" t="str">
        <f>'ENIGHUR Consumption items'!J259</f>
        <v>Papa uvilla 1 2</v>
      </c>
      <c r="C258" s="168">
        <v>16</v>
      </c>
      <c r="D258" s="167" t="str">
        <f>IFERROR(VLOOKUP(C258,'symmetric IOT 245 2012'!$C$6:$D$276,2,FALSE),"")</f>
        <v>Papa</v>
      </c>
      <c r="E258" s="159">
        <f>INDEX('Dictionary Categories'!$A$2:$A$25,MATCH(F258,'Dictionary Categories'!$B$2:$B$25,0))</f>
        <v>1</v>
      </c>
      <c r="F258" s="164" t="s">
        <v>2470</v>
      </c>
      <c r="G258" s="164">
        <f>INDEX('Dictionary Subcategories'!$A$2:$A$70,MATCH(H258,'Dictionary Subcategories'!$B$2:$B$70,0))</f>
        <v>7</v>
      </c>
      <c r="H258" s="164" t="s">
        <v>1232</v>
      </c>
      <c r="I258" s="164"/>
      <c r="J258" s="164"/>
    </row>
    <row r="259" spans="1:10" ht="10.5" customHeight="1" x14ac:dyDescent="0.25">
      <c r="A259" s="165" t="str">
        <f>'ENIGHUR Consumption items'!H260</f>
        <v>01.1.7.214</v>
      </c>
      <c r="B259" s="165" t="str">
        <f>'ENIGHUR Consumption items'!J260</f>
        <v>Yuca</v>
      </c>
      <c r="C259" s="168">
        <v>17</v>
      </c>
      <c r="D259" s="167" t="str">
        <f>IFERROR(VLOOKUP(C259,'symmetric IOT 245 2012'!$C$6:$D$276,2,FALSE),"")</f>
        <v>Yuca</v>
      </c>
      <c r="E259" s="159">
        <f>INDEX('Dictionary Categories'!$A$2:$A$25,MATCH(F259,'Dictionary Categories'!$B$2:$B$25,0))</f>
        <v>1</v>
      </c>
      <c r="F259" s="164" t="s">
        <v>2470</v>
      </c>
      <c r="G259" s="164">
        <f>INDEX('Dictionary Subcategories'!$A$2:$A$70,MATCH(H259,'Dictionary Subcategories'!$B$2:$B$70,0))</f>
        <v>7</v>
      </c>
      <c r="H259" s="164" t="s">
        <v>1232</v>
      </c>
      <c r="I259" s="164"/>
      <c r="J259" s="164"/>
    </row>
    <row r="260" spans="1:10" ht="10.5" customHeight="1" x14ac:dyDescent="0.25">
      <c r="A260" s="165" t="str">
        <f>'ENIGHUR Consumption items'!H261</f>
        <v>01.1.7.299</v>
      </c>
      <c r="B260" s="165" t="str">
        <f>'ENIGHUR Consumption items'!J261</f>
        <v>Otras tubérculos</v>
      </c>
      <c r="C260" s="168">
        <v>18</v>
      </c>
      <c r="D260" s="167" t="str">
        <f>IFERROR(VLOOKUP(C260,'symmetric IOT 245 2012'!$C$6:$D$276,2,FALSE),"")</f>
        <v>Otros tubérculos y raíces</v>
      </c>
      <c r="E260" s="159">
        <f>INDEX('Dictionary Categories'!$A$2:$A$25,MATCH(F260,'Dictionary Categories'!$B$2:$B$25,0))</f>
        <v>1</v>
      </c>
      <c r="F260" s="164" t="s">
        <v>2470</v>
      </c>
      <c r="G260" s="164">
        <f>INDEX('Dictionary Subcategories'!$A$2:$A$70,MATCH(H260,'Dictionary Subcategories'!$B$2:$B$70,0))</f>
        <v>7</v>
      </c>
      <c r="H260" s="164" t="s">
        <v>1232</v>
      </c>
      <c r="I260" s="164"/>
      <c r="J260" s="164"/>
    </row>
    <row r="261" spans="1:10" ht="10.5" customHeight="1" x14ac:dyDescent="0.25">
      <c r="A261" s="165" t="str">
        <f>'ENIGHUR Consumption items'!H262</f>
        <v>01.1.7.300</v>
      </c>
      <c r="B261" s="165" t="str">
        <f>'ENIGHUR Consumption items'!J262</f>
        <v xml:space="preserve">Hortalizas verduras / leguminosas secos y en conserva </v>
      </c>
      <c r="C261" s="168">
        <v>29</v>
      </c>
      <c r="D261" s="167" t="str">
        <f>IFERROR(VLOOKUP(C261,'symmetric IOT 245 2012'!$C$6:$D$276,2,FALSE),"")</f>
        <v>Otros vegetales y melones n.c.p.</v>
      </c>
      <c r="E261" s="159">
        <f>INDEX('Dictionary Categories'!$A$2:$A$25,MATCH(F261,'Dictionary Categories'!$B$2:$B$25,0))</f>
        <v>1</v>
      </c>
      <c r="F261" s="164" t="s">
        <v>2470</v>
      </c>
      <c r="G261" s="164">
        <f>INDEX('Dictionary Subcategories'!$A$2:$A$70,MATCH(H261,'Dictionary Subcategories'!$B$2:$B$70,0))</f>
        <v>7</v>
      </c>
      <c r="H261" s="164" t="s">
        <v>1232</v>
      </c>
      <c r="I261" s="164"/>
      <c r="J261" s="164"/>
    </row>
    <row r="262" spans="1:10" ht="10.5" customHeight="1" x14ac:dyDescent="0.25">
      <c r="A262" s="165" t="str">
        <f>'ENIGHUR Consumption items'!H263</f>
        <v>01.1.7.301</v>
      </c>
      <c r="B262" s="165" t="str">
        <f>'ENIGHUR Consumption items'!J263</f>
        <v>Aceitunas</v>
      </c>
      <c r="C262" s="168">
        <v>29</v>
      </c>
      <c r="D262" s="167" t="str">
        <f>IFERROR(VLOOKUP(C262,'symmetric IOT 245 2012'!$C$6:$D$276,2,FALSE),"")</f>
        <v>Otros vegetales y melones n.c.p.</v>
      </c>
      <c r="E262" s="159">
        <f>INDEX('Dictionary Categories'!$A$2:$A$25,MATCH(F262,'Dictionary Categories'!$B$2:$B$25,0))</f>
        <v>1</v>
      </c>
      <c r="F262" s="164" t="s">
        <v>2470</v>
      </c>
      <c r="G262" s="164">
        <f>INDEX('Dictionary Subcategories'!$A$2:$A$70,MATCH(H262,'Dictionary Subcategories'!$B$2:$B$70,0))</f>
        <v>7</v>
      </c>
      <c r="H262" s="164" t="s">
        <v>1232</v>
      </c>
      <c r="I262" s="164"/>
      <c r="J262" s="164"/>
    </row>
    <row r="263" spans="1:10" ht="10.5" customHeight="1" x14ac:dyDescent="0.25">
      <c r="A263" s="165" t="str">
        <f>'ENIGHUR Consumption items'!H264</f>
        <v>01.1.7.302</v>
      </c>
      <c r="B263" s="165" t="str">
        <f>'ENIGHUR Consumption items'!J264</f>
        <v>Alcaparras</v>
      </c>
      <c r="C263" s="168">
        <v>29</v>
      </c>
      <c r="D263" s="167" t="str">
        <f>IFERROR(VLOOKUP(C263,'symmetric IOT 245 2012'!$C$6:$D$276,2,FALSE),"")</f>
        <v>Otros vegetales y melones n.c.p.</v>
      </c>
      <c r="E263" s="159">
        <f>INDEX('Dictionary Categories'!$A$2:$A$25,MATCH(F263,'Dictionary Categories'!$B$2:$B$25,0))</f>
        <v>1</v>
      </c>
      <c r="F263" s="164" t="s">
        <v>2470</v>
      </c>
      <c r="G263" s="164">
        <f>INDEX('Dictionary Subcategories'!$A$2:$A$70,MATCH(H263,'Dictionary Subcategories'!$B$2:$B$70,0))</f>
        <v>7</v>
      </c>
      <c r="H263" s="164" t="s">
        <v>1232</v>
      </c>
      <c r="I263" s="164"/>
      <c r="J263" s="164"/>
    </row>
    <row r="264" spans="1:10" ht="10.5" customHeight="1" x14ac:dyDescent="0.25">
      <c r="A264" s="165" t="str">
        <f>'ENIGHUR Consumption items'!H265</f>
        <v>01.1.7.303</v>
      </c>
      <c r="B264" s="165" t="str">
        <f>'ENIGHUR Consumption items'!J265</f>
        <v>Arveja en conserva</v>
      </c>
      <c r="C264" s="168">
        <v>24</v>
      </c>
      <c r="D264" s="167" t="str">
        <f>IFERROR(VLOOKUP(C264,'symmetric IOT 245 2012'!$C$6:$D$276,2,FALSE),"")</f>
        <v>Arveja fresca o seca</v>
      </c>
      <c r="E264" s="159">
        <f>INDEX('Dictionary Categories'!$A$2:$A$25,MATCH(F264,'Dictionary Categories'!$B$2:$B$25,0))</f>
        <v>1</v>
      </c>
      <c r="F264" s="164" t="s">
        <v>2470</v>
      </c>
      <c r="G264" s="164">
        <f>INDEX('Dictionary Subcategories'!$A$2:$A$70,MATCH(H264,'Dictionary Subcategories'!$B$2:$B$70,0))</f>
        <v>7</v>
      </c>
      <c r="H264" s="164" t="s">
        <v>1232</v>
      </c>
      <c r="I264" s="164"/>
      <c r="J264" s="164"/>
    </row>
    <row r="265" spans="1:10" ht="10.5" customHeight="1" x14ac:dyDescent="0.25">
      <c r="A265" s="165" t="str">
        <f>'ENIGHUR Consumption items'!H266</f>
        <v>01.1.7.304</v>
      </c>
      <c r="B265" s="165" t="str">
        <f>'ENIGHUR Consumption items'!J266</f>
        <v>Arvejas secas</v>
      </c>
      <c r="C265" s="168">
        <v>24</v>
      </c>
      <c r="D265" s="167" t="str">
        <f>IFERROR(VLOOKUP(C265,'symmetric IOT 245 2012'!$C$6:$D$276,2,FALSE),"")</f>
        <v>Arveja fresca o seca</v>
      </c>
      <c r="E265" s="159">
        <f>INDEX('Dictionary Categories'!$A$2:$A$25,MATCH(F265,'Dictionary Categories'!$B$2:$B$25,0))</f>
        <v>1</v>
      </c>
      <c r="F265" s="164" t="s">
        <v>2470</v>
      </c>
      <c r="G265" s="164">
        <f>INDEX('Dictionary Subcategories'!$A$2:$A$70,MATCH(H265,'Dictionary Subcategories'!$B$2:$B$70,0))</f>
        <v>7</v>
      </c>
      <c r="H265" s="164" t="s">
        <v>1232</v>
      </c>
      <c r="I265" s="164"/>
      <c r="J265" s="164"/>
    </row>
    <row r="266" spans="1:10" ht="10.5" customHeight="1" x14ac:dyDescent="0.25">
      <c r="A266" s="165" t="str">
        <f>'ENIGHUR Consumption items'!H267</f>
        <v>01.1.7.305</v>
      </c>
      <c r="B266" s="165" t="str">
        <f>'ENIGHUR Consumption items'!J267</f>
        <v>Cebollitas encurtidas</v>
      </c>
      <c r="C266" s="168">
        <v>26</v>
      </c>
      <c r="D266" s="167" t="str">
        <f>IFERROR(VLOOKUP(C266,'symmetric IOT 245 2012'!$C$6:$D$276,2,FALSE),"")</f>
        <v>Cebolla blanca y colorada</v>
      </c>
      <c r="E266" s="159">
        <f>INDEX('Dictionary Categories'!$A$2:$A$25,MATCH(F266,'Dictionary Categories'!$B$2:$B$25,0))</f>
        <v>1</v>
      </c>
      <c r="F266" s="164" t="s">
        <v>2470</v>
      </c>
      <c r="G266" s="164">
        <f>INDEX('Dictionary Subcategories'!$A$2:$A$70,MATCH(H266,'Dictionary Subcategories'!$B$2:$B$70,0))</f>
        <v>7</v>
      </c>
      <c r="H266" s="164" t="s">
        <v>1232</v>
      </c>
      <c r="I266" s="164"/>
      <c r="J266" s="164"/>
    </row>
    <row r="267" spans="1:10" ht="10.5" customHeight="1" x14ac:dyDescent="0.25">
      <c r="A267" s="165" t="str">
        <f>'ENIGHUR Consumption items'!H268</f>
        <v>01.1.7.306</v>
      </c>
      <c r="B267" s="165" t="str">
        <f>'ENIGHUR Consumption items'!J268</f>
        <v>Choclo enlatado</v>
      </c>
      <c r="C267" s="168">
        <v>29</v>
      </c>
      <c r="D267" s="167" t="str">
        <f>IFERROR(VLOOKUP(C267,'symmetric IOT 245 2012'!$C$6:$D$276,2,FALSE),"")</f>
        <v>Otros vegetales y melones n.c.p.</v>
      </c>
      <c r="E267" s="159">
        <f>INDEX('Dictionary Categories'!$A$2:$A$25,MATCH(F267,'Dictionary Categories'!$B$2:$B$25,0))</f>
        <v>1</v>
      </c>
      <c r="F267" s="164" t="s">
        <v>2470</v>
      </c>
      <c r="G267" s="164">
        <f>INDEX('Dictionary Subcategories'!$A$2:$A$70,MATCH(H267,'Dictionary Subcategories'!$B$2:$B$70,0))</f>
        <v>7</v>
      </c>
      <c r="H267" s="164" t="s">
        <v>1232</v>
      </c>
      <c r="I267" s="164"/>
      <c r="J267" s="164"/>
    </row>
    <row r="268" spans="1:10" ht="10.5" customHeight="1" x14ac:dyDescent="0.25">
      <c r="A268" s="165" t="str">
        <f>'ENIGHUR Consumption items'!H269</f>
        <v>01.1.7.307</v>
      </c>
      <c r="B268" s="165" t="str">
        <f>'ENIGHUR Consumption items'!J269</f>
        <v>Encurtido (varios vegetales en vinagre)</v>
      </c>
      <c r="C268" s="168">
        <v>29</v>
      </c>
      <c r="D268" s="167" t="str">
        <f>IFERROR(VLOOKUP(C268,'symmetric IOT 245 2012'!$C$6:$D$276,2,FALSE),"")</f>
        <v>Otros vegetales y melones n.c.p.</v>
      </c>
      <c r="E268" s="159">
        <f>INDEX('Dictionary Categories'!$A$2:$A$25,MATCH(F268,'Dictionary Categories'!$B$2:$B$25,0))</f>
        <v>1</v>
      </c>
      <c r="F268" s="164" t="s">
        <v>2470</v>
      </c>
      <c r="G268" s="164">
        <f>INDEX('Dictionary Subcategories'!$A$2:$A$70,MATCH(H268,'Dictionary Subcategories'!$B$2:$B$70,0))</f>
        <v>7</v>
      </c>
      <c r="H268" s="164" t="s">
        <v>1232</v>
      </c>
      <c r="I268" s="164"/>
      <c r="J268" s="164"/>
    </row>
    <row r="269" spans="1:10" ht="10.5" customHeight="1" x14ac:dyDescent="0.25">
      <c r="A269" s="165" t="str">
        <f>'ENIGHUR Consumption items'!H270</f>
        <v>01.1.7.308</v>
      </c>
      <c r="B269" s="165" t="str">
        <f>'ENIGHUR Consumption items'!J270</f>
        <v>Espárragos en conserva</v>
      </c>
      <c r="C269" s="168">
        <v>29</v>
      </c>
      <c r="D269" s="167" t="str">
        <f>IFERROR(VLOOKUP(C269,'symmetric IOT 245 2012'!$C$6:$D$276,2,FALSE),"")</f>
        <v>Otros vegetales y melones n.c.p.</v>
      </c>
      <c r="E269" s="159">
        <f>INDEX('Dictionary Categories'!$A$2:$A$25,MATCH(F269,'Dictionary Categories'!$B$2:$B$25,0))</f>
        <v>1</v>
      </c>
      <c r="F269" s="164" t="s">
        <v>2470</v>
      </c>
      <c r="G269" s="164">
        <f>INDEX('Dictionary Subcategories'!$A$2:$A$70,MATCH(H269,'Dictionary Subcategories'!$B$2:$B$70,0))</f>
        <v>7</v>
      </c>
      <c r="H269" s="164" t="s">
        <v>1232</v>
      </c>
      <c r="I269" s="164"/>
      <c r="J269" s="164"/>
    </row>
    <row r="270" spans="1:10" ht="10.5" customHeight="1" x14ac:dyDescent="0.25">
      <c r="A270" s="165" t="str">
        <f>'ENIGHUR Consumption items'!H271</f>
        <v>01.1.7.309</v>
      </c>
      <c r="B270" s="165" t="str">
        <f>'ENIGHUR Consumption items'!J271</f>
        <v>Fréjol en conserva</v>
      </c>
      <c r="C270" s="168">
        <v>22</v>
      </c>
      <c r="D270" s="167" t="str">
        <f>IFERROR(VLOOKUP(C270,'symmetric IOT 245 2012'!$C$6:$D$276,2,FALSE),"")</f>
        <v>Fréjol fresco o seco</v>
      </c>
      <c r="E270" s="159">
        <f>INDEX('Dictionary Categories'!$A$2:$A$25,MATCH(F270,'Dictionary Categories'!$B$2:$B$25,0))</f>
        <v>1</v>
      </c>
      <c r="F270" s="164" t="s">
        <v>2470</v>
      </c>
      <c r="G270" s="164">
        <f>INDEX('Dictionary Subcategories'!$A$2:$A$70,MATCH(H270,'Dictionary Subcategories'!$B$2:$B$70,0))</f>
        <v>7</v>
      </c>
      <c r="H270" s="164" t="s">
        <v>1232</v>
      </c>
      <c r="I270" s="164"/>
      <c r="J270" s="164"/>
    </row>
    <row r="271" spans="1:10" ht="10.5" customHeight="1" x14ac:dyDescent="0.25">
      <c r="A271" s="165" t="str">
        <f>'ENIGHUR Consumption items'!H272</f>
        <v>01.1.7.310</v>
      </c>
      <c r="B271" s="165" t="str">
        <f>'ENIGHUR Consumption items'!J272</f>
        <v>Fréjol seco (porotos)</v>
      </c>
      <c r="C271" s="168">
        <v>22</v>
      </c>
      <c r="D271" s="167" t="str">
        <f>IFERROR(VLOOKUP(C271,'symmetric IOT 245 2012'!$C$6:$D$276,2,FALSE),"")</f>
        <v>Fréjol fresco o seco</v>
      </c>
      <c r="E271" s="159">
        <f>INDEX('Dictionary Categories'!$A$2:$A$25,MATCH(F271,'Dictionary Categories'!$B$2:$B$25,0))</f>
        <v>1</v>
      </c>
      <c r="F271" s="164" t="s">
        <v>2470</v>
      </c>
      <c r="G271" s="164">
        <f>INDEX('Dictionary Subcategories'!$A$2:$A$70,MATCH(H271,'Dictionary Subcategories'!$B$2:$B$70,0))</f>
        <v>7</v>
      </c>
      <c r="H271" s="164" t="s">
        <v>1232</v>
      </c>
      <c r="I271" s="164"/>
      <c r="J271" s="164"/>
    </row>
    <row r="272" spans="1:10" ht="10.5" customHeight="1" x14ac:dyDescent="0.25">
      <c r="A272" s="165" t="str">
        <f>'ENIGHUR Consumption items'!H273</f>
        <v>01.1.7.311</v>
      </c>
      <c r="B272" s="165" t="str">
        <f>'ENIGHUR Consumption items'!J273</f>
        <v>Garbanzo seco</v>
      </c>
      <c r="C272" s="168">
        <v>29</v>
      </c>
      <c r="D272" s="167" t="str">
        <f>IFERROR(VLOOKUP(C272,'symmetric IOT 245 2012'!$C$6:$D$276,2,FALSE),"")</f>
        <v>Otros vegetales y melones n.c.p.</v>
      </c>
      <c r="E272" s="159">
        <f>INDEX('Dictionary Categories'!$A$2:$A$25,MATCH(F272,'Dictionary Categories'!$B$2:$B$25,0))</f>
        <v>1</v>
      </c>
      <c r="F272" s="164" t="s">
        <v>2470</v>
      </c>
      <c r="G272" s="164">
        <f>INDEX('Dictionary Subcategories'!$A$2:$A$70,MATCH(H272,'Dictionary Subcategories'!$B$2:$B$70,0))</f>
        <v>7</v>
      </c>
      <c r="H272" s="164" t="s">
        <v>1232</v>
      </c>
      <c r="I272" s="164"/>
      <c r="J272" s="164"/>
    </row>
    <row r="273" spans="1:10" ht="10.5" customHeight="1" x14ac:dyDescent="0.25">
      <c r="A273" s="165" t="str">
        <f>'ENIGHUR Consumption items'!H274</f>
        <v>01.1.7.312</v>
      </c>
      <c r="B273" s="165" t="str">
        <f>'ENIGHUR Consumption items'!J274</f>
        <v>Garbanzos enlatados</v>
      </c>
      <c r="C273" s="168">
        <v>29</v>
      </c>
      <c r="D273" s="167" t="str">
        <f>IFERROR(VLOOKUP(C273,'symmetric IOT 245 2012'!$C$6:$D$276,2,FALSE),"")</f>
        <v>Otros vegetales y melones n.c.p.</v>
      </c>
      <c r="E273" s="159">
        <f>INDEX('Dictionary Categories'!$A$2:$A$25,MATCH(F273,'Dictionary Categories'!$B$2:$B$25,0))</f>
        <v>1</v>
      </c>
      <c r="F273" s="164" t="s">
        <v>2470</v>
      </c>
      <c r="G273" s="164">
        <f>INDEX('Dictionary Subcategories'!$A$2:$A$70,MATCH(H273,'Dictionary Subcategories'!$B$2:$B$70,0))</f>
        <v>7</v>
      </c>
      <c r="H273" s="164" t="s">
        <v>1232</v>
      </c>
      <c r="I273" s="164"/>
      <c r="J273" s="164"/>
    </row>
    <row r="274" spans="1:10" ht="10.5" customHeight="1" x14ac:dyDescent="0.25">
      <c r="A274" s="165" t="str">
        <f>'ENIGHUR Consumption items'!H275</f>
        <v>01.1.7.313</v>
      </c>
      <c r="B274" s="165" t="str">
        <f>'ENIGHUR Consumption items'!J275</f>
        <v>Habas enlatadas</v>
      </c>
      <c r="C274" s="168">
        <v>23</v>
      </c>
      <c r="D274" s="167" t="str">
        <f>IFERROR(VLOOKUP(C274,'symmetric IOT 245 2012'!$C$6:$D$276,2,FALSE),"")</f>
        <v>Haba fresca o seca</v>
      </c>
      <c r="E274" s="159">
        <f>INDEX('Dictionary Categories'!$A$2:$A$25,MATCH(F274,'Dictionary Categories'!$B$2:$B$25,0))</f>
        <v>1</v>
      </c>
      <c r="F274" s="164" t="s">
        <v>2470</v>
      </c>
      <c r="G274" s="164">
        <f>INDEX('Dictionary Subcategories'!$A$2:$A$70,MATCH(H274,'Dictionary Subcategories'!$B$2:$B$70,0))</f>
        <v>7</v>
      </c>
      <c r="H274" s="164" t="s">
        <v>1232</v>
      </c>
      <c r="I274" s="164"/>
      <c r="J274" s="164"/>
    </row>
    <row r="275" spans="1:10" ht="10.5" customHeight="1" x14ac:dyDescent="0.25">
      <c r="A275" s="165" t="str">
        <f>'ENIGHUR Consumption items'!H276</f>
        <v>01.1.7.314</v>
      </c>
      <c r="B275" s="165" t="str">
        <f>'ENIGHUR Consumption items'!J276</f>
        <v>Habas secas</v>
      </c>
      <c r="C275" s="168">
        <v>23</v>
      </c>
      <c r="D275" s="167" t="str">
        <f>IFERROR(VLOOKUP(C275,'symmetric IOT 245 2012'!$C$6:$D$276,2,FALSE),"")</f>
        <v>Haba fresca o seca</v>
      </c>
      <c r="E275" s="159">
        <f>INDEX('Dictionary Categories'!$A$2:$A$25,MATCH(F275,'Dictionary Categories'!$B$2:$B$25,0))</f>
        <v>1</v>
      </c>
      <c r="F275" s="164" t="s">
        <v>2470</v>
      </c>
      <c r="G275" s="164">
        <f>INDEX('Dictionary Subcategories'!$A$2:$A$70,MATCH(H275,'Dictionary Subcategories'!$B$2:$B$70,0))</f>
        <v>7</v>
      </c>
      <c r="H275" s="164" t="s">
        <v>1232</v>
      </c>
      <c r="I275" s="164"/>
      <c r="J275" s="164"/>
    </row>
    <row r="276" spans="1:10" ht="10.5" customHeight="1" x14ac:dyDescent="0.25">
      <c r="A276" s="165" t="str">
        <f>'ENIGHUR Consumption items'!H277</f>
        <v>01.1.7.315</v>
      </c>
      <c r="B276" s="165" t="str">
        <f>'ENIGHUR Consumption items'!J277</f>
        <v>Harina de arveja</v>
      </c>
      <c r="C276" s="168">
        <v>102</v>
      </c>
      <c r="D276" s="167" t="str">
        <f>IFERROR(VLOOKUP(C276,'symmetric IOT 245 2012'!$C$6:$D$276,2,FALSE),"")</f>
        <v>Otras harinas vegetales, sémolas y otros prod</v>
      </c>
      <c r="E276" s="159">
        <f>INDEX('Dictionary Categories'!$A$2:$A$25,MATCH(F276,'Dictionary Categories'!$B$2:$B$25,0))</f>
        <v>1</v>
      </c>
      <c r="F276" s="164" t="s">
        <v>2470</v>
      </c>
      <c r="G276" s="164">
        <f>INDEX('Dictionary Subcategories'!$A$2:$A$70,MATCH(H276,'Dictionary Subcategories'!$B$2:$B$70,0))</f>
        <v>7</v>
      </c>
      <c r="H276" s="164" t="s">
        <v>1232</v>
      </c>
      <c r="I276" s="164"/>
      <c r="J276" s="164"/>
    </row>
    <row r="277" spans="1:10" ht="10.5" customHeight="1" x14ac:dyDescent="0.25">
      <c r="A277" s="165" t="str">
        <f>'ENIGHUR Consumption items'!H278</f>
        <v>01.1.7.316</v>
      </c>
      <c r="B277" s="165" t="str">
        <f>'ENIGHUR Consumption items'!J278</f>
        <v>Harina de haba</v>
      </c>
      <c r="C277" s="168">
        <v>102</v>
      </c>
      <c r="D277" s="167" t="str">
        <f>IFERROR(VLOOKUP(C277,'symmetric IOT 245 2012'!$C$6:$D$276,2,FALSE),"")</f>
        <v>Otras harinas vegetales, sémolas y otros prod</v>
      </c>
      <c r="E277" s="159">
        <f>INDEX('Dictionary Categories'!$A$2:$A$25,MATCH(F277,'Dictionary Categories'!$B$2:$B$25,0))</f>
        <v>1</v>
      </c>
      <c r="F277" s="164" t="s">
        <v>2470</v>
      </c>
      <c r="G277" s="164">
        <f>INDEX('Dictionary Subcategories'!$A$2:$A$70,MATCH(H277,'Dictionary Subcategories'!$B$2:$B$70,0))</f>
        <v>7</v>
      </c>
      <c r="H277" s="164" t="s">
        <v>1232</v>
      </c>
      <c r="I277" s="164"/>
      <c r="J277" s="164"/>
    </row>
    <row r="278" spans="1:10" ht="10.5" customHeight="1" x14ac:dyDescent="0.25">
      <c r="A278" s="165" t="str">
        <f>'ENIGHUR Consumption items'!H279</f>
        <v>01.1.7.317</v>
      </c>
      <c r="B278" s="165" t="str">
        <f>'ENIGHUR Consumption items'!J279</f>
        <v>Harina de soya</v>
      </c>
      <c r="C278" s="168">
        <v>102</v>
      </c>
      <c r="D278" s="167" t="str">
        <f>IFERROR(VLOOKUP(C278,'symmetric IOT 245 2012'!$C$6:$D$276,2,FALSE),"")</f>
        <v>Otras harinas vegetales, sémolas y otros prod</v>
      </c>
      <c r="E278" s="159">
        <f>INDEX('Dictionary Categories'!$A$2:$A$25,MATCH(F278,'Dictionary Categories'!$B$2:$B$25,0))</f>
        <v>1</v>
      </c>
      <c r="F278" s="164" t="s">
        <v>2470</v>
      </c>
      <c r="G278" s="164">
        <f>INDEX('Dictionary Subcategories'!$A$2:$A$70,MATCH(H278,'Dictionary Subcategories'!$B$2:$B$70,0))</f>
        <v>7</v>
      </c>
      <c r="H278" s="164" t="s">
        <v>1232</v>
      </c>
      <c r="I278" s="164"/>
      <c r="J278" s="164"/>
    </row>
    <row r="279" spans="1:10" ht="10.5" customHeight="1" x14ac:dyDescent="0.25">
      <c r="A279" s="165" t="str">
        <f>'ENIGHUR Consumption items'!H280</f>
        <v>01.1.7.318</v>
      </c>
      <c r="B279" s="165" t="str">
        <f>'ENIGHUR Consumption items'!J280</f>
        <v>Hongos en conserva (champiñones)</v>
      </c>
      <c r="C279" s="168">
        <v>29</v>
      </c>
      <c r="D279" s="167" t="str">
        <f>IFERROR(VLOOKUP(C279,'symmetric IOT 245 2012'!$C$6:$D$276,2,FALSE),"")</f>
        <v>Otros vegetales y melones n.c.p.</v>
      </c>
      <c r="E279" s="159">
        <f>INDEX('Dictionary Categories'!$A$2:$A$25,MATCH(F279,'Dictionary Categories'!$B$2:$B$25,0))</f>
        <v>1</v>
      </c>
      <c r="F279" s="164" t="s">
        <v>2470</v>
      </c>
      <c r="G279" s="164">
        <f>INDEX('Dictionary Subcategories'!$A$2:$A$70,MATCH(H279,'Dictionary Subcategories'!$B$2:$B$70,0))</f>
        <v>7</v>
      </c>
      <c r="H279" s="164" t="s">
        <v>1232</v>
      </c>
      <c r="I279" s="164"/>
      <c r="J279" s="164"/>
    </row>
    <row r="280" spans="1:10" ht="10.5" customHeight="1" x14ac:dyDescent="0.25">
      <c r="A280" s="165" t="str">
        <f>'ENIGHUR Consumption items'!H281</f>
        <v>01.1.7.319</v>
      </c>
      <c r="B280" s="165" t="str">
        <f>'ENIGHUR Consumption items'!J281</f>
        <v>Hongos secos (champiñones)</v>
      </c>
      <c r="C280" s="168">
        <v>29</v>
      </c>
      <c r="D280" s="167" t="str">
        <f>IFERROR(VLOOKUP(C280,'symmetric IOT 245 2012'!$C$6:$D$276,2,FALSE),"")</f>
        <v>Otros vegetales y melones n.c.p.</v>
      </c>
      <c r="E280" s="159">
        <f>INDEX('Dictionary Categories'!$A$2:$A$25,MATCH(F280,'Dictionary Categories'!$B$2:$B$25,0))</f>
        <v>1</v>
      </c>
      <c r="F280" s="164" t="s">
        <v>2470</v>
      </c>
      <c r="G280" s="164">
        <f>INDEX('Dictionary Subcategories'!$A$2:$A$70,MATCH(H280,'Dictionary Subcategories'!$B$2:$B$70,0))</f>
        <v>7</v>
      </c>
      <c r="H280" s="164" t="s">
        <v>1232</v>
      </c>
      <c r="I280" s="164"/>
      <c r="J280" s="164"/>
    </row>
    <row r="281" spans="1:10" ht="10.5" customHeight="1" x14ac:dyDescent="0.25">
      <c r="A281" s="165" t="str">
        <f>'ENIGHUR Consumption items'!H282</f>
        <v>01.1.7.320</v>
      </c>
      <c r="B281" s="165" t="str">
        <f>'ENIGHUR Consumption items'!J282</f>
        <v>Lenteja</v>
      </c>
      <c r="C281" s="168">
        <v>25</v>
      </c>
      <c r="D281" s="167" t="str">
        <f>IFERROR(VLOOKUP(C281,'symmetric IOT 245 2012'!$C$6:$D$276,2,FALSE),"")</f>
        <v>Lenteja</v>
      </c>
      <c r="E281" s="159">
        <f>INDEX('Dictionary Categories'!$A$2:$A$25,MATCH(F281,'Dictionary Categories'!$B$2:$B$25,0))</f>
        <v>1</v>
      </c>
      <c r="F281" s="164" t="s">
        <v>2470</v>
      </c>
      <c r="G281" s="164">
        <f>INDEX('Dictionary Subcategories'!$A$2:$A$70,MATCH(H281,'Dictionary Subcategories'!$B$2:$B$70,0))</f>
        <v>7</v>
      </c>
      <c r="H281" s="164" t="s">
        <v>1232</v>
      </c>
      <c r="I281" s="164"/>
      <c r="J281" s="164"/>
    </row>
    <row r="282" spans="1:10" ht="10.5" customHeight="1" x14ac:dyDescent="0.25">
      <c r="A282" s="165" t="str">
        <f>'ENIGHUR Consumption items'!H283</f>
        <v>01.1.7.321</v>
      </c>
      <c r="B282" s="165" t="str">
        <f>'ENIGHUR Consumption items'!J283</f>
        <v>Lenteja en conserva</v>
      </c>
      <c r="C282" s="168">
        <v>29</v>
      </c>
      <c r="D282" s="167" t="str">
        <f>IFERROR(VLOOKUP(C282,'symmetric IOT 245 2012'!$C$6:$D$276,2,FALSE),"")</f>
        <v>Otros vegetales y melones n.c.p.</v>
      </c>
      <c r="E282" s="159">
        <f>INDEX('Dictionary Categories'!$A$2:$A$25,MATCH(F282,'Dictionary Categories'!$B$2:$B$25,0))</f>
        <v>1</v>
      </c>
      <c r="F282" s="164" t="s">
        <v>2470</v>
      </c>
      <c r="G282" s="164">
        <f>INDEX('Dictionary Subcategories'!$A$2:$A$70,MATCH(H282,'Dictionary Subcategories'!$B$2:$B$70,0))</f>
        <v>7</v>
      </c>
      <c r="H282" s="164" t="s">
        <v>1232</v>
      </c>
      <c r="I282" s="164"/>
      <c r="J282" s="164"/>
    </row>
    <row r="283" spans="1:10" ht="10.5" customHeight="1" x14ac:dyDescent="0.25">
      <c r="A283" s="165" t="str">
        <f>'ENIGHUR Consumption items'!H284</f>
        <v>01.1.7.322</v>
      </c>
      <c r="B283" s="165" t="str">
        <f>'ENIGHUR Consumption items'!J284</f>
        <v>Menestra de fréjol</v>
      </c>
      <c r="C283" s="168">
        <v>22</v>
      </c>
      <c r="D283" s="167" t="str">
        <f>IFERROR(VLOOKUP(C283,'symmetric IOT 245 2012'!$C$6:$D$276,2,FALSE),"")</f>
        <v>Fréjol fresco o seco</v>
      </c>
      <c r="E283" s="159">
        <f>INDEX('Dictionary Categories'!$A$2:$A$25,MATCH(F283,'Dictionary Categories'!$B$2:$B$25,0))</f>
        <v>1</v>
      </c>
      <c r="F283" s="164" t="s">
        <v>2470</v>
      </c>
      <c r="G283" s="164">
        <f>INDEX('Dictionary Subcategories'!$A$2:$A$70,MATCH(H283,'Dictionary Subcategories'!$B$2:$B$70,0))</f>
        <v>7</v>
      </c>
      <c r="H283" s="164" t="s">
        <v>1232</v>
      </c>
      <c r="I283" s="164"/>
      <c r="J283" s="164"/>
    </row>
    <row r="284" spans="1:10" ht="10.5" customHeight="1" x14ac:dyDescent="0.25">
      <c r="A284" s="165" t="str">
        <f>'ENIGHUR Consumption items'!H285</f>
        <v>01.1.7.323</v>
      </c>
      <c r="B284" s="165" t="str">
        <f>'ENIGHUR Consumption items'!J285</f>
        <v>Menestra de lenteja</v>
      </c>
      <c r="C284" s="168">
        <v>25</v>
      </c>
      <c r="D284" s="167" t="str">
        <f>IFERROR(VLOOKUP(C284,'symmetric IOT 245 2012'!$C$6:$D$276,2,FALSE),"")</f>
        <v>Lenteja</v>
      </c>
      <c r="E284" s="159">
        <f>INDEX('Dictionary Categories'!$A$2:$A$25,MATCH(F284,'Dictionary Categories'!$B$2:$B$25,0))</f>
        <v>1</v>
      </c>
      <c r="F284" s="164" t="s">
        <v>2470</v>
      </c>
      <c r="G284" s="164">
        <f>INDEX('Dictionary Subcategories'!$A$2:$A$70,MATCH(H284,'Dictionary Subcategories'!$B$2:$B$70,0))</f>
        <v>7</v>
      </c>
      <c r="H284" s="164" t="s">
        <v>1232</v>
      </c>
      <c r="I284" s="164"/>
      <c r="J284" s="164"/>
    </row>
    <row r="285" spans="1:10" ht="10.5" customHeight="1" x14ac:dyDescent="0.25">
      <c r="A285" s="165" t="str">
        <f>'ENIGHUR Consumption items'!H286</f>
        <v>01.1.7.324</v>
      </c>
      <c r="B285" s="165" t="str">
        <f>'ENIGHUR Consumption items'!J286</f>
        <v>Mote cocinado</v>
      </c>
      <c r="C285" s="168">
        <v>29</v>
      </c>
      <c r="D285" s="167" t="str">
        <f>IFERROR(VLOOKUP(C285,'symmetric IOT 245 2012'!$C$6:$D$276,2,FALSE),"")</f>
        <v>Otros vegetales y melones n.c.p.</v>
      </c>
      <c r="E285" s="159">
        <f>INDEX('Dictionary Categories'!$A$2:$A$25,MATCH(F285,'Dictionary Categories'!$B$2:$B$25,0))</f>
        <v>1</v>
      </c>
      <c r="F285" s="164" t="s">
        <v>2470</v>
      </c>
      <c r="G285" s="164">
        <f>INDEX('Dictionary Subcategories'!$A$2:$A$70,MATCH(H285,'Dictionary Subcategories'!$B$2:$B$70,0))</f>
        <v>7</v>
      </c>
      <c r="H285" s="164" t="s">
        <v>1232</v>
      </c>
      <c r="I285" s="164"/>
      <c r="J285" s="164"/>
    </row>
    <row r="286" spans="1:10" ht="10.5" customHeight="1" x14ac:dyDescent="0.25">
      <c r="A286" s="165" t="str">
        <f>'ENIGHUR Consumption items'!H287</f>
        <v>01.1.7.325</v>
      </c>
      <c r="B286" s="165" t="str">
        <f>'ENIGHUR Consumption items'!J287</f>
        <v>Pepinillo agridulce</v>
      </c>
      <c r="C286" s="168">
        <v>29</v>
      </c>
      <c r="D286" s="167" t="str">
        <f>IFERROR(VLOOKUP(C286,'symmetric IOT 245 2012'!$C$6:$D$276,2,FALSE),"")</f>
        <v>Otros vegetales y melones n.c.p.</v>
      </c>
      <c r="E286" s="159">
        <f>INDEX('Dictionary Categories'!$A$2:$A$25,MATCH(F286,'Dictionary Categories'!$B$2:$B$25,0))</f>
        <v>1</v>
      </c>
      <c r="F286" s="164" t="s">
        <v>2470</v>
      </c>
      <c r="G286" s="164">
        <f>INDEX('Dictionary Subcategories'!$A$2:$A$70,MATCH(H286,'Dictionary Subcategories'!$B$2:$B$70,0))</f>
        <v>7</v>
      </c>
      <c r="H286" s="164" t="s">
        <v>1232</v>
      </c>
      <c r="I286" s="164"/>
      <c r="J286" s="164"/>
    </row>
    <row r="287" spans="1:10" ht="10.5" customHeight="1" x14ac:dyDescent="0.25">
      <c r="A287" s="165" t="str">
        <f>'ENIGHUR Consumption items'!H288</f>
        <v>01.1.7.326</v>
      </c>
      <c r="B287" s="165" t="str">
        <f>'ENIGHUR Consumption items'!J288</f>
        <v>Soya</v>
      </c>
      <c r="C287" s="168">
        <v>43</v>
      </c>
      <c r="D287" s="167" t="str">
        <f>IFERROR(VLOOKUP(C287,'symmetric IOT 245 2012'!$C$6:$D$276,2,FALSE),"")</f>
        <v>Soya</v>
      </c>
      <c r="E287" s="159">
        <f>INDEX('Dictionary Categories'!$A$2:$A$25,MATCH(F287,'Dictionary Categories'!$B$2:$B$25,0))</f>
        <v>1</v>
      </c>
      <c r="F287" s="164" t="s">
        <v>2470</v>
      </c>
      <c r="G287" s="164">
        <f>INDEX('Dictionary Subcategories'!$A$2:$A$70,MATCH(H287,'Dictionary Subcategories'!$B$2:$B$70,0))</f>
        <v>7</v>
      </c>
      <c r="H287" s="164" t="s">
        <v>1232</v>
      </c>
      <c r="I287" s="164"/>
      <c r="J287" s="164"/>
    </row>
    <row r="288" spans="1:10" ht="10.5" customHeight="1" x14ac:dyDescent="0.25">
      <c r="A288" s="165" t="str">
        <f>'ENIGHUR Consumption items'!H289</f>
        <v>01.1.7.327</v>
      </c>
      <c r="B288" s="165" t="str">
        <f>'ENIGHUR Consumption items'!J289</f>
        <v>Tomate natural en conserva</v>
      </c>
      <c r="C288" s="168">
        <v>29</v>
      </c>
      <c r="D288" s="167" t="str">
        <f>IFERROR(VLOOKUP(C288,'symmetric IOT 245 2012'!$C$6:$D$276,2,FALSE),"")</f>
        <v>Otros vegetales y melones n.c.p.</v>
      </c>
      <c r="E288" s="159">
        <f>INDEX('Dictionary Categories'!$A$2:$A$25,MATCH(F288,'Dictionary Categories'!$B$2:$B$25,0))</f>
        <v>1</v>
      </c>
      <c r="F288" s="164" t="s">
        <v>2470</v>
      </c>
      <c r="G288" s="164">
        <f>INDEX('Dictionary Subcategories'!$A$2:$A$70,MATCH(H288,'Dictionary Subcategories'!$B$2:$B$70,0))</f>
        <v>7</v>
      </c>
      <c r="H288" s="164" t="s">
        <v>1232</v>
      </c>
      <c r="I288" s="164"/>
      <c r="J288" s="164"/>
    </row>
    <row r="289" spans="1:10" ht="10.5" customHeight="1" x14ac:dyDescent="0.25">
      <c r="A289" s="165" t="str">
        <f>'ENIGHUR Consumption items'!H290</f>
        <v>01.1.7.328</v>
      </c>
      <c r="B289" s="165" t="str">
        <f>'ENIGHUR Consumption items'!J290</f>
        <v>Vainitas en conserva</v>
      </c>
      <c r="C289" s="168">
        <v>29</v>
      </c>
      <c r="D289" s="167" t="str">
        <f>IFERROR(VLOOKUP(C289,'symmetric IOT 245 2012'!$C$6:$D$276,2,FALSE),"")</f>
        <v>Otros vegetales y melones n.c.p.</v>
      </c>
      <c r="E289" s="159">
        <f>INDEX('Dictionary Categories'!$A$2:$A$25,MATCH(F289,'Dictionary Categories'!$B$2:$B$25,0))</f>
        <v>1</v>
      </c>
      <c r="F289" s="164" t="s">
        <v>2470</v>
      </c>
      <c r="G289" s="164">
        <f>INDEX('Dictionary Subcategories'!$A$2:$A$70,MATCH(H289,'Dictionary Subcategories'!$B$2:$B$70,0))</f>
        <v>7</v>
      </c>
      <c r="H289" s="164" t="s">
        <v>1232</v>
      </c>
      <c r="I289" s="164"/>
      <c r="J289" s="164"/>
    </row>
    <row r="290" spans="1:10" ht="10.5" customHeight="1" x14ac:dyDescent="0.25">
      <c r="A290" s="165" t="str">
        <f>'ENIGHUR Consumption items'!H291</f>
        <v>01.1.7.329</v>
      </c>
      <c r="B290" s="165" t="str">
        <f>'ENIGHUR Consumption items'!J291</f>
        <v>Vegetales mixtos en conserva</v>
      </c>
      <c r="C290" s="168">
        <v>29</v>
      </c>
      <c r="D290" s="167" t="str">
        <f>IFERROR(VLOOKUP(C290,'symmetric IOT 245 2012'!$C$6:$D$276,2,FALSE),"")</f>
        <v>Otros vegetales y melones n.c.p.</v>
      </c>
      <c r="E290" s="159">
        <f>INDEX('Dictionary Categories'!$A$2:$A$25,MATCH(F290,'Dictionary Categories'!$B$2:$B$25,0))</f>
        <v>1</v>
      </c>
      <c r="F290" s="164" t="s">
        <v>2470</v>
      </c>
      <c r="G290" s="164">
        <f>INDEX('Dictionary Subcategories'!$A$2:$A$70,MATCH(H290,'Dictionary Subcategories'!$B$2:$B$70,0))</f>
        <v>7</v>
      </c>
      <c r="H290" s="164" t="s">
        <v>1232</v>
      </c>
      <c r="I290" s="164"/>
      <c r="J290" s="164"/>
    </row>
    <row r="291" spans="1:10" ht="10.5" customHeight="1" x14ac:dyDescent="0.25">
      <c r="A291" s="165" t="str">
        <f>'ENIGHUR Consumption items'!H292</f>
        <v>01.1.7.330</v>
      </c>
      <c r="B291" s="165" t="str">
        <f>'ENIGHUR Consumption items'!J292</f>
        <v>Verduras, hortalizas, leguminosas, cocinadas</v>
      </c>
      <c r="C291" s="168">
        <v>29</v>
      </c>
      <c r="D291" s="167" t="str">
        <f>IFERROR(VLOOKUP(C291,'symmetric IOT 245 2012'!$C$6:$D$276,2,FALSE),"")</f>
        <v>Otros vegetales y melones n.c.p.</v>
      </c>
      <c r="E291" s="159">
        <f>INDEX('Dictionary Categories'!$A$2:$A$25,MATCH(F291,'Dictionary Categories'!$B$2:$B$25,0))</f>
        <v>1</v>
      </c>
      <c r="F291" s="164" t="s">
        <v>2470</v>
      </c>
      <c r="G291" s="164">
        <f>INDEX('Dictionary Subcategories'!$A$2:$A$70,MATCH(H291,'Dictionary Subcategories'!$B$2:$B$70,0))</f>
        <v>7</v>
      </c>
      <c r="H291" s="164" t="s">
        <v>1232</v>
      </c>
      <c r="I291" s="164"/>
      <c r="J291" s="164"/>
    </row>
    <row r="292" spans="1:10" ht="10.5" customHeight="1" x14ac:dyDescent="0.25">
      <c r="A292" s="165" t="str">
        <f>'ENIGHUR Consumption items'!H293</f>
        <v>01.1.7.331</v>
      </c>
      <c r="B292" s="165" t="str">
        <f>'ENIGHUR Consumption items'!J293</f>
        <v>Zanahorias en conserva</v>
      </c>
      <c r="C292" s="168">
        <v>29</v>
      </c>
      <c r="D292" s="167" t="str">
        <f>IFERROR(VLOOKUP(C292,'symmetric IOT 245 2012'!$C$6:$D$276,2,FALSE),"")</f>
        <v>Otros vegetales y melones n.c.p.</v>
      </c>
      <c r="E292" s="159">
        <f>INDEX('Dictionary Categories'!$A$2:$A$25,MATCH(F292,'Dictionary Categories'!$B$2:$B$25,0))</f>
        <v>1</v>
      </c>
      <c r="F292" s="164" t="s">
        <v>2470</v>
      </c>
      <c r="G292" s="164">
        <f>INDEX('Dictionary Subcategories'!$A$2:$A$70,MATCH(H292,'Dictionary Subcategories'!$B$2:$B$70,0))</f>
        <v>7</v>
      </c>
      <c r="H292" s="164" t="s">
        <v>1232</v>
      </c>
      <c r="I292" s="164"/>
      <c r="J292" s="164"/>
    </row>
    <row r="293" spans="1:10" ht="10.5" customHeight="1" x14ac:dyDescent="0.25">
      <c r="A293" s="165" t="str">
        <f>'ENIGHUR Consumption items'!H294</f>
        <v>01.1.7.397</v>
      </c>
      <c r="B293" s="165" t="str">
        <f>'ENIGHUR Consumption items'!J294</f>
        <v>Otras harinas de leguminosas</v>
      </c>
      <c r="C293" s="168">
        <v>29</v>
      </c>
      <c r="D293" s="167" t="str">
        <f>IFERROR(VLOOKUP(C293,'symmetric IOT 245 2012'!$C$6:$D$276,2,FALSE),"")</f>
        <v>Otros vegetales y melones n.c.p.</v>
      </c>
      <c r="E293" s="159">
        <f>INDEX('Dictionary Categories'!$A$2:$A$25,MATCH(F293,'Dictionary Categories'!$B$2:$B$25,0))</f>
        <v>1</v>
      </c>
      <c r="F293" s="164" t="s">
        <v>2470</v>
      </c>
      <c r="G293" s="164">
        <f>INDEX('Dictionary Subcategories'!$A$2:$A$70,MATCH(H293,'Dictionary Subcategories'!$B$2:$B$70,0))</f>
        <v>7</v>
      </c>
      <c r="H293" s="164" t="s">
        <v>1232</v>
      </c>
      <c r="I293" s="164"/>
      <c r="J293" s="164"/>
    </row>
    <row r="294" spans="1:10" ht="10.5" customHeight="1" x14ac:dyDescent="0.25">
      <c r="A294" s="165" t="str">
        <f>'ENIGHUR Consumption items'!H295</f>
        <v>01.1.7.398</v>
      </c>
      <c r="B294" s="165" t="str">
        <f>'ENIGHUR Consumption items'!J295</f>
        <v>Otras hortalizas y verduras en conserva</v>
      </c>
      <c r="C294" s="168">
        <v>29</v>
      </c>
      <c r="D294" s="167" t="str">
        <f>IFERROR(VLOOKUP(C294,'symmetric IOT 245 2012'!$C$6:$D$276,2,FALSE),"")</f>
        <v>Otros vegetales y melones n.c.p.</v>
      </c>
      <c r="E294" s="159">
        <f>INDEX('Dictionary Categories'!$A$2:$A$25,MATCH(F294,'Dictionary Categories'!$B$2:$B$25,0))</f>
        <v>1</v>
      </c>
      <c r="F294" s="164" t="s">
        <v>2470</v>
      </c>
      <c r="G294" s="164">
        <f>INDEX('Dictionary Subcategories'!$A$2:$A$70,MATCH(H294,'Dictionary Subcategories'!$B$2:$B$70,0))</f>
        <v>7</v>
      </c>
      <c r="H294" s="164" t="s">
        <v>1232</v>
      </c>
      <c r="I294" s="164"/>
      <c r="J294" s="164"/>
    </row>
    <row r="295" spans="1:10" ht="10.5" customHeight="1" x14ac:dyDescent="0.25">
      <c r="A295" s="165" t="str">
        <f>'ENIGHUR Consumption items'!H296</f>
        <v>01.1.7.399</v>
      </c>
      <c r="B295" s="165" t="str">
        <f>'ENIGHUR Consumption items'!J296</f>
        <v>Otras leguminosas secas y en conserva</v>
      </c>
      <c r="C295" s="168">
        <v>29</v>
      </c>
      <c r="D295" s="167" t="str">
        <f>IFERROR(VLOOKUP(C295,'symmetric IOT 245 2012'!$C$6:$D$276,2,FALSE),"")</f>
        <v>Otros vegetales y melones n.c.p.</v>
      </c>
      <c r="E295" s="159">
        <f>INDEX('Dictionary Categories'!$A$2:$A$25,MATCH(F295,'Dictionary Categories'!$B$2:$B$25,0))</f>
        <v>1</v>
      </c>
      <c r="F295" s="164" t="s">
        <v>2470</v>
      </c>
      <c r="G295" s="164">
        <f>INDEX('Dictionary Subcategories'!$A$2:$A$70,MATCH(H295,'Dictionary Subcategories'!$B$2:$B$70,0))</f>
        <v>7</v>
      </c>
      <c r="H295" s="164" t="s">
        <v>1232</v>
      </c>
      <c r="I295" s="164"/>
      <c r="J295" s="164"/>
    </row>
    <row r="296" spans="1:10" ht="10.5" customHeight="1" x14ac:dyDescent="0.25">
      <c r="A296" s="165" t="str">
        <f>'ENIGHUR Consumption items'!H297</f>
        <v>01.1.8</v>
      </c>
      <c r="B296" s="165" t="str">
        <f>'ENIGHUR Consumption items'!J297</f>
        <v>AZÚCAR, MERMELADA, MIEL, CHOCOLATE Y DULCES DE AZÚCAR</v>
      </c>
      <c r="C296" s="169" t="s">
        <v>2389</v>
      </c>
      <c r="D296" s="167" t="str">
        <f>IFERROR(VLOOKUP(C296,'symmetric IOT 245 2012'!$C$6:$D$276,2,FALSE),"")</f>
        <v>matched on SC/SSC level</v>
      </c>
      <c r="E296" s="159">
        <f>INDEX('Dictionary Categories'!$A$2:$A$25,MATCH(F296,'Dictionary Categories'!$B$2:$B$25,0))</f>
        <v>1</v>
      </c>
      <c r="F296" s="164" t="s">
        <v>2470</v>
      </c>
      <c r="G296" s="164">
        <f>INDEX('Dictionary Subcategories'!$A$2:$A$70,MATCH(H296,'Dictionary Subcategories'!$B$2:$B$70,0))</f>
        <v>8</v>
      </c>
      <c r="H296" s="164" t="s">
        <v>1233</v>
      </c>
      <c r="I296" s="164"/>
      <c r="J296" s="164"/>
    </row>
    <row r="297" spans="1:10" ht="10.5" customHeight="1" x14ac:dyDescent="0.25">
      <c r="A297" s="165" t="str">
        <f>'ENIGHUR Consumption items'!H298</f>
        <v>01.1.8.000</v>
      </c>
      <c r="B297" s="165" t="str">
        <f>'ENIGHUR Consumption items'!J298</f>
        <v>Azúcar</v>
      </c>
      <c r="C297" s="168">
        <v>106</v>
      </c>
      <c r="D297" s="167" t="str">
        <f>IFERROR(VLOOKUP(C297,'symmetric IOT 245 2012'!$C$6:$D$276,2,FALSE),"")</f>
        <v>Azúcar sin refinar, refinada y sacarosa y melaza</v>
      </c>
      <c r="E297" s="159">
        <f>INDEX('Dictionary Categories'!$A$2:$A$25,MATCH(F297,'Dictionary Categories'!$B$2:$B$25,0))</f>
        <v>1</v>
      </c>
      <c r="F297" s="164" t="s">
        <v>2470</v>
      </c>
      <c r="G297" s="164">
        <f>INDEX('Dictionary Subcategories'!$A$2:$A$70,MATCH(H297,'Dictionary Subcategories'!$B$2:$B$70,0))</f>
        <v>8</v>
      </c>
      <c r="H297" s="164" t="s">
        <v>1233</v>
      </c>
      <c r="I297" s="164"/>
      <c r="J297" s="164"/>
    </row>
    <row r="298" spans="1:10" ht="10.5" customHeight="1" x14ac:dyDescent="0.25">
      <c r="A298" s="165" t="str">
        <f>'ENIGHUR Consumption items'!H299</f>
        <v>01.1.8.100</v>
      </c>
      <c r="B298" s="165" t="str">
        <f>'ENIGHUR Consumption items'!J299</f>
        <v>Dulces, mermeladas, miel y jarabes</v>
      </c>
      <c r="C298" s="168">
        <v>106</v>
      </c>
      <c r="D298" s="167" t="str">
        <f>IFERROR(VLOOKUP(C298,'symmetric IOT 245 2012'!$C$6:$D$276,2,FALSE),"")</f>
        <v>Azúcar sin refinar, refinada y sacarosa y melaza</v>
      </c>
      <c r="E298" s="159">
        <f>INDEX('Dictionary Categories'!$A$2:$A$25,MATCH(F298,'Dictionary Categories'!$B$2:$B$25,0))</f>
        <v>1</v>
      </c>
      <c r="F298" s="164" t="s">
        <v>2470</v>
      </c>
      <c r="G298" s="164">
        <f>INDEX('Dictionary Subcategories'!$A$2:$A$70,MATCH(H298,'Dictionary Subcategories'!$B$2:$B$70,0))</f>
        <v>8</v>
      </c>
      <c r="H298" s="164" t="s">
        <v>1233</v>
      </c>
      <c r="I298" s="164"/>
      <c r="J298" s="164"/>
    </row>
    <row r="299" spans="1:10" ht="10.5" customHeight="1" x14ac:dyDescent="0.25">
      <c r="A299" s="165" t="str">
        <f>'ENIGHUR Consumption items'!H300</f>
        <v>01.1.8.200</v>
      </c>
      <c r="B299" s="165" t="str">
        <f>'ENIGHUR Consumption items'!J300</f>
        <v>Helados</v>
      </c>
      <c r="C299" s="168">
        <v>106</v>
      </c>
      <c r="D299" s="167" t="str">
        <f>IFERROR(VLOOKUP(C299,'symmetric IOT 245 2012'!$C$6:$D$276,2,FALSE),"")</f>
        <v>Azúcar sin refinar, refinada y sacarosa y melaza</v>
      </c>
      <c r="E299" s="159">
        <f>INDEX('Dictionary Categories'!$A$2:$A$25,MATCH(F299,'Dictionary Categories'!$B$2:$B$25,0))</f>
        <v>1</v>
      </c>
      <c r="F299" s="164" t="s">
        <v>2470</v>
      </c>
      <c r="G299" s="164">
        <f>INDEX('Dictionary Subcategories'!$A$2:$A$70,MATCH(H299,'Dictionary Subcategories'!$B$2:$B$70,0))</f>
        <v>8</v>
      </c>
      <c r="H299" s="164" t="s">
        <v>1233</v>
      </c>
      <c r="I299" s="164"/>
      <c r="J299" s="164"/>
    </row>
    <row r="300" spans="1:10" ht="10.5" customHeight="1" x14ac:dyDescent="0.25">
      <c r="A300" s="165" t="str">
        <f>'ENIGHUR Consumption items'!H301</f>
        <v>01.1.8.300</v>
      </c>
      <c r="B300" s="165" t="str">
        <f>'ENIGHUR Consumption items'!J301</f>
        <v>Chocolates y dulces de azúcar</v>
      </c>
      <c r="C300" s="168">
        <v>109</v>
      </c>
      <c r="D300" s="167" t="str">
        <f>IFERROR(VLOOKUP(C300,'symmetric IOT 245 2012'!$C$6:$D$276,2,FALSE),"")</f>
        <v>Productos de confitería</v>
      </c>
      <c r="E300" s="159">
        <f>INDEX('Dictionary Categories'!$A$2:$A$25,MATCH(F300,'Dictionary Categories'!$B$2:$B$25,0))</f>
        <v>1</v>
      </c>
      <c r="F300" s="164" t="s">
        <v>2470</v>
      </c>
      <c r="G300" s="164">
        <f>INDEX('Dictionary Subcategories'!$A$2:$A$70,MATCH(H300,'Dictionary Subcategories'!$B$2:$B$70,0))</f>
        <v>8</v>
      </c>
      <c r="H300" s="164" t="s">
        <v>1233</v>
      </c>
      <c r="I300" s="164"/>
      <c r="J300" s="164"/>
    </row>
    <row r="301" spans="1:10" ht="10.5" customHeight="1" x14ac:dyDescent="0.25">
      <c r="A301" s="165" t="str">
        <f>'ENIGHUR Consumption items'!H302</f>
        <v>01.1.8.301</v>
      </c>
      <c r="B301" s="165" t="str">
        <f>'ENIGHUR Consumption items'!J302</f>
        <v>Barras de maní enconfitadas</v>
      </c>
      <c r="C301" s="168">
        <v>109</v>
      </c>
      <c r="D301" s="167" t="str">
        <f>IFERROR(VLOOKUP(C301,'symmetric IOT 245 2012'!$C$6:$D$276,2,FALSE),"")</f>
        <v>Productos de confitería</v>
      </c>
      <c r="E301" s="159">
        <f>INDEX('Dictionary Categories'!$A$2:$A$25,MATCH(F301,'Dictionary Categories'!$B$2:$B$25,0))</f>
        <v>1</v>
      </c>
      <c r="F301" s="164" t="s">
        <v>2470</v>
      </c>
      <c r="G301" s="164">
        <f>INDEX('Dictionary Subcategories'!$A$2:$A$70,MATCH(H301,'Dictionary Subcategories'!$B$2:$B$70,0))</f>
        <v>8</v>
      </c>
      <c r="H301" s="164" t="s">
        <v>1233</v>
      </c>
      <c r="I301" s="164"/>
      <c r="J301" s="164"/>
    </row>
    <row r="302" spans="1:10" ht="10.5" customHeight="1" x14ac:dyDescent="0.25">
      <c r="A302" s="165" t="str">
        <f>'ENIGHUR Consumption items'!H303</f>
        <v>01.1.8.302</v>
      </c>
      <c r="B302" s="165" t="str">
        <f>'ENIGHUR Consumption items'!J303</f>
        <v>Bolitas de coco</v>
      </c>
      <c r="C302" s="168">
        <v>109</v>
      </c>
      <c r="D302" s="167" t="str">
        <f>IFERROR(VLOOKUP(C302,'symmetric IOT 245 2012'!$C$6:$D$276,2,FALSE),"")</f>
        <v>Productos de confitería</v>
      </c>
      <c r="E302" s="159">
        <f>INDEX('Dictionary Categories'!$A$2:$A$25,MATCH(F302,'Dictionary Categories'!$B$2:$B$25,0))</f>
        <v>1</v>
      </c>
      <c r="F302" s="164" t="s">
        <v>2470</v>
      </c>
      <c r="G302" s="164">
        <f>INDEX('Dictionary Subcategories'!$A$2:$A$70,MATCH(H302,'Dictionary Subcategories'!$B$2:$B$70,0))</f>
        <v>8</v>
      </c>
      <c r="H302" s="164" t="s">
        <v>1233</v>
      </c>
      <c r="I302" s="164"/>
      <c r="J302" s="164"/>
    </row>
    <row r="303" spans="1:10" ht="10.5" customHeight="1" x14ac:dyDescent="0.25">
      <c r="A303" s="165" t="str">
        <f>'ENIGHUR Consumption items'!H304</f>
        <v>01.1.8.303</v>
      </c>
      <c r="B303" s="165" t="str">
        <f>'ENIGHUR Consumption items'!J304</f>
        <v>Bombones o chocolates</v>
      </c>
      <c r="C303" s="168">
        <v>108</v>
      </c>
      <c r="D303" s="167" t="str">
        <f>IFERROR(VLOOKUP(C303,'symmetric IOT 245 2012'!$C$6:$D$276,2,FALSE),"")</f>
        <v>Chocolate y bombones (incluye polvo de cacao con edulcorante)</v>
      </c>
      <c r="E303" s="159">
        <f>INDEX('Dictionary Categories'!$A$2:$A$25,MATCH(F303,'Dictionary Categories'!$B$2:$B$25,0))</f>
        <v>1</v>
      </c>
      <c r="F303" s="164" t="s">
        <v>2470</v>
      </c>
      <c r="G303" s="164">
        <f>INDEX('Dictionary Subcategories'!$A$2:$A$70,MATCH(H303,'Dictionary Subcategories'!$B$2:$B$70,0))</f>
        <v>8</v>
      </c>
      <c r="H303" s="164" t="s">
        <v>1233</v>
      </c>
      <c r="I303" s="164"/>
      <c r="J303" s="164"/>
    </row>
    <row r="304" spans="1:10" ht="10.5" customHeight="1" x14ac:dyDescent="0.25">
      <c r="A304" s="165" t="str">
        <f>'ENIGHUR Consumption items'!H305</f>
        <v>01.1.8.304</v>
      </c>
      <c r="B304" s="165" t="str">
        <f>'ENIGHUR Consumption items'!J305</f>
        <v>Caramelos (para flanes y otros postres)</v>
      </c>
      <c r="C304" s="168">
        <v>109</v>
      </c>
      <c r="D304" s="167" t="str">
        <f>IFERROR(VLOOKUP(C304,'symmetric IOT 245 2012'!$C$6:$D$276,2,FALSE),"")</f>
        <v>Productos de confitería</v>
      </c>
      <c r="E304" s="159">
        <f>INDEX('Dictionary Categories'!$A$2:$A$25,MATCH(F304,'Dictionary Categories'!$B$2:$B$25,0))</f>
        <v>1</v>
      </c>
      <c r="F304" s="164" t="s">
        <v>2470</v>
      </c>
      <c r="G304" s="164">
        <f>INDEX('Dictionary Subcategories'!$A$2:$A$70,MATCH(H304,'Dictionary Subcategories'!$B$2:$B$70,0))</f>
        <v>8</v>
      </c>
      <c r="H304" s="164" t="s">
        <v>1233</v>
      </c>
      <c r="I304" s="164"/>
      <c r="J304" s="164"/>
    </row>
    <row r="305" spans="1:10" ht="10.5" customHeight="1" x14ac:dyDescent="0.25">
      <c r="A305" s="165" t="str">
        <f>'ENIGHUR Consumption items'!H306</f>
        <v>01.1.8.305</v>
      </c>
      <c r="B305" s="165" t="str">
        <f>'ENIGHUR Consumption items'!J306</f>
        <v>Caramelos surtidos</v>
      </c>
      <c r="C305" s="168">
        <v>109</v>
      </c>
      <c r="D305" s="167" t="str">
        <f>IFERROR(VLOOKUP(C305,'symmetric IOT 245 2012'!$C$6:$D$276,2,FALSE),"")</f>
        <v>Productos de confitería</v>
      </c>
      <c r="E305" s="159">
        <f>INDEX('Dictionary Categories'!$A$2:$A$25,MATCH(F305,'Dictionary Categories'!$B$2:$B$25,0))</f>
        <v>1</v>
      </c>
      <c r="F305" s="164" t="s">
        <v>2470</v>
      </c>
      <c r="G305" s="164">
        <f>INDEX('Dictionary Subcategories'!$A$2:$A$70,MATCH(H305,'Dictionary Subcategories'!$B$2:$B$70,0))</f>
        <v>8</v>
      </c>
      <c r="H305" s="164" t="s">
        <v>1233</v>
      </c>
      <c r="I305" s="164"/>
      <c r="J305" s="164"/>
    </row>
    <row r="306" spans="1:10" ht="10.5" customHeight="1" x14ac:dyDescent="0.25">
      <c r="A306" s="165" t="str">
        <f>'ENIGHUR Consumption items'!H307</f>
        <v>01.1.8.306</v>
      </c>
      <c r="B306" s="165" t="str">
        <f>'ENIGHUR Consumption items'!J307</f>
        <v>Chicles (goma de mascar)</v>
      </c>
      <c r="C306" s="168">
        <v>109</v>
      </c>
      <c r="D306" s="167" t="str">
        <f>IFERROR(VLOOKUP(C306,'symmetric IOT 245 2012'!$C$6:$D$276,2,FALSE),"")</f>
        <v>Productos de confitería</v>
      </c>
      <c r="E306" s="159">
        <f>INDEX('Dictionary Categories'!$A$2:$A$25,MATCH(F306,'Dictionary Categories'!$B$2:$B$25,0))</f>
        <v>1</v>
      </c>
      <c r="F306" s="164" t="s">
        <v>2470</v>
      </c>
      <c r="G306" s="164">
        <f>INDEX('Dictionary Subcategories'!$A$2:$A$70,MATCH(H306,'Dictionary Subcategories'!$B$2:$B$70,0))</f>
        <v>8</v>
      </c>
      <c r="H306" s="164" t="s">
        <v>1233</v>
      </c>
      <c r="I306" s="164"/>
      <c r="J306" s="164"/>
    </row>
    <row r="307" spans="1:10" ht="10.5" customHeight="1" x14ac:dyDescent="0.25">
      <c r="A307" s="165" t="str">
        <f>'ENIGHUR Consumption items'!H308</f>
        <v>01.1.8.307</v>
      </c>
      <c r="B307" s="165" t="str">
        <f>'ENIGHUR Consumption items'!J308</f>
        <v>Chocolate en barra y otras formas (incluido el amargo)</v>
      </c>
      <c r="C307" s="168">
        <v>108</v>
      </c>
      <c r="D307" s="167" t="str">
        <f>IFERROR(VLOOKUP(C307,'symmetric IOT 245 2012'!$C$6:$D$276,2,FALSE),"")</f>
        <v>Chocolate y bombones (incluye polvo de cacao con edulcorante)</v>
      </c>
      <c r="E307" s="159">
        <f>INDEX('Dictionary Categories'!$A$2:$A$25,MATCH(F307,'Dictionary Categories'!$B$2:$B$25,0))</f>
        <v>1</v>
      </c>
      <c r="F307" s="164" t="s">
        <v>2470</v>
      </c>
      <c r="G307" s="164">
        <f>INDEX('Dictionary Subcategories'!$A$2:$A$70,MATCH(H307,'Dictionary Subcategories'!$B$2:$B$70,0))</f>
        <v>8</v>
      </c>
      <c r="H307" s="164" t="s">
        <v>1233</v>
      </c>
      <c r="I307" s="164"/>
      <c r="J307" s="164"/>
    </row>
    <row r="308" spans="1:10" ht="10.5" customHeight="1" x14ac:dyDescent="0.25">
      <c r="A308" s="165" t="str">
        <f>'ENIGHUR Consumption items'!H309</f>
        <v>01.1.8.308</v>
      </c>
      <c r="B308" s="165" t="str">
        <f>'ENIGHUR Consumption items'!J309</f>
        <v>Chupetes</v>
      </c>
      <c r="C308" s="168">
        <v>109</v>
      </c>
      <c r="D308" s="167" t="str">
        <f>IFERROR(VLOOKUP(C308,'symmetric IOT 245 2012'!$C$6:$D$276,2,FALSE),"")</f>
        <v>Productos de confitería</v>
      </c>
      <c r="E308" s="159">
        <f>INDEX('Dictionary Categories'!$A$2:$A$25,MATCH(F308,'Dictionary Categories'!$B$2:$B$25,0))</f>
        <v>1</v>
      </c>
      <c r="F308" s="164" t="s">
        <v>2470</v>
      </c>
      <c r="G308" s="164">
        <f>INDEX('Dictionary Subcategories'!$A$2:$A$70,MATCH(H308,'Dictionary Subcategories'!$B$2:$B$70,0))</f>
        <v>8</v>
      </c>
      <c r="H308" s="164" t="s">
        <v>1233</v>
      </c>
      <c r="I308" s="164"/>
      <c r="J308" s="164"/>
    </row>
    <row r="309" spans="1:10" ht="10.5" customHeight="1" x14ac:dyDescent="0.25">
      <c r="A309" s="165" t="str">
        <f>'ENIGHUR Consumption items'!H310</f>
        <v>01.1.8.309</v>
      </c>
      <c r="B309" s="165" t="str">
        <f>'ENIGHUR Consumption items'!J310</f>
        <v>Colaciones</v>
      </c>
      <c r="C309" s="168">
        <v>109</v>
      </c>
      <c r="D309" s="167" t="str">
        <f>IFERROR(VLOOKUP(C309,'symmetric IOT 245 2012'!$C$6:$D$276,2,FALSE),"")</f>
        <v>Productos de confitería</v>
      </c>
      <c r="E309" s="159">
        <f>INDEX('Dictionary Categories'!$A$2:$A$25,MATCH(F309,'Dictionary Categories'!$B$2:$B$25,0))</f>
        <v>1</v>
      </c>
      <c r="F309" s="164" t="s">
        <v>2470</v>
      </c>
      <c r="G309" s="164">
        <f>INDEX('Dictionary Subcategories'!$A$2:$A$70,MATCH(H309,'Dictionary Subcategories'!$B$2:$B$70,0))</f>
        <v>8</v>
      </c>
      <c r="H309" s="164" t="s">
        <v>1233</v>
      </c>
      <c r="I309" s="164"/>
      <c r="J309" s="164"/>
    </row>
    <row r="310" spans="1:10" ht="10.5" customHeight="1" x14ac:dyDescent="0.25">
      <c r="A310" s="165" t="str">
        <f>'ENIGHUR Consumption items'!H311</f>
        <v>01.1.8.310</v>
      </c>
      <c r="B310" s="165" t="str">
        <f>'ENIGHUR Consumption items'!J311</f>
        <v>Confites</v>
      </c>
      <c r="C310" s="168">
        <v>109</v>
      </c>
      <c r="D310" s="167" t="str">
        <f>IFERROR(VLOOKUP(C310,'symmetric IOT 245 2012'!$C$6:$D$276,2,FALSE),"")</f>
        <v>Productos de confitería</v>
      </c>
      <c r="E310" s="159">
        <f>INDEX('Dictionary Categories'!$A$2:$A$25,MATCH(F310,'Dictionary Categories'!$B$2:$B$25,0))</f>
        <v>1</v>
      </c>
      <c r="F310" s="164" t="s">
        <v>2470</v>
      </c>
      <c r="G310" s="164">
        <f>INDEX('Dictionary Subcategories'!$A$2:$A$70,MATCH(H310,'Dictionary Subcategories'!$B$2:$B$70,0))</f>
        <v>8</v>
      </c>
      <c r="H310" s="164" t="s">
        <v>1233</v>
      </c>
      <c r="I310" s="164"/>
      <c r="J310" s="164"/>
    </row>
    <row r="311" spans="1:10" ht="10.5" customHeight="1" x14ac:dyDescent="0.25">
      <c r="A311" s="165" t="str">
        <f>'ENIGHUR Consumption items'!H312</f>
        <v>01.1.8.311</v>
      </c>
      <c r="B311" s="165" t="str">
        <f>'ENIGHUR Consumption items'!J312</f>
        <v>Dulces de ajonjolí</v>
      </c>
      <c r="C311" s="168">
        <v>109</v>
      </c>
      <c r="D311" s="167" t="str">
        <f>IFERROR(VLOOKUP(C311,'symmetric IOT 245 2012'!$C$6:$D$276,2,FALSE),"")</f>
        <v>Productos de confitería</v>
      </c>
      <c r="E311" s="159">
        <f>INDEX('Dictionary Categories'!$A$2:$A$25,MATCH(F311,'Dictionary Categories'!$B$2:$B$25,0))</f>
        <v>1</v>
      </c>
      <c r="F311" s="164" t="s">
        <v>2470</v>
      </c>
      <c r="G311" s="164">
        <f>INDEX('Dictionary Subcategories'!$A$2:$A$70,MATCH(H311,'Dictionary Subcategories'!$B$2:$B$70,0))</f>
        <v>8</v>
      </c>
      <c r="H311" s="164" t="s">
        <v>1233</v>
      </c>
      <c r="I311" s="164"/>
      <c r="J311" s="164"/>
    </row>
    <row r="312" spans="1:10" ht="10.5" customHeight="1" x14ac:dyDescent="0.25">
      <c r="A312" s="165" t="str">
        <f>'ENIGHUR Consumption items'!H313</f>
        <v>01.1.8.312</v>
      </c>
      <c r="B312" s="165" t="str">
        <f>'ENIGHUR Consumption items'!J313</f>
        <v>Dulces de frutas</v>
      </c>
      <c r="C312" s="168">
        <v>109</v>
      </c>
      <c r="D312" s="167" t="str">
        <f>IFERROR(VLOOKUP(C312,'symmetric IOT 245 2012'!$C$6:$D$276,2,FALSE),"")</f>
        <v>Productos de confitería</v>
      </c>
      <c r="E312" s="159">
        <f>INDEX('Dictionary Categories'!$A$2:$A$25,MATCH(F312,'Dictionary Categories'!$B$2:$B$25,0))</f>
        <v>1</v>
      </c>
      <c r="F312" s="164" t="s">
        <v>2470</v>
      </c>
      <c r="G312" s="164">
        <f>INDEX('Dictionary Subcategories'!$A$2:$A$70,MATCH(H312,'Dictionary Subcategories'!$B$2:$B$70,0))</f>
        <v>8</v>
      </c>
      <c r="H312" s="164" t="s">
        <v>1233</v>
      </c>
      <c r="I312" s="164"/>
      <c r="J312" s="164"/>
    </row>
    <row r="313" spans="1:10" ht="10.5" customHeight="1" x14ac:dyDescent="0.25">
      <c r="A313" s="165" t="str">
        <f>'ENIGHUR Consumption items'!H314</f>
        <v>01.1.8.313</v>
      </c>
      <c r="B313" s="165" t="str">
        <f>'ENIGHUR Consumption items'!J314</f>
        <v>Gomitas</v>
      </c>
      <c r="C313" s="168">
        <v>109</v>
      </c>
      <c r="D313" s="167" t="str">
        <f>IFERROR(VLOOKUP(C313,'symmetric IOT 245 2012'!$C$6:$D$276,2,FALSE),"")</f>
        <v>Productos de confitería</v>
      </c>
      <c r="E313" s="159">
        <f>INDEX('Dictionary Categories'!$A$2:$A$25,MATCH(F313,'Dictionary Categories'!$B$2:$B$25,0))</f>
        <v>1</v>
      </c>
      <c r="F313" s="164" t="s">
        <v>2470</v>
      </c>
      <c r="G313" s="164">
        <f>INDEX('Dictionary Subcategories'!$A$2:$A$70,MATCH(H313,'Dictionary Subcategories'!$B$2:$B$70,0))</f>
        <v>8</v>
      </c>
      <c r="H313" s="164" t="s">
        <v>1233</v>
      </c>
      <c r="I313" s="164"/>
      <c r="J313" s="164"/>
    </row>
    <row r="314" spans="1:10" ht="10.5" customHeight="1" x14ac:dyDescent="0.25">
      <c r="A314" s="165" t="str">
        <f>'ENIGHUR Consumption items'!H315</f>
        <v>01.1.8.314</v>
      </c>
      <c r="B314" s="165" t="str">
        <f>'ENIGHUR Consumption items'!J315</f>
        <v>Grageas</v>
      </c>
      <c r="C314" s="168">
        <v>109</v>
      </c>
      <c r="D314" s="167" t="str">
        <f>IFERROR(VLOOKUP(C314,'symmetric IOT 245 2012'!$C$6:$D$276,2,FALSE),"")</f>
        <v>Productos de confitería</v>
      </c>
      <c r="E314" s="159">
        <f>INDEX('Dictionary Categories'!$A$2:$A$25,MATCH(F314,'Dictionary Categories'!$B$2:$B$25,0))</f>
        <v>1</v>
      </c>
      <c r="F314" s="164" t="s">
        <v>2470</v>
      </c>
      <c r="G314" s="164">
        <f>INDEX('Dictionary Subcategories'!$A$2:$A$70,MATCH(H314,'Dictionary Subcategories'!$B$2:$B$70,0))</f>
        <v>8</v>
      </c>
      <c r="H314" s="164" t="s">
        <v>1233</v>
      </c>
      <c r="I314" s="164"/>
      <c r="J314" s="164"/>
    </row>
    <row r="315" spans="1:10" ht="10.5" customHeight="1" x14ac:dyDescent="0.25">
      <c r="A315" s="165" t="str">
        <f>'ENIGHUR Consumption items'!H316</f>
        <v>01.1.8.315</v>
      </c>
      <c r="B315" s="165" t="str">
        <f>'ENIGHUR Consumption items'!J316</f>
        <v>Habas enconfitadas</v>
      </c>
      <c r="C315" s="168">
        <v>109</v>
      </c>
      <c r="D315" s="167" t="str">
        <f>IFERROR(VLOOKUP(C315,'symmetric IOT 245 2012'!$C$6:$D$276,2,FALSE),"")</f>
        <v>Productos de confitería</v>
      </c>
      <c r="E315" s="159">
        <f>INDEX('Dictionary Categories'!$A$2:$A$25,MATCH(F315,'Dictionary Categories'!$B$2:$B$25,0))</f>
        <v>1</v>
      </c>
      <c r="F315" s="164" t="s">
        <v>2470</v>
      </c>
      <c r="G315" s="164">
        <f>INDEX('Dictionary Subcategories'!$A$2:$A$70,MATCH(H315,'Dictionary Subcategories'!$B$2:$B$70,0))</f>
        <v>8</v>
      </c>
      <c r="H315" s="164" t="s">
        <v>1233</v>
      </c>
      <c r="I315" s="164"/>
      <c r="J315" s="164"/>
    </row>
    <row r="316" spans="1:10" ht="10.5" customHeight="1" x14ac:dyDescent="0.25">
      <c r="A316" s="165" t="str">
        <f>'ENIGHUR Consumption items'!H317</f>
        <v>01.1.8.316</v>
      </c>
      <c r="B316" s="165" t="str">
        <f>'ENIGHUR Consumption items'!J317</f>
        <v>Maíz con dulce</v>
      </c>
      <c r="C316" s="168">
        <v>109</v>
      </c>
      <c r="D316" s="167" t="str">
        <f>IFERROR(VLOOKUP(C316,'symmetric IOT 245 2012'!$C$6:$D$276,2,FALSE),"")</f>
        <v>Productos de confitería</v>
      </c>
      <c r="E316" s="159">
        <f>INDEX('Dictionary Categories'!$A$2:$A$25,MATCH(F316,'Dictionary Categories'!$B$2:$B$25,0))</f>
        <v>1</v>
      </c>
      <c r="F316" s="164" t="s">
        <v>2470</v>
      </c>
      <c r="G316" s="164">
        <f>INDEX('Dictionary Subcategories'!$A$2:$A$70,MATCH(H316,'Dictionary Subcategories'!$B$2:$B$70,0))</f>
        <v>8</v>
      </c>
      <c r="H316" s="164" t="s">
        <v>1233</v>
      </c>
      <c r="I316" s="164"/>
      <c r="J316" s="164"/>
    </row>
    <row r="317" spans="1:10" ht="10.5" customHeight="1" x14ac:dyDescent="0.25">
      <c r="A317" s="165" t="str">
        <f>'ENIGHUR Consumption items'!H318</f>
        <v>01.1.8.317</v>
      </c>
      <c r="B317" s="165" t="str">
        <f>'ENIGHUR Consumption items'!J318</f>
        <v>Maní con dulce</v>
      </c>
      <c r="C317" s="168">
        <v>109</v>
      </c>
      <c r="D317" s="167" t="str">
        <f>IFERROR(VLOOKUP(C317,'symmetric IOT 245 2012'!$C$6:$D$276,2,FALSE),"")</f>
        <v>Productos de confitería</v>
      </c>
      <c r="E317" s="159">
        <f>INDEX('Dictionary Categories'!$A$2:$A$25,MATCH(F317,'Dictionary Categories'!$B$2:$B$25,0))</f>
        <v>1</v>
      </c>
      <c r="F317" s="164" t="s">
        <v>2470</v>
      </c>
      <c r="G317" s="164">
        <f>INDEX('Dictionary Subcategories'!$A$2:$A$70,MATCH(H317,'Dictionary Subcategories'!$B$2:$B$70,0))</f>
        <v>8</v>
      </c>
      <c r="H317" s="164" t="s">
        <v>1233</v>
      </c>
      <c r="I317" s="164"/>
      <c r="J317" s="164"/>
    </row>
    <row r="318" spans="1:10" ht="10.5" customHeight="1" x14ac:dyDescent="0.25">
      <c r="A318" s="165" t="str">
        <f>'ENIGHUR Consumption items'!H319</f>
        <v>01.1.8.318</v>
      </c>
      <c r="B318" s="165" t="str">
        <f>'ENIGHUR Consumption items'!J319</f>
        <v>Masmelos</v>
      </c>
      <c r="C318" s="168">
        <v>109</v>
      </c>
      <c r="D318" s="167" t="str">
        <f>IFERROR(VLOOKUP(C318,'symmetric IOT 245 2012'!$C$6:$D$276,2,FALSE),"")</f>
        <v>Productos de confitería</v>
      </c>
      <c r="E318" s="159">
        <f>INDEX('Dictionary Categories'!$A$2:$A$25,MATCH(F318,'Dictionary Categories'!$B$2:$B$25,0))</f>
        <v>1</v>
      </c>
      <c r="F318" s="164" t="s">
        <v>2470</v>
      </c>
      <c r="G318" s="164">
        <f>INDEX('Dictionary Subcategories'!$A$2:$A$70,MATCH(H318,'Dictionary Subcategories'!$B$2:$B$70,0))</f>
        <v>8</v>
      </c>
      <c r="H318" s="164" t="s">
        <v>1233</v>
      </c>
      <c r="I318" s="164"/>
      <c r="J318" s="164"/>
    </row>
    <row r="319" spans="1:10" ht="10.5" customHeight="1" x14ac:dyDescent="0.25">
      <c r="A319" s="165" t="str">
        <f>'ENIGHUR Consumption items'!H320</f>
        <v>01.1.8.319</v>
      </c>
      <c r="B319" s="165" t="str">
        <f>'ENIGHUR Consumption items'!J320</f>
        <v>Nogadas</v>
      </c>
      <c r="C319" s="168">
        <v>108</v>
      </c>
      <c r="D319" s="167" t="str">
        <f>IFERROR(VLOOKUP(C319,'symmetric IOT 245 2012'!$C$6:$D$276,2,FALSE),"")</f>
        <v>Chocolate y bombones (incluye polvo de cacao con edulcorante)</v>
      </c>
      <c r="E319" s="159">
        <f>INDEX('Dictionary Categories'!$A$2:$A$25,MATCH(F319,'Dictionary Categories'!$B$2:$B$25,0))</f>
        <v>1</v>
      </c>
      <c r="F319" s="164" t="s">
        <v>2470</v>
      </c>
      <c r="G319" s="164">
        <f>INDEX('Dictionary Subcategories'!$A$2:$A$70,MATCH(H319,'Dictionary Subcategories'!$B$2:$B$70,0))</f>
        <v>8</v>
      </c>
      <c r="H319" s="164" t="s">
        <v>1233</v>
      </c>
      <c r="I319" s="164"/>
      <c r="J319" s="164"/>
    </row>
    <row r="320" spans="1:10" ht="10.5" customHeight="1" x14ac:dyDescent="0.25">
      <c r="A320" s="165" t="str">
        <f>'ENIGHUR Consumption items'!H321</f>
        <v>01.1.8.320</v>
      </c>
      <c r="B320" s="165" t="str">
        <f>'ENIGHUR Consumption items'!J321</f>
        <v>Turrones</v>
      </c>
      <c r="C320" s="168">
        <v>108</v>
      </c>
      <c r="D320" s="167" t="str">
        <f>IFERROR(VLOOKUP(C320,'symmetric IOT 245 2012'!$C$6:$D$276,2,FALSE),"")</f>
        <v>Chocolate y bombones (incluye polvo de cacao con edulcorante)</v>
      </c>
      <c r="E320" s="159">
        <f>INDEX('Dictionary Categories'!$A$2:$A$25,MATCH(F320,'Dictionary Categories'!$B$2:$B$25,0))</f>
        <v>1</v>
      </c>
      <c r="F320" s="164" t="s">
        <v>2470</v>
      </c>
      <c r="G320" s="164">
        <f>INDEX('Dictionary Subcategories'!$A$2:$A$70,MATCH(H320,'Dictionary Subcategories'!$B$2:$B$70,0))</f>
        <v>8</v>
      </c>
      <c r="H320" s="164" t="s">
        <v>1233</v>
      </c>
      <c r="I320" s="164"/>
      <c r="J320" s="164"/>
    </row>
    <row r="321" spans="1:10" ht="10.5" customHeight="1" x14ac:dyDescent="0.25">
      <c r="A321" s="165" t="str">
        <f>'ENIGHUR Consumption items'!H322</f>
        <v>01.1.8.321</v>
      </c>
      <c r="B321" s="165" t="str">
        <f>'ENIGHUR Consumption items'!J322</f>
        <v>Otros chocolates y dulces de azúcar</v>
      </c>
      <c r="C321" s="168">
        <v>108</v>
      </c>
      <c r="D321" s="167" t="str">
        <f>IFERROR(VLOOKUP(C321,'symmetric IOT 245 2012'!$C$6:$D$276,2,FALSE),"")</f>
        <v>Chocolate y bombones (incluye polvo de cacao con edulcorante)</v>
      </c>
      <c r="E321" s="159">
        <f>INDEX('Dictionary Categories'!$A$2:$A$25,MATCH(F321,'Dictionary Categories'!$B$2:$B$25,0))</f>
        <v>1</v>
      </c>
      <c r="F321" s="164" t="s">
        <v>2470</v>
      </c>
      <c r="G321" s="164">
        <f>INDEX('Dictionary Subcategories'!$A$2:$A$70,MATCH(H321,'Dictionary Subcategories'!$B$2:$B$70,0))</f>
        <v>8</v>
      </c>
      <c r="H321" s="164" t="s">
        <v>1233</v>
      </c>
      <c r="I321" s="164"/>
      <c r="J321" s="164"/>
    </row>
    <row r="322" spans="1:10" ht="10.5" customHeight="1" x14ac:dyDescent="0.25">
      <c r="A322" s="165" t="str">
        <f>'ENIGHUR Consumption items'!H323</f>
        <v>01.1.9</v>
      </c>
      <c r="B322" s="165" t="str">
        <f>'ENIGHUR Consumption items'!J323</f>
        <v>PRODUCTOS ALIMENTICIOS (N.E.P.)</v>
      </c>
      <c r="C322" s="168">
        <v>112</v>
      </c>
      <c r="D322" s="167" t="str">
        <f>IFERROR(VLOOKUP(C322,'symmetric IOT 245 2012'!$C$6:$D$276,2,FALSE),"")</f>
        <v>Otros productos alimenticios n.c.p.</v>
      </c>
      <c r="E322" s="159">
        <f>INDEX('Dictionary Categories'!$A$2:$A$25,MATCH(F322,'Dictionary Categories'!$B$2:$B$25,0))</f>
        <v>1</v>
      </c>
      <c r="F322" s="164" t="s">
        <v>2470</v>
      </c>
      <c r="G322" s="164">
        <f>INDEX('Dictionary Subcategories'!$A$2:$A$70,MATCH(H322,'Dictionary Subcategories'!$B$2:$B$70,0))</f>
        <v>9</v>
      </c>
      <c r="H322" s="164" t="s">
        <v>1235</v>
      </c>
      <c r="I322" s="164"/>
      <c r="J322" s="164"/>
    </row>
    <row r="323" spans="1:10" ht="10.5" customHeight="1" x14ac:dyDescent="0.25">
      <c r="A323" s="165" t="str">
        <f>'ENIGHUR Consumption items'!H328</f>
        <v>01.2.1</v>
      </c>
      <c r="B323" s="165" t="str">
        <f>'ENIGHUR Consumption items'!J328</f>
        <v xml:space="preserve">CAFÉ, TE, CACAO, Y HIERBAS AROMATICAS </v>
      </c>
      <c r="C323" s="168">
        <v>111</v>
      </c>
      <c r="D323" s="167" t="str">
        <f>IFERROR(VLOOKUP(C323,'symmetric IOT 245 2012'!$C$6:$D$276,2,FALSE),"")</f>
        <v>Café tostado, molido, soluble y otros n.c.p.</v>
      </c>
      <c r="E323" s="159">
        <f>INDEX('Dictionary Categories'!$A$2:$A$25,MATCH(F323,'Dictionary Categories'!$B$2:$B$25,0))</f>
        <v>2</v>
      </c>
      <c r="F323" s="164" t="s">
        <v>2471</v>
      </c>
      <c r="G323" s="164">
        <f>INDEX('Dictionary Subcategories'!$A$2:$A$70,MATCH(H323,'Dictionary Subcategories'!$B$2:$B$70,0))</f>
        <v>10</v>
      </c>
      <c r="H323" s="164" t="s">
        <v>1236</v>
      </c>
      <c r="I323" s="164"/>
      <c r="J323" s="164"/>
    </row>
    <row r="324" spans="1:10" ht="10.5" customHeight="1" x14ac:dyDescent="0.25">
      <c r="A324" s="165" t="str">
        <f>'ENIGHUR Consumption items'!H330</f>
        <v>01.2.2</v>
      </c>
      <c r="B324" s="165" t="str">
        <f>'ENIGHUR Consumption items'!J330</f>
        <v>AGUAS MINERALES, REFRESCOS, JUGOS DE FRUTAS Y DE LEGUMBRES</v>
      </c>
      <c r="C324" s="168">
        <v>114</v>
      </c>
      <c r="D324" s="167" t="str">
        <f>IFERROR(VLOOKUP(C324,'symmetric IOT 245 2012'!$C$6:$D$276,2,FALSE),"")</f>
        <v>Bebidas no alcohólicas</v>
      </c>
      <c r="E324" s="159">
        <f>INDEX('Dictionary Categories'!$A$2:$A$25,MATCH(F324,'Dictionary Categories'!$B$2:$B$25,0))</f>
        <v>2</v>
      </c>
      <c r="F324" s="164" t="s">
        <v>2471</v>
      </c>
      <c r="G324" s="164">
        <f>INDEX('Dictionary Subcategories'!$A$2:$A$70,MATCH(H324,'Dictionary Subcategories'!$B$2:$B$70,0))</f>
        <v>11</v>
      </c>
      <c r="H324" s="164" t="s">
        <v>1237</v>
      </c>
      <c r="I324" s="164"/>
      <c r="J324" s="164"/>
    </row>
    <row r="325" spans="1:10" ht="10.5" customHeight="1" x14ac:dyDescent="0.25">
      <c r="A325" s="170" t="str">
        <f>'ENIGHUR Consumption items'!H335</f>
        <v>02.1.1</v>
      </c>
      <c r="B325" s="170" t="str">
        <f>'ENIGHUR Consumption items'!J335</f>
        <v xml:space="preserve">BEBIDAS DESTILADAS </v>
      </c>
      <c r="C325" s="168">
        <v>113</v>
      </c>
      <c r="D325" s="167" t="str">
        <f>IFERROR(VLOOKUP(C325,'symmetric IOT 245 2012'!$C$6:$D$276,2,FALSE),"")</f>
        <v xml:space="preserve">Alcohol etílico y bebidas alcohólicas;  Cerveza y malta </v>
      </c>
      <c r="E325" s="159">
        <f>INDEX('Dictionary Categories'!$A$2:$A$25,MATCH(F325,'Dictionary Categories'!$B$2:$B$25,0))</f>
        <v>2</v>
      </c>
      <c r="F325" s="164" t="s">
        <v>2471</v>
      </c>
      <c r="G325" s="164">
        <f>INDEX('Dictionary Subcategories'!$A$2:$A$70,MATCH(H325,'Dictionary Subcategories'!$B$2:$B$70,0))</f>
        <v>12</v>
      </c>
      <c r="H325" s="164" t="s">
        <v>1238</v>
      </c>
      <c r="I325" s="164"/>
      <c r="J325" s="164"/>
    </row>
    <row r="326" spans="1:10" ht="10.5" customHeight="1" x14ac:dyDescent="0.25">
      <c r="A326" s="170" t="str">
        <f>'ENIGHUR Consumption items'!H337</f>
        <v>02.1.2</v>
      </c>
      <c r="B326" s="170" t="str">
        <f>'ENIGHUR Consumption items'!J337</f>
        <v xml:space="preserve">VINO </v>
      </c>
      <c r="C326" s="168">
        <v>113</v>
      </c>
      <c r="D326" s="167" t="str">
        <f>IFERROR(VLOOKUP(C326,'symmetric IOT 245 2012'!$C$6:$D$276,2,FALSE),"")</f>
        <v xml:space="preserve">Alcohol etílico y bebidas alcohólicas;  Cerveza y malta </v>
      </c>
      <c r="E326" s="159">
        <f>INDEX('Dictionary Categories'!$A$2:$A$25,MATCH(F326,'Dictionary Categories'!$B$2:$B$25,0))</f>
        <v>2</v>
      </c>
      <c r="F326" s="164" t="s">
        <v>2471</v>
      </c>
      <c r="G326" s="164">
        <f>INDEX('Dictionary Subcategories'!$A$2:$A$70,MATCH(H326,'Dictionary Subcategories'!$B$2:$B$70,0))</f>
        <v>13</v>
      </c>
      <c r="H326" s="164" t="s">
        <v>1239</v>
      </c>
      <c r="I326" s="164"/>
      <c r="J326" s="164"/>
    </row>
    <row r="327" spans="1:10" ht="10.5" customHeight="1" x14ac:dyDescent="0.25">
      <c r="A327" s="170" t="str">
        <f>'ENIGHUR Consumption items'!H339</f>
        <v>02.1.3</v>
      </c>
      <c r="B327" s="170" t="str">
        <f>'ENIGHUR Consumption items'!J339</f>
        <v xml:space="preserve">CERVEZA </v>
      </c>
      <c r="C327" s="168">
        <v>113</v>
      </c>
      <c r="D327" s="167" t="str">
        <f>IFERROR(VLOOKUP(C327,'symmetric IOT 245 2012'!$C$6:$D$276,2,FALSE),"")</f>
        <v xml:space="preserve">Alcohol etílico y bebidas alcohólicas;  Cerveza y malta </v>
      </c>
      <c r="E327" s="159">
        <f>INDEX('Dictionary Categories'!$A$2:$A$25,MATCH(F327,'Dictionary Categories'!$B$2:$B$25,0))</f>
        <v>2</v>
      </c>
      <c r="F327" s="164" t="s">
        <v>2471</v>
      </c>
      <c r="G327" s="164">
        <f>INDEX('Dictionary Subcategories'!$A$2:$A$70,MATCH(H327,'Dictionary Subcategories'!$B$2:$B$70,0))</f>
        <v>14</v>
      </c>
      <c r="H327" s="171" t="s">
        <v>1240</v>
      </c>
      <c r="I327" s="164"/>
      <c r="J327" s="164"/>
    </row>
    <row r="328" spans="1:10" ht="10.5" customHeight="1" x14ac:dyDescent="0.25">
      <c r="A328" s="172" t="str">
        <f>'ENIGHUR Consumption items'!H371</f>
        <v>04.1.1</v>
      </c>
      <c r="B328" s="172" t="str">
        <f>'ENIGHUR Consumption items'!J371</f>
        <v>ALQUILERES EFECTIVOS PAGADOS POR LOS INQUILINOS</v>
      </c>
      <c r="C328" s="168">
        <v>206</v>
      </c>
      <c r="D328" s="167" t="str">
        <f>IFERROR(VLOOKUP(C328,'symmetric IOT 245 2012'!$C$6:$D$276,2,FALSE),"")</f>
        <v>Alquiler de vivienda</v>
      </c>
      <c r="E328" s="159">
        <f>INDEX('Dictionary Categories'!$A$2:$A$25,MATCH(F328,'Dictionary Categories'!$B$2:$B$25,0))</f>
        <v>3</v>
      </c>
      <c r="F328" s="164" t="s">
        <v>1242</v>
      </c>
      <c r="G328" s="164">
        <f>INDEX('Dictionary Subcategories'!$A$2:$A$70,MATCH(H328,'Dictionary Subcategories'!$B$2:$B$70,0))</f>
        <v>15</v>
      </c>
      <c r="H328" s="164" t="s">
        <v>1245</v>
      </c>
      <c r="I328" s="164"/>
      <c r="J328" s="164"/>
    </row>
    <row r="329" spans="1:10" ht="10.5" customHeight="1" x14ac:dyDescent="0.25">
      <c r="A329" s="172" t="str">
        <f>'ENIGHUR Consumption items'!H373</f>
        <v>04.1.2</v>
      </c>
      <c r="B329" s="172" t="str">
        <f>'ENIGHUR Consumption items'!J373</f>
        <v xml:space="preserve">OTROS ALQUILERES EFECTIVOS </v>
      </c>
      <c r="C329" s="168">
        <v>206</v>
      </c>
      <c r="D329" s="167" t="str">
        <f>IFERROR(VLOOKUP(C329,'symmetric IOT 245 2012'!$C$6:$D$276,2,FALSE),"")</f>
        <v>Alquiler de vivienda</v>
      </c>
      <c r="E329" s="159">
        <f>INDEX('Dictionary Categories'!$A$2:$A$25,MATCH(F329,'Dictionary Categories'!$B$2:$B$25,0))</f>
        <v>3</v>
      </c>
      <c r="F329" s="164" t="s">
        <v>1242</v>
      </c>
      <c r="G329" s="164">
        <f>INDEX('Dictionary Subcategories'!$A$2:$A$70,MATCH(H329,'Dictionary Subcategories'!$B$2:$B$70,0))</f>
        <v>15</v>
      </c>
      <c r="H329" s="164" t="s">
        <v>1245</v>
      </c>
      <c r="I329" s="164"/>
      <c r="J329" s="164"/>
    </row>
    <row r="330" spans="1:10" ht="10.5" customHeight="1" x14ac:dyDescent="0.25">
      <c r="A330" s="172" t="str">
        <f>'ENIGHUR Consumption items'!H376</f>
        <v>04.2.1</v>
      </c>
      <c r="B330" s="172" t="str">
        <f>'ENIGHUR Consumption items'!J376</f>
        <v>ALQUILERES IMPUTADOS DE LOS PROPIETARIOS-OCUPANTES</v>
      </c>
      <c r="C330" s="168">
        <v>207</v>
      </c>
      <c r="D330" s="167" t="str">
        <f>IFERROR(VLOOKUP(C330,'symmetric IOT 245 2012'!$C$6:$D$276,2,FALSE),"")</f>
        <v>Alquiler imputado de vivienda</v>
      </c>
      <c r="E330" s="159">
        <f>INDEX('Dictionary Categories'!$A$2:$A$25,MATCH(F330,'Dictionary Categories'!$B$2:$B$25,0))</f>
        <v>4</v>
      </c>
      <c r="F330" s="164" t="s">
        <v>586</v>
      </c>
      <c r="G330" s="164">
        <f>INDEX('Dictionary Subcategories'!$A$2:$A$70,MATCH(H330,'Dictionary Subcategories'!$B$2:$B$70,0))</f>
        <v>16</v>
      </c>
      <c r="H330" s="164" t="s">
        <v>2357</v>
      </c>
      <c r="I330" s="164"/>
      <c r="J330" s="164"/>
    </row>
    <row r="331" spans="1:10" ht="10.5" customHeight="1" x14ac:dyDescent="0.25">
      <c r="A331" s="172" t="str">
        <f>'ENIGHUR Consumption items'!H378</f>
        <v>04.2.2</v>
      </c>
      <c r="B331" s="172" t="str">
        <f>'ENIGHUR Consumption items'!J378</f>
        <v xml:space="preserve">OTROS ALQUILERES IMPUTADOS </v>
      </c>
      <c r="C331" s="168">
        <v>207</v>
      </c>
      <c r="D331" s="167" t="str">
        <f>IFERROR(VLOOKUP(C331,'symmetric IOT 245 2012'!$C$6:$D$276,2,FALSE),"")</f>
        <v>Alquiler imputado de vivienda</v>
      </c>
      <c r="E331" s="159">
        <f>INDEX('Dictionary Categories'!$A$2:$A$25,MATCH(F331,'Dictionary Categories'!$B$2:$B$25,0))</f>
        <v>4</v>
      </c>
      <c r="F331" s="164" t="s">
        <v>586</v>
      </c>
      <c r="G331" s="164">
        <f>INDEX('Dictionary Subcategories'!$A$2:$A$70,MATCH(H331,'Dictionary Subcategories'!$B$2:$B$70,0))</f>
        <v>16</v>
      </c>
      <c r="H331" s="164" t="s">
        <v>2357</v>
      </c>
      <c r="I331" s="164"/>
      <c r="J331" s="164"/>
    </row>
    <row r="332" spans="1:10" ht="10.5" customHeight="1" x14ac:dyDescent="0.25">
      <c r="A332" s="172" t="str">
        <f>'ENIGHUR Consumption items'!H380</f>
        <v>04.2.3</v>
      </c>
      <c r="B332" s="172" t="str">
        <f>'ENIGHUR Consumption items'!J380</f>
        <v>VIVIENDA PROPIA PAGADA A PLAZOS</v>
      </c>
      <c r="C332" s="168">
        <v>207</v>
      </c>
      <c r="D332" s="167" t="str">
        <f>IFERROR(VLOOKUP(C332,'symmetric IOT 245 2012'!$C$6:$D$276,2,FALSE),"")</f>
        <v>Alquiler imputado de vivienda</v>
      </c>
      <c r="E332" s="159">
        <f>INDEX('Dictionary Categories'!$A$2:$A$25,MATCH(F332,'Dictionary Categories'!$B$2:$B$25,0))</f>
        <v>4</v>
      </c>
      <c r="F332" s="164" t="s">
        <v>586</v>
      </c>
      <c r="G332" s="164">
        <f>INDEX('Dictionary Subcategories'!$A$2:$A$70,MATCH(H332,'Dictionary Subcategories'!$B$2:$B$70,0))</f>
        <v>16</v>
      </c>
      <c r="H332" s="164" t="s">
        <v>2357</v>
      </c>
      <c r="I332" s="164"/>
      <c r="J332" s="164"/>
    </row>
    <row r="333" spans="1:10" ht="10.5" customHeight="1" x14ac:dyDescent="0.25">
      <c r="A333" s="172" t="str">
        <f>'ENIGHUR Consumption items'!H383</f>
        <v>04.3.1</v>
      </c>
      <c r="B333" s="172" t="str">
        <f>'ENIGHUR Consumption items'!J383</f>
        <v>MATERIALES PARA LA CONSEVACION Y LA REPARACIÓN DE LA VIVIENDA</v>
      </c>
      <c r="C333" s="168">
        <v>124</v>
      </c>
      <c r="D333" s="167" t="str">
        <f>IFERROR(VLOOKUP(C333,'symmetric IOT 245 2012'!$C$6:$D$276,2,FALSE),"")</f>
        <v>Tableros, paneles y hojas de madera</v>
      </c>
      <c r="E333" s="159">
        <f>INDEX('Dictionary Categories'!$A$2:$A$25,MATCH(F333,'Dictionary Categories'!$B$2:$B$25,0))</f>
        <v>3</v>
      </c>
      <c r="F333" s="164" t="s">
        <v>1242</v>
      </c>
      <c r="G333" s="164">
        <f>INDEX('Dictionary Subcategories'!$A$2:$A$70,MATCH(H333,'Dictionary Subcategories'!$B$2:$B$70,0))</f>
        <v>17</v>
      </c>
      <c r="H333" s="159" t="s">
        <v>2130</v>
      </c>
      <c r="I333" s="164"/>
      <c r="J333" s="164"/>
    </row>
    <row r="334" spans="1:10" ht="10.5" customHeight="1" x14ac:dyDescent="0.25">
      <c r="A334" s="172" t="str">
        <f>'ENIGHUR Consumption items'!H385</f>
        <v>04.3.2</v>
      </c>
      <c r="B334" s="172" t="str">
        <f>'ENIGHUR Consumption items'!J385</f>
        <v>SERVICIOS PARA LA CONSERVACION Y REPARACION DE LA VIVIENDA</v>
      </c>
      <c r="C334" s="168">
        <v>217</v>
      </c>
      <c r="D334" s="167" t="str">
        <f>IFERROR(VLOOKUP(C334,'symmetric IOT 245 2012'!$C$6:$D$276,2,FALSE),"")</f>
        <v>Otros servicios profesionales y técnicos</v>
      </c>
      <c r="E334" s="159">
        <f>INDEX('Dictionary Categories'!$A$2:$A$25,MATCH(F334,'Dictionary Categories'!$B$2:$B$25,0))</f>
        <v>3</v>
      </c>
      <c r="F334" s="164" t="s">
        <v>1242</v>
      </c>
      <c r="G334" s="164">
        <f>INDEX('Dictionary Subcategories'!$A$2:$A$70,MATCH(H334,'Dictionary Subcategories'!$B$2:$B$70,0))</f>
        <v>17</v>
      </c>
      <c r="H334" s="159" t="s">
        <v>2130</v>
      </c>
      <c r="I334" s="164"/>
      <c r="J334" s="164"/>
    </row>
    <row r="335" spans="1:10" ht="10.5" customHeight="1" x14ac:dyDescent="0.25">
      <c r="A335" s="172" t="str">
        <f>'ENIGHUR Consumption items'!H388</f>
        <v>04.4.1</v>
      </c>
      <c r="B335" s="172" t="str">
        <f>'ENIGHUR Consumption items'!J388</f>
        <v xml:space="preserve">SUMINISTRO DE AGUA </v>
      </c>
      <c r="C335" s="168">
        <v>177</v>
      </c>
      <c r="D335" s="167" t="str">
        <f>IFERROR(VLOOKUP(C335,'symmetric IOT 245 2012'!$C$6:$D$276,2,FALSE),"")</f>
        <v>Agua</v>
      </c>
      <c r="E335" s="159">
        <f>INDEX('Dictionary Categories'!$A$2:$A$25,MATCH(F335,'Dictionary Categories'!$B$2:$B$25,0))</f>
        <v>3</v>
      </c>
      <c r="F335" s="164" t="s">
        <v>1242</v>
      </c>
      <c r="G335" s="164">
        <f>INDEX('Dictionary Subcategories'!$A$2:$A$70,MATCH(H335,'Dictionary Subcategories'!$B$2:$B$70,0))</f>
        <v>18</v>
      </c>
      <c r="H335" s="159" t="s">
        <v>2129</v>
      </c>
      <c r="I335" s="164"/>
      <c r="J335" s="164"/>
    </row>
    <row r="336" spans="1:10" ht="10.5" customHeight="1" x14ac:dyDescent="0.25">
      <c r="A336" s="172" t="str">
        <f>'ENIGHUR Consumption items'!H389</f>
        <v>04.4.2</v>
      </c>
      <c r="B336" s="172" t="str">
        <f>'ENIGHUR Consumption items'!J389</f>
        <v xml:space="preserve">RECOGIDA DE BASURA </v>
      </c>
      <c r="C336" s="168">
        <v>245</v>
      </c>
      <c r="D336" s="167" t="str">
        <f>IFERROR(VLOOKUP(C336,'symmetric IOT 245 2012'!$C$6:$D$276,2,FALSE),"")</f>
        <v>Servicio doméstico</v>
      </c>
      <c r="E336" s="159">
        <f>INDEX('Dictionary Categories'!$A$2:$A$25,MATCH(F336,'Dictionary Categories'!$B$2:$B$25,0))</f>
        <v>3</v>
      </c>
      <c r="F336" s="164" t="s">
        <v>1242</v>
      </c>
      <c r="G336" s="164">
        <f>INDEX('Dictionary Subcategories'!$A$2:$A$70,MATCH(H336,'Dictionary Subcategories'!$B$2:$B$70,0))</f>
        <v>18</v>
      </c>
      <c r="H336" s="159" t="s">
        <v>2129</v>
      </c>
      <c r="I336" s="164"/>
      <c r="J336" s="164"/>
    </row>
    <row r="337" spans="1:10" ht="10.5" customHeight="1" x14ac:dyDescent="0.25">
      <c r="A337" s="172" t="str">
        <f>'ENIGHUR Consumption items'!H390</f>
        <v>04.4.3</v>
      </c>
      <c r="B337" s="172" t="str">
        <f>'ENIGHUR Consumption items'!J390</f>
        <v xml:space="preserve">ALCANTARILLADO </v>
      </c>
      <c r="C337" s="166">
        <v>245</v>
      </c>
      <c r="D337" s="167" t="str">
        <f>IFERROR(VLOOKUP(C337,'symmetric IOT 245 2012'!$C$6:$D$276,2,FALSE),"")</f>
        <v>Servicio doméstico</v>
      </c>
      <c r="E337" s="159">
        <f>INDEX('Dictionary Categories'!$A$2:$A$25,MATCH(F337,'Dictionary Categories'!$B$2:$B$25,0))</f>
        <v>3</v>
      </c>
      <c r="F337" s="164" t="s">
        <v>1242</v>
      </c>
      <c r="G337" s="164">
        <f>INDEX('Dictionary Subcategories'!$A$2:$A$70,MATCH(H337,'Dictionary Subcategories'!$B$2:$B$70,0))</f>
        <v>18</v>
      </c>
      <c r="H337" s="159" t="s">
        <v>2129</v>
      </c>
      <c r="I337" s="164"/>
      <c r="J337" s="164"/>
    </row>
    <row r="338" spans="1:10" ht="10.5" customHeight="1" x14ac:dyDescent="0.25">
      <c r="A338" s="172" t="str">
        <f>'ENIGHUR Consumption items'!H391</f>
        <v>04.4.4</v>
      </c>
      <c r="B338" s="172" t="str">
        <f>'ENIGHUR Consumption items'!J391</f>
        <v>OTROS SERVICIOS RELACIONADOS CON LA VIVIENDA N.E.P.</v>
      </c>
      <c r="C338" s="166">
        <v>245</v>
      </c>
      <c r="D338" s="167" t="str">
        <f>IFERROR(VLOOKUP(C338,'symmetric IOT 245 2012'!$C$6:$D$276,2,FALSE),"")</f>
        <v>Servicio doméstico</v>
      </c>
      <c r="E338" s="159">
        <f>INDEX('Dictionary Categories'!$A$2:$A$25,MATCH(F338,'Dictionary Categories'!$B$2:$B$25,0))</f>
        <v>3</v>
      </c>
      <c r="F338" s="164" t="s">
        <v>1242</v>
      </c>
      <c r="G338" s="164">
        <f>INDEX('Dictionary Subcategories'!$A$2:$A$70,MATCH(H338,'Dictionary Subcategories'!$B$2:$B$70,0))</f>
        <v>18</v>
      </c>
      <c r="H338" s="159" t="s">
        <v>2129</v>
      </c>
      <c r="I338" s="164"/>
      <c r="J338" s="164"/>
    </row>
    <row r="339" spans="1:10" ht="10.5" customHeight="1" x14ac:dyDescent="0.25">
      <c r="A339" s="165" t="str">
        <f>'ENIGHUR Consumption items'!H349</f>
        <v>03.1.1</v>
      </c>
      <c r="B339" s="165" t="str">
        <f>'ENIGHUR Consumption items'!J349</f>
        <v xml:space="preserve">MATERIALES PARA PRENDAS DE VESTIR </v>
      </c>
      <c r="C339" s="168">
        <v>117</v>
      </c>
      <c r="D339" s="167" t="str">
        <f>IFERROR(VLOOKUP(C339,'symmetric IOT 245 2012'!$C$6:$D$276,2,FALSE),"")</f>
        <v>Tejidos y telas de fibras textiles</v>
      </c>
      <c r="E339" s="159">
        <f>INDEX('Dictionary Categories'!$A$2:$A$25,MATCH(F339,'Dictionary Categories'!$B$2:$B$25,0))</f>
        <v>5</v>
      </c>
      <c r="F339" s="164" t="s">
        <v>1243</v>
      </c>
      <c r="G339" s="164">
        <f>INDEX('Dictionary Subcategories'!$A$2:$A$70,MATCH(H339,'Dictionary Subcategories'!$B$2:$B$70,0))</f>
        <v>19</v>
      </c>
      <c r="H339" s="164" t="s">
        <v>1243</v>
      </c>
      <c r="I339" s="164"/>
      <c r="J339" s="164"/>
    </row>
    <row r="340" spans="1:10" ht="10.5" customHeight="1" x14ac:dyDescent="0.25">
      <c r="A340" s="165" t="str">
        <f>'ENIGHUR Consumption items'!H351</f>
        <v>03.1.2</v>
      </c>
      <c r="B340" s="165" t="str">
        <f>'ENIGHUR Consumption items'!J351</f>
        <v xml:space="preserve">PRENDAS DE VESTIR </v>
      </c>
      <c r="C340" s="168">
        <v>119</v>
      </c>
      <c r="D340" s="167" t="str">
        <f>IFERROR(VLOOKUP(C340,'symmetric IOT 245 2012'!$C$6:$D$276,2,FALSE),"")</f>
        <v>Prendas de vestir (inclusive de cuero y piel)</v>
      </c>
      <c r="E340" s="159">
        <f>INDEX('Dictionary Categories'!$A$2:$A$25,MATCH(F340,'Dictionary Categories'!$B$2:$B$25,0))</f>
        <v>5</v>
      </c>
      <c r="F340" s="164" t="s">
        <v>1243</v>
      </c>
      <c r="G340" s="164">
        <f>INDEX('Dictionary Subcategories'!$A$2:$A$70,MATCH(H340,'Dictionary Subcategories'!$B$2:$B$70,0))</f>
        <v>19</v>
      </c>
      <c r="H340" s="164" t="s">
        <v>1243</v>
      </c>
      <c r="I340" s="164"/>
      <c r="J340" s="164"/>
    </row>
    <row r="341" spans="1:10" ht="10.5" customHeight="1" x14ac:dyDescent="0.25">
      <c r="A341" s="165" t="str">
        <f>'ENIGHUR Consumption items'!H356</f>
        <v>03.1.3</v>
      </c>
      <c r="B341" s="165" t="str">
        <f>'ENIGHUR Consumption items'!J356</f>
        <v xml:space="preserve">OTROS ARTÍCULOS Y ACCESORIOS DE VESTIR </v>
      </c>
      <c r="C341" s="168">
        <v>119</v>
      </c>
      <c r="D341" s="167" t="str">
        <f>IFERROR(VLOOKUP(C341,'symmetric IOT 245 2012'!$C$6:$D$276,2,FALSE),"")</f>
        <v>Prendas de vestir (inclusive de cuero y piel)</v>
      </c>
      <c r="E341" s="159">
        <f>INDEX('Dictionary Categories'!$A$2:$A$25,MATCH(F341,'Dictionary Categories'!$B$2:$B$25,0))</f>
        <v>5</v>
      </c>
      <c r="F341" s="164" t="s">
        <v>1243</v>
      </c>
      <c r="G341" s="164">
        <f>INDEX('Dictionary Subcategories'!$A$2:$A$70,MATCH(H341,'Dictionary Subcategories'!$B$2:$B$70,0))</f>
        <v>19</v>
      </c>
      <c r="H341" s="164" t="s">
        <v>1243</v>
      </c>
      <c r="I341" s="164"/>
      <c r="J341" s="164"/>
    </row>
    <row r="342" spans="1:10" ht="10.5" customHeight="1" x14ac:dyDescent="0.25">
      <c r="A342" s="165" t="str">
        <f>'ENIGHUR Consumption items'!H358</f>
        <v>03.1.4</v>
      </c>
      <c r="B342" s="165" t="str">
        <f>'ENIGHUR Consumption items'!J358</f>
        <v>LIMPIEZA, REPARACIÓN Y ALQUILER DE PRENDAS DE VESTIR</v>
      </c>
      <c r="C342" s="168">
        <v>217</v>
      </c>
      <c r="D342" s="167" t="str">
        <f>IFERROR(VLOOKUP(C342,'symmetric IOT 245 2012'!$C$6:$D$276,2,FALSE),"")</f>
        <v>Otros servicios profesionales y técnicos</v>
      </c>
      <c r="E342" s="159">
        <f>INDEX('Dictionary Categories'!$A$2:$A$25,MATCH(F342,'Dictionary Categories'!$B$2:$B$25,0))</f>
        <v>5</v>
      </c>
      <c r="F342" s="164" t="s">
        <v>1243</v>
      </c>
      <c r="G342" s="164">
        <f>INDEX('Dictionary Subcategories'!$A$2:$A$70,MATCH(H342,'Dictionary Subcategories'!$B$2:$B$70,0))</f>
        <v>19</v>
      </c>
      <c r="H342" s="164" t="s">
        <v>1243</v>
      </c>
      <c r="I342" s="164"/>
      <c r="J342" s="164"/>
    </row>
    <row r="343" spans="1:10" ht="10.5" customHeight="1" x14ac:dyDescent="0.25">
      <c r="A343" s="165" t="str">
        <f>'ENIGHUR Consumption items'!H360</f>
        <v>03.1.5</v>
      </c>
      <c r="B343" s="165" t="str">
        <f>'ENIGHUR Consumption items'!J360</f>
        <v>CONFECCIÓN DE PRENDAS DE VESTIR - PARA TODOS LOS MIEMBROS DEL HOGAR</v>
      </c>
      <c r="C343" s="168">
        <v>119</v>
      </c>
      <c r="D343" s="167" t="str">
        <f>IFERROR(VLOOKUP(C343,'symmetric IOT 245 2012'!$C$6:$D$276,2,FALSE),"")</f>
        <v>Prendas de vestir (inclusive de cuero y piel)</v>
      </c>
      <c r="E343" s="159">
        <f>INDEX('Dictionary Categories'!$A$2:$A$25,MATCH(F343,'Dictionary Categories'!$B$2:$B$25,0))</f>
        <v>5</v>
      </c>
      <c r="F343" s="164" t="s">
        <v>1243</v>
      </c>
      <c r="G343" s="164">
        <f>INDEX('Dictionary Subcategories'!$A$2:$A$70,MATCH(H343,'Dictionary Subcategories'!$B$2:$B$70,0))</f>
        <v>19</v>
      </c>
      <c r="H343" s="164" t="s">
        <v>1243</v>
      </c>
      <c r="I343" s="164"/>
      <c r="J343" s="164"/>
    </row>
    <row r="344" spans="1:10" ht="10.5" customHeight="1" x14ac:dyDescent="0.25">
      <c r="A344" s="172" t="str">
        <f>'ENIGHUR Consumption items'!H363</f>
        <v>03.2.1</v>
      </c>
      <c r="B344" s="172" t="str">
        <f>'ENIGHUR Consumption items'!J363</f>
        <v xml:space="preserve">ZAPATOS Y OTROS CALZADOS </v>
      </c>
      <c r="C344" s="168">
        <v>122</v>
      </c>
      <c r="D344" s="167" t="str">
        <f>IFERROR(VLOOKUP(C344,'symmetric IOT 245 2012'!$C$6:$D$276,2,FALSE),"")</f>
        <v>Calzado de cualquier material</v>
      </c>
      <c r="E344" s="159">
        <f>INDEX('Dictionary Categories'!$A$2:$A$25,MATCH(F344,'Dictionary Categories'!$B$2:$B$25,0))</f>
        <v>5</v>
      </c>
      <c r="F344" s="164" t="s">
        <v>1243</v>
      </c>
      <c r="G344" s="164">
        <f>INDEX('Dictionary Subcategories'!$A$2:$A$70,MATCH(H344,'Dictionary Subcategories'!$B$2:$B$70,0))</f>
        <v>19</v>
      </c>
      <c r="H344" s="164" t="s">
        <v>1243</v>
      </c>
      <c r="I344" s="164"/>
      <c r="J344" s="164"/>
    </row>
    <row r="345" spans="1:10" ht="10.5" customHeight="1" x14ac:dyDescent="0.25">
      <c r="A345" s="172" t="str">
        <f>'ENIGHUR Consumption items'!H368</f>
        <v>03.2.2</v>
      </c>
      <c r="B345" s="172" t="str">
        <f>'ENIGHUR Consumption items'!J368</f>
        <v>REPARACIÓN Y ALQUILER DE CALZADO</v>
      </c>
      <c r="C345" s="168">
        <v>217</v>
      </c>
      <c r="D345" s="167" t="str">
        <f>IFERROR(VLOOKUP(C345,'symmetric IOT 245 2012'!$C$6:$D$276,2,FALSE),"")</f>
        <v>Otros servicios profesionales y técnicos</v>
      </c>
      <c r="E345" s="159">
        <f>INDEX('Dictionary Categories'!$A$2:$A$25,MATCH(F345,'Dictionary Categories'!$B$2:$B$25,0))</f>
        <v>5</v>
      </c>
      <c r="F345" s="164" t="s">
        <v>1243</v>
      </c>
      <c r="G345" s="164">
        <f>INDEX('Dictionary Subcategories'!$A$2:$A$70,MATCH(H345,'Dictionary Subcategories'!$B$2:$B$70,0))</f>
        <v>19</v>
      </c>
      <c r="H345" s="164" t="s">
        <v>1243</v>
      </c>
      <c r="I345" s="164"/>
      <c r="J345" s="164"/>
    </row>
    <row r="346" spans="1:10" ht="10.5" customHeight="1" x14ac:dyDescent="0.25">
      <c r="A346" s="172" t="str">
        <f>'ENIGHUR Consumption items'!H425</f>
        <v>05.1.1</v>
      </c>
      <c r="B346" s="172" t="str">
        <f>'ENIGHUR Consumption items'!J425</f>
        <v xml:space="preserve">MUEBLES Y ACCESORIOS </v>
      </c>
      <c r="C346" s="166">
        <v>170</v>
      </c>
      <c r="D346" s="167" t="str">
        <f>IFERROR(VLOOKUP(C346,'symmetric IOT 245 2012'!$C$6:$D$276,2,FALSE),"")</f>
        <v>Muebles de cualquier material</v>
      </c>
      <c r="E346" s="159">
        <f>INDEX('Dictionary Categories'!$A$2:$A$25,MATCH(F346,'Dictionary Categories'!$B$2:$B$25,0))</f>
        <v>6</v>
      </c>
      <c r="F346" s="159" t="s">
        <v>2482</v>
      </c>
      <c r="G346" s="164">
        <f>INDEX('Dictionary Subcategories'!$A$2:$A$70,MATCH(H346,'Dictionary Subcategories'!$B$2:$B$70,0))</f>
        <v>20</v>
      </c>
      <c r="H346" s="159" t="s">
        <v>2479</v>
      </c>
      <c r="I346" s="164"/>
      <c r="J346" s="164"/>
    </row>
    <row r="347" spans="1:10" ht="10.5" customHeight="1" x14ac:dyDescent="0.25">
      <c r="A347" s="172" t="str">
        <f>'ENIGHUR Consumption items'!H433</f>
        <v>05.1.2</v>
      </c>
      <c r="B347" s="172" t="str">
        <f>'ENIGHUR Consumption items'!J433</f>
        <v xml:space="preserve">ALFOMBRAS Y OTROS MATERIALES PARA PISOS </v>
      </c>
      <c r="C347" s="166">
        <v>117</v>
      </c>
      <c r="D347" s="167" t="str">
        <f>IFERROR(VLOOKUP(C347,'symmetric IOT 245 2012'!$C$6:$D$276,2,FALSE),"")</f>
        <v>Tejidos y telas de fibras textiles</v>
      </c>
      <c r="E347" s="159">
        <f>INDEX('Dictionary Categories'!$A$2:$A$25,MATCH(F347,'Dictionary Categories'!$B$2:$B$25,0))</f>
        <v>6</v>
      </c>
      <c r="F347" s="159" t="s">
        <v>2482</v>
      </c>
      <c r="G347" s="164">
        <f>INDEX('Dictionary Subcategories'!$A$2:$A$70,MATCH(H347,'Dictionary Subcategories'!$B$2:$B$70,0))</f>
        <v>20</v>
      </c>
      <c r="H347" s="159" t="s">
        <v>2479</v>
      </c>
      <c r="I347" s="164"/>
      <c r="J347" s="164"/>
    </row>
    <row r="348" spans="1:10" ht="10.5" customHeight="1" x14ac:dyDescent="0.25">
      <c r="A348" s="172" t="str">
        <f>'ENIGHUR Consumption items'!H435</f>
        <v>05.1.3</v>
      </c>
      <c r="B348" s="172" t="str">
        <f>'ENIGHUR Consumption items'!J435</f>
        <v>REPARACIÓN DE MUEBLES, ACCESORIOS Y MATERIALES PARA PISOS</v>
      </c>
      <c r="C348" s="166">
        <v>224</v>
      </c>
      <c r="D348" s="167" t="str">
        <f>IFERROR(VLOOKUP(C348,'symmetric IOT 245 2012'!$C$6:$D$276,2,FALSE),"")</f>
        <v>Servicios de reparación de computadoras y otros enseres domésticos</v>
      </c>
      <c r="E348" s="159">
        <f>INDEX('Dictionary Categories'!$A$2:$A$25,MATCH(F348,'Dictionary Categories'!$B$2:$B$25,0))</f>
        <v>6</v>
      </c>
      <c r="F348" s="159" t="s">
        <v>2482</v>
      </c>
      <c r="G348" s="164">
        <f>INDEX('Dictionary Subcategories'!$A$2:$A$70,MATCH(H348,'Dictionary Subcategories'!$B$2:$B$70,0))</f>
        <v>20</v>
      </c>
      <c r="H348" s="159" t="s">
        <v>2479</v>
      </c>
      <c r="I348" s="164"/>
      <c r="J348" s="164"/>
    </row>
    <row r="349" spans="1:10" ht="10.5" customHeight="1" x14ac:dyDescent="0.25">
      <c r="A349" s="172" t="str">
        <f>'ENIGHUR Consumption items'!H437</f>
        <v>05.1.4</v>
      </c>
      <c r="B349" s="172" t="str">
        <f>'ENIGHUR Consumption items'!J437</f>
        <v>ELABORACIÓN O FABRICACIÓN DE MUEBLES Y ACCESORIOS BAJO PEDIDO</v>
      </c>
      <c r="C349" s="166">
        <v>213</v>
      </c>
      <c r="D349" s="167" t="str">
        <f>IFERROR(VLOOKUP(C349,'symmetric IOT 245 2012'!$C$6:$D$276,2,FALSE),"")</f>
        <v>Servicios de arquitectura, ingeniería y análogos</v>
      </c>
      <c r="E349" s="159">
        <f>INDEX('Dictionary Categories'!$A$2:$A$25,MATCH(F349,'Dictionary Categories'!$B$2:$B$25,0))</f>
        <v>6</v>
      </c>
      <c r="F349" s="159" t="s">
        <v>2482</v>
      </c>
      <c r="G349" s="164">
        <f>INDEX('Dictionary Subcategories'!$A$2:$A$70,MATCH(H349,'Dictionary Subcategories'!$B$2:$B$70,0))</f>
        <v>20</v>
      </c>
      <c r="H349" s="159" t="s">
        <v>2479</v>
      </c>
      <c r="I349" s="164"/>
      <c r="J349" s="164"/>
    </row>
    <row r="350" spans="1:10" ht="10.5" customHeight="1" x14ac:dyDescent="0.25">
      <c r="A350" s="172" t="str">
        <f>'ENIGHUR Consumption items'!H440</f>
        <v>05.2.1</v>
      </c>
      <c r="B350" s="172" t="str">
        <f>'ENIGHUR Consumption items'!J440</f>
        <v>PRODUCTOS TEXTILES PARA EL HOGAR</v>
      </c>
      <c r="C350" s="166">
        <v>117</v>
      </c>
      <c r="D350" s="167" t="str">
        <f>IFERROR(VLOOKUP(C350,'symmetric IOT 245 2012'!$C$6:$D$276,2,FALSE),"")</f>
        <v>Tejidos y telas de fibras textiles</v>
      </c>
      <c r="E350" s="159">
        <f>INDEX('Dictionary Categories'!$A$2:$A$25,MATCH(F350,'Dictionary Categories'!$B$2:$B$25,0))</f>
        <v>6</v>
      </c>
      <c r="F350" s="159" t="s">
        <v>2482</v>
      </c>
      <c r="G350" s="164">
        <f>INDEX('Dictionary Subcategories'!$A$2:$A$70,MATCH(H350,'Dictionary Subcategories'!$B$2:$B$70,0))</f>
        <v>20</v>
      </c>
      <c r="H350" s="159" t="s">
        <v>2479</v>
      </c>
      <c r="I350" s="164"/>
      <c r="J350" s="164"/>
    </row>
    <row r="351" spans="1:10" ht="10.5" customHeight="1" x14ac:dyDescent="0.25">
      <c r="A351" s="172" t="str">
        <f>'ENIGHUR Consumption items'!H443</f>
        <v>05.3.1</v>
      </c>
      <c r="B351" s="172" t="str">
        <f>'ENIGHUR Consumption items'!J443</f>
        <v>ARTEFACTOS PARA EL HOGAR GRANDES ELECTRICOS O NO</v>
      </c>
      <c r="C351" s="166">
        <v>162</v>
      </c>
      <c r="D351" s="167" t="str">
        <f>IFERROR(VLOOKUP(C351,'symmetric IOT 245 2012'!$C$6:$D$276,2,FALSE),"")</f>
        <v>Aparatos de uso doméstico, partes y piezas</v>
      </c>
      <c r="E351" s="159">
        <f>INDEX('Dictionary Categories'!$A$2:$A$25,MATCH(F351,'Dictionary Categories'!$B$2:$B$25,0))</f>
        <v>6</v>
      </c>
      <c r="F351" s="159" t="s">
        <v>2482</v>
      </c>
      <c r="G351" s="164">
        <f>INDEX('Dictionary Subcategories'!$A$2:$A$70,MATCH(H351,'Dictionary Subcategories'!$B$2:$B$70,0))</f>
        <v>20</v>
      </c>
      <c r="H351" s="159" t="s">
        <v>2479</v>
      </c>
      <c r="I351" s="164"/>
      <c r="J351" s="164"/>
    </row>
    <row r="352" spans="1:10" ht="10.5" customHeight="1" x14ac:dyDescent="0.25">
      <c r="A352" s="172" t="str">
        <f>'ENIGHUR Consumption items'!H445</f>
        <v>05.3.2</v>
      </c>
      <c r="B352" s="172" t="str">
        <f>'ENIGHUR Consumption items'!J445</f>
        <v>ARTEFACTOS ELÉCTRICOS PEQUEÑOS PARA EL HOGAR</v>
      </c>
      <c r="C352" s="166">
        <v>162</v>
      </c>
      <c r="D352" s="167" t="str">
        <f>IFERROR(VLOOKUP(C352,'symmetric IOT 245 2012'!$C$6:$D$276,2,FALSE),"")</f>
        <v>Aparatos de uso doméstico, partes y piezas</v>
      </c>
      <c r="E352" s="159">
        <f>INDEX('Dictionary Categories'!$A$2:$A$25,MATCH(F352,'Dictionary Categories'!$B$2:$B$25,0))</f>
        <v>6</v>
      </c>
      <c r="F352" s="159" t="s">
        <v>2482</v>
      </c>
      <c r="G352" s="164">
        <f>INDEX('Dictionary Subcategories'!$A$2:$A$70,MATCH(H352,'Dictionary Subcategories'!$B$2:$B$70,0))</f>
        <v>20</v>
      </c>
      <c r="H352" s="159" t="s">
        <v>2479</v>
      </c>
      <c r="I352" s="164"/>
      <c r="J352" s="164"/>
    </row>
    <row r="353" spans="1:10" ht="10.5" customHeight="1" x14ac:dyDescent="0.25">
      <c r="A353" s="172" t="str">
        <f>'ENIGHUR Consumption items'!H447</f>
        <v>05.3.3</v>
      </c>
      <c r="B353" s="172" t="str">
        <f>'ENIGHUR Consumption items'!J447</f>
        <v xml:space="preserve">REPARACIÓN DE ARTEFACTOS PARA EL HOGAR </v>
      </c>
      <c r="C353" s="166">
        <v>224</v>
      </c>
      <c r="D353" s="167" t="str">
        <f>IFERROR(VLOOKUP(C353,'symmetric IOT 245 2012'!$C$6:$D$276,2,FALSE),"")</f>
        <v>Servicios de reparación de computadoras y otros enseres domésticos</v>
      </c>
      <c r="E353" s="159">
        <f>INDEX('Dictionary Categories'!$A$2:$A$25,MATCH(F353,'Dictionary Categories'!$B$2:$B$25,0))</f>
        <v>6</v>
      </c>
      <c r="F353" s="159" t="s">
        <v>2482</v>
      </c>
      <c r="G353" s="164">
        <f>INDEX('Dictionary Subcategories'!$A$2:$A$70,MATCH(H353,'Dictionary Subcategories'!$B$2:$B$70,0))</f>
        <v>20</v>
      </c>
      <c r="H353" s="159" t="s">
        <v>2479</v>
      </c>
      <c r="I353" s="164"/>
      <c r="J353" s="164"/>
    </row>
    <row r="354" spans="1:10" ht="10.5" customHeight="1" x14ac:dyDescent="0.25">
      <c r="A354" s="172" t="str">
        <f>'ENIGHUR Consumption items'!H450</f>
        <v>05.4.1</v>
      </c>
      <c r="B354" s="172" t="str">
        <f>'ENIGHUR Consumption items'!J450</f>
        <v>ARTÍCULOS DE VIDRIO Y CRISTAL, VAJILLA Y  UTENSILIOS PARA EL HOGAR</v>
      </c>
      <c r="C354" s="166">
        <v>148</v>
      </c>
      <c r="D354" s="167" t="str">
        <f>IFERROR(VLOOKUP(C354,'symmetric IOT 245 2012'!$C$6:$D$276,2,FALSE),"")</f>
        <v>Productos de cerámica no estructurales</v>
      </c>
      <c r="E354" s="159">
        <f>INDEX('Dictionary Categories'!$A$2:$A$25,MATCH(F354,'Dictionary Categories'!$B$2:$B$25,0))</f>
        <v>6</v>
      </c>
      <c r="F354" s="159" t="s">
        <v>2482</v>
      </c>
      <c r="G354" s="164">
        <f>INDEX('Dictionary Subcategories'!$A$2:$A$70,MATCH(H354,'Dictionary Subcategories'!$B$2:$B$70,0))</f>
        <v>20</v>
      </c>
      <c r="H354" s="159" t="s">
        <v>2479</v>
      </c>
      <c r="I354" s="164"/>
      <c r="J354" s="164"/>
    </row>
    <row r="355" spans="1:10" ht="10.5" customHeight="1" x14ac:dyDescent="0.25">
      <c r="A355" s="172" t="str">
        <f>'ENIGHUR Consumption items'!H455</f>
        <v>05.5.1</v>
      </c>
      <c r="B355" s="172" t="str">
        <f>'ENIGHUR Consumption items'!J455</f>
        <v xml:space="preserve">HERRAMIENTAS Y EQUIPO GRANDES </v>
      </c>
      <c r="C355" s="166">
        <v>157</v>
      </c>
      <c r="D355" s="167" t="str">
        <f>IFERROR(VLOOKUP(C355,'symmetric IOT 245 2012'!$C$6:$D$276,2,FALSE),"")</f>
        <v>Productos metálicos de uso doméstico</v>
      </c>
      <c r="E355" s="159">
        <f>INDEX('Dictionary Categories'!$A$2:$A$25,MATCH(F355,'Dictionary Categories'!$B$2:$B$25,0))</f>
        <v>6</v>
      </c>
      <c r="F355" s="159" t="s">
        <v>2482</v>
      </c>
      <c r="G355" s="164">
        <f>INDEX('Dictionary Subcategories'!$A$2:$A$70,MATCH(H355,'Dictionary Subcategories'!$B$2:$B$70,0))</f>
        <v>20</v>
      </c>
      <c r="H355" s="159" t="s">
        <v>2479</v>
      </c>
      <c r="I355" s="164"/>
      <c r="J355" s="164"/>
    </row>
    <row r="356" spans="1:10" ht="10.5" customHeight="1" x14ac:dyDescent="0.25">
      <c r="A356" s="172" t="str">
        <f>'ENIGHUR Consumption items'!H457</f>
        <v>05.5.2</v>
      </c>
      <c r="B356" s="172" t="str">
        <f>'ENIGHUR Consumption items'!J457</f>
        <v xml:space="preserve">HERRAMIENTAS PEQUEÑAS Y ACCESORIOS DIVERSOS </v>
      </c>
      <c r="C356" s="166">
        <v>157</v>
      </c>
      <c r="D356" s="167" t="str">
        <f>IFERROR(VLOOKUP(C356,'symmetric IOT 245 2012'!$C$6:$D$276,2,FALSE),"")</f>
        <v>Productos metálicos de uso doméstico</v>
      </c>
      <c r="E356" s="159">
        <f>INDEX('Dictionary Categories'!$A$2:$A$25,MATCH(F356,'Dictionary Categories'!$B$2:$B$25,0))</f>
        <v>6</v>
      </c>
      <c r="F356" s="159" t="s">
        <v>2482</v>
      </c>
      <c r="G356" s="164">
        <f>INDEX('Dictionary Subcategories'!$A$2:$A$70,MATCH(H356,'Dictionary Subcategories'!$B$2:$B$70,0))</f>
        <v>20</v>
      </c>
      <c r="H356" s="159" t="s">
        <v>2479</v>
      </c>
      <c r="I356" s="164"/>
      <c r="J356" s="164"/>
    </row>
    <row r="357" spans="1:10" ht="10.5" customHeight="1" x14ac:dyDescent="0.25">
      <c r="A357" s="172" t="str">
        <f>'ENIGHUR Consumption items'!H460</f>
        <v>05.6.1</v>
      </c>
      <c r="B357" s="172" t="str">
        <f>'ENIGHUR Consumption items'!J460</f>
        <v xml:space="preserve">BIENES PARA EL HOGAR NO DURADEROS </v>
      </c>
      <c r="C357" s="173" t="s">
        <v>2389</v>
      </c>
      <c r="D357" s="167" t="str">
        <f>IFERROR(VLOOKUP(C357,'symmetric IOT 245 2012'!$C$6:$D$276,2,FALSE),"")</f>
        <v>matched on SC/SSC level</v>
      </c>
      <c r="E357" s="159">
        <f>INDEX('Dictionary Categories'!$A$2:$A$25,MATCH(F357,'Dictionary Categories'!$B$2:$B$25,0))</f>
        <v>7</v>
      </c>
      <c r="F357" s="159" t="s">
        <v>2480</v>
      </c>
      <c r="G357" s="164">
        <f>INDEX('Dictionary Subcategories'!$A$2:$A$70,MATCH(H357,'Dictionary Subcategories'!$B$2:$B$70,0))</f>
        <v>21</v>
      </c>
      <c r="H357" s="174" t="s">
        <v>2350</v>
      </c>
      <c r="I357" s="164"/>
      <c r="J357" s="164"/>
    </row>
    <row r="358" spans="1:10" ht="10.5" customHeight="1" x14ac:dyDescent="0.25">
      <c r="A358" s="172" t="str">
        <f>'ENIGHUR Consumption items'!H461</f>
        <v>05.6.1.000</v>
      </c>
      <c r="B358" s="172" t="str">
        <f>'ENIGHUR Consumption items'!J461</f>
        <v>Productos de limpieza y mantenimiento</v>
      </c>
      <c r="C358" s="166">
        <v>142</v>
      </c>
      <c r="D358" s="167" t="str">
        <f>IFERROR(VLOOKUP(C358,'symmetric IOT 245 2012'!$C$6:$D$276,2,FALSE),"")</f>
        <v>Preparados para limpiar y pulir</v>
      </c>
      <c r="E358" s="159">
        <f>INDEX('Dictionary Categories'!$A$2:$A$25,MATCH(F358,'Dictionary Categories'!$B$2:$B$25,0))</f>
        <v>7</v>
      </c>
      <c r="F358" s="159" t="s">
        <v>2480</v>
      </c>
      <c r="G358" s="164">
        <f>INDEX('Dictionary Subcategories'!$A$2:$A$70,MATCH(H358,'Dictionary Subcategories'!$B$2:$B$70,0))</f>
        <v>21</v>
      </c>
      <c r="H358" s="174" t="s">
        <v>2350</v>
      </c>
      <c r="I358" s="164"/>
      <c r="J358" s="164"/>
    </row>
    <row r="359" spans="1:10" ht="10.5" customHeight="1" x14ac:dyDescent="0.25">
      <c r="A359" s="172" t="str">
        <f>'ENIGHUR Consumption items'!H462</f>
        <v>05.6.1.001</v>
      </c>
      <c r="B359" s="172" t="str">
        <f>'ENIGHUR Consumption items'!J462</f>
        <v>Aceite de máquina de cocer (aceite 3 en 1)</v>
      </c>
      <c r="C359" s="166">
        <v>142</v>
      </c>
      <c r="D359" s="167" t="str">
        <f>IFERROR(VLOOKUP(C359,'symmetric IOT 245 2012'!$C$6:$D$276,2,FALSE),"")</f>
        <v>Preparados para limpiar y pulir</v>
      </c>
      <c r="E359" s="159">
        <f>INDEX('Dictionary Categories'!$A$2:$A$25,MATCH(F359,'Dictionary Categories'!$B$2:$B$25,0))</f>
        <v>7</v>
      </c>
      <c r="F359" s="159" t="s">
        <v>2480</v>
      </c>
      <c r="G359" s="164">
        <f>INDEX('Dictionary Subcategories'!$A$2:$A$70,MATCH(H359,'Dictionary Subcategories'!$B$2:$B$70,0))</f>
        <v>21</v>
      </c>
      <c r="H359" s="174" t="s">
        <v>2350</v>
      </c>
      <c r="I359" s="164"/>
      <c r="J359" s="164"/>
    </row>
    <row r="360" spans="1:10" ht="10.5" customHeight="1" x14ac:dyDescent="0.25">
      <c r="A360" s="172" t="str">
        <f>'ENIGHUR Consumption items'!H463</f>
        <v>05.6.1.002</v>
      </c>
      <c r="B360" s="172" t="str">
        <f>'ENIGHUR Consumption items'!J463</f>
        <v>Agua destilada</v>
      </c>
      <c r="C360" s="166">
        <v>142</v>
      </c>
      <c r="D360" s="167" t="str">
        <f>IFERROR(VLOOKUP(C360,'symmetric IOT 245 2012'!$C$6:$D$276,2,FALSE),"")</f>
        <v>Preparados para limpiar y pulir</v>
      </c>
      <c r="E360" s="159">
        <f>INDEX('Dictionary Categories'!$A$2:$A$25,MATCH(F360,'Dictionary Categories'!$B$2:$B$25,0))</f>
        <v>7</v>
      </c>
      <c r="F360" s="159" t="s">
        <v>2480</v>
      </c>
      <c r="G360" s="164">
        <f>INDEX('Dictionary Subcategories'!$A$2:$A$70,MATCH(H360,'Dictionary Subcategories'!$B$2:$B$70,0))</f>
        <v>21</v>
      </c>
      <c r="H360" s="174" t="s">
        <v>2350</v>
      </c>
      <c r="I360" s="164"/>
      <c r="J360" s="164"/>
    </row>
    <row r="361" spans="1:10" ht="10.5" customHeight="1" x14ac:dyDescent="0.25">
      <c r="A361" s="172" t="str">
        <f>'ENIGHUR Consumption items'!H464</f>
        <v>05.6.1.003</v>
      </c>
      <c r="B361" s="172" t="str">
        <f>'ENIGHUR Consumption items'!J464</f>
        <v>Almidón para tela</v>
      </c>
      <c r="C361" s="166">
        <v>142</v>
      </c>
      <c r="D361" s="167" t="str">
        <f>IFERROR(VLOOKUP(C361,'symmetric IOT 245 2012'!$C$6:$D$276,2,FALSE),"")</f>
        <v>Preparados para limpiar y pulir</v>
      </c>
      <c r="E361" s="159">
        <f>INDEX('Dictionary Categories'!$A$2:$A$25,MATCH(F361,'Dictionary Categories'!$B$2:$B$25,0))</f>
        <v>7</v>
      </c>
      <c r="F361" s="159" t="s">
        <v>2480</v>
      </c>
      <c r="G361" s="164">
        <f>INDEX('Dictionary Subcategories'!$A$2:$A$70,MATCH(H361,'Dictionary Subcategories'!$B$2:$B$70,0))</f>
        <v>21</v>
      </c>
      <c r="H361" s="174" t="s">
        <v>2350</v>
      </c>
      <c r="I361" s="164"/>
      <c r="J361" s="164"/>
    </row>
    <row r="362" spans="1:10" ht="10.5" customHeight="1" x14ac:dyDescent="0.25">
      <c r="A362" s="172" t="str">
        <f>'ENIGHUR Consumption items'!H465</f>
        <v>05.6.1.004</v>
      </c>
      <c r="B362" s="172" t="str">
        <f>'ENIGHUR Consumption items'!J465</f>
        <v xml:space="preserve">Amoniaco (producto de limpieza) </v>
      </c>
      <c r="C362" s="166">
        <v>142</v>
      </c>
      <c r="D362" s="167" t="str">
        <f>IFERROR(VLOOKUP(C362,'symmetric IOT 245 2012'!$C$6:$D$276,2,FALSE),"")</f>
        <v>Preparados para limpiar y pulir</v>
      </c>
      <c r="E362" s="159">
        <f>INDEX('Dictionary Categories'!$A$2:$A$25,MATCH(F362,'Dictionary Categories'!$B$2:$B$25,0))</f>
        <v>7</v>
      </c>
      <c r="F362" s="159" t="s">
        <v>2480</v>
      </c>
      <c r="G362" s="164">
        <f>INDEX('Dictionary Subcategories'!$A$2:$A$70,MATCH(H362,'Dictionary Subcategories'!$B$2:$B$70,0))</f>
        <v>21</v>
      </c>
      <c r="H362" s="174" t="s">
        <v>2350</v>
      </c>
      <c r="I362" s="164"/>
      <c r="J362" s="164"/>
    </row>
    <row r="363" spans="1:10" ht="10.5" customHeight="1" x14ac:dyDescent="0.25">
      <c r="A363" s="172" t="str">
        <f>'ENIGHUR Consumption items'!H466</f>
        <v>05.6.1.005</v>
      </c>
      <c r="B363" s="172" t="str">
        <f>'ENIGHUR Consumption items'!J466</f>
        <v>Anilinas</v>
      </c>
      <c r="C363" s="166">
        <v>142</v>
      </c>
      <c r="D363" s="167" t="str">
        <f>IFERROR(VLOOKUP(C363,'symmetric IOT 245 2012'!$C$6:$D$276,2,FALSE),"")</f>
        <v>Preparados para limpiar y pulir</v>
      </c>
      <c r="E363" s="159">
        <f>INDEX('Dictionary Categories'!$A$2:$A$25,MATCH(F363,'Dictionary Categories'!$B$2:$B$25,0))</f>
        <v>7</v>
      </c>
      <c r="F363" s="159" t="s">
        <v>2480</v>
      </c>
      <c r="G363" s="164">
        <f>INDEX('Dictionary Subcategories'!$A$2:$A$70,MATCH(H363,'Dictionary Subcategories'!$B$2:$B$70,0))</f>
        <v>21</v>
      </c>
      <c r="H363" s="174" t="s">
        <v>2350</v>
      </c>
      <c r="I363" s="164"/>
      <c r="J363" s="164"/>
    </row>
    <row r="364" spans="1:10" ht="10.5" customHeight="1" x14ac:dyDescent="0.25">
      <c r="A364" s="172" t="str">
        <f>'ENIGHUR Consumption items'!H467</f>
        <v>05.6.1.006</v>
      </c>
      <c r="B364" s="172" t="str">
        <f>'ENIGHUR Consumption items'!J467</f>
        <v>Azul para ropa</v>
      </c>
      <c r="C364" s="166">
        <v>142</v>
      </c>
      <c r="D364" s="167" t="str">
        <f>IFERROR(VLOOKUP(C364,'symmetric IOT 245 2012'!$C$6:$D$276,2,FALSE),"")</f>
        <v>Preparados para limpiar y pulir</v>
      </c>
      <c r="E364" s="159">
        <f>INDEX('Dictionary Categories'!$A$2:$A$25,MATCH(F364,'Dictionary Categories'!$B$2:$B$25,0))</f>
        <v>7</v>
      </c>
      <c r="F364" s="159" t="s">
        <v>2480</v>
      </c>
      <c r="G364" s="164">
        <f>INDEX('Dictionary Subcategories'!$A$2:$A$70,MATCH(H364,'Dictionary Subcategories'!$B$2:$B$70,0))</f>
        <v>21</v>
      </c>
      <c r="H364" s="174" t="s">
        <v>2350</v>
      </c>
      <c r="I364" s="164"/>
      <c r="J364" s="164"/>
    </row>
    <row r="365" spans="1:10" ht="10.5" customHeight="1" x14ac:dyDescent="0.25">
      <c r="A365" s="172" t="str">
        <f>'ENIGHUR Consumption items'!H468</f>
        <v>05.6.1.007</v>
      </c>
      <c r="B365" s="172" t="str">
        <f>'ENIGHUR Consumption items'!J468</f>
        <v>Betún en tubo o pasta</v>
      </c>
      <c r="C365" s="166">
        <v>142</v>
      </c>
      <c r="D365" s="167" t="str">
        <f>IFERROR(VLOOKUP(C365,'symmetric IOT 245 2012'!$C$6:$D$276,2,FALSE),"")</f>
        <v>Preparados para limpiar y pulir</v>
      </c>
      <c r="E365" s="159">
        <f>INDEX('Dictionary Categories'!$A$2:$A$25,MATCH(F365,'Dictionary Categories'!$B$2:$B$25,0))</f>
        <v>7</v>
      </c>
      <c r="F365" s="159" t="s">
        <v>2480</v>
      </c>
      <c r="G365" s="164">
        <f>INDEX('Dictionary Subcategories'!$A$2:$A$70,MATCH(H365,'Dictionary Subcategories'!$B$2:$B$70,0))</f>
        <v>21</v>
      </c>
      <c r="H365" s="174" t="s">
        <v>2350</v>
      </c>
      <c r="I365" s="164"/>
      <c r="J365" s="164"/>
    </row>
    <row r="366" spans="1:10" ht="10.5" customHeight="1" x14ac:dyDescent="0.25">
      <c r="A366" s="172" t="str">
        <f>'ENIGHUR Consumption items'!H469</f>
        <v>05.6.1.008</v>
      </c>
      <c r="B366" s="172" t="str">
        <f>'ENIGHUR Consumption items'!J469</f>
        <v>Betún liqui</v>
      </c>
      <c r="C366" s="166">
        <v>142</v>
      </c>
      <c r="D366" s="167" t="str">
        <f>IFERROR(VLOOKUP(C366,'symmetric IOT 245 2012'!$C$6:$D$276,2,FALSE),"")</f>
        <v>Preparados para limpiar y pulir</v>
      </c>
      <c r="E366" s="159">
        <f>INDEX('Dictionary Categories'!$A$2:$A$25,MATCH(F366,'Dictionary Categories'!$B$2:$B$25,0))</f>
        <v>7</v>
      </c>
      <c r="F366" s="159" t="s">
        <v>2480</v>
      </c>
      <c r="G366" s="164">
        <f>INDEX('Dictionary Subcategories'!$A$2:$A$70,MATCH(H366,'Dictionary Subcategories'!$B$2:$B$70,0))</f>
        <v>21</v>
      </c>
      <c r="H366" s="174" t="s">
        <v>2350</v>
      </c>
      <c r="I366" s="164"/>
      <c r="J366" s="164"/>
    </row>
    <row r="367" spans="1:10" ht="10.5" customHeight="1" x14ac:dyDescent="0.25">
      <c r="A367" s="172" t="str">
        <f>'ENIGHUR Consumption items'!H470</f>
        <v>05.6.1.009</v>
      </c>
      <c r="B367" s="172" t="str">
        <f>'ENIGHUR Consumption items'!J470</f>
        <v>Betún sólido</v>
      </c>
      <c r="C367" s="166">
        <v>142</v>
      </c>
      <c r="D367" s="167" t="str">
        <f>IFERROR(VLOOKUP(C367,'symmetric IOT 245 2012'!$C$6:$D$276,2,FALSE),"")</f>
        <v>Preparados para limpiar y pulir</v>
      </c>
      <c r="E367" s="159">
        <f>INDEX('Dictionary Categories'!$A$2:$A$25,MATCH(F367,'Dictionary Categories'!$B$2:$B$25,0))</f>
        <v>7</v>
      </c>
      <c r="F367" s="159" t="s">
        <v>2480</v>
      </c>
      <c r="G367" s="164">
        <f>INDEX('Dictionary Subcategories'!$A$2:$A$70,MATCH(H367,'Dictionary Subcategories'!$B$2:$B$70,0))</f>
        <v>21</v>
      </c>
      <c r="H367" s="174" t="s">
        <v>2350</v>
      </c>
      <c r="I367" s="164"/>
      <c r="J367" s="164"/>
    </row>
    <row r="368" spans="1:10" ht="10.5" customHeight="1" x14ac:dyDescent="0.25">
      <c r="A368" s="172" t="str">
        <f>'ENIGHUR Consumption items'!H471</f>
        <v>05.6.1.010</v>
      </c>
      <c r="B368" s="172" t="str">
        <f>'ENIGHUR Consumption items'!J471</f>
        <v xml:space="preserve">Cera líquida para pisos </v>
      </c>
      <c r="C368" s="166">
        <v>142</v>
      </c>
      <c r="D368" s="167" t="str">
        <f>IFERROR(VLOOKUP(C368,'symmetric IOT 245 2012'!$C$6:$D$276,2,FALSE),"")</f>
        <v>Preparados para limpiar y pulir</v>
      </c>
      <c r="E368" s="159">
        <f>INDEX('Dictionary Categories'!$A$2:$A$25,MATCH(F368,'Dictionary Categories'!$B$2:$B$25,0))</f>
        <v>7</v>
      </c>
      <c r="F368" s="159" t="s">
        <v>2480</v>
      </c>
      <c r="G368" s="164">
        <f>INDEX('Dictionary Subcategories'!$A$2:$A$70,MATCH(H368,'Dictionary Subcategories'!$B$2:$B$70,0))</f>
        <v>21</v>
      </c>
      <c r="H368" s="174" t="s">
        <v>2350</v>
      </c>
      <c r="I368" s="164"/>
      <c r="J368" s="164"/>
    </row>
    <row r="369" spans="1:10" ht="10.5" customHeight="1" x14ac:dyDescent="0.25">
      <c r="A369" s="172" t="str">
        <f>'ENIGHUR Consumption items'!H472</f>
        <v>05.6.1.011</v>
      </c>
      <c r="B369" s="172" t="str">
        <f>'ENIGHUR Consumption items'!J472</f>
        <v>Cera sólida para pisos</v>
      </c>
      <c r="C369" s="166">
        <v>142</v>
      </c>
      <c r="D369" s="167" t="str">
        <f>IFERROR(VLOOKUP(C369,'symmetric IOT 245 2012'!$C$6:$D$276,2,FALSE),"")</f>
        <v>Preparados para limpiar y pulir</v>
      </c>
      <c r="E369" s="159">
        <f>INDEX('Dictionary Categories'!$A$2:$A$25,MATCH(F369,'Dictionary Categories'!$B$2:$B$25,0))</f>
        <v>7</v>
      </c>
      <c r="F369" s="159" t="s">
        <v>2480</v>
      </c>
      <c r="G369" s="164">
        <f>INDEX('Dictionary Subcategories'!$A$2:$A$70,MATCH(H369,'Dictionary Subcategories'!$B$2:$B$70,0))</f>
        <v>21</v>
      </c>
      <c r="H369" s="174" t="s">
        <v>2350</v>
      </c>
      <c r="I369" s="164"/>
      <c r="J369" s="164"/>
    </row>
    <row r="370" spans="1:10" ht="10.5" customHeight="1" x14ac:dyDescent="0.25">
      <c r="A370" s="172" t="str">
        <f>'ENIGHUR Consumption items'!H473</f>
        <v>05.6.1.012</v>
      </c>
      <c r="B370" s="172" t="str">
        <f>'ENIGHUR Consumption items'!J473</f>
        <v>Cloro (Blanqueador de ropa, desinfectante puro)</v>
      </c>
      <c r="C370" s="166">
        <v>142</v>
      </c>
      <c r="D370" s="167" t="str">
        <f>IFERROR(VLOOKUP(C370,'symmetric IOT 245 2012'!$C$6:$D$276,2,FALSE),"")</f>
        <v>Preparados para limpiar y pulir</v>
      </c>
      <c r="E370" s="159">
        <f>INDEX('Dictionary Categories'!$A$2:$A$25,MATCH(F370,'Dictionary Categories'!$B$2:$B$25,0))</f>
        <v>7</v>
      </c>
      <c r="F370" s="159" t="s">
        <v>2480</v>
      </c>
      <c r="G370" s="164">
        <f>INDEX('Dictionary Subcategories'!$A$2:$A$70,MATCH(H370,'Dictionary Subcategories'!$B$2:$B$70,0))</f>
        <v>21</v>
      </c>
      <c r="H370" s="174" t="s">
        <v>2350</v>
      </c>
      <c r="I370" s="164"/>
      <c r="J370" s="164"/>
    </row>
    <row r="371" spans="1:10" ht="10.5" customHeight="1" x14ac:dyDescent="0.25">
      <c r="A371" s="172" t="str">
        <f>'ENIGHUR Consumption items'!H474</f>
        <v>05.6.1.013</v>
      </c>
      <c r="B371" s="172" t="str">
        <f>'ENIGHUR Consumption items'!J474</f>
        <v xml:space="preserve">Desengrasantes o quita grasas </v>
      </c>
      <c r="C371" s="166">
        <v>142</v>
      </c>
      <c r="D371" s="167" t="str">
        <f>IFERROR(VLOOKUP(C371,'symmetric IOT 245 2012'!$C$6:$D$276,2,FALSE),"")</f>
        <v>Preparados para limpiar y pulir</v>
      </c>
      <c r="E371" s="159">
        <f>INDEX('Dictionary Categories'!$A$2:$A$25,MATCH(F371,'Dictionary Categories'!$B$2:$B$25,0))</f>
        <v>7</v>
      </c>
      <c r="F371" s="159" t="s">
        <v>2480</v>
      </c>
      <c r="G371" s="164">
        <f>INDEX('Dictionary Subcategories'!$A$2:$A$70,MATCH(H371,'Dictionary Subcategories'!$B$2:$B$70,0))</f>
        <v>21</v>
      </c>
      <c r="H371" s="174" t="s">
        <v>2350</v>
      </c>
      <c r="I371" s="164"/>
      <c r="J371" s="164"/>
    </row>
    <row r="372" spans="1:10" ht="10.5" customHeight="1" x14ac:dyDescent="0.25">
      <c r="A372" s="172" t="str">
        <f>'ENIGHUR Consumption items'!H475</f>
        <v>05.6.1.014</v>
      </c>
      <c r="B372" s="172" t="str">
        <f>'ENIGHUR Consumption items'!J475</f>
        <v xml:space="preserve">Desinfectante para uso domestico (Lavaklin, fresklin, Kalipto, etc.) </v>
      </c>
      <c r="C372" s="166">
        <v>142</v>
      </c>
      <c r="D372" s="167" t="str">
        <f>IFERROR(VLOOKUP(C372,'symmetric IOT 245 2012'!$C$6:$D$276,2,FALSE),"")</f>
        <v>Preparados para limpiar y pulir</v>
      </c>
      <c r="E372" s="159">
        <f>INDEX('Dictionary Categories'!$A$2:$A$25,MATCH(F372,'Dictionary Categories'!$B$2:$B$25,0))</f>
        <v>7</v>
      </c>
      <c r="F372" s="159" t="s">
        <v>2480</v>
      </c>
      <c r="G372" s="164">
        <f>INDEX('Dictionary Subcategories'!$A$2:$A$70,MATCH(H372,'Dictionary Subcategories'!$B$2:$B$70,0))</f>
        <v>21</v>
      </c>
      <c r="H372" s="174" t="s">
        <v>2350</v>
      </c>
      <c r="I372" s="164"/>
      <c r="J372" s="164"/>
    </row>
    <row r="373" spans="1:10" ht="10.5" customHeight="1" x14ac:dyDescent="0.25">
      <c r="A373" s="172" t="str">
        <f>'ENIGHUR Consumption items'!H476</f>
        <v>05.6.1.015</v>
      </c>
      <c r="B373" s="172" t="str">
        <f>'ENIGHUR Consumption items'!J476</f>
        <v>Desodorante ambientales (Líquidos o sólidos)</v>
      </c>
      <c r="C373" s="166">
        <v>142</v>
      </c>
      <c r="D373" s="167" t="str">
        <f>IFERROR(VLOOKUP(C373,'symmetric IOT 245 2012'!$C$6:$D$276,2,FALSE),"")</f>
        <v>Preparados para limpiar y pulir</v>
      </c>
      <c r="E373" s="159">
        <f>INDEX('Dictionary Categories'!$A$2:$A$25,MATCH(F373,'Dictionary Categories'!$B$2:$B$25,0))</f>
        <v>7</v>
      </c>
      <c r="F373" s="159" t="s">
        <v>2480</v>
      </c>
      <c r="G373" s="164">
        <f>INDEX('Dictionary Subcategories'!$A$2:$A$70,MATCH(H373,'Dictionary Subcategories'!$B$2:$B$70,0))</f>
        <v>21</v>
      </c>
      <c r="H373" s="174" t="s">
        <v>2350</v>
      </c>
      <c r="I373" s="164"/>
      <c r="J373" s="164"/>
    </row>
    <row r="374" spans="1:10" ht="10.5" customHeight="1" x14ac:dyDescent="0.25">
      <c r="A374" s="172" t="str">
        <f>'ENIGHUR Consumption items'!H477</f>
        <v>05.6.1.016</v>
      </c>
      <c r="B374" s="172" t="str">
        <f>'ENIGHUR Consumption items'!J477</f>
        <v>Destapadores de tuberías (sello rojo, asea, lejías, etc.)</v>
      </c>
      <c r="C374" s="166">
        <v>142</v>
      </c>
      <c r="D374" s="167" t="str">
        <f>IFERROR(VLOOKUP(C374,'symmetric IOT 245 2012'!$C$6:$D$276,2,FALSE),"")</f>
        <v>Preparados para limpiar y pulir</v>
      </c>
      <c r="E374" s="159">
        <f>INDEX('Dictionary Categories'!$A$2:$A$25,MATCH(F374,'Dictionary Categories'!$B$2:$B$25,0))</f>
        <v>7</v>
      </c>
      <c r="F374" s="159" t="s">
        <v>2480</v>
      </c>
      <c r="G374" s="164">
        <f>INDEX('Dictionary Subcategories'!$A$2:$A$70,MATCH(H374,'Dictionary Subcategories'!$B$2:$B$70,0))</f>
        <v>21</v>
      </c>
      <c r="H374" s="174" t="s">
        <v>2350</v>
      </c>
      <c r="I374" s="164"/>
      <c r="J374" s="164"/>
    </row>
    <row r="375" spans="1:10" ht="10.5" customHeight="1" x14ac:dyDescent="0.25">
      <c r="A375" s="172" t="str">
        <f>'ENIGHUR Consumption items'!H478</f>
        <v>05.6.1.017</v>
      </c>
      <c r="B375" s="172" t="str">
        <f>'ENIGHUR Consumption items'!J478</f>
        <v>Detergente en polvo</v>
      </c>
      <c r="C375" s="166">
        <v>140</v>
      </c>
      <c r="D375" s="167" t="str">
        <f>IFERROR(VLOOKUP(C375,'symmetric IOT 245 2012'!$C$6:$D$276,2,FALSE),"")</f>
        <v>Jabón y detergentes</v>
      </c>
      <c r="E375" s="159">
        <f>INDEX('Dictionary Categories'!$A$2:$A$25,MATCH(F375,'Dictionary Categories'!$B$2:$B$25,0))</f>
        <v>7</v>
      </c>
      <c r="F375" s="159" t="s">
        <v>2480</v>
      </c>
      <c r="G375" s="164">
        <f>INDEX('Dictionary Subcategories'!$A$2:$A$70,MATCH(H375,'Dictionary Subcategories'!$B$2:$B$70,0))</f>
        <v>21</v>
      </c>
      <c r="H375" s="174" t="s">
        <v>2350</v>
      </c>
      <c r="I375" s="164"/>
      <c r="J375" s="164"/>
    </row>
    <row r="376" spans="1:10" ht="10.5" customHeight="1" x14ac:dyDescent="0.25">
      <c r="A376" s="172" t="str">
        <f>'ENIGHUR Consumption items'!H479</f>
        <v>05.6.1.018</v>
      </c>
      <c r="B376" s="172" t="str">
        <f>'ENIGHUR Consumption items'!J479</f>
        <v xml:space="preserve">Detergente líquido </v>
      </c>
      <c r="C376" s="166">
        <v>140</v>
      </c>
      <c r="D376" s="167" t="str">
        <f>IFERROR(VLOOKUP(C376,'symmetric IOT 245 2012'!$C$6:$D$276,2,FALSE),"")</f>
        <v>Jabón y detergentes</v>
      </c>
      <c r="E376" s="159">
        <f>INDEX('Dictionary Categories'!$A$2:$A$25,MATCH(F376,'Dictionary Categories'!$B$2:$B$25,0))</f>
        <v>7</v>
      </c>
      <c r="F376" s="159" t="s">
        <v>2480</v>
      </c>
      <c r="G376" s="164">
        <f>INDEX('Dictionary Subcategories'!$A$2:$A$70,MATCH(H376,'Dictionary Subcategories'!$B$2:$B$70,0))</f>
        <v>21</v>
      </c>
      <c r="H376" s="174" t="s">
        <v>2350</v>
      </c>
      <c r="I376" s="164"/>
      <c r="J376" s="164"/>
    </row>
    <row r="377" spans="1:10" ht="10.5" customHeight="1" x14ac:dyDescent="0.25">
      <c r="A377" s="172" t="str">
        <f>'ENIGHUR Consumption items'!H480</f>
        <v>05.6.1.019</v>
      </c>
      <c r="B377" s="172" t="str">
        <f>'ENIGHUR Consumption items'!J480</f>
        <v xml:space="preserve">Fungicida líquido </v>
      </c>
      <c r="C377" s="166">
        <v>142</v>
      </c>
      <c r="D377" s="167" t="str">
        <f>IFERROR(VLOOKUP(C377,'symmetric IOT 245 2012'!$C$6:$D$276,2,FALSE),"")</f>
        <v>Preparados para limpiar y pulir</v>
      </c>
      <c r="E377" s="159">
        <f>INDEX('Dictionary Categories'!$A$2:$A$25,MATCH(F377,'Dictionary Categories'!$B$2:$B$25,0))</f>
        <v>7</v>
      </c>
      <c r="F377" s="159" t="s">
        <v>2480</v>
      </c>
      <c r="G377" s="164">
        <f>INDEX('Dictionary Subcategories'!$A$2:$A$70,MATCH(H377,'Dictionary Subcategories'!$B$2:$B$70,0))</f>
        <v>21</v>
      </c>
      <c r="H377" s="174" t="s">
        <v>2350</v>
      </c>
      <c r="I377" s="164"/>
      <c r="J377" s="164"/>
    </row>
    <row r="378" spans="1:10" ht="10.5" customHeight="1" x14ac:dyDescent="0.25">
      <c r="A378" s="172" t="str">
        <f>'ENIGHUR Consumption items'!H481</f>
        <v>05.6.1.020</v>
      </c>
      <c r="B378" s="172" t="str">
        <f>'ENIGHUR Consumption items'!J481</f>
        <v>Fungicida sólido</v>
      </c>
      <c r="C378" s="166">
        <v>142</v>
      </c>
      <c r="D378" s="167" t="str">
        <f>IFERROR(VLOOKUP(C378,'symmetric IOT 245 2012'!$C$6:$D$276,2,FALSE),"")</f>
        <v>Preparados para limpiar y pulir</v>
      </c>
      <c r="E378" s="159">
        <f>INDEX('Dictionary Categories'!$A$2:$A$25,MATCH(F378,'Dictionary Categories'!$B$2:$B$25,0))</f>
        <v>7</v>
      </c>
      <c r="F378" s="159" t="s">
        <v>2480</v>
      </c>
      <c r="G378" s="164">
        <f>INDEX('Dictionary Subcategories'!$A$2:$A$70,MATCH(H378,'Dictionary Subcategories'!$B$2:$B$70,0))</f>
        <v>21</v>
      </c>
      <c r="H378" s="174" t="s">
        <v>2350</v>
      </c>
      <c r="I378" s="164"/>
      <c r="J378" s="164"/>
    </row>
    <row r="379" spans="1:10" ht="10.5" customHeight="1" x14ac:dyDescent="0.25">
      <c r="A379" s="172" t="str">
        <f>'ENIGHUR Consumption items'!H482</f>
        <v>05.6.1.021</v>
      </c>
      <c r="B379" s="172" t="str">
        <f>'ENIGHUR Consumption items'!J482</f>
        <v xml:space="preserve">Insecticida </v>
      </c>
      <c r="C379" s="166">
        <v>142</v>
      </c>
      <c r="D379" s="167" t="str">
        <f>IFERROR(VLOOKUP(C379,'symmetric IOT 245 2012'!$C$6:$D$276,2,FALSE),"")</f>
        <v>Preparados para limpiar y pulir</v>
      </c>
      <c r="E379" s="159">
        <f>INDEX('Dictionary Categories'!$A$2:$A$25,MATCH(F379,'Dictionary Categories'!$B$2:$B$25,0))</f>
        <v>7</v>
      </c>
      <c r="F379" s="159" t="s">
        <v>2480</v>
      </c>
      <c r="G379" s="164">
        <f>INDEX('Dictionary Subcategories'!$A$2:$A$70,MATCH(H379,'Dictionary Subcategories'!$B$2:$B$70,0))</f>
        <v>21</v>
      </c>
      <c r="H379" s="174" t="s">
        <v>2350</v>
      </c>
      <c r="I379" s="164"/>
      <c r="J379" s="164"/>
    </row>
    <row r="380" spans="1:10" ht="10.5" customHeight="1" x14ac:dyDescent="0.25">
      <c r="A380" s="172" t="str">
        <f>'ENIGHUR Consumption items'!H483</f>
        <v>05.6.1.022</v>
      </c>
      <c r="B380" s="172" t="str">
        <f>'ENIGHUR Consumption items'!J483</f>
        <v>Jabón en barra para lavar ropa</v>
      </c>
      <c r="C380" s="166">
        <v>140</v>
      </c>
      <c r="D380" s="167" t="str">
        <f>IFERROR(VLOOKUP(C380,'symmetric IOT 245 2012'!$C$6:$D$276,2,FALSE),"")</f>
        <v>Jabón y detergentes</v>
      </c>
      <c r="E380" s="159">
        <f>INDEX('Dictionary Categories'!$A$2:$A$25,MATCH(F380,'Dictionary Categories'!$B$2:$B$25,0))</f>
        <v>7</v>
      </c>
      <c r="F380" s="159" t="s">
        <v>2480</v>
      </c>
      <c r="G380" s="164">
        <f>INDEX('Dictionary Subcategories'!$A$2:$A$70,MATCH(H380,'Dictionary Subcategories'!$B$2:$B$70,0))</f>
        <v>21</v>
      </c>
      <c r="H380" s="174" t="s">
        <v>2350</v>
      </c>
      <c r="I380" s="164"/>
      <c r="J380" s="164"/>
    </row>
    <row r="381" spans="1:10" ht="10.5" customHeight="1" x14ac:dyDescent="0.25">
      <c r="A381" s="172" t="str">
        <f>'ENIGHUR Consumption items'!H484</f>
        <v>05.6.1.023</v>
      </c>
      <c r="B381" s="172" t="str">
        <f>'ENIGHUR Consumption items'!J484</f>
        <v>Jabón en barra para lavar vajilla</v>
      </c>
      <c r="C381" s="166">
        <v>140</v>
      </c>
      <c r="D381" s="167" t="str">
        <f>IFERROR(VLOOKUP(C381,'symmetric IOT 245 2012'!$C$6:$D$276,2,FALSE),"")</f>
        <v>Jabón y detergentes</v>
      </c>
      <c r="E381" s="159">
        <f>INDEX('Dictionary Categories'!$A$2:$A$25,MATCH(F381,'Dictionary Categories'!$B$2:$B$25,0))</f>
        <v>7</v>
      </c>
      <c r="F381" s="159" t="s">
        <v>2480</v>
      </c>
      <c r="G381" s="164">
        <f>INDEX('Dictionary Subcategories'!$A$2:$A$70,MATCH(H381,'Dictionary Subcategories'!$B$2:$B$70,0))</f>
        <v>21</v>
      </c>
      <c r="H381" s="174" t="s">
        <v>2350</v>
      </c>
      <c r="I381" s="164"/>
      <c r="J381" s="164"/>
    </row>
    <row r="382" spans="1:10" ht="10.5" customHeight="1" x14ac:dyDescent="0.25">
      <c r="A382" s="172" t="str">
        <f>'ENIGHUR Consumption items'!H485</f>
        <v>05.6.1.024</v>
      </c>
      <c r="B382" s="172" t="str">
        <f>'ENIGHUR Consumption items'!J485</f>
        <v>Jabón en crema para lavar vajilla</v>
      </c>
      <c r="C382" s="166">
        <v>140</v>
      </c>
      <c r="D382" s="167" t="str">
        <f>IFERROR(VLOOKUP(C382,'symmetric IOT 245 2012'!$C$6:$D$276,2,FALSE),"")</f>
        <v>Jabón y detergentes</v>
      </c>
      <c r="E382" s="159">
        <f>INDEX('Dictionary Categories'!$A$2:$A$25,MATCH(F382,'Dictionary Categories'!$B$2:$B$25,0))</f>
        <v>7</v>
      </c>
      <c r="F382" s="159" t="s">
        <v>2480</v>
      </c>
      <c r="G382" s="164">
        <f>INDEX('Dictionary Subcategories'!$A$2:$A$70,MATCH(H382,'Dictionary Subcategories'!$B$2:$B$70,0))</f>
        <v>21</v>
      </c>
      <c r="H382" s="174" t="s">
        <v>2350</v>
      </c>
      <c r="I382" s="164"/>
      <c r="J382" s="164"/>
    </row>
    <row r="383" spans="1:10" ht="10.5" customHeight="1" x14ac:dyDescent="0.25">
      <c r="A383" s="172" t="str">
        <f>'ENIGHUR Consumption items'!H486</f>
        <v>05.6.1.025</v>
      </c>
      <c r="B383" s="172" t="str">
        <f>'ENIGHUR Consumption items'!J486</f>
        <v xml:space="preserve">Jabón líquido para lavar ropa </v>
      </c>
      <c r="C383" s="166">
        <v>140</v>
      </c>
      <c r="D383" s="167" t="str">
        <f>IFERROR(VLOOKUP(C383,'symmetric IOT 245 2012'!$C$6:$D$276,2,FALSE),"")</f>
        <v>Jabón y detergentes</v>
      </c>
      <c r="E383" s="159">
        <f>INDEX('Dictionary Categories'!$A$2:$A$25,MATCH(F383,'Dictionary Categories'!$B$2:$B$25,0))</f>
        <v>7</v>
      </c>
      <c r="F383" s="159" t="s">
        <v>2480</v>
      </c>
      <c r="G383" s="164">
        <f>INDEX('Dictionary Subcategories'!$A$2:$A$70,MATCH(H383,'Dictionary Subcategories'!$B$2:$B$70,0))</f>
        <v>21</v>
      </c>
      <c r="H383" s="174" t="s">
        <v>2350</v>
      </c>
      <c r="I383" s="164"/>
      <c r="J383" s="164"/>
    </row>
    <row r="384" spans="1:10" ht="10.5" customHeight="1" x14ac:dyDescent="0.25">
      <c r="A384" s="172" t="str">
        <f>'ENIGHUR Consumption items'!H487</f>
        <v>05.6.1.026</v>
      </c>
      <c r="B384" s="172" t="str">
        <f>'ENIGHUR Consumption items'!J487</f>
        <v xml:space="preserve">Jabón líquido para lavar vajilla </v>
      </c>
      <c r="C384" s="166">
        <v>140</v>
      </c>
      <c r="D384" s="167" t="str">
        <f>IFERROR(VLOOKUP(C384,'symmetric IOT 245 2012'!$C$6:$D$276,2,FALSE),"")</f>
        <v>Jabón y detergentes</v>
      </c>
      <c r="E384" s="159">
        <f>INDEX('Dictionary Categories'!$A$2:$A$25,MATCH(F384,'Dictionary Categories'!$B$2:$B$25,0))</f>
        <v>7</v>
      </c>
      <c r="F384" s="159" t="s">
        <v>2480</v>
      </c>
      <c r="G384" s="164">
        <f>INDEX('Dictionary Subcategories'!$A$2:$A$70,MATCH(H384,'Dictionary Subcategories'!$B$2:$B$70,0))</f>
        <v>21</v>
      </c>
      <c r="H384" s="174" t="s">
        <v>2350</v>
      </c>
      <c r="I384" s="164"/>
      <c r="J384" s="164"/>
    </row>
    <row r="385" spans="1:10" ht="10.5" customHeight="1" x14ac:dyDescent="0.25">
      <c r="A385" s="172" t="str">
        <f>'ENIGHUR Consumption items'!H488</f>
        <v>05.6.1.027</v>
      </c>
      <c r="B385" s="172" t="str">
        <f>'ENIGHUR Consumption items'!J488</f>
        <v xml:space="preserve">Líquido para limpiar vidrios </v>
      </c>
      <c r="C385" s="166">
        <v>142</v>
      </c>
      <c r="D385" s="167" t="str">
        <f>IFERROR(VLOOKUP(C385,'symmetric IOT 245 2012'!$C$6:$D$276,2,FALSE),"")</f>
        <v>Preparados para limpiar y pulir</v>
      </c>
      <c r="E385" s="159">
        <f>INDEX('Dictionary Categories'!$A$2:$A$25,MATCH(F385,'Dictionary Categories'!$B$2:$B$25,0))</f>
        <v>7</v>
      </c>
      <c r="F385" s="159" t="s">
        <v>2480</v>
      </c>
      <c r="G385" s="164">
        <f>INDEX('Dictionary Subcategories'!$A$2:$A$70,MATCH(H385,'Dictionary Subcategories'!$B$2:$B$70,0))</f>
        <v>21</v>
      </c>
      <c r="H385" s="174" t="s">
        <v>2350</v>
      </c>
      <c r="I385" s="164"/>
      <c r="J385" s="164"/>
    </row>
    <row r="386" spans="1:10" ht="10.5" customHeight="1" x14ac:dyDescent="0.25">
      <c r="A386" s="172" t="str">
        <f>'ENIGHUR Consumption items'!H489</f>
        <v>05.6.1.028</v>
      </c>
      <c r="B386" s="172" t="str">
        <f>'ENIGHUR Consumption items'!J489</f>
        <v>Naftalina</v>
      </c>
      <c r="C386" s="166">
        <v>142</v>
      </c>
      <c r="D386" s="167" t="str">
        <f>IFERROR(VLOOKUP(C386,'symmetric IOT 245 2012'!$C$6:$D$276,2,FALSE),"")</f>
        <v>Preparados para limpiar y pulir</v>
      </c>
      <c r="E386" s="159">
        <f>INDEX('Dictionary Categories'!$A$2:$A$25,MATCH(F386,'Dictionary Categories'!$B$2:$B$25,0))</f>
        <v>7</v>
      </c>
      <c r="F386" s="159" t="s">
        <v>2480</v>
      </c>
      <c r="G386" s="164">
        <f>INDEX('Dictionary Subcategories'!$A$2:$A$70,MATCH(H386,'Dictionary Subcategories'!$B$2:$B$70,0))</f>
        <v>21</v>
      </c>
      <c r="H386" s="174" t="s">
        <v>2350</v>
      </c>
      <c r="I386" s="164"/>
      <c r="J386" s="164"/>
    </row>
    <row r="387" spans="1:10" ht="10.5" customHeight="1" x14ac:dyDescent="0.25">
      <c r="A387" s="172" t="str">
        <f>'ENIGHUR Consumption items'!H490</f>
        <v>05.6.1.029</v>
      </c>
      <c r="B387" s="172" t="str">
        <f>'ENIGHUR Consumption items'!J490</f>
        <v>Pastilla tanque, (limpia y desinfecta el tanque del inodoro)</v>
      </c>
      <c r="C387" s="166">
        <v>142</v>
      </c>
      <c r="D387" s="167" t="str">
        <f>IFERROR(VLOOKUP(C387,'symmetric IOT 245 2012'!$C$6:$D$276,2,FALSE),"")</f>
        <v>Preparados para limpiar y pulir</v>
      </c>
      <c r="E387" s="159">
        <f>INDEX('Dictionary Categories'!$A$2:$A$25,MATCH(F387,'Dictionary Categories'!$B$2:$B$25,0))</f>
        <v>7</v>
      </c>
      <c r="F387" s="159" t="s">
        <v>2480</v>
      </c>
      <c r="G387" s="164">
        <f>INDEX('Dictionary Subcategories'!$A$2:$A$70,MATCH(H387,'Dictionary Subcategories'!$B$2:$B$70,0))</f>
        <v>21</v>
      </c>
      <c r="H387" s="174" t="s">
        <v>2350</v>
      </c>
      <c r="I387" s="164"/>
      <c r="J387" s="164"/>
    </row>
    <row r="388" spans="1:10" ht="10.5" customHeight="1" x14ac:dyDescent="0.25">
      <c r="A388" s="172" t="str">
        <f>'ENIGHUR Consumption items'!H491</f>
        <v>05.6.1.030</v>
      </c>
      <c r="B388" s="172" t="str">
        <f>'ENIGHUR Consumption items'!J491</f>
        <v xml:space="preserve">Productos para el mantenimiento y limpieza de la madera </v>
      </c>
      <c r="C388" s="166">
        <v>142</v>
      </c>
      <c r="D388" s="167" t="str">
        <f>IFERROR(VLOOKUP(C388,'symmetric IOT 245 2012'!$C$6:$D$276,2,FALSE),"")</f>
        <v>Preparados para limpiar y pulir</v>
      </c>
      <c r="E388" s="159">
        <f>INDEX('Dictionary Categories'!$A$2:$A$25,MATCH(F388,'Dictionary Categories'!$B$2:$B$25,0))</f>
        <v>7</v>
      </c>
      <c r="F388" s="159" t="s">
        <v>2480</v>
      </c>
      <c r="G388" s="164">
        <f>INDEX('Dictionary Subcategories'!$A$2:$A$70,MATCH(H388,'Dictionary Subcategories'!$B$2:$B$70,0))</f>
        <v>21</v>
      </c>
      <c r="H388" s="174" t="s">
        <v>2350</v>
      </c>
      <c r="I388" s="164"/>
      <c r="J388" s="164"/>
    </row>
    <row r="389" spans="1:10" ht="10.5" customHeight="1" x14ac:dyDescent="0.25">
      <c r="A389" s="172" t="str">
        <f>'ENIGHUR Consumption items'!H492</f>
        <v>05.6.1.031</v>
      </c>
      <c r="B389" s="172" t="str">
        <f>'ENIGHUR Consumption items'!J492</f>
        <v>Productos para pulir y limpiar metales</v>
      </c>
      <c r="C389" s="166">
        <v>142</v>
      </c>
      <c r="D389" s="167" t="str">
        <f>IFERROR(VLOOKUP(C389,'symmetric IOT 245 2012'!$C$6:$D$276,2,FALSE),"")</f>
        <v>Preparados para limpiar y pulir</v>
      </c>
      <c r="E389" s="159">
        <f>INDEX('Dictionary Categories'!$A$2:$A$25,MATCH(F389,'Dictionary Categories'!$B$2:$B$25,0))</f>
        <v>7</v>
      </c>
      <c r="F389" s="159" t="s">
        <v>2480</v>
      </c>
      <c r="G389" s="164">
        <f>INDEX('Dictionary Subcategories'!$A$2:$A$70,MATCH(H389,'Dictionary Subcategories'!$B$2:$B$70,0))</f>
        <v>21</v>
      </c>
      <c r="H389" s="174" t="s">
        <v>2350</v>
      </c>
      <c r="I389" s="164"/>
      <c r="J389" s="164"/>
    </row>
    <row r="390" spans="1:10" ht="10.5" customHeight="1" x14ac:dyDescent="0.25">
      <c r="A390" s="172" t="str">
        <f>'ENIGHUR Consumption items'!H493</f>
        <v>05.6.1.032</v>
      </c>
      <c r="B390" s="172" t="str">
        <f>'ENIGHUR Consumption items'!J493</f>
        <v xml:space="preserve">Productos químicos para la limpieza de alfombras </v>
      </c>
      <c r="C390" s="166">
        <v>142</v>
      </c>
      <c r="D390" s="167" t="str">
        <f>IFERROR(VLOOKUP(C390,'symmetric IOT 245 2012'!$C$6:$D$276,2,FALSE),"")</f>
        <v>Preparados para limpiar y pulir</v>
      </c>
      <c r="E390" s="159">
        <f>INDEX('Dictionary Categories'!$A$2:$A$25,MATCH(F390,'Dictionary Categories'!$B$2:$B$25,0))</f>
        <v>7</v>
      </c>
      <c r="F390" s="159" t="s">
        <v>2480</v>
      </c>
      <c r="G390" s="164">
        <f>INDEX('Dictionary Subcategories'!$A$2:$A$70,MATCH(H390,'Dictionary Subcategories'!$B$2:$B$70,0))</f>
        <v>21</v>
      </c>
      <c r="H390" s="174" t="s">
        <v>2350</v>
      </c>
      <c r="I390" s="164"/>
      <c r="J390" s="164"/>
    </row>
    <row r="391" spans="1:10" ht="10.5" customHeight="1" x14ac:dyDescent="0.25">
      <c r="A391" s="172" t="str">
        <f>'ENIGHUR Consumption items'!H494</f>
        <v>05.6.1.033</v>
      </c>
      <c r="B391" s="172" t="str">
        <f>'ENIGHUR Consumption items'!J494</f>
        <v xml:space="preserve">Quita manchas (alfombras, muebles…etc.) </v>
      </c>
      <c r="C391" s="166">
        <v>142</v>
      </c>
      <c r="D391" s="167" t="str">
        <f>IFERROR(VLOOKUP(C391,'symmetric IOT 245 2012'!$C$6:$D$276,2,FALSE),"")</f>
        <v>Preparados para limpiar y pulir</v>
      </c>
      <c r="E391" s="159">
        <f>INDEX('Dictionary Categories'!$A$2:$A$25,MATCH(F391,'Dictionary Categories'!$B$2:$B$25,0))</f>
        <v>7</v>
      </c>
      <c r="F391" s="159" t="s">
        <v>2480</v>
      </c>
      <c r="G391" s="164">
        <f>INDEX('Dictionary Subcategories'!$A$2:$A$70,MATCH(H391,'Dictionary Subcategories'!$B$2:$B$70,0))</f>
        <v>21</v>
      </c>
      <c r="H391" s="174" t="s">
        <v>2350</v>
      </c>
      <c r="I391" s="164"/>
      <c r="J391" s="164"/>
    </row>
    <row r="392" spans="1:10" ht="10.5" customHeight="1" x14ac:dyDescent="0.25">
      <c r="A392" s="172" t="str">
        <f>'ENIGHUR Consumption items'!H495</f>
        <v>05.6.1.034</v>
      </c>
      <c r="B392" s="172" t="str">
        <f>'ENIGHUR Consumption items'!J495</f>
        <v>Sosa cáustica</v>
      </c>
      <c r="C392" s="166">
        <v>142</v>
      </c>
      <c r="D392" s="167" t="str">
        <f>IFERROR(VLOOKUP(C392,'symmetric IOT 245 2012'!$C$6:$D$276,2,FALSE),"")</f>
        <v>Preparados para limpiar y pulir</v>
      </c>
      <c r="E392" s="159">
        <f>INDEX('Dictionary Categories'!$A$2:$A$25,MATCH(F392,'Dictionary Categories'!$B$2:$B$25,0))</f>
        <v>7</v>
      </c>
      <c r="F392" s="159" t="s">
        <v>2480</v>
      </c>
      <c r="G392" s="164">
        <f>INDEX('Dictionary Subcategories'!$A$2:$A$70,MATCH(H392,'Dictionary Subcategories'!$B$2:$B$70,0))</f>
        <v>21</v>
      </c>
      <c r="H392" s="174" t="s">
        <v>2350</v>
      </c>
      <c r="I392" s="164"/>
      <c r="J392" s="164"/>
    </row>
    <row r="393" spans="1:10" ht="10.5" customHeight="1" x14ac:dyDescent="0.25">
      <c r="A393" s="172" t="str">
        <f>'ENIGHUR Consumption items'!H496</f>
        <v>05.6.1.035</v>
      </c>
      <c r="B393" s="172" t="str">
        <f>'ENIGHUR Consumption items'!J496</f>
        <v xml:space="preserve">Suavizantes de ropa (acondicionador) </v>
      </c>
      <c r="C393" s="166">
        <v>140</v>
      </c>
      <c r="D393" s="167" t="str">
        <f>IFERROR(VLOOKUP(C393,'symmetric IOT 245 2012'!$C$6:$D$276,2,FALSE),"")</f>
        <v>Jabón y detergentes</v>
      </c>
      <c r="E393" s="159">
        <f>INDEX('Dictionary Categories'!$A$2:$A$25,MATCH(F393,'Dictionary Categories'!$B$2:$B$25,0))</f>
        <v>7</v>
      </c>
      <c r="F393" s="159" t="s">
        <v>2480</v>
      </c>
      <c r="G393" s="164">
        <f>INDEX('Dictionary Subcategories'!$A$2:$A$70,MATCH(H393,'Dictionary Subcategories'!$B$2:$B$70,0))</f>
        <v>21</v>
      </c>
      <c r="H393" s="174" t="s">
        <v>2350</v>
      </c>
      <c r="I393" s="164"/>
      <c r="J393" s="164"/>
    </row>
    <row r="394" spans="1:10" ht="10.5" customHeight="1" x14ac:dyDescent="0.25">
      <c r="A394" s="172" t="str">
        <f>'ENIGHUR Consumption items'!H497</f>
        <v>05.6.1.036</v>
      </c>
      <c r="B394" s="172" t="str">
        <f>'ENIGHUR Consumption items'!J497</f>
        <v>Tinta para ropa y otros tejidos</v>
      </c>
      <c r="C394" s="166">
        <v>142</v>
      </c>
      <c r="D394" s="167" t="str">
        <f>IFERROR(VLOOKUP(C394,'symmetric IOT 245 2012'!$C$6:$D$276,2,FALSE),"")</f>
        <v>Preparados para limpiar y pulir</v>
      </c>
      <c r="E394" s="159">
        <f>INDEX('Dictionary Categories'!$A$2:$A$25,MATCH(F394,'Dictionary Categories'!$B$2:$B$25,0))</f>
        <v>7</v>
      </c>
      <c r="F394" s="159" t="s">
        <v>2480</v>
      </c>
      <c r="G394" s="164">
        <f>INDEX('Dictionary Subcategories'!$A$2:$A$70,MATCH(H394,'Dictionary Subcategories'!$B$2:$B$70,0))</f>
        <v>21</v>
      </c>
      <c r="H394" s="174" t="s">
        <v>2350</v>
      </c>
      <c r="I394" s="164"/>
      <c r="J394" s="164"/>
    </row>
    <row r="395" spans="1:10" ht="10.5" customHeight="1" x14ac:dyDescent="0.25">
      <c r="A395" s="172" t="str">
        <f>'ENIGHUR Consumption items'!H498</f>
        <v>05.6.1.037</v>
      </c>
      <c r="B395" s="172" t="str">
        <f>'ENIGHUR Consumption items'!J498</f>
        <v>Veneno para ratas</v>
      </c>
      <c r="C395" s="166">
        <v>142</v>
      </c>
      <c r="D395" s="167" t="str">
        <f>IFERROR(VLOOKUP(C395,'symmetric IOT 245 2012'!$C$6:$D$276,2,FALSE),"")</f>
        <v>Preparados para limpiar y pulir</v>
      </c>
      <c r="E395" s="159">
        <f>INDEX('Dictionary Categories'!$A$2:$A$25,MATCH(F395,'Dictionary Categories'!$B$2:$B$25,0))</f>
        <v>7</v>
      </c>
      <c r="F395" s="159" t="s">
        <v>2480</v>
      </c>
      <c r="G395" s="164">
        <f>INDEX('Dictionary Subcategories'!$A$2:$A$70,MATCH(H395,'Dictionary Subcategories'!$B$2:$B$70,0))</f>
        <v>21</v>
      </c>
      <c r="H395" s="174" t="s">
        <v>2350</v>
      </c>
      <c r="I395" s="164"/>
      <c r="J395" s="164"/>
    </row>
    <row r="396" spans="1:10" ht="10.5" customHeight="1" x14ac:dyDescent="0.25">
      <c r="A396" s="172" t="str">
        <f>'ENIGHUR Consumption items'!H499</f>
        <v>05.6.1.038</v>
      </c>
      <c r="B396" s="172" t="str">
        <f>'ENIGHUR Consumption items'!J499</f>
        <v>Otro tipo de desinfectantes (creso)</v>
      </c>
      <c r="C396" s="166">
        <v>142</v>
      </c>
      <c r="D396" s="167" t="str">
        <f>IFERROR(VLOOKUP(C396,'symmetric IOT 245 2012'!$C$6:$D$276,2,FALSE),"")</f>
        <v>Preparados para limpiar y pulir</v>
      </c>
      <c r="E396" s="159">
        <f>INDEX('Dictionary Categories'!$A$2:$A$25,MATCH(F396,'Dictionary Categories'!$B$2:$B$25,0))</f>
        <v>7</v>
      </c>
      <c r="F396" s="159" t="s">
        <v>2480</v>
      </c>
      <c r="G396" s="164">
        <f>INDEX('Dictionary Subcategories'!$A$2:$A$70,MATCH(H396,'Dictionary Subcategories'!$B$2:$B$70,0))</f>
        <v>21</v>
      </c>
      <c r="H396" s="174" t="s">
        <v>2350</v>
      </c>
      <c r="I396" s="164"/>
      <c r="J396" s="164"/>
    </row>
    <row r="397" spans="1:10" ht="10.5" customHeight="1" x14ac:dyDescent="0.25">
      <c r="A397" s="172" t="str">
        <f>'ENIGHUR Consumption items'!H500</f>
        <v>05.6.1.099</v>
      </c>
      <c r="B397" s="172" t="str">
        <f>'ENIGHUR Consumption items'!J500</f>
        <v>Otros productos de limpieza y mantenimiento</v>
      </c>
      <c r="C397" s="166">
        <v>142</v>
      </c>
      <c r="D397" s="167" t="str">
        <f>IFERROR(VLOOKUP(C397,'symmetric IOT 245 2012'!$C$6:$D$276,2,FALSE),"")</f>
        <v>Preparados para limpiar y pulir</v>
      </c>
      <c r="E397" s="159">
        <f>INDEX('Dictionary Categories'!$A$2:$A$25,MATCH(F397,'Dictionary Categories'!$B$2:$B$25,0))</f>
        <v>7</v>
      </c>
      <c r="F397" s="159" t="s">
        <v>2480</v>
      </c>
      <c r="G397" s="164">
        <f>INDEX('Dictionary Subcategories'!$A$2:$A$70,MATCH(H397,'Dictionary Subcategories'!$B$2:$B$70,0))</f>
        <v>21</v>
      </c>
      <c r="H397" s="174" t="s">
        <v>2350</v>
      </c>
      <c r="I397" s="164"/>
      <c r="J397" s="164"/>
    </row>
    <row r="398" spans="1:10" ht="10.5" customHeight="1" x14ac:dyDescent="0.25">
      <c r="A398" s="172" t="str">
        <f>'ENIGHUR Consumption items'!H501</f>
        <v>05.6.1.100</v>
      </c>
      <c r="B398" s="172" t="str">
        <f>'ENIGHUR Consumption items'!J501</f>
        <v>Otros productos no duraderos para el hogar</v>
      </c>
      <c r="C398" s="166">
        <v>142</v>
      </c>
      <c r="D398" s="167" t="str">
        <f>IFERROR(VLOOKUP(C398,'symmetric IOT 245 2012'!$C$6:$D$276,2,FALSE),"")</f>
        <v>Preparados para limpiar y pulir</v>
      </c>
      <c r="E398" s="159">
        <f>INDEX('Dictionary Categories'!$A$2:$A$25,MATCH(F398,'Dictionary Categories'!$B$2:$B$25,0))</f>
        <v>7</v>
      </c>
      <c r="F398" s="159" t="s">
        <v>2480</v>
      </c>
      <c r="G398" s="164">
        <f>INDEX('Dictionary Subcategories'!$A$2:$A$70,MATCH(H398,'Dictionary Subcategories'!$B$2:$B$70,0))</f>
        <v>21</v>
      </c>
      <c r="H398" s="174" t="s">
        <v>2350</v>
      </c>
      <c r="I398" s="164"/>
      <c r="J398" s="164"/>
    </row>
    <row r="399" spans="1:10" ht="10.5" customHeight="1" x14ac:dyDescent="0.25">
      <c r="A399" s="172" t="str">
        <f>'ENIGHUR Consumption items'!H502</f>
        <v>05.6.1.101</v>
      </c>
      <c r="B399" s="172" t="str">
        <f>'ENIGHUR Consumption items'!J502</f>
        <v>Adhesivos y cintas adhesivas de uso domestico</v>
      </c>
      <c r="C399" s="166">
        <v>143</v>
      </c>
      <c r="D399" s="167" t="str">
        <f>IFERROR(VLOOKUP(C399,'symmetric IOT 245 2012'!$C$6:$D$276,2,FALSE),"")</f>
        <v>Fibras sintéticas (textiles manufacturadas) y Otros productos químicos n.c.p.</v>
      </c>
      <c r="E399" s="159">
        <f>INDEX('Dictionary Categories'!$A$2:$A$25,MATCH(F399,'Dictionary Categories'!$B$2:$B$25,0))</f>
        <v>7</v>
      </c>
      <c r="F399" s="159" t="s">
        <v>2480</v>
      </c>
      <c r="G399" s="164">
        <f>INDEX('Dictionary Subcategories'!$A$2:$A$70,MATCH(H399,'Dictionary Subcategories'!$B$2:$B$70,0))</f>
        <v>21</v>
      </c>
      <c r="H399" s="174" t="s">
        <v>2350</v>
      </c>
      <c r="I399" s="164"/>
      <c r="J399" s="164"/>
    </row>
    <row r="400" spans="1:10" ht="10.5" customHeight="1" x14ac:dyDescent="0.25">
      <c r="A400" s="172" t="str">
        <f>'ENIGHUR Consumption items'!H503</f>
        <v>05.6.1.102</v>
      </c>
      <c r="B400" s="172" t="str">
        <f>'ENIGHUR Consumption items'!J503</f>
        <v>Agujas de coser</v>
      </c>
      <c r="C400" s="166">
        <v>157</v>
      </c>
      <c r="D400" s="167" t="str">
        <f>IFERROR(VLOOKUP(C400,'symmetric IOT 245 2012'!$C$6:$D$276,2,FALSE),"")</f>
        <v>Productos metálicos de uso doméstico</v>
      </c>
      <c r="E400" s="159">
        <f>INDEX('Dictionary Categories'!$A$2:$A$25,MATCH(F400,'Dictionary Categories'!$B$2:$B$25,0))</f>
        <v>7</v>
      </c>
      <c r="F400" s="159" t="s">
        <v>2480</v>
      </c>
      <c r="G400" s="164">
        <f>INDEX('Dictionary Subcategories'!$A$2:$A$70,MATCH(H400,'Dictionary Subcategories'!$B$2:$B$70,0))</f>
        <v>21</v>
      </c>
      <c r="H400" s="174" t="s">
        <v>2350</v>
      </c>
      <c r="I400" s="164"/>
      <c r="J400" s="164"/>
    </row>
    <row r="401" spans="1:10" ht="10.5" customHeight="1" x14ac:dyDescent="0.25">
      <c r="A401" s="172" t="str">
        <f>'ENIGHUR Consumption items'!H504</f>
        <v>05.6.1.103</v>
      </c>
      <c r="B401" s="172" t="str">
        <f>'ENIGHUR Consumption items'!J504</f>
        <v>Agujas de tejer, crochet</v>
      </c>
      <c r="C401" s="166">
        <v>146</v>
      </c>
      <c r="D401" s="167" t="str">
        <f>IFERROR(VLOOKUP(C401,'symmetric IOT 245 2012'!$C$6:$D$276,2,FALSE),"")</f>
        <v>Productos de plástico</v>
      </c>
      <c r="E401" s="159">
        <f>INDEX('Dictionary Categories'!$A$2:$A$25,MATCH(F401,'Dictionary Categories'!$B$2:$B$25,0))</f>
        <v>7</v>
      </c>
      <c r="F401" s="159" t="s">
        <v>2480</v>
      </c>
      <c r="G401" s="164">
        <f>INDEX('Dictionary Subcategories'!$A$2:$A$70,MATCH(H401,'Dictionary Subcategories'!$B$2:$B$70,0))</f>
        <v>21</v>
      </c>
      <c r="H401" s="174" t="s">
        <v>2350</v>
      </c>
      <c r="I401" s="164"/>
      <c r="J401" s="164"/>
    </row>
    <row r="402" spans="1:10" ht="10.5" customHeight="1" x14ac:dyDescent="0.25">
      <c r="A402" s="172" t="str">
        <f>'ENIGHUR Consumption items'!H505</f>
        <v>05.6.1.104</v>
      </c>
      <c r="B402" s="172" t="str">
        <f>'ENIGHUR Consumption items'!J505</f>
        <v>Alcoholes desnaturalizados</v>
      </c>
      <c r="C402" s="166">
        <v>142</v>
      </c>
      <c r="D402" s="167" t="str">
        <f>IFERROR(VLOOKUP(C402,'symmetric IOT 245 2012'!$C$6:$D$276,2,FALSE),"")</f>
        <v>Preparados para limpiar y pulir</v>
      </c>
      <c r="E402" s="159">
        <f>INDEX('Dictionary Categories'!$A$2:$A$25,MATCH(F402,'Dictionary Categories'!$B$2:$B$25,0))</f>
        <v>7</v>
      </c>
      <c r="F402" s="159" t="s">
        <v>2480</v>
      </c>
      <c r="G402" s="164">
        <f>INDEX('Dictionary Subcategories'!$A$2:$A$70,MATCH(H402,'Dictionary Subcategories'!$B$2:$B$70,0))</f>
        <v>21</v>
      </c>
      <c r="H402" s="174" t="s">
        <v>2350</v>
      </c>
      <c r="I402" s="164"/>
      <c r="J402" s="164"/>
    </row>
    <row r="403" spans="1:10" ht="10.5" customHeight="1" x14ac:dyDescent="0.25">
      <c r="A403" s="172" t="str">
        <f>'ENIGHUR Consumption items'!H506</f>
        <v>05.6.1.105</v>
      </c>
      <c r="B403" s="172" t="str">
        <f>'ENIGHUR Consumption items'!J506</f>
        <v>Alfileres</v>
      </c>
      <c r="C403" s="166">
        <v>157</v>
      </c>
      <c r="D403" s="167" t="str">
        <f>IFERROR(VLOOKUP(C403,'symmetric IOT 245 2012'!$C$6:$D$276,2,FALSE),"")</f>
        <v>Productos metálicos de uso doméstico</v>
      </c>
      <c r="E403" s="159">
        <f>INDEX('Dictionary Categories'!$A$2:$A$25,MATCH(F403,'Dictionary Categories'!$B$2:$B$25,0))</f>
        <v>7</v>
      </c>
      <c r="F403" s="159" t="s">
        <v>2480</v>
      </c>
      <c r="G403" s="164">
        <f>INDEX('Dictionary Subcategories'!$A$2:$A$70,MATCH(H403,'Dictionary Subcategories'!$B$2:$B$70,0))</f>
        <v>21</v>
      </c>
      <c r="H403" s="174" t="s">
        <v>2350</v>
      </c>
      <c r="I403" s="164"/>
      <c r="J403" s="164"/>
    </row>
    <row r="404" spans="1:10" ht="10.5" customHeight="1" x14ac:dyDescent="0.25">
      <c r="A404" s="172" t="str">
        <f>'ENIGHUR Consumption items'!H507</f>
        <v>05.6.1.106</v>
      </c>
      <c r="B404" s="172" t="str">
        <f>'ENIGHUR Consumption items'!J507</f>
        <v>Bolsa para aspiradora</v>
      </c>
      <c r="C404" s="166">
        <v>142</v>
      </c>
      <c r="D404" s="167" t="str">
        <f>IFERROR(VLOOKUP(C404,'symmetric IOT 245 2012'!$C$6:$D$276,2,FALSE),"")</f>
        <v>Preparados para limpiar y pulir</v>
      </c>
      <c r="E404" s="159">
        <f>INDEX('Dictionary Categories'!$A$2:$A$25,MATCH(F404,'Dictionary Categories'!$B$2:$B$25,0))</f>
        <v>7</v>
      </c>
      <c r="F404" s="159" t="s">
        <v>2480</v>
      </c>
      <c r="G404" s="164">
        <f>INDEX('Dictionary Subcategories'!$A$2:$A$70,MATCH(H404,'Dictionary Subcategories'!$B$2:$B$70,0))</f>
        <v>21</v>
      </c>
      <c r="H404" s="174" t="s">
        <v>2350</v>
      </c>
      <c r="I404" s="164"/>
      <c r="J404" s="164"/>
    </row>
    <row r="405" spans="1:10" ht="10.5" customHeight="1" x14ac:dyDescent="0.25">
      <c r="A405" s="172" t="str">
        <f>'ENIGHUR Consumption items'!H508</f>
        <v>05.6.1.107</v>
      </c>
      <c r="B405" s="172" t="str">
        <f>'ENIGHUR Consumption items'!J508</f>
        <v>Cepillo para lavar botellas</v>
      </c>
      <c r="C405" s="166">
        <v>142</v>
      </c>
      <c r="D405" s="167" t="str">
        <f>IFERROR(VLOOKUP(C405,'symmetric IOT 245 2012'!$C$6:$D$276,2,FALSE),"")</f>
        <v>Preparados para limpiar y pulir</v>
      </c>
      <c r="E405" s="159">
        <f>INDEX('Dictionary Categories'!$A$2:$A$25,MATCH(F405,'Dictionary Categories'!$B$2:$B$25,0))</f>
        <v>7</v>
      </c>
      <c r="F405" s="159" t="s">
        <v>2480</v>
      </c>
      <c r="G405" s="164">
        <f>INDEX('Dictionary Subcategories'!$A$2:$A$70,MATCH(H405,'Dictionary Subcategories'!$B$2:$B$70,0))</f>
        <v>21</v>
      </c>
      <c r="H405" s="174" t="s">
        <v>2350</v>
      </c>
      <c r="I405" s="164"/>
      <c r="J405" s="164"/>
    </row>
    <row r="406" spans="1:10" ht="10.5" customHeight="1" x14ac:dyDescent="0.25">
      <c r="A406" s="172" t="str">
        <f>'ENIGHUR Consumption items'!H509</f>
        <v>05.6.1.108</v>
      </c>
      <c r="B406" s="172" t="str">
        <f>'ENIGHUR Consumption items'!J509</f>
        <v>Cepillo para limpiar la ropa</v>
      </c>
      <c r="C406" s="166">
        <v>142</v>
      </c>
      <c r="D406" s="167" t="str">
        <f>IFERROR(VLOOKUP(C406,'symmetric IOT 245 2012'!$C$6:$D$276,2,FALSE),"")</f>
        <v>Preparados para limpiar y pulir</v>
      </c>
      <c r="E406" s="159">
        <f>INDEX('Dictionary Categories'!$A$2:$A$25,MATCH(F406,'Dictionary Categories'!$B$2:$B$25,0))</f>
        <v>7</v>
      </c>
      <c r="F406" s="159" t="s">
        <v>2480</v>
      </c>
      <c r="G406" s="164">
        <f>INDEX('Dictionary Subcategories'!$A$2:$A$70,MATCH(H406,'Dictionary Subcategories'!$B$2:$B$70,0))</f>
        <v>21</v>
      </c>
      <c r="H406" s="174" t="s">
        <v>2350</v>
      </c>
      <c r="I406" s="164"/>
      <c r="J406" s="164"/>
    </row>
    <row r="407" spans="1:10" ht="10.5" customHeight="1" x14ac:dyDescent="0.25">
      <c r="A407" s="172" t="str">
        <f>'ENIGHUR Consumption items'!H510</f>
        <v>05.6.1.109</v>
      </c>
      <c r="B407" s="172" t="str">
        <f>'ENIGHUR Consumption items'!J510</f>
        <v>Cepillo para restregar la ropa</v>
      </c>
      <c r="C407" s="166">
        <v>142</v>
      </c>
      <c r="D407" s="167" t="str">
        <f>IFERROR(VLOOKUP(C407,'symmetric IOT 245 2012'!$C$6:$D$276,2,FALSE),"")</f>
        <v>Preparados para limpiar y pulir</v>
      </c>
      <c r="E407" s="159">
        <f>INDEX('Dictionary Categories'!$A$2:$A$25,MATCH(F407,'Dictionary Categories'!$B$2:$B$25,0))</f>
        <v>7</v>
      </c>
      <c r="F407" s="159" t="s">
        <v>2480</v>
      </c>
      <c r="G407" s="164">
        <f>INDEX('Dictionary Subcategories'!$A$2:$A$70,MATCH(H407,'Dictionary Subcategories'!$B$2:$B$70,0))</f>
        <v>21</v>
      </c>
      <c r="H407" s="174" t="s">
        <v>2350</v>
      </c>
      <c r="I407" s="164"/>
      <c r="J407" s="164"/>
    </row>
    <row r="408" spans="1:10" ht="10.5" customHeight="1" x14ac:dyDescent="0.25">
      <c r="A408" s="172" t="str">
        <f>'ENIGHUR Consumption items'!H511</f>
        <v>05.6.1.110</v>
      </c>
      <c r="B408" s="172" t="str">
        <f>'ENIGHUR Consumption items'!J511</f>
        <v>Clavos, tornillos</v>
      </c>
      <c r="C408" s="166">
        <v>157</v>
      </c>
      <c r="D408" s="167" t="str">
        <f>IFERROR(VLOOKUP(C408,'symmetric IOT 245 2012'!$C$6:$D$276,2,FALSE),"")</f>
        <v>Productos metálicos de uso doméstico</v>
      </c>
      <c r="E408" s="159">
        <f>INDEX('Dictionary Categories'!$A$2:$A$25,MATCH(F408,'Dictionary Categories'!$B$2:$B$25,0))</f>
        <v>7</v>
      </c>
      <c r="F408" s="159" t="s">
        <v>2480</v>
      </c>
      <c r="G408" s="164">
        <f>INDEX('Dictionary Subcategories'!$A$2:$A$70,MATCH(H408,'Dictionary Subcategories'!$B$2:$B$70,0))</f>
        <v>21</v>
      </c>
      <c r="H408" s="174" t="s">
        <v>2350</v>
      </c>
      <c r="I408" s="164"/>
      <c r="J408" s="164"/>
    </row>
    <row r="409" spans="1:10" ht="10.5" customHeight="1" x14ac:dyDescent="0.25">
      <c r="A409" s="172" t="str">
        <f>'ENIGHUR Consumption items'!H512</f>
        <v>05.6.1.111</v>
      </c>
      <c r="B409" s="172" t="str">
        <f>'ENIGHUR Consumption items'!J512</f>
        <v>Colgadores</v>
      </c>
      <c r="C409" s="166">
        <v>146</v>
      </c>
      <c r="D409" s="167" t="str">
        <f>IFERROR(VLOOKUP(C409,'symmetric IOT 245 2012'!$C$6:$D$276,2,FALSE),"")</f>
        <v>Productos de plástico</v>
      </c>
      <c r="E409" s="159">
        <f>INDEX('Dictionary Categories'!$A$2:$A$25,MATCH(F409,'Dictionary Categories'!$B$2:$B$25,0))</f>
        <v>7</v>
      </c>
      <c r="F409" s="159" t="s">
        <v>2480</v>
      </c>
      <c r="G409" s="164">
        <f>INDEX('Dictionary Subcategories'!$A$2:$A$70,MATCH(H409,'Dictionary Subcategories'!$B$2:$B$70,0))</f>
        <v>21</v>
      </c>
      <c r="H409" s="174" t="s">
        <v>2350</v>
      </c>
      <c r="I409" s="164"/>
      <c r="J409" s="164"/>
    </row>
    <row r="410" spans="1:10" ht="10.5" customHeight="1" x14ac:dyDescent="0.25">
      <c r="A410" s="172" t="str">
        <f>'ENIGHUR Consumption items'!H513</f>
        <v>05.6.1.112</v>
      </c>
      <c r="B410" s="172" t="str">
        <f>'ENIGHUR Consumption items'!J513</f>
        <v>Cuerdas y cordeles</v>
      </c>
      <c r="C410" s="166">
        <v>116</v>
      </c>
      <c r="D410" s="167" t="str">
        <f>IFERROR(VLOOKUP(C410,'symmetric IOT 245 2012'!$C$6:$D$276,2,FALSE),"")</f>
        <v>Hilos e hilados de fibras textiles</v>
      </c>
      <c r="E410" s="159">
        <f>INDEX('Dictionary Categories'!$A$2:$A$25,MATCH(F410,'Dictionary Categories'!$B$2:$B$25,0))</f>
        <v>7</v>
      </c>
      <c r="F410" s="159" t="s">
        <v>2480</v>
      </c>
      <c r="G410" s="164">
        <f>INDEX('Dictionary Subcategories'!$A$2:$A$70,MATCH(H410,'Dictionary Subcategories'!$B$2:$B$70,0))</f>
        <v>21</v>
      </c>
      <c r="H410" s="174" t="s">
        <v>2350</v>
      </c>
      <c r="I410" s="164"/>
      <c r="J410" s="164"/>
    </row>
    <row r="411" spans="1:10" ht="10.5" customHeight="1" x14ac:dyDescent="0.25">
      <c r="A411" s="172" t="str">
        <f>'ENIGHUR Consumption items'!H514</f>
        <v>05.6.1.113</v>
      </c>
      <c r="B411" s="172" t="str">
        <f>'ENIGHUR Consumption items'!J514</f>
        <v>Dedal</v>
      </c>
      <c r="C411" s="166">
        <v>157</v>
      </c>
      <c r="D411" s="167" t="str">
        <f>IFERROR(VLOOKUP(C411,'symmetric IOT 245 2012'!$C$6:$D$276,2,FALSE),"")</f>
        <v>Productos metálicos de uso doméstico</v>
      </c>
      <c r="E411" s="159">
        <f>INDEX('Dictionary Categories'!$A$2:$A$25,MATCH(F411,'Dictionary Categories'!$B$2:$B$25,0))</f>
        <v>7</v>
      </c>
      <c r="F411" s="159" t="s">
        <v>2480</v>
      </c>
      <c r="G411" s="164">
        <f>INDEX('Dictionary Subcategories'!$A$2:$A$70,MATCH(H411,'Dictionary Subcategories'!$B$2:$B$70,0))</f>
        <v>21</v>
      </c>
      <c r="H411" s="174" t="s">
        <v>2350</v>
      </c>
      <c r="I411" s="164"/>
      <c r="J411" s="164"/>
    </row>
    <row r="412" spans="1:10" ht="10.5" customHeight="1" x14ac:dyDescent="0.25">
      <c r="A412" s="172" t="str">
        <f>'ENIGHUR Consumption items'!H515</f>
        <v>05.6.1.114</v>
      </c>
      <c r="B412" s="172" t="str">
        <f>'ENIGHUR Consumption items'!J515</f>
        <v>Escoba</v>
      </c>
      <c r="C412" s="166">
        <v>146</v>
      </c>
      <c r="D412" s="167" t="str">
        <f>IFERROR(VLOOKUP(C412,'symmetric IOT 245 2012'!$C$6:$D$276,2,FALSE),"")</f>
        <v>Productos de plástico</v>
      </c>
      <c r="E412" s="159">
        <f>INDEX('Dictionary Categories'!$A$2:$A$25,MATCH(F412,'Dictionary Categories'!$B$2:$B$25,0))</f>
        <v>7</v>
      </c>
      <c r="F412" s="159" t="s">
        <v>2480</v>
      </c>
      <c r="G412" s="164">
        <f>INDEX('Dictionary Subcategories'!$A$2:$A$70,MATCH(H412,'Dictionary Subcategories'!$B$2:$B$70,0))</f>
        <v>21</v>
      </c>
      <c r="H412" s="174" t="s">
        <v>2350</v>
      </c>
      <c r="I412" s="164"/>
      <c r="J412" s="164"/>
    </row>
    <row r="413" spans="1:10" ht="10.5" customHeight="1" x14ac:dyDescent="0.25">
      <c r="A413" s="172" t="str">
        <f>'ENIGHUR Consumption items'!H516</f>
        <v>05.6.1.115</v>
      </c>
      <c r="B413" s="172" t="str">
        <f>'ENIGHUR Consumption items'!J516</f>
        <v>Esponjas para el hogar (excepto del baño)</v>
      </c>
      <c r="C413" s="166">
        <v>143</v>
      </c>
      <c r="D413" s="167" t="str">
        <f>IFERROR(VLOOKUP(C413,'symmetric IOT 245 2012'!$C$6:$D$276,2,FALSE),"")</f>
        <v>Fibras sintéticas (textiles manufacturadas) y Otros productos químicos n.c.p.</v>
      </c>
      <c r="E413" s="159">
        <f>INDEX('Dictionary Categories'!$A$2:$A$25,MATCH(F413,'Dictionary Categories'!$B$2:$B$25,0))</f>
        <v>7</v>
      </c>
      <c r="F413" s="159" t="s">
        <v>2480</v>
      </c>
      <c r="G413" s="164">
        <f>INDEX('Dictionary Subcategories'!$A$2:$A$70,MATCH(H413,'Dictionary Subcategories'!$B$2:$B$70,0))</f>
        <v>21</v>
      </c>
      <c r="H413" s="174" t="s">
        <v>2350</v>
      </c>
      <c r="I413" s="164"/>
      <c r="J413" s="164"/>
    </row>
    <row r="414" spans="1:10" ht="10.5" customHeight="1" x14ac:dyDescent="0.25">
      <c r="A414" s="172" t="str">
        <f>'ENIGHUR Consumption items'!H517</f>
        <v>05.6.1.116</v>
      </c>
      <c r="B414" s="172" t="str">
        <f>'ENIGHUR Consumption items'!J517</f>
        <v>Estropajos de fibra o acero (rasqueteador de pisos)</v>
      </c>
      <c r="C414" s="166">
        <v>142</v>
      </c>
      <c r="D414" s="167" t="str">
        <f>IFERROR(VLOOKUP(C414,'symmetric IOT 245 2012'!$C$6:$D$276,2,FALSE),"")</f>
        <v>Preparados para limpiar y pulir</v>
      </c>
      <c r="E414" s="159">
        <f>INDEX('Dictionary Categories'!$A$2:$A$25,MATCH(F414,'Dictionary Categories'!$B$2:$B$25,0))</f>
        <v>7</v>
      </c>
      <c r="F414" s="159" t="s">
        <v>2480</v>
      </c>
      <c r="G414" s="164">
        <f>INDEX('Dictionary Subcategories'!$A$2:$A$70,MATCH(H414,'Dictionary Subcategories'!$B$2:$B$70,0))</f>
        <v>21</v>
      </c>
      <c r="H414" s="174" t="s">
        <v>2350</v>
      </c>
      <c r="I414" s="164"/>
      <c r="J414" s="164"/>
    </row>
    <row r="415" spans="1:10" ht="10.5" customHeight="1" x14ac:dyDescent="0.25">
      <c r="A415" s="172" t="str">
        <f>'ENIGHUR Consumption items'!H518</f>
        <v>05.6.1.117</v>
      </c>
      <c r="B415" s="172" t="str">
        <f>'ENIGHUR Consumption items'!J518</f>
        <v>Estropajos de fibra o acero de cocina color verde con esponja</v>
      </c>
      <c r="C415" s="166">
        <v>142</v>
      </c>
      <c r="D415" s="167" t="str">
        <f>IFERROR(VLOOKUP(C415,'symmetric IOT 245 2012'!$C$6:$D$276,2,FALSE),"")</f>
        <v>Preparados para limpiar y pulir</v>
      </c>
      <c r="E415" s="159">
        <f>INDEX('Dictionary Categories'!$A$2:$A$25,MATCH(F415,'Dictionary Categories'!$B$2:$B$25,0))</f>
        <v>7</v>
      </c>
      <c r="F415" s="159" t="s">
        <v>2480</v>
      </c>
      <c r="G415" s="164">
        <f>INDEX('Dictionary Subcategories'!$A$2:$A$70,MATCH(H415,'Dictionary Subcategories'!$B$2:$B$70,0))</f>
        <v>21</v>
      </c>
      <c r="H415" s="174" t="s">
        <v>2350</v>
      </c>
      <c r="I415" s="164"/>
      <c r="J415" s="164"/>
    </row>
    <row r="416" spans="1:10" ht="10.5" customHeight="1" x14ac:dyDescent="0.25">
      <c r="A416" s="172" t="str">
        <f>'ENIGHUR Consumption items'!H519</f>
        <v>05.6.1.118</v>
      </c>
      <c r="B416" s="172" t="str">
        <f>'ENIGHUR Consumption items'!J519</f>
        <v>Estropajos de fibra o acero de cocina color verde cortado</v>
      </c>
      <c r="C416" s="166">
        <v>142</v>
      </c>
      <c r="D416" s="167" t="str">
        <f>IFERROR(VLOOKUP(C416,'symmetric IOT 245 2012'!$C$6:$D$276,2,FALSE),"")</f>
        <v>Preparados para limpiar y pulir</v>
      </c>
      <c r="E416" s="159">
        <f>INDEX('Dictionary Categories'!$A$2:$A$25,MATCH(F416,'Dictionary Categories'!$B$2:$B$25,0))</f>
        <v>7</v>
      </c>
      <c r="F416" s="159" t="s">
        <v>2480</v>
      </c>
      <c r="G416" s="164">
        <f>INDEX('Dictionary Subcategories'!$A$2:$A$70,MATCH(H416,'Dictionary Subcategories'!$B$2:$B$70,0))</f>
        <v>21</v>
      </c>
      <c r="H416" s="174" t="s">
        <v>2350</v>
      </c>
      <c r="I416" s="164"/>
      <c r="J416" s="164"/>
    </row>
    <row r="417" spans="1:10" ht="10.5" customHeight="1" x14ac:dyDescent="0.25">
      <c r="A417" s="172" t="str">
        <f>'ENIGHUR Consumption items'!H520</f>
        <v>05.6.1.119</v>
      </c>
      <c r="B417" s="172" t="str">
        <f>'ENIGHUR Consumption items'!J520</f>
        <v>Extintores de incendios para los hogares</v>
      </c>
      <c r="C417" s="166">
        <v>157</v>
      </c>
      <c r="D417" s="167" t="str">
        <f>IFERROR(VLOOKUP(C417,'symmetric IOT 245 2012'!$C$6:$D$276,2,FALSE),"")</f>
        <v>Productos metálicos de uso doméstico</v>
      </c>
      <c r="E417" s="159">
        <f>INDEX('Dictionary Categories'!$A$2:$A$25,MATCH(F417,'Dictionary Categories'!$B$2:$B$25,0))</f>
        <v>7</v>
      </c>
      <c r="F417" s="159" t="s">
        <v>2480</v>
      </c>
      <c r="G417" s="164">
        <f>INDEX('Dictionary Subcategories'!$A$2:$A$70,MATCH(H417,'Dictionary Subcategories'!$B$2:$B$70,0))</f>
        <v>21</v>
      </c>
      <c r="H417" s="174" t="s">
        <v>2350</v>
      </c>
      <c r="I417" s="164"/>
      <c r="J417" s="164"/>
    </row>
    <row r="418" spans="1:10" ht="10.5" customHeight="1" x14ac:dyDescent="0.25">
      <c r="A418" s="172" t="str">
        <f>'ENIGHUR Consumption items'!H521</f>
        <v>05.6.1.120</v>
      </c>
      <c r="B418" s="172" t="str">
        <f>'ENIGHUR Consumption items'!J521</f>
        <v>Filtros de papel</v>
      </c>
      <c r="C418" s="166">
        <v>127</v>
      </c>
      <c r="D418" s="167" t="str">
        <f>IFERROR(VLOOKUP(C418,'symmetric IOT 245 2012'!$C$6:$D$276,2,FALSE),"")</f>
        <v xml:space="preserve">Pasta de papel y Papel y cartón </v>
      </c>
      <c r="E418" s="159">
        <f>INDEX('Dictionary Categories'!$A$2:$A$25,MATCH(F418,'Dictionary Categories'!$B$2:$B$25,0))</f>
        <v>7</v>
      </c>
      <c r="F418" s="159" t="s">
        <v>2480</v>
      </c>
      <c r="G418" s="164">
        <f>INDEX('Dictionary Subcategories'!$A$2:$A$70,MATCH(H418,'Dictionary Subcategories'!$B$2:$B$70,0))</f>
        <v>21</v>
      </c>
      <c r="H418" s="174" t="s">
        <v>2350</v>
      </c>
      <c r="I418" s="164"/>
      <c r="J418" s="164"/>
    </row>
    <row r="419" spans="1:10" ht="10.5" customHeight="1" x14ac:dyDescent="0.25">
      <c r="A419" s="172" t="str">
        <f>'ENIGHUR Consumption items'!H522</f>
        <v>05.6.1.121</v>
      </c>
      <c r="B419" s="172" t="str">
        <f>'ENIGHUR Consumption items'!J522</f>
        <v>Fósforos</v>
      </c>
      <c r="C419" s="166">
        <v>129</v>
      </c>
      <c r="D419" s="167" t="str">
        <f>IFERROR(VLOOKUP(C419,'symmetric IOT 245 2012'!$C$6:$D$276,2,FALSE),"")</f>
        <v>Productos editoriales imprentas y otros productos n.c.p.</v>
      </c>
      <c r="E419" s="159">
        <f>INDEX('Dictionary Categories'!$A$2:$A$25,MATCH(F419,'Dictionary Categories'!$B$2:$B$25,0))</f>
        <v>7</v>
      </c>
      <c r="F419" s="159" t="s">
        <v>2480</v>
      </c>
      <c r="G419" s="164">
        <f>INDEX('Dictionary Subcategories'!$A$2:$A$70,MATCH(H419,'Dictionary Subcategories'!$B$2:$B$70,0))</f>
        <v>21</v>
      </c>
      <c r="H419" s="174" t="s">
        <v>2350</v>
      </c>
      <c r="I419" s="164"/>
      <c r="J419" s="164"/>
    </row>
    <row r="420" spans="1:10" ht="10.5" customHeight="1" x14ac:dyDescent="0.25">
      <c r="A420" s="172" t="str">
        <f>'ENIGHUR Consumption items'!H523</f>
        <v>05.6.1.122</v>
      </c>
      <c r="B420" s="172" t="str">
        <f>'ENIGHUR Consumption items'!J523</f>
        <v>Fundas para la basura</v>
      </c>
      <c r="C420" s="166">
        <v>146</v>
      </c>
      <c r="D420" s="167" t="str">
        <f>IFERROR(VLOOKUP(C420,'symmetric IOT 245 2012'!$C$6:$D$276,2,FALSE),"")</f>
        <v>Productos de plástico</v>
      </c>
      <c r="E420" s="159">
        <f>INDEX('Dictionary Categories'!$A$2:$A$25,MATCH(F420,'Dictionary Categories'!$B$2:$B$25,0))</f>
        <v>7</v>
      </c>
      <c r="F420" s="159" t="s">
        <v>2480</v>
      </c>
      <c r="G420" s="164">
        <f>INDEX('Dictionary Subcategories'!$A$2:$A$70,MATCH(H420,'Dictionary Subcategories'!$B$2:$B$70,0))</f>
        <v>21</v>
      </c>
      <c r="H420" s="174" t="s">
        <v>2350</v>
      </c>
      <c r="I420" s="164"/>
      <c r="J420" s="164"/>
    </row>
    <row r="421" spans="1:10" ht="10.5" customHeight="1" x14ac:dyDescent="0.25">
      <c r="A421" s="172" t="str">
        <f>'ENIGHUR Consumption items'!H524</f>
        <v>05.6.1.123</v>
      </c>
      <c r="B421" s="172" t="str">
        <f>'ENIGHUR Consumption items'!J524</f>
        <v>Gamuzas quita polvo</v>
      </c>
      <c r="C421" s="166">
        <v>143</v>
      </c>
      <c r="D421" s="167" t="str">
        <f>IFERROR(VLOOKUP(C421,'symmetric IOT 245 2012'!$C$6:$D$276,2,FALSE),"")</f>
        <v>Fibras sintéticas (textiles manufacturadas) y Otros productos químicos n.c.p.</v>
      </c>
      <c r="E421" s="159">
        <f>INDEX('Dictionary Categories'!$A$2:$A$25,MATCH(F421,'Dictionary Categories'!$B$2:$B$25,0))</f>
        <v>7</v>
      </c>
      <c r="F421" s="159" t="s">
        <v>2480</v>
      </c>
      <c r="G421" s="164">
        <f>INDEX('Dictionary Subcategories'!$A$2:$A$70,MATCH(H421,'Dictionary Subcategories'!$B$2:$B$70,0))</f>
        <v>21</v>
      </c>
      <c r="H421" s="174" t="s">
        <v>2350</v>
      </c>
      <c r="I421" s="164"/>
      <c r="J421" s="164"/>
    </row>
    <row r="422" spans="1:10" ht="10.5" customHeight="1" x14ac:dyDescent="0.25">
      <c r="A422" s="172" t="str">
        <f>'ENIGHUR Consumption items'!H525</f>
        <v>05.6.1.124</v>
      </c>
      <c r="B422" s="172" t="str">
        <f>'ENIGHUR Consumption items'!J525</f>
        <v>Guantes de goma para uso doméstico</v>
      </c>
      <c r="C422" s="166">
        <v>143</v>
      </c>
      <c r="D422" s="167" t="str">
        <f>IFERROR(VLOOKUP(C422,'symmetric IOT 245 2012'!$C$6:$D$276,2,FALSE),"")</f>
        <v>Fibras sintéticas (textiles manufacturadas) y Otros productos químicos n.c.p.</v>
      </c>
      <c r="E422" s="159">
        <f>INDEX('Dictionary Categories'!$A$2:$A$25,MATCH(F422,'Dictionary Categories'!$B$2:$B$25,0))</f>
        <v>7</v>
      </c>
      <c r="F422" s="159" t="s">
        <v>2480</v>
      </c>
      <c r="G422" s="164">
        <f>INDEX('Dictionary Subcategories'!$A$2:$A$70,MATCH(H422,'Dictionary Subcategories'!$B$2:$B$70,0))</f>
        <v>21</v>
      </c>
      <c r="H422" s="174" t="s">
        <v>2350</v>
      </c>
      <c r="I422" s="164"/>
      <c r="J422" s="164"/>
    </row>
    <row r="423" spans="1:10" ht="10.5" customHeight="1" x14ac:dyDescent="0.25">
      <c r="A423" s="172" t="str">
        <f>'ENIGHUR Consumption items'!H526</f>
        <v>05.6.1.125</v>
      </c>
      <c r="B423" s="172" t="str">
        <f>'ENIGHUR Consumption items'!J526</f>
        <v>Imperdibles</v>
      </c>
      <c r="C423" s="166">
        <v>157</v>
      </c>
      <c r="D423" s="167" t="str">
        <f>IFERROR(VLOOKUP(C423,'symmetric IOT 245 2012'!$C$6:$D$276,2,FALSE),"")</f>
        <v>Productos metálicos de uso doméstico</v>
      </c>
      <c r="E423" s="159">
        <f>INDEX('Dictionary Categories'!$A$2:$A$25,MATCH(F423,'Dictionary Categories'!$B$2:$B$25,0))</f>
        <v>7</v>
      </c>
      <c r="F423" s="159" t="s">
        <v>2480</v>
      </c>
      <c r="G423" s="164">
        <f>INDEX('Dictionary Subcategories'!$A$2:$A$70,MATCH(H423,'Dictionary Subcategories'!$B$2:$B$70,0))</f>
        <v>21</v>
      </c>
      <c r="H423" s="174" t="s">
        <v>2350</v>
      </c>
      <c r="I423" s="164"/>
      <c r="J423" s="164"/>
    </row>
    <row r="424" spans="1:10" ht="10.5" customHeight="1" x14ac:dyDescent="0.25">
      <c r="A424" s="172" t="str">
        <f>'ENIGHUR Consumption items'!H527</f>
        <v>05.6.1.126</v>
      </c>
      <c r="B424" s="172" t="str">
        <f>'ENIGHUR Consumption items'!J527</f>
        <v>Mantel de plástico</v>
      </c>
      <c r="C424" s="166">
        <v>146</v>
      </c>
      <c r="D424" s="167" t="str">
        <f>IFERROR(VLOOKUP(C424,'symmetric IOT 245 2012'!$C$6:$D$276,2,FALSE),"")</f>
        <v>Productos de plástico</v>
      </c>
      <c r="E424" s="159">
        <f>INDEX('Dictionary Categories'!$A$2:$A$25,MATCH(F424,'Dictionary Categories'!$B$2:$B$25,0))</f>
        <v>7</v>
      </c>
      <c r="F424" s="159" t="s">
        <v>2480</v>
      </c>
      <c r="G424" s="164">
        <f>INDEX('Dictionary Subcategories'!$A$2:$A$70,MATCH(H424,'Dictionary Subcategories'!$B$2:$B$70,0))</f>
        <v>21</v>
      </c>
      <c r="H424" s="174" t="s">
        <v>2350</v>
      </c>
      <c r="I424" s="164"/>
      <c r="J424" s="164"/>
    </row>
    <row r="425" spans="1:10" ht="10.5" customHeight="1" x14ac:dyDescent="0.25">
      <c r="A425" s="172" t="str">
        <f>'ENIGHUR Consumption items'!H528</f>
        <v>05.6.1.127</v>
      </c>
      <c r="B425" s="172" t="str">
        <f>'ENIGHUR Consumption items'!J528</f>
        <v>Mechas para lámparas</v>
      </c>
      <c r="C425" s="166">
        <v>116</v>
      </c>
      <c r="D425" s="167" t="str">
        <f>IFERROR(VLOOKUP(C425,'symmetric IOT 245 2012'!$C$6:$D$276,2,FALSE),"")</f>
        <v>Hilos e hilados de fibras textiles</v>
      </c>
      <c r="E425" s="159">
        <f>INDEX('Dictionary Categories'!$A$2:$A$25,MATCH(F425,'Dictionary Categories'!$B$2:$B$25,0))</f>
        <v>7</v>
      </c>
      <c r="F425" s="159" t="s">
        <v>2480</v>
      </c>
      <c r="G425" s="164">
        <f>INDEX('Dictionary Subcategories'!$A$2:$A$70,MATCH(H425,'Dictionary Subcategories'!$B$2:$B$70,0))</f>
        <v>21</v>
      </c>
      <c r="H425" s="174" t="s">
        <v>2350</v>
      </c>
      <c r="I425" s="164"/>
      <c r="J425" s="164"/>
    </row>
    <row r="426" spans="1:10" ht="10.5" customHeight="1" x14ac:dyDescent="0.25">
      <c r="A426" s="172" t="str">
        <f>'ENIGHUR Consumption items'!H529</f>
        <v>05.6.1.128</v>
      </c>
      <c r="B426" s="172" t="str">
        <f>'ENIGHUR Consumption items'!J529</f>
        <v>Pala, recogedor de basura de metal</v>
      </c>
      <c r="C426" s="166">
        <v>157</v>
      </c>
      <c r="D426" s="167" t="str">
        <f>IFERROR(VLOOKUP(C426,'symmetric IOT 245 2012'!$C$6:$D$276,2,FALSE),"")</f>
        <v>Productos metálicos de uso doméstico</v>
      </c>
      <c r="E426" s="159">
        <f>INDEX('Dictionary Categories'!$A$2:$A$25,MATCH(F426,'Dictionary Categories'!$B$2:$B$25,0))</f>
        <v>7</v>
      </c>
      <c r="F426" s="159" t="s">
        <v>2480</v>
      </c>
      <c r="G426" s="164">
        <f>INDEX('Dictionary Subcategories'!$A$2:$A$70,MATCH(H426,'Dictionary Subcategories'!$B$2:$B$70,0))</f>
        <v>21</v>
      </c>
      <c r="H426" s="174" t="s">
        <v>2350</v>
      </c>
      <c r="I426" s="164"/>
      <c r="J426" s="164"/>
    </row>
    <row r="427" spans="1:10" ht="10.5" customHeight="1" x14ac:dyDescent="0.25">
      <c r="A427" s="172" t="str">
        <f>'ENIGHUR Consumption items'!H530</f>
        <v>05.6.1.129</v>
      </c>
      <c r="B427" s="172" t="str">
        <f>'ENIGHUR Consumption items'!J530</f>
        <v>Pala, recogedor de basura plástico</v>
      </c>
      <c r="C427" s="166">
        <v>146</v>
      </c>
      <c r="D427" s="167" t="str">
        <f>IFERROR(VLOOKUP(C427,'symmetric IOT 245 2012'!$C$6:$D$276,2,FALSE),"")</f>
        <v>Productos de plástico</v>
      </c>
      <c r="E427" s="159">
        <f>INDEX('Dictionary Categories'!$A$2:$A$25,MATCH(F427,'Dictionary Categories'!$B$2:$B$25,0))</f>
        <v>7</v>
      </c>
      <c r="F427" s="159" t="s">
        <v>2480</v>
      </c>
      <c r="G427" s="164">
        <f>INDEX('Dictionary Subcategories'!$A$2:$A$70,MATCH(H427,'Dictionary Subcategories'!$B$2:$B$70,0))</f>
        <v>21</v>
      </c>
      <c r="H427" s="174" t="s">
        <v>2350</v>
      </c>
      <c r="I427" s="164"/>
      <c r="J427" s="164"/>
    </row>
    <row r="428" spans="1:10" ht="10.5" customHeight="1" x14ac:dyDescent="0.25">
      <c r="A428" s="172" t="str">
        <f>'ENIGHUR Consumption items'!H531</f>
        <v>05.6.1.130</v>
      </c>
      <c r="B428" s="172" t="str">
        <f>'ENIGHUR Consumption items'!J531</f>
        <v>Palillos para dientes</v>
      </c>
      <c r="C428" s="166">
        <v>129</v>
      </c>
      <c r="D428" s="167" t="str">
        <f>IFERROR(VLOOKUP(C428,'symmetric IOT 245 2012'!$C$6:$D$276,2,FALSE),"")</f>
        <v>Productos editoriales imprentas y otros productos n.c.p.</v>
      </c>
      <c r="E428" s="159">
        <f>INDEX('Dictionary Categories'!$A$2:$A$25,MATCH(F428,'Dictionary Categories'!$B$2:$B$25,0))</f>
        <v>7</v>
      </c>
      <c r="F428" s="159" t="s">
        <v>2480</v>
      </c>
      <c r="G428" s="164">
        <f>INDEX('Dictionary Subcategories'!$A$2:$A$70,MATCH(H428,'Dictionary Subcategories'!$B$2:$B$70,0))</f>
        <v>21</v>
      </c>
      <c r="H428" s="174" t="s">
        <v>2350</v>
      </c>
      <c r="I428" s="164"/>
      <c r="J428" s="164"/>
    </row>
    <row r="429" spans="1:10" ht="10.5" customHeight="1" x14ac:dyDescent="0.25">
      <c r="A429" s="172" t="str">
        <f>'ENIGHUR Consumption items'!H532</f>
        <v>05.6.1.131</v>
      </c>
      <c r="B429" s="172" t="str">
        <f>'ENIGHUR Consumption items'!J532</f>
        <v>Palillos para pinchos</v>
      </c>
      <c r="C429" s="166">
        <v>129</v>
      </c>
      <c r="D429" s="167" t="str">
        <f>IFERROR(VLOOKUP(C429,'symmetric IOT 245 2012'!$C$6:$D$276,2,FALSE),"")</f>
        <v>Productos editoriales imprentas y otros productos n.c.p.</v>
      </c>
      <c r="E429" s="159">
        <f>INDEX('Dictionary Categories'!$A$2:$A$25,MATCH(F429,'Dictionary Categories'!$B$2:$B$25,0))</f>
        <v>7</v>
      </c>
      <c r="F429" s="159" t="s">
        <v>2480</v>
      </c>
      <c r="G429" s="164">
        <f>INDEX('Dictionary Subcategories'!$A$2:$A$70,MATCH(H429,'Dictionary Subcategories'!$B$2:$B$70,0))</f>
        <v>21</v>
      </c>
      <c r="H429" s="174" t="s">
        <v>2350</v>
      </c>
      <c r="I429" s="164"/>
      <c r="J429" s="164"/>
    </row>
    <row r="430" spans="1:10" ht="10.5" customHeight="1" x14ac:dyDescent="0.25">
      <c r="A430" s="172" t="str">
        <f>'ENIGHUR Consumption items'!H533</f>
        <v>05.6.1.132</v>
      </c>
      <c r="B430" s="172" t="str">
        <f>'ENIGHUR Consumption items'!J533</f>
        <v>Paños o limpiones de cocina</v>
      </c>
      <c r="C430" s="166">
        <v>143</v>
      </c>
      <c r="D430" s="167" t="str">
        <f>IFERROR(VLOOKUP(C430,'symmetric IOT 245 2012'!$C$6:$D$276,2,FALSE),"")</f>
        <v>Fibras sintéticas (textiles manufacturadas) y Otros productos químicos n.c.p.</v>
      </c>
      <c r="E430" s="159">
        <f>INDEX('Dictionary Categories'!$A$2:$A$25,MATCH(F430,'Dictionary Categories'!$B$2:$B$25,0))</f>
        <v>7</v>
      </c>
      <c r="F430" s="159" t="s">
        <v>2480</v>
      </c>
      <c r="G430" s="164">
        <f>INDEX('Dictionary Subcategories'!$A$2:$A$70,MATCH(H430,'Dictionary Subcategories'!$B$2:$B$70,0))</f>
        <v>21</v>
      </c>
      <c r="H430" s="174" t="s">
        <v>2350</v>
      </c>
      <c r="I430" s="164"/>
      <c r="J430" s="164"/>
    </row>
    <row r="431" spans="1:10" ht="10.5" customHeight="1" x14ac:dyDescent="0.25">
      <c r="A431" s="172" t="str">
        <f>'ENIGHUR Consumption items'!H534</f>
        <v>05.6.1.133</v>
      </c>
      <c r="B431" s="172" t="str">
        <f>'ENIGHUR Consumption items'!J534</f>
        <v>Papel absorbente</v>
      </c>
      <c r="C431" s="166">
        <v>127</v>
      </c>
      <c r="D431" s="167" t="str">
        <f>IFERROR(VLOOKUP(C431,'symmetric IOT 245 2012'!$C$6:$D$276,2,FALSE),"")</f>
        <v xml:space="preserve">Pasta de papel y Papel y cartón </v>
      </c>
      <c r="E431" s="159">
        <f>INDEX('Dictionary Categories'!$A$2:$A$25,MATCH(F431,'Dictionary Categories'!$B$2:$B$25,0))</f>
        <v>7</v>
      </c>
      <c r="F431" s="159" t="s">
        <v>2480</v>
      </c>
      <c r="G431" s="164">
        <f>INDEX('Dictionary Subcategories'!$A$2:$A$70,MATCH(H431,'Dictionary Subcategories'!$B$2:$B$70,0))</f>
        <v>21</v>
      </c>
      <c r="H431" s="174" t="s">
        <v>2350</v>
      </c>
      <c r="I431" s="164"/>
      <c r="J431" s="164"/>
    </row>
    <row r="432" spans="1:10" ht="10.5" customHeight="1" x14ac:dyDescent="0.25">
      <c r="A432" s="172" t="str">
        <f>'ENIGHUR Consumption items'!H535</f>
        <v>05.6.1.134</v>
      </c>
      <c r="B432" s="172" t="str">
        <f>'ENIGHUR Consumption items'!J535</f>
        <v>Papel aluminio y revestimientos</v>
      </c>
      <c r="C432" s="166">
        <v>157</v>
      </c>
      <c r="D432" s="167" t="str">
        <f>IFERROR(VLOOKUP(C432,'symmetric IOT 245 2012'!$C$6:$D$276,2,FALSE),"")</f>
        <v>Productos metálicos de uso doméstico</v>
      </c>
      <c r="E432" s="159">
        <f>INDEX('Dictionary Categories'!$A$2:$A$25,MATCH(F432,'Dictionary Categories'!$B$2:$B$25,0))</f>
        <v>7</v>
      </c>
      <c r="F432" s="159" t="s">
        <v>2480</v>
      </c>
      <c r="G432" s="164">
        <f>INDEX('Dictionary Subcategories'!$A$2:$A$70,MATCH(H432,'Dictionary Subcategories'!$B$2:$B$70,0))</f>
        <v>21</v>
      </c>
      <c r="H432" s="174" t="s">
        <v>2350</v>
      </c>
      <c r="I432" s="164"/>
      <c r="J432" s="164"/>
    </row>
    <row r="433" spans="1:10" ht="10.5" customHeight="1" x14ac:dyDescent="0.25">
      <c r="A433" s="172" t="str">
        <f>'ENIGHUR Consumption items'!H536</f>
        <v>05.6.1.135</v>
      </c>
      <c r="B433" s="172" t="str">
        <f>'ENIGHUR Consumption items'!J536</f>
        <v>Papel encerado</v>
      </c>
      <c r="C433" s="166">
        <v>127</v>
      </c>
      <c r="D433" s="167" t="str">
        <f>IFERROR(VLOOKUP(C433,'symmetric IOT 245 2012'!$C$6:$D$276,2,FALSE),"")</f>
        <v xml:space="preserve">Pasta de papel y Papel y cartón </v>
      </c>
      <c r="E433" s="159">
        <f>INDEX('Dictionary Categories'!$A$2:$A$25,MATCH(F433,'Dictionary Categories'!$B$2:$B$25,0))</f>
        <v>7</v>
      </c>
      <c r="F433" s="159" t="s">
        <v>2480</v>
      </c>
      <c r="G433" s="164">
        <f>INDEX('Dictionary Subcategories'!$A$2:$A$70,MATCH(H433,'Dictionary Subcategories'!$B$2:$B$70,0))</f>
        <v>21</v>
      </c>
      <c r="H433" s="174" t="s">
        <v>2350</v>
      </c>
      <c r="I433" s="164"/>
      <c r="J433" s="164"/>
    </row>
    <row r="434" spans="1:10" ht="10.5" customHeight="1" x14ac:dyDescent="0.25">
      <c r="A434" s="172" t="str">
        <f>'ENIGHUR Consumption items'!H537</f>
        <v>05.6.1.136</v>
      </c>
      <c r="B434" s="172" t="str">
        <f>'ENIGHUR Consumption items'!J537</f>
        <v>Perchas</v>
      </c>
      <c r="C434" s="166">
        <v>157</v>
      </c>
      <c r="D434" s="167" t="str">
        <f>IFERROR(VLOOKUP(C434,'symmetric IOT 245 2012'!$C$6:$D$276,2,FALSE),"")</f>
        <v>Productos metálicos de uso doméstico</v>
      </c>
      <c r="E434" s="159">
        <f>INDEX('Dictionary Categories'!$A$2:$A$25,MATCH(F434,'Dictionary Categories'!$B$2:$B$25,0))</f>
        <v>7</v>
      </c>
      <c r="F434" s="159" t="s">
        <v>2480</v>
      </c>
      <c r="G434" s="164">
        <f>INDEX('Dictionary Subcategories'!$A$2:$A$70,MATCH(H434,'Dictionary Subcategories'!$B$2:$B$70,0))</f>
        <v>21</v>
      </c>
      <c r="H434" s="174" t="s">
        <v>2350</v>
      </c>
      <c r="I434" s="164"/>
      <c r="J434" s="164"/>
    </row>
    <row r="435" spans="1:10" ht="10.5" customHeight="1" x14ac:dyDescent="0.25">
      <c r="A435" s="172" t="str">
        <f>'ENIGHUR Consumption items'!H538</f>
        <v>05.6.1.137</v>
      </c>
      <c r="B435" s="172" t="str">
        <f>'ENIGHUR Consumption items'!J538</f>
        <v>Perchas adhesivas</v>
      </c>
      <c r="C435" s="166">
        <v>146</v>
      </c>
      <c r="D435" s="167" t="str">
        <f>IFERROR(VLOOKUP(C435,'symmetric IOT 245 2012'!$C$6:$D$276,2,FALSE),"")</f>
        <v>Productos de plástico</v>
      </c>
      <c r="E435" s="159">
        <f>INDEX('Dictionary Categories'!$A$2:$A$25,MATCH(F435,'Dictionary Categories'!$B$2:$B$25,0))</f>
        <v>7</v>
      </c>
      <c r="F435" s="159" t="s">
        <v>2480</v>
      </c>
      <c r="G435" s="164">
        <f>INDEX('Dictionary Subcategories'!$A$2:$A$70,MATCH(H435,'Dictionary Subcategories'!$B$2:$B$70,0))</f>
        <v>21</v>
      </c>
      <c r="H435" s="174" t="s">
        <v>2350</v>
      </c>
      <c r="I435" s="164"/>
      <c r="J435" s="164"/>
    </row>
    <row r="436" spans="1:10" ht="10.5" customHeight="1" x14ac:dyDescent="0.25">
      <c r="A436" s="172" t="str">
        <f>'ENIGHUR Consumption items'!H539</f>
        <v>05.6.1.138</v>
      </c>
      <c r="B436" s="172" t="str">
        <f>'ENIGHUR Consumption items'!J539</f>
        <v>Pinzas para ropa</v>
      </c>
      <c r="C436" s="166">
        <v>146</v>
      </c>
      <c r="D436" s="167" t="str">
        <f>IFERROR(VLOOKUP(C436,'symmetric IOT 245 2012'!$C$6:$D$276,2,FALSE),"")</f>
        <v>Productos de plástico</v>
      </c>
      <c r="E436" s="159">
        <f>INDEX('Dictionary Categories'!$A$2:$A$25,MATCH(F436,'Dictionary Categories'!$B$2:$B$25,0))</f>
        <v>7</v>
      </c>
      <c r="F436" s="159" t="s">
        <v>2480</v>
      </c>
      <c r="G436" s="164">
        <f>INDEX('Dictionary Subcategories'!$A$2:$A$70,MATCH(H436,'Dictionary Subcategories'!$B$2:$B$70,0))</f>
        <v>21</v>
      </c>
      <c r="H436" s="174" t="s">
        <v>2350</v>
      </c>
      <c r="I436" s="164"/>
      <c r="J436" s="164"/>
    </row>
    <row r="437" spans="1:10" ht="10.5" customHeight="1" x14ac:dyDescent="0.25">
      <c r="A437" s="172" t="str">
        <f>'ENIGHUR Consumption items'!H540</f>
        <v>05.6.1.139</v>
      </c>
      <c r="B437" s="172" t="str">
        <f>'ENIGHUR Consumption items'!J540</f>
        <v>Plumeros</v>
      </c>
      <c r="C437" s="166">
        <v>157</v>
      </c>
      <c r="D437" s="167" t="str">
        <f>IFERROR(VLOOKUP(C437,'symmetric IOT 245 2012'!$C$6:$D$276,2,FALSE),"")</f>
        <v>Productos metálicos de uso doméstico</v>
      </c>
      <c r="E437" s="159">
        <f>INDEX('Dictionary Categories'!$A$2:$A$25,MATCH(F437,'Dictionary Categories'!$B$2:$B$25,0))</f>
        <v>7</v>
      </c>
      <c r="F437" s="159" t="s">
        <v>2480</v>
      </c>
      <c r="G437" s="164">
        <f>INDEX('Dictionary Subcategories'!$A$2:$A$70,MATCH(H437,'Dictionary Subcategories'!$B$2:$B$70,0))</f>
        <v>21</v>
      </c>
      <c r="H437" s="174" t="s">
        <v>2350</v>
      </c>
      <c r="I437" s="164"/>
      <c r="J437" s="164"/>
    </row>
    <row r="438" spans="1:10" ht="10.5" customHeight="1" x14ac:dyDescent="0.25">
      <c r="A438" s="172" t="str">
        <f>'ENIGHUR Consumption items'!H541</f>
        <v>05.6.1.140</v>
      </c>
      <c r="B438" s="172" t="str">
        <f>'ENIGHUR Consumption items'!J541</f>
        <v>Servilletas de papel</v>
      </c>
      <c r="C438" s="166">
        <v>127</v>
      </c>
      <c r="D438" s="167" t="str">
        <f>IFERROR(VLOOKUP(C438,'symmetric IOT 245 2012'!$C$6:$D$276,2,FALSE),"")</f>
        <v xml:space="preserve">Pasta de papel y Papel y cartón </v>
      </c>
      <c r="E438" s="159">
        <f>INDEX('Dictionary Categories'!$A$2:$A$25,MATCH(F438,'Dictionary Categories'!$B$2:$B$25,0))</f>
        <v>7</v>
      </c>
      <c r="F438" s="159" t="s">
        <v>2480</v>
      </c>
      <c r="G438" s="164">
        <f>INDEX('Dictionary Subcategories'!$A$2:$A$70,MATCH(H438,'Dictionary Subcategories'!$B$2:$B$70,0))</f>
        <v>21</v>
      </c>
      <c r="H438" s="174" t="s">
        <v>2350</v>
      </c>
      <c r="I438" s="164"/>
      <c r="J438" s="164"/>
    </row>
    <row r="439" spans="1:10" ht="10.5" customHeight="1" x14ac:dyDescent="0.25">
      <c r="A439" s="172" t="str">
        <f>'ENIGHUR Consumption items'!H542</f>
        <v>05.6.1.141</v>
      </c>
      <c r="B439" s="172" t="str">
        <f>'ENIGHUR Consumption items'!J542</f>
        <v>Tachuelas, arandelas, remaches para el hogar</v>
      </c>
      <c r="C439" s="166">
        <v>157</v>
      </c>
      <c r="D439" s="167" t="str">
        <f>IFERROR(VLOOKUP(C439,'symmetric IOT 245 2012'!$C$6:$D$276,2,FALSE),"")</f>
        <v>Productos metálicos de uso doméstico</v>
      </c>
      <c r="E439" s="159">
        <f>INDEX('Dictionary Categories'!$A$2:$A$25,MATCH(F439,'Dictionary Categories'!$B$2:$B$25,0))</f>
        <v>7</v>
      </c>
      <c r="F439" s="159" t="s">
        <v>2480</v>
      </c>
      <c r="G439" s="164">
        <f>INDEX('Dictionary Subcategories'!$A$2:$A$70,MATCH(H439,'Dictionary Subcategories'!$B$2:$B$70,0))</f>
        <v>21</v>
      </c>
      <c r="H439" s="174" t="s">
        <v>2350</v>
      </c>
      <c r="I439" s="164"/>
      <c r="J439" s="164"/>
    </row>
    <row r="440" spans="1:10" ht="10.5" customHeight="1" x14ac:dyDescent="0.25">
      <c r="A440" s="172" t="str">
        <f>'ENIGHUR Consumption items'!H543</f>
        <v>05.6.1.142</v>
      </c>
      <c r="B440" s="172" t="str">
        <f>'ENIGHUR Consumption items'!J543</f>
        <v>Tazas y platos desechables</v>
      </c>
      <c r="C440" s="166">
        <v>146</v>
      </c>
      <c r="D440" s="167" t="str">
        <f>IFERROR(VLOOKUP(C440,'symmetric IOT 245 2012'!$C$6:$D$276,2,FALSE),"")</f>
        <v>Productos de plástico</v>
      </c>
      <c r="E440" s="159">
        <f>INDEX('Dictionary Categories'!$A$2:$A$25,MATCH(F440,'Dictionary Categories'!$B$2:$B$25,0))</f>
        <v>7</v>
      </c>
      <c r="F440" s="159" t="s">
        <v>2480</v>
      </c>
      <c r="G440" s="164">
        <f>INDEX('Dictionary Subcategories'!$A$2:$A$70,MATCH(H440,'Dictionary Subcategories'!$B$2:$B$70,0))</f>
        <v>21</v>
      </c>
      <c r="H440" s="174" t="s">
        <v>2350</v>
      </c>
      <c r="I440" s="164"/>
      <c r="J440" s="164"/>
    </row>
    <row r="441" spans="1:10" ht="10.5" customHeight="1" x14ac:dyDescent="0.25">
      <c r="A441" s="172" t="str">
        <f>'ENIGHUR Consumption items'!H544</f>
        <v>05.6.1.143</v>
      </c>
      <c r="B441" s="172" t="str">
        <f>'ENIGHUR Consumption items'!J544</f>
        <v>Tijeras de costura</v>
      </c>
      <c r="C441" s="166">
        <v>157</v>
      </c>
      <c r="D441" s="167" t="str">
        <f>IFERROR(VLOOKUP(C441,'symmetric IOT 245 2012'!$C$6:$D$276,2,FALSE),"")</f>
        <v>Productos metálicos de uso doméstico</v>
      </c>
      <c r="E441" s="159">
        <f>INDEX('Dictionary Categories'!$A$2:$A$25,MATCH(F441,'Dictionary Categories'!$B$2:$B$25,0))</f>
        <v>7</v>
      </c>
      <c r="F441" s="159" t="s">
        <v>2480</v>
      </c>
      <c r="G441" s="164">
        <f>INDEX('Dictionary Subcategories'!$A$2:$A$70,MATCH(H441,'Dictionary Subcategories'!$B$2:$B$70,0))</f>
        <v>21</v>
      </c>
      <c r="H441" s="174" t="s">
        <v>2350</v>
      </c>
      <c r="I441" s="164"/>
      <c r="J441" s="164"/>
    </row>
    <row r="442" spans="1:10" ht="10.5" customHeight="1" x14ac:dyDescent="0.25">
      <c r="A442" s="172" t="str">
        <f>'ENIGHUR Consumption items'!H545</f>
        <v>05.6.1.144</v>
      </c>
      <c r="B442" s="172" t="str">
        <f>'ENIGHUR Consumption items'!J545</f>
        <v>Toallas de papel</v>
      </c>
      <c r="C442" s="166">
        <v>127</v>
      </c>
      <c r="D442" s="167" t="str">
        <f>IFERROR(VLOOKUP(C442,'symmetric IOT 245 2012'!$C$6:$D$276,2,FALSE),"")</f>
        <v xml:space="preserve">Pasta de papel y Papel y cartón </v>
      </c>
      <c r="E442" s="159">
        <f>INDEX('Dictionary Categories'!$A$2:$A$25,MATCH(F442,'Dictionary Categories'!$B$2:$B$25,0))</f>
        <v>7</v>
      </c>
      <c r="F442" s="159" t="s">
        <v>2480</v>
      </c>
      <c r="G442" s="164">
        <f>INDEX('Dictionary Subcategories'!$A$2:$A$70,MATCH(H442,'Dictionary Subcategories'!$B$2:$B$70,0))</f>
        <v>21</v>
      </c>
      <c r="H442" s="174" t="s">
        <v>2350</v>
      </c>
      <c r="I442" s="164"/>
      <c r="J442" s="164"/>
    </row>
    <row r="443" spans="1:10" ht="10.5" customHeight="1" x14ac:dyDescent="0.25">
      <c r="A443" s="172" t="str">
        <f>'ENIGHUR Consumption items'!H546</f>
        <v>05.6.1.145</v>
      </c>
      <c r="B443" s="172" t="str">
        <f>'ENIGHUR Consumption items'!J546</f>
        <v>Trampa para ratones</v>
      </c>
      <c r="C443" s="166">
        <v>157</v>
      </c>
      <c r="D443" s="167" t="str">
        <f>IFERROR(VLOOKUP(C443,'symmetric IOT 245 2012'!$C$6:$D$276,2,FALSE),"")</f>
        <v>Productos metálicos de uso doméstico</v>
      </c>
      <c r="E443" s="159">
        <f>INDEX('Dictionary Categories'!$A$2:$A$25,MATCH(F443,'Dictionary Categories'!$B$2:$B$25,0))</f>
        <v>7</v>
      </c>
      <c r="F443" s="159" t="s">
        <v>2480</v>
      </c>
      <c r="G443" s="164">
        <f>INDEX('Dictionary Subcategories'!$A$2:$A$70,MATCH(H443,'Dictionary Subcategories'!$B$2:$B$70,0))</f>
        <v>21</v>
      </c>
      <c r="H443" s="174" t="s">
        <v>2350</v>
      </c>
      <c r="I443" s="164"/>
      <c r="J443" s="164"/>
    </row>
    <row r="444" spans="1:10" ht="10.5" customHeight="1" x14ac:dyDescent="0.25">
      <c r="A444" s="172" t="str">
        <f>'ENIGHUR Consumption items'!H547</f>
        <v>05.6.1.146</v>
      </c>
      <c r="B444" s="172" t="str">
        <f>'ENIGHUR Consumption items'!J547</f>
        <v>Trapeador</v>
      </c>
      <c r="C444" s="166">
        <v>143</v>
      </c>
      <c r="D444" s="167" t="str">
        <f>IFERROR(VLOOKUP(C444,'symmetric IOT 245 2012'!$C$6:$D$276,2,FALSE),"")</f>
        <v>Fibras sintéticas (textiles manufacturadas) y Otros productos químicos n.c.p.</v>
      </c>
      <c r="E444" s="159">
        <f>INDEX('Dictionary Categories'!$A$2:$A$25,MATCH(F444,'Dictionary Categories'!$B$2:$B$25,0))</f>
        <v>7</v>
      </c>
      <c r="F444" s="159" t="s">
        <v>2480</v>
      </c>
      <c r="G444" s="164">
        <f>INDEX('Dictionary Subcategories'!$A$2:$A$70,MATCH(H444,'Dictionary Subcategories'!$B$2:$B$70,0))</f>
        <v>21</v>
      </c>
      <c r="H444" s="174" t="s">
        <v>2350</v>
      </c>
      <c r="I444" s="164"/>
      <c r="J444" s="164"/>
    </row>
    <row r="445" spans="1:10" ht="10.5" customHeight="1" x14ac:dyDescent="0.25">
      <c r="A445" s="172" t="str">
        <f>'ENIGHUR Consumption items'!H548</f>
        <v>05.6.1.147</v>
      </c>
      <c r="B445" s="172" t="str">
        <f>'ENIGHUR Consumption items'!J548</f>
        <v>Trapos de piso</v>
      </c>
      <c r="C445" s="168">
        <v>143</v>
      </c>
      <c r="D445" s="167" t="str">
        <f>IFERROR(VLOOKUP(C445,'symmetric IOT 245 2012'!$C$6:$D$276,2,FALSE),"")</f>
        <v>Fibras sintéticas (textiles manufacturadas) y Otros productos químicos n.c.p.</v>
      </c>
      <c r="E445" s="159">
        <f>INDEX('Dictionary Categories'!$A$2:$A$25,MATCH(F445,'Dictionary Categories'!$B$2:$B$25,0))</f>
        <v>7</v>
      </c>
      <c r="F445" s="159" t="s">
        <v>2480</v>
      </c>
      <c r="G445" s="164">
        <f>INDEX('Dictionary Subcategories'!$A$2:$A$70,MATCH(H445,'Dictionary Subcategories'!$B$2:$B$70,0))</f>
        <v>21</v>
      </c>
      <c r="H445" s="174" t="s">
        <v>2350</v>
      </c>
      <c r="I445" s="164"/>
      <c r="J445" s="164"/>
    </row>
    <row r="446" spans="1:10" ht="10.5" customHeight="1" x14ac:dyDescent="0.25">
      <c r="A446" s="172" t="str">
        <f>'ENIGHUR Consumption items'!H549</f>
        <v>05.6.1.148</v>
      </c>
      <c r="B446" s="172" t="str">
        <f>'ENIGHUR Consumption items'!J549</f>
        <v>Tuercas y pernos para el hogar</v>
      </c>
      <c r="C446" s="168">
        <v>157</v>
      </c>
      <c r="D446" s="167" t="str">
        <f>IFERROR(VLOOKUP(C446,'symmetric IOT 245 2012'!$C$6:$D$276,2,FALSE),"")</f>
        <v>Productos metálicos de uso doméstico</v>
      </c>
      <c r="E446" s="159">
        <f>INDEX('Dictionary Categories'!$A$2:$A$25,MATCH(F446,'Dictionary Categories'!$B$2:$B$25,0))</f>
        <v>7</v>
      </c>
      <c r="F446" s="159" t="s">
        <v>2480</v>
      </c>
      <c r="G446" s="164">
        <f>INDEX('Dictionary Subcategories'!$A$2:$A$70,MATCH(H446,'Dictionary Subcategories'!$B$2:$B$70,0))</f>
        <v>21</v>
      </c>
      <c r="H446" s="174" t="s">
        <v>2350</v>
      </c>
      <c r="I446" s="164"/>
      <c r="J446" s="164"/>
    </row>
    <row r="447" spans="1:10" ht="10.5" customHeight="1" x14ac:dyDescent="0.25">
      <c r="A447" s="172" t="str">
        <f>'ENIGHUR Consumption items'!H550</f>
        <v>05.6.1.149</v>
      </c>
      <c r="B447" s="172" t="str">
        <f>'ENIGHUR Consumption items'!J550</f>
        <v>Vajilla descartable</v>
      </c>
      <c r="C447" s="168">
        <v>146</v>
      </c>
      <c r="D447" s="167" t="str">
        <f>IFERROR(VLOOKUP(C447,'symmetric IOT 245 2012'!$C$6:$D$276,2,FALSE),"")</f>
        <v>Productos de plástico</v>
      </c>
      <c r="E447" s="159">
        <f>INDEX('Dictionary Categories'!$A$2:$A$25,MATCH(F447,'Dictionary Categories'!$B$2:$B$25,0))</f>
        <v>7</v>
      </c>
      <c r="F447" s="159" t="s">
        <v>2480</v>
      </c>
      <c r="G447" s="164">
        <f>INDEX('Dictionary Subcategories'!$A$2:$A$70,MATCH(H447,'Dictionary Subcategories'!$B$2:$B$70,0))</f>
        <v>21</v>
      </c>
      <c r="H447" s="174" t="s">
        <v>2350</v>
      </c>
      <c r="I447" s="164"/>
      <c r="J447" s="164"/>
    </row>
    <row r="448" spans="1:10" ht="10.5" customHeight="1" x14ac:dyDescent="0.25">
      <c r="A448" s="172" t="str">
        <f>'ENIGHUR Consumption items'!H551</f>
        <v>05.6.1.150</v>
      </c>
      <c r="B448" s="172" t="str">
        <f>'ENIGHUR Consumption items'!J551</f>
        <v>Velas</v>
      </c>
      <c r="C448" s="168">
        <v>173</v>
      </c>
      <c r="D448" s="167" t="str">
        <f>IFERROR(VLOOKUP(C448,'symmetric IOT 245 2012'!$C$6:$D$276,2,FALSE),"")</f>
        <v>Otros productos manufacturados diversos</v>
      </c>
      <c r="E448" s="159">
        <f>INDEX('Dictionary Categories'!$A$2:$A$25,MATCH(F448,'Dictionary Categories'!$B$2:$B$25,0))</f>
        <v>7</v>
      </c>
      <c r="F448" s="159" t="s">
        <v>2480</v>
      </c>
      <c r="G448" s="164">
        <f>INDEX('Dictionary Subcategories'!$A$2:$A$70,MATCH(H448,'Dictionary Subcategories'!$B$2:$B$70,0))</f>
        <v>21</v>
      </c>
      <c r="H448" s="174" t="s">
        <v>2350</v>
      </c>
      <c r="I448" s="164"/>
      <c r="J448" s="164"/>
    </row>
    <row r="449" spans="1:10" ht="10.5" customHeight="1" x14ac:dyDescent="0.25">
      <c r="A449" s="172" t="str">
        <f>'ENIGHUR Consumption items'!H552</f>
        <v>05.6.1.199</v>
      </c>
      <c r="B449" s="172" t="str">
        <f>'ENIGHUR Consumption items'!J552</f>
        <v>Otros bienes del hogar no duraderos</v>
      </c>
      <c r="C449" s="168">
        <v>173</v>
      </c>
      <c r="D449" s="167" t="str">
        <f>IFERROR(VLOOKUP(C449,'symmetric IOT 245 2012'!$C$6:$D$276,2,FALSE),"")</f>
        <v>Otros productos manufacturados diversos</v>
      </c>
      <c r="E449" s="159">
        <f>INDEX('Dictionary Categories'!$A$2:$A$25,MATCH(F449,'Dictionary Categories'!$B$2:$B$25,0))</f>
        <v>7</v>
      </c>
      <c r="F449" s="159" t="s">
        <v>2480</v>
      </c>
      <c r="G449" s="164">
        <f>INDEX('Dictionary Subcategories'!$A$2:$A$70,MATCH(H449,'Dictionary Subcategories'!$B$2:$B$70,0))</f>
        <v>21</v>
      </c>
      <c r="H449" s="174" t="s">
        <v>2350</v>
      </c>
      <c r="I449" s="164"/>
      <c r="J449" s="164"/>
    </row>
    <row r="450" spans="1:10" ht="10.5" customHeight="1" x14ac:dyDescent="0.25">
      <c r="A450" s="172" t="str">
        <f>'ENIGHUR Consumption items'!H553</f>
        <v>05.6.2</v>
      </c>
      <c r="B450" s="172" t="str">
        <f>'ENIGHUR Consumption items'!J553</f>
        <v xml:space="preserve">SERVICIOS DOMÉSTICOS Y PARA EL HOGAR </v>
      </c>
      <c r="C450" s="168">
        <v>245</v>
      </c>
      <c r="D450" s="167" t="str">
        <f>IFERROR(VLOOKUP(C450,'symmetric IOT 245 2012'!$C$6:$D$276,2,FALSE),"")</f>
        <v>Servicio doméstico</v>
      </c>
      <c r="E450" s="159">
        <f>INDEX('Dictionary Categories'!$A$2:$A$25,MATCH(F450,'Dictionary Categories'!$B$2:$B$25,0))</f>
        <v>7</v>
      </c>
      <c r="F450" s="159" t="s">
        <v>2480</v>
      </c>
      <c r="G450" s="164">
        <f>INDEX('Dictionary Subcategories'!$A$2:$A$70,MATCH(H450,'Dictionary Subcategories'!$B$2:$B$70,0))</f>
        <v>22</v>
      </c>
      <c r="H450" s="174" t="s">
        <v>2358</v>
      </c>
      <c r="I450" s="164"/>
      <c r="J450" s="164"/>
    </row>
    <row r="451" spans="1:10" ht="10.5" customHeight="1" x14ac:dyDescent="0.25">
      <c r="A451" s="175" t="str">
        <f>'ENIGHUR Consumption items'!H393</f>
        <v>04.5.1</v>
      </c>
      <c r="B451" s="172" t="str">
        <f>'ENIGHUR Consumption items'!J393</f>
        <v xml:space="preserve">ELECTRICIDAD </v>
      </c>
      <c r="C451" s="169" t="s">
        <v>2389</v>
      </c>
      <c r="D451" s="167" t="str">
        <f>IFERROR(VLOOKUP(C451,'symmetric IOT 245 2012'!$C$6:$D$276,2,FALSE),"")</f>
        <v>matched on SC/SSC level</v>
      </c>
      <c r="E451" s="159">
        <f>INDEX('Dictionary Categories'!$A$2:$A$25,MATCH(F451,'Dictionary Categories'!$B$2:$B$25,0))</f>
        <v>8</v>
      </c>
      <c r="F451" s="164" t="s">
        <v>584</v>
      </c>
      <c r="G451" s="164">
        <f>INDEX('Dictionary Subcategories'!$A$2:$A$70,MATCH(H451,'Dictionary Subcategories'!$B$2:$B$70,0))</f>
        <v>23</v>
      </c>
      <c r="H451" s="164" t="s">
        <v>584</v>
      </c>
      <c r="I451" s="164"/>
      <c r="J451" s="164"/>
    </row>
    <row r="452" spans="1:10" ht="10.5" customHeight="1" x14ac:dyDescent="0.25">
      <c r="A452" s="172" t="str">
        <f>'ENIGHUR Consumption items'!H394</f>
        <v>04.5.1.000</v>
      </c>
      <c r="B452" s="172" t="str">
        <f>'ENIGHUR Consumption items'!J394</f>
        <v>Electricidad</v>
      </c>
      <c r="C452" s="168">
        <v>176</v>
      </c>
      <c r="D452" s="167" t="str">
        <f>IFERROR(VLOOKUP(C452,'symmetric IOT 245 2012'!$C$6:$D$276,2,FALSE),"")</f>
        <v>Servicios de transmisión y distribución eléctrica</v>
      </c>
      <c r="E452" s="159">
        <f>INDEX('Dictionary Categories'!$A$2:$A$25,MATCH(F452,'Dictionary Categories'!$B$2:$B$25,0))</f>
        <v>8</v>
      </c>
      <c r="F452" s="164" t="s">
        <v>584</v>
      </c>
      <c r="G452" s="164">
        <f>INDEX('Dictionary Subcategories'!$A$2:$A$70,MATCH(H452,'Dictionary Subcategories'!$B$2:$B$70,0))</f>
        <v>23</v>
      </c>
      <c r="H452" s="164" t="s">
        <v>584</v>
      </c>
      <c r="I452" s="164"/>
      <c r="J452" s="164"/>
    </row>
    <row r="453" spans="1:10" ht="10.5" customHeight="1" x14ac:dyDescent="0.25">
      <c r="A453" s="172" t="str">
        <f>'ENIGHUR Consumption items'!H396</f>
        <v>04.5.1.002</v>
      </c>
      <c r="B453" s="172" t="str">
        <f>'ENIGHUR Consumption items'!J396</f>
        <v>Gasto por servicio de consumo eléctrico</v>
      </c>
      <c r="C453" s="168">
        <v>176</v>
      </c>
      <c r="D453" s="167" t="str">
        <f>IFERROR(VLOOKUP(C453,'symmetric IOT 245 2012'!$C$6:$D$276,2,FALSE),"")</f>
        <v>Servicios de transmisión y distribución eléctrica</v>
      </c>
      <c r="E453" s="159">
        <f>INDEX('Dictionary Categories'!$A$2:$A$25,MATCH(F453,'Dictionary Categories'!$B$2:$B$25,0))</f>
        <v>8</v>
      </c>
      <c r="F453" s="164" t="s">
        <v>584</v>
      </c>
      <c r="G453" s="164">
        <f>INDEX('Dictionary Subcategories'!$A$2:$A$70,MATCH(H453,'Dictionary Subcategories'!$B$2:$B$70,0))</f>
        <v>23</v>
      </c>
      <c r="H453" s="164" t="s">
        <v>584</v>
      </c>
      <c r="I453" s="164"/>
      <c r="J453" s="164"/>
    </row>
    <row r="454" spans="1:10" ht="10.5" customHeight="1" x14ac:dyDescent="0.25">
      <c r="A454" s="165" t="s">
        <v>836</v>
      </c>
      <c r="B454" s="165" t="s">
        <v>837</v>
      </c>
      <c r="C454" s="168">
        <v>165</v>
      </c>
      <c r="D454" s="167" t="str">
        <f>IFERROR(VLOOKUP(C454,'symmetric IOT 245 2012'!$C$6:$D$276,2,FALSE),"")</f>
        <v>Maquinaria y aparatos eléctricos</v>
      </c>
      <c r="E454" s="159">
        <f>INDEX('Dictionary Categories'!$A$2:$A$25,MATCH(F454,'Dictionary Categories'!$B$2:$B$25,0))</f>
        <v>4</v>
      </c>
      <c r="F454" s="164" t="s">
        <v>586</v>
      </c>
      <c r="G454" s="164">
        <f>INDEX('Dictionary Subcategories'!$A$2:$A$70,MATCH(H454,'Dictionary Subcategories'!$B$2:$B$70,0))</f>
        <v>16</v>
      </c>
      <c r="H454" s="164" t="s">
        <v>2357</v>
      </c>
      <c r="I454" s="164"/>
      <c r="J454" s="164"/>
    </row>
    <row r="455" spans="1:10" ht="10.5" customHeight="1" x14ac:dyDescent="0.25">
      <c r="A455" s="172" t="str">
        <f>'ENIGHUR Consumption items'!H397</f>
        <v>04.5.2</v>
      </c>
      <c r="B455" s="172" t="str">
        <f>'ENIGHUR Consumption items'!J397</f>
        <v xml:space="preserve">GAS </v>
      </c>
      <c r="C455" s="169" t="s">
        <v>2389</v>
      </c>
      <c r="D455" s="167" t="str">
        <f>IFERROR(VLOOKUP(C455,'symmetric IOT 245 2012'!$C$6:$D$276,2,FALSE),"")</f>
        <v>matched on SC/SSC level</v>
      </c>
      <c r="E455" s="159">
        <f>INDEX('Dictionary Categories'!$A$2:$A$25,MATCH(F455,'Dictionary Categories'!$B$2:$B$25,0))</f>
        <v>9</v>
      </c>
      <c r="F455" s="164" t="s">
        <v>2452</v>
      </c>
      <c r="G455" s="164">
        <f>INDEX('Dictionary Subcategories'!$A$2:$A$70,MATCH(H455,'Dictionary Subcategories'!$B$2:$B$70,0))</f>
        <v>24</v>
      </c>
      <c r="H455" s="164" t="s">
        <v>2452</v>
      </c>
      <c r="I455" s="164"/>
      <c r="J455" s="164"/>
    </row>
    <row r="456" spans="1:10" ht="10.5" customHeight="1" x14ac:dyDescent="0.25">
      <c r="A456" s="172" t="str">
        <f>'ENIGHUR Consumption items'!H398</f>
        <v>04.5.2.000</v>
      </c>
      <c r="B456" s="172" t="str">
        <f>'ENIGHUR Consumption items'!J398</f>
        <v>Gas</v>
      </c>
      <c r="C456" s="168">
        <v>134</v>
      </c>
      <c r="D456" s="167" t="str">
        <f>IFERROR(VLOOKUP(C456,'symmetric IOT 245 2012'!$C$6:$D$276,2,FALSE),"")</f>
        <v>Gases de hidrocarburos</v>
      </c>
      <c r="E456" s="159">
        <f>INDEX('Dictionary Categories'!$A$2:$A$25,MATCH(F456,'Dictionary Categories'!$B$2:$B$25,0))</f>
        <v>9</v>
      </c>
      <c r="F456" s="164" t="s">
        <v>2452</v>
      </c>
      <c r="G456" s="164">
        <f>INDEX('Dictionary Subcategories'!$A$2:$A$70,MATCH(H456,'Dictionary Subcategories'!$B$2:$B$70,0))</f>
        <v>24</v>
      </c>
      <c r="H456" s="164" t="s">
        <v>2452</v>
      </c>
      <c r="I456" s="164"/>
      <c r="J456" s="164"/>
    </row>
    <row r="457" spans="1:10" ht="10.5" customHeight="1" x14ac:dyDescent="0.25">
      <c r="A457" s="172" t="str">
        <f>'ENIGHUR Consumption items'!H399</f>
        <v>04.5.2.001</v>
      </c>
      <c r="B457" s="172" t="str">
        <f>'ENIGHUR Consumption items'!J399</f>
        <v>Gasto en gas doméstico</v>
      </c>
      <c r="C457" s="168">
        <v>134</v>
      </c>
      <c r="D457" s="167" t="str">
        <f>IFERROR(VLOOKUP(C457,'symmetric IOT 245 2012'!$C$6:$D$276,2,FALSE),"")</f>
        <v>Gases de hidrocarburos</v>
      </c>
      <c r="E457" s="159">
        <f>INDEX('Dictionary Categories'!$A$2:$A$25,MATCH(F457,'Dictionary Categories'!$B$2:$B$25,0))</f>
        <v>9</v>
      </c>
      <c r="F457" s="164" t="s">
        <v>2452</v>
      </c>
      <c r="G457" s="164">
        <f>INDEX('Dictionary Subcategories'!$A$2:$A$70,MATCH(H457,'Dictionary Subcategories'!$B$2:$B$70,0))</f>
        <v>24</v>
      </c>
      <c r="H457" s="164" t="s">
        <v>2452</v>
      </c>
      <c r="I457" s="164"/>
      <c r="J457" s="164"/>
    </row>
    <row r="458" spans="1:10" ht="10.5" customHeight="1" x14ac:dyDescent="0.25">
      <c r="A458" s="172" t="str">
        <f>'ENIGHUR Consumption items'!H400</f>
        <v>04.5.2.002</v>
      </c>
      <c r="B458" s="172" t="str">
        <f>'ENIGHUR Consumption items'!J400</f>
        <v>Gasto en gas doméstico centralizado</v>
      </c>
      <c r="C458" s="168">
        <v>134</v>
      </c>
      <c r="D458" s="167" t="str">
        <f>IFERROR(VLOOKUP(C458,'symmetric IOT 245 2012'!$C$6:$D$276,2,FALSE),"")</f>
        <v>Gases de hidrocarburos</v>
      </c>
      <c r="E458" s="159">
        <f>INDEX('Dictionary Categories'!$A$2:$A$25,MATCH(F458,'Dictionary Categories'!$B$2:$B$25,0))</f>
        <v>9</v>
      </c>
      <c r="F458" s="164" t="s">
        <v>2452</v>
      </c>
      <c r="G458" s="164">
        <f>INDEX('Dictionary Subcategories'!$A$2:$A$70,MATCH(H458,'Dictionary Subcategories'!$B$2:$B$70,0))</f>
        <v>24</v>
      </c>
      <c r="H458" s="164" t="s">
        <v>2452</v>
      </c>
      <c r="I458" s="164"/>
      <c r="J458" s="164"/>
    </row>
    <row r="459" spans="1:10" ht="10.5" customHeight="1" x14ac:dyDescent="0.25">
      <c r="A459" s="172" t="str">
        <f>'ENIGHUR Consumption items'!H401</f>
        <v>04.5.2.003</v>
      </c>
      <c r="B459" s="172" t="str">
        <f>'ENIGHUR Consumption items'!J401</f>
        <v>Recipientes de almacenamiento (cilindros de gas)</v>
      </c>
      <c r="C459" s="166">
        <v>134</v>
      </c>
      <c r="D459" s="167" t="str">
        <f>IFERROR(VLOOKUP(C459,'symmetric IOT 245 2012'!$C$6:$D$276,2,FALSE),"")</f>
        <v>Gases de hidrocarburos</v>
      </c>
      <c r="E459" s="159">
        <f>INDEX('Dictionary Categories'!$A$2:$A$25,MATCH(F459,'Dictionary Categories'!$B$2:$B$25,0))</f>
        <v>9</v>
      </c>
      <c r="F459" s="164" t="s">
        <v>2452</v>
      </c>
      <c r="G459" s="164">
        <f>INDEX('Dictionary Subcategories'!$A$2:$A$70,MATCH(H459,'Dictionary Subcategories'!$B$2:$B$70,0))</f>
        <v>24</v>
      </c>
      <c r="H459" s="164" t="s">
        <v>2452</v>
      </c>
      <c r="I459" s="164"/>
      <c r="J459" s="164"/>
    </row>
    <row r="460" spans="1:10" ht="10.5" customHeight="1" x14ac:dyDescent="0.25">
      <c r="A460" s="172" t="str">
        <f>'ENIGHUR Consumption items'!H402</f>
        <v>04.5.2.099</v>
      </c>
      <c r="B460" s="172" t="str">
        <f>'ENIGHUR Consumption items'!J402</f>
        <v>Otros</v>
      </c>
      <c r="C460" s="166">
        <v>76</v>
      </c>
      <c r="D460" s="167" t="str">
        <f>IFERROR(VLOOKUP(C460,'symmetric IOT 245 2012'!$C$6:$D$276,2,FALSE),"")</f>
        <v>Gas natural</v>
      </c>
      <c r="E460" s="159">
        <f>INDEX('Dictionary Categories'!$A$2:$A$25,MATCH(F460,'Dictionary Categories'!$B$2:$B$25,0))</f>
        <v>4</v>
      </c>
      <c r="F460" s="164" t="s">
        <v>586</v>
      </c>
      <c r="G460" s="164">
        <f>INDEX('Dictionary Subcategories'!$A$2:$A$70,MATCH(H460,'Dictionary Subcategories'!$B$2:$B$70,0))</f>
        <v>16</v>
      </c>
      <c r="H460" s="174" t="s">
        <v>2357</v>
      </c>
      <c r="I460" s="164"/>
      <c r="J460" s="164"/>
    </row>
    <row r="461" spans="1:10" ht="10.5" customHeight="1" x14ac:dyDescent="0.25">
      <c r="A461" s="172" t="str">
        <f>'ENIGHUR Consumption items'!H403</f>
        <v>04.5.3</v>
      </c>
      <c r="B461" s="172" t="str">
        <f>'ENIGHUR Consumption items'!J403</f>
        <v xml:space="preserve">COMBUSTIBLES LÍQUIDOS </v>
      </c>
      <c r="C461" s="173" t="s">
        <v>2389</v>
      </c>
      <c r="D461" s="167" t="str">
        <f>IFERROR(VLOOKUP(C461,'symmetric IOT 245 2012'!$C$6:$D$276,2,FALSE),"")</f>
        <v>matched on SC/SSC level</v>
      </c>
      <c r="E461" s="159">
        <f>INDEX('Dictionary Categories'!$A$2:$A$25,MATCH(F461,'Dictionary Categories'!$B$2:$B$25,0))</f>
        <v>4</v>
      </c>
      <c r="F461" s="164" t="s">
        <v>586</v>
      </c>
      <c r="G461" s="164">
        <f>INDEX('Dictionary Subcategories'!$A$2:$A$70,MATCH(H461,'Dictionary Subcategories'!$B$2:$B$70,0))</f>
        <v>16</v>
      </c>
      <c r="H461" s="174" t="s">
        <v>2357</v>
      </c>
      <c r="I461" s="164"/>
      <c r="J461" s="164"/>
    </row>
    <row r="462" spans="1:10" ht="10.5" customHeight="1" x14ac:dyDescent="0.25">
      <c r="A462" s="172" t="str">
        <f>'ENIGHUR Consumption items'!H404</f>
        <v>04.5.3.000</v>
      </c>
      <c r="B462" s="172" t="str">
        <f>'ENIGHUR Consumption items'!J404</f>
        <v>Combustibles líquidos [Para la cocina NO para transporte]</v>
      </c>
      <c r="C462" s="166">
        <v>76</v>
      </c>
      <c r="D462" s="167" t="str">
        <f>IFERROR(VLOOKUP(C462,'symmetric IOT 245 2012'!$C$6:$D$276,2,FALSE),"")</f>
        <v>Gas natural</v>
      </c>
      <c r="E462" s="159">
        <f>INDEX('Dictionary Categories'!$A$2:$A$25,MATCH(F462,'Dictionary Categories'!$B$2:$B$25,0))</f>
        <v>4</v>
      </c>
      <c r="F462" s="164" t="s">
        <v>586</v>
      </c>
      <c r="G462" s="164">
        <f>INDEX('Dictionary Subcategories'!$A$2:$A$70,MATCH(H462,'Dictionary Subcategories'!$B$2:$B$70,0))</f>
        <v>16</v>
      </c>
      <c r="H462" s="174" t="s">
        <v>2357</v>
      </c>
      <c r="I462" s="164"/>
      <c r="J462" s="164"/>
    </row>
    <row r="463" spans="1:10" ht="10.5" customHeight="1" x14ac:dyDescent="0.25">
      <c r="A463" s="172" t="str">
        <f>'ENIGHUR Consumption items'!H409</f>
        <v>04.5.4</v>
      </c>
      <c r="B463" s="172" t="str">
        <f>'ENIGHUR Consumption items'!J409</f>
        <v xml:space="preserve">COMBUSTIBLES SÓLIDOS </v>
      </c>
      <c r="C463" s="166">
        <v>64</v>
      </c>
      <c r="D463" s="167" t="str">
        <f>IFERROR(VLOOKUP(C463,'symmetric IOT 245 2012'!$C$6:$D$276,2,FALSE),"")</f>
        <v>Madera sin elaborar</v>
      </c>
      <c r="E463" s="159">
        <f>INDEX('Dictionary Categories'!$A$2:$A$25,MATCH(F463,'Dictionary Categories'!$B$2:$B$25,0))</f>
        <v>4</v>
      </c>
      <c r="F463" s="164" t="s">
        <v>586</v>
      </c>
      <c r="G463" s="164">
        <f>INDEX('Dictionary Subcategories'!$A$2:$A$70,MATCH(H463,'Dictionary Subcategories'!$B$2:$B$70,0))</f>
        <v>16</v>
      </c>
      <c r="H463" s="174" t="s">
        <v>2357</v>
      </c>
      <c r="I463" s="164"/>
      <c r="J463" s="164"/>
    </row>
    <row r="464" spans="1:10" ht="10.5" customHeight="1" x14ac:dyDescent="0.25">
      <c r="A464" s="172" t="str">
        <f>'ENIGHUR Consumption items'!H417</f>
        <v>04.5.5</v>
      </c>
      <c r="B464" s="172" t="str">
        <f>'ENIGHUR Consumption items'!J417</f>
        <v xml:space="preserve">ENERGÍA CALÓRICA </v>
      </c>
      <c r="C464" s="166">
        <v>177</v>
      </c>
      <c r="D464" s="167" t="str">
        <f>IFERROR(VLOOKUP(C464,'symmetric IOT 245 2012'!$C$6:$D$276,2,FALSE),"")</f>
        <v>Agua</v>
      </c>
      <c r="E464" s="159">
        <f>INDEX('Dictionary Categories'!$A$2:$A$25,MATCH(F464,'Dictionary Categories'!$B$2:$B$25,0))</f>
        <v>4</v>
      </c>
      <c r="F464" s="164" t="s">
        <v>586</v>
      </c>
      <c r="G464" s="164">
        <f>INDEX('Dictionary Subcategories'!$A$2:$A$70,MATCH(H464,'Dictionary Subcategories'!$B$2:$B$70,0))</f>
        <v>16</v>
      </c>
      <c r="H464" s="174" t="s">
        <v>2357</v>
      </c>
      <c r="I464" s="164"/>
      <c r="J464" s="164"/>
    </row>
    <row r="465" spans="1:10" ht="10.5" customHeight="1" x14ac:dyDescent="0.25">
      <c r="A465" s="172" t="str">
        <f>'ENIGHUR Consumption items'!H573</f>
        <v>07.1.1</v>
      </c>
      <c r="B465" s="172" t="str">
        <f>'ENIGHUR Consumption items'!J573</f>
        <v xml:space="preserve">VEHÍCULOS A MOTOR </v>
      </c>
      <c r="C465" s="166">
        <v>168</v>
      </c>
      <c r="D465" s="167" t="str">
        <f>IFERROR(VLOOKUP(C465,'symmetric IOT 245 2012'!$C$6:$D$276,2,FALSE),"")</f>
        <v>Vehículos automotores</v>
      </c>
      <c r="E465" s="159">
        <f>INDEX('Dictionary Categories'!$A$2:$A$25,MATCH(F465,'Dictionary Categories'!$B$2:$B$25,0))</f>
        <v>6</v>
      </c>
      <c r="F465" s="159" t="s">
        <v>2482</v>
      </c>
      <c r="G465" s="164">
        <f>INDEX('Dictionary Subcategories'!$A$2:$A$70,MATCH(H465,'Dictionary Subcategories'!$B$2:$B$70,0))</f>
        <v>25</v>
      </c>
      <c r="H465" s="164" t="s">
        <v>2476</v>
      </c>
      <c r="I465" s="164"/>
      <c r="J465" s="164"/>
    </row>
    <row r="466" spans="1:10" ht="10.5" customHeight="1" x14ac:dyDescent="0.25">
      <c r="A466" s="172" t="str">
        <f>'ENIGHUR Consumption items'!H584</f>
        <v>07.1.2</v>
      </c>
      <c r="B466" s="172" t="str">
        <f>'ENIGHUR Consumption items'!J584</f>
        <v xml:space="preserve">MOTOCICLETAS </v>
      </c>
      <c r="C466" s="166">
        <v>168</v>
      </c>
      <c r="D466" s="167" t="str">
        <f>IFERROR(VLOOKUP(C466,'symmetric IOT 245 2012'!$C$6:$D$276,2,FALSE),"")</f>
        <v>Vehículos automotores</v>
      </c>
      <c r="E466" s="159">
        <f>INDEX('Dictionary Categories'!$A$2:$A$25,MATCH(F466,'Dictionary Categories'!$B$2:$B$25,0))</f>
        <v>6</v>
      </c>
      <c r="F466" s="159" t="s">
        <v>2482</v>
      </c>
      <c r="G466" s="164">
        <f>INDEX('Dictionary Subcategories'!$A$2:$A$70,MATCH(H466,'Dictionary Subcategories'!$B$2:$B$70,0))</f>
        <v>25</v>
      </c>
      <c r="H466" s="164" t="s">
        <v>2476</v>
      </c>
      <c r="I466" s="164"/>
      <c r="J466" s="164"/>
    </row>
    <row r="467" spans="1:10" ht="10.5" customHeight="1" x14ac:dyDescent="0.25">
      <c r="A467" s="172" t="str">
        <f>'ENIGHUR Consumption items'!H585</f>
        <v>07.1.3</v>
      </c>
      <c r="B467" s="172" t="str">
        <f>'ENIGHUR Consumption items'!J585</f>
        <v xml:space="preserve">BICICLETAS </v>
      </c>
      <c r="C467" s="166">
        <v>168</v>
      </c>
      <c r="D467" s="167" t="str">
        <f>IFERROR(VLOOKUP(C467,'symmetric IOT 245 2012'!$C$6:$D$276,2,FALSE),"")</f>
        <v>Vehículos automotores</v>
      </c>
      <c r="E467" s="159">
        <f>INDEX('Dictionary Categories'!$A$2:$A$25,MATCH(F467,'Dictionary Categories'!$B$2:$B$25,0))</f>
        <v>6</v>
      </c>
      <c r="F467" s="159" t="s">
        <v>2482</v>
      </c>
      <c r="G467" s="164">
        <f>INDEX('Dictionary Subcategories'!$A$2:$A$70,MATCH(H467,'Dictionary Subcategories'!$B$2:$B$70,0))</f>
        <v>25</v>
      </c>
      <c r="H467" s="164" t="s">
        <v>2476</v>
      </c>
      <c r="I467" s="164"/>
      <c r="J467" s="164"/>
    </row>
    <row r="468" spans="1:10" ht="10.5" customHeight="1" x14ac:dyDescent="0.25">
      <c r="A468" s="172" t="str">
        <f>'ENIGHUR Consumption items'!H586</f>
        <v>07.1.4</v>
      </c>
      <c r="B468" s="172" t="str">
        <f>'ENIGHUR Consumption items'!J586</f>
        <v xml:space="preserve">VEHÍCULOS DE TRACCIÓN ANIMAL </v>
      </c>
      <c r="C468" s="166">
        <v>168</v>
      </c>
      <c r="D468" s="167" t="str">
        <f>IFERROR(VLOOKUP(C468,'symmetric IOT 245 2012'!$C$6:$D$276,2,FALSE),"")</f>
        <v>Vehículos automotores</v>
      </c>
      <c r="E468" s="159">
        <f>INDEX('Dictionary Categories'!$A$2:$A$25,MATCH(F468,'Dictionary Categories'!$B$2:$B$25,0))</f>
        <v>6</v>
      </c>
      <c r="F468" s="159" t="s">
        <v>2482</v>
      </c>
      <c r="G468" s="164">
        <f>INDEX('Dictionary Subcategories'!$A$2:$A$70,MATCH(H468,'Dictionary Subcategories'!$B$2:$B$70,0))</f>
        <v>25</v>
      </c>
      <c r="H468" s="164" t="s">
        <v>2476</v>
      </c>
      <c r="I468" s="164"/>
      <c r="J468" s="164"/>
    </row>
    <row r="469" spans="1:10" ht="10.5" customHeight="1" x14ac:dyDescent="0.25">
      <c r="A469" s="172" t="str">
        <f>'ENIGHUR Consumption items'!H588</f>
        <v>07.2.1</v>
      </c>
      <c r="B469" s="172" t="str">
        <f>'ENIGHUR Consumption items'!J588</f>
        <v xml:space="preserve">PIEZAS, REPUESTOS Y ACCESORIOS PARA EQUIPO DE TRANSPORTE PERSONAL </v>
      </c>
      <c r="C469" s="166">
        <v>169</v>
      </c>
      <c r="D469" s="167" t="str">
        <f>IFERROR(VLOOKUP(C469,'symmetric IOT 245 2012'!$C$6:$D$276,2,FALSE),"")</f>
        <v>Otro equipo y material de transporte n.c.p.</v>
      </c>
      <c r="E469" s="159">
        <f>INDEX('Dictionary Categories'!$A$2:$A$25,MATCH(F469,'Dictionary Categories'!$B$2:$B$25,0))</f>
        <v>6</v>
      </c>
      <c r="F469" s="159" t="s">
        <v>2482</v>
      </c>
      <c r="G469" s="164">
        <f>INDEX('Dictionary Subcategories'!$A$2:$A$70,MATCH(H469,'Dictionary Subcategories'!$B$2:$B$70,0))</f>
        <v>25</v>
      </c>
      <c r="H469" s="164" t="s">
        <v>2476</v>
      </c>
      <c r="I469" s="164"/>
      <c r="J469" s="164"/>
    </row>
    <row r="470" spans="1:10" ht="10.5" customHeight="1" x14ac:dyDescent="0.25">
      <c r="A470" s="172" t="str">
        <f>'ENIGHUR Consumption items'!H590</f>
        <v>07.2.2</v>
      </c>
      <c r="B470" s="172" t="str">
        <f>'ENIGHUR Consumption items'!J590</f>
        <v xml:space="preserve">COMBUSTIBLE Y LUBRICANTES PARA EQUIPO DE TRANSPORTE PERSONAL </v>
      </c>
      <c r="C470" s="173" t="s">
        <v>2389</v>
      </c>
      <c r="D470" s="167" t="str">
        <f>IFERROR(VLOOKUP(C470,'symmetric IOT 245 2012'!$C$6:$D$276,2,FALSE),"")</f>
        <v>matched on SC/SSC level</v>
      </c>
      <c r="E470" s="159">
        <f>INDEX('Dictionary Categories'!$A$2:$A$25,MATCH(F470,'Dictionary Categories'!$B$2:$B$25,0))</f>
        <v>4</v>
      </c>
      <c r="F470" s="164" t="s">
        <v>586</v>
      </c>
      <c r="G470" s="164">
        <f>INDEX('Dictionary Subcategories'!$A$2:$A$70,MATCH(H470,'Dictionary Subcategories'!$B$2:$B$70,0))</f>
        <v>16</v>
      </c>
      <c r="H470" s="174" t="s">
        <v>2357</v>
      </c>
      <c r="I470" s="164"/>
      <c r="J470" s="164"/>
    </row>
    <row r="471" spans="1:10" ht="10.5" customHeight="1" x14ac:dyDescent="0.25">
      <c r="A471" s="172" t="str">
        <f>'ENIGHUR Consumption items'!H591</f>
        <v>07.2.2.000</v>
      </c>
      <c r="B471" s="172" t="str">
        <f>'ENIGHUR Consumption items'!J591</f>
        <v>Combustibles para equipo de transporte personal</v>
      </c>
      <c r="C471" s="166">
        <v>130</v>
      </c>
      <c r="D471" s="167" t="str">
        <f>IFERROR(VLOOKUP(C471,'symmetric IOT 245 2012'!$C$6:$D$276,2,FALSE),"")</f>
        <v>Gasolinas, Nafta y gasolina natural</v>
      </c>
      <c r="E471" s="159">
        <f>INDEX('Dictionary Categories'!$A$2:$A$25,MATCH(F471,'Dictionary Categories'!$B$2:$B$25,0))</f>
        <v>4</v>
      </c>
      <c r="F471" s="164" t="s">
        <v>586</v>
      </c>
      <c r="G471" s="164">
        <f>INDEX('Dictionary Subcategories'!$A$2:$A$70,MATCH(H471,'Dictionary Subcategories'!$B$2:$B$70,0))</f>
        <v>16</v>
      </c>
      <c r="H471" s="174" t="s">
        <v>2357</v>
      </c>
      <c r="I471" s="164"/>
      <c r="J471" s="164"/>
    </row>
    <row r="472" spans="1:10" ht="10.5" customHeight="1" x14ac:dyDescent="0.25">
      <c r="A472" s="172" t="str">
        <f>'ENIGHUR Consumption items'!H592</f>
        <v>07.2.2.001</v>
      </c>
      <c r="B472" s="172" t="str">
        <f>'ENIGHUR Consumption items'!J592</f>
        <v>Diesel</v>
      </c>
      <c r="C472" s="166">
        <v>131</v>
      </c>
      <c r="D472" s="167" t="str">
        <f>IFERROR(VLOOKUP(C472,'symmetric IOT 245 2012'!$C$6:$D$276,2,FALSE),"")</f>
        <v>Diesel</v>
      </c>
      <c r="E472" s="159">
        <f>INDEX('Dictionary Categories'!$A$2:$A$25,MATCH(F472,'Dictionary Categories'!$B$2:$B$25,0))</f>
        <v>11</v>
      </c>
      <c r="F472" s="164" t="s">
        <v>858</v>
      </c>
      <c r="G472" s="164">
        <f>INDEX('Dictionary Subcategories'!$A$2:$A$70,MATCH(H472,'Dictionary Subcategories'!$B$2:$B$70,0))</f>
        <v>26</v>
      </c>
      <c r="H472" s="174" t="s">
        <v>858</v>
      </c>
      <c r="I472" s="164"/>
      <c r="J472" s="164"/>
    </row>
    <row r="473" spans="1:10" ht="10.5" customHeight="1" x14ac:dyDescent="0.25">
      <c r="A473" s="172" t="str">
        <f>'ENIGHUR Consumption items'!H593</f>
        <v>07.2.2.002</v>
      </c>
      <c r="B473" s="172" t="str">
        <f>'ENIGHUR Consumption items'!J593</f>
        <v>Gas licuado</v>
      </c>
      <c r="C473" s="166">
        <v>134</v>
      </c>
      <c r="D473" s="167" t="str">
        <f>IFERROR(VLOOKUP(C473,'symmetric IOT 245 2012'!$C$6:$D$276,2,FALSE),"")</f>
        <v>Gases de hidrocarburos</v>
      </c>
      <c r="E473" s="159">
        <f>INDEX('Dictionary Categories'!$A$2:$A$25,MATCH(F473,'Dictionary Categories'!$B$2:$B$25,0))</f>
        <v>9</v>
      </c>
      <c r="F473" s="164" t="s">
        <v>2452</v>
      </c>
      <c r="G473" s="164">
        <f>INDEX('Dictionary Subcategories'!$A$2:$A$70,MATCH(H473,'Dictionary Subcategories'!$B$2:$B$70,0))</f>
        <v>24</v>
      </c>
      <c r="H473" s="164" t="s">
        <v>2452</v>
      </c>
      <c r="I473" s="164"/>
      <c r="J473" s="164"/>
    </row>
    <row r="474" spans="1:10" ht="10.5" customHeight="1" x14ac:dyDescent="0.25">
      <c r="A474" s="172" t="str">
        <f>'ENIGHUR Consumption items'!H594</f>
        <v>07.2.2.003</v>
      </c>
      <c r="B474" s="172" t="str">
        <f>'ENIGHUR Consumption items'!J594</f>
        <v>Gasolina ecopaís</v>
      </c>
      <c r="C474" s="166">
        <v>130</v>
      </c>
      <c r="D474" s="167" t="str">
        <f>IFERROR(VLOOKUP(C474,'symmetric IOT 245 2012'!$C$6:$D$276,2,FALSE),"")</f>
        <v>Gasolinas, Nafta y gasolina natural</v>
      </c>
      <c r="E474" s="159">
        <f>INDEX('Dictionary Categories'!$A$2:$A$25,MATCH(F474,'Dictionary Categories'!$B$2:$B$25,0))</f>
        <v>10</v>
      </c>
      <c r="F474" s="164" t="s">
        <v>2453</v>
      </c>
      <c r="G474" s="164">
        <f>INDEX('Dictionary Subcategories'!$A$2:$A$70,MATCH(H474,'Dictionary Subcategories'!$B$2:$B$70,0))</f>
        <v>27</v>
      </c>
      <c r="H474" s="174" t="s">
        <v>2460</v>
      </c>
      <c r="I474" s="164"/>
      <c r="J474" s="164"/>
    </row>
    <row r="475" spans="1:10" ht="10.5" customHeight="1" x14ac:dyDescent="0.25">
      <c r="A475" s="172" t="str">
        <f>'ENIGHUR Consumption items'!H595</f>
        <v>07.2.2.004</v>
      </c>
      <c r="B475" s="172" t="str">
        <f>'ENIGHUR Consumption items'!J595</f>
        <v>Gasolina extra</v>
      </c>
      <c r="C475" s="166">
        <v>130</v>
      </c>
      <c r="D475" s="167" t="str">
        <f>IFERROR(VLOOKUP(C475,'symmetric IOT 245 2012'!$C$6:$D$276,2,FALSE),"")</f>
        <v>Gasolinas, Nafta y gasolina natural</v>
      </c>
      <c r="E475" s="159">
        <f>INDEX('Dictionary Categories'!$A$2:$A$25,MATCH(F475,'Dictionary Categories'!$B$2:$B$25,0))</f>
        <v>10</v>
      </c>
      <c r="F475" s="174" t="s">
        <v>2453</v>
      </c>
      <c r="G475" s="164">
        <f>INDEX('Dictionary Subcategories'!$A$2:$A$70,MATCH(H475,'Dictionary Subcategories'!$B$2:$B$70,0))</f>
        <v>28</v>
      </c>
      <c r="H475" s="174" t="s">
        <v>2462</v>
      </c>
      <c r="I475" s="164"/>
      <c r="J475" s="164"/>
    </row>
    <row r="476" spans="1:10" ht="10.5" customHeight="1" x14ac:dyDescent="0.25">
      <c r="A476" s="172" t="str">
        <f>'ENIGHUR Consumption items'!H596</f>
        <v>07.2.2.005</v>
      </c>
      <c r="B476" s="172" t="str">
        <f>'ENIGHUR Consumption items'!J596</f>
        <v>Gasolina súper</v>
      </c>
      <c r="C476" s="166">
        <v>130</v>
      </c>
      <c r="D476" s="167" t="str">
        <f>IFERROR(VLOOKUP(C476,'symmetric IOT 245 2012'!$C$6:$D$276,2,FALSE),"")</f>
        <v>Gasolinas, Nafta y gasolina natural</v>
      </c>
      <c r="E476" s="159">
        <f>INDEX('Dictionary Categories'!$A$2:$A$25,MATCH(F476,'Dictionary Categories'!$B$2:$B$25,0))</f>
        <v>10</v>
      </c>
      <c r="F476" s="174" t="s">
        <v>2453</v>
      </c>
      <c r="G476" s="164">
        <f>INDEX('Dictionary Subcategories'!$A$2:$A$70,MATCH(H476,'Dictionary Subcategories'!$B$2:$B$70,0))</f>
        <v>29</v>
      </c>
      <c r="H476" s="174" t="s">
        <v>2461</v>
      </c>
      <c r="I476" s="164"/>
      <c r="J476" s="164"/>
    </row>
    <row r="477" spans="1:10" ht="10.5" customHeight="1" x14ac:dyDescent="0.25">
      <c r="A477" s="172" t="str">
        <f>'ENIGHUR Consumption items'!H597</f>
        <v>07.2.2.100</v>
      </c>
      <c r="B477" s="172" t="str">
        <f>'ENIGHUR Consumption items'!J597</f>
        <v>Lubricantes para equipo de transporte personal</v>
      </c>
      <c r="C477" s="166">
        <v>131</v>
      </c>
      <c r="D477" s="167" t="str">
        <f>IFERROR(VLOOKUP(C477,'symmetric IOT 245 2012'!$C$6:$D$276,2,FALSE),"")</f>
        <v>Diesel</v>
      </c>
      <c r="E477" s="159">
        <f>INDEX('Dictionary Categories'!$A$2:$A$25,MATCH(F477,'Dictionary Categories'!$B$2:$B$25,0))</f>
        <v>11</v>
      </c>
      <c r="F477" s="164" t="s">
        <v>858</v>
      </c>
      <c r="G477" s="164">
        <f>INDEX('Dictionary Subcategories'!$A$2:$A$70,MATCH(H477,'Dictionary Subcategories'!$B$2:$B$70,0))</f>
        <v>26</v>
      </c>
      <c r="H477" s="164" t="s">
        <v>858</v>
      </c>
      <c r="I477" s="164"/>
      <c r="J477" s="164"/>
    </row>
    <row r="478" spans="1:10" ht="10.5" customHeight="1" x14ac:dyDescent="0.25">
      <c r="A478" s="172" t="str">
        <f>'ENIGHUR Consumption items'!H598</f>
        <v>07.2.3</v>
      </c>
      <c r="B478" s="172" t="str">
        <f>'ENIGHUR Consumption items'!J598</f>
        <v xml:space="preserve">CONSERVACIÓN Y REPARACIÓN DE EQUIPO DE TRANSPORTE PERSONAL </v>
      </c>
      <c r="C478" s="166">
        <v>182</v>
      </c>
      <c r="D478" s="167" t="str">
        <f>IFERROR(VLOOKUP(C478,'symmetric IOT 245 2012'!$C$6:$D$276,2,FALSE),"")</f>
        <v>Servicios de reparación y mantenimiento de vehículos de motor y motocicletas</v>
      </c>
      <c r="E478" s="159">
        <f>INDEX('Dictionary Categories'!$A$2:$A$25,MATCH(F478,'Dictionary Categories'!$B$2:$B$25,0))</f>
        <v>6</v>
      </c>
      <c r="F478" s="159" t="s">
        <v>2482</v>
      </c>
      <c r="G478" s="164">
        <f>INDEX('Dictionary Subcategories'!$A$2:$A$70,MATCH(H478,'Dictionary Subcategories'!$B$2:$B$70,0))</f>
        <v>30</v>
      </c>
      <c r="H478" s="174" t="s">
        <v>2466</v>
      </c>
      <c r="I478" s="164"/>
      <c r="J478" s="164"/>
    </row>
    <row r="479" spans="1:10" ht="10.5" customHeight="1" x14ac:dyDescent="0.25">
      <c r="A479" s="172" t="str">
        <f>'ENIGHUR Consumption items'!H603</f>
        <v>07.3.1</v>
      </c>
      <c r="B479" s="172" t="str">
        <f>'ENIGHUR Consumption items'!J603</f>
        <v xml:space="preserve">TRANSPORTE DE PASAJEROS POR FERROCARRIL </v>
      </c>
      <c r="C479" s="168">
        <v>187</v>
      </c>
      <c r="D479" s="167" t="str">
        <f>IFERROR(VLOOKUP(C479,'symmetric IOT 245 2012'!$C$6:$D$276,2,FALSE),"")</f>
        <v>Servicios de transporte por ferrocarril</v>
      </c>
      <c r="E479" s="159">
        <f>INDEX('Dictionary Categories'!$A$2:$A$25,MATCH(F479,'Dictionary Categories'!$B$2:$B$25,0))</f>
        <v>4</v>
      </c>
      <c r="F479" s="174" t="s">
        <v>586</v>
      </c>
      <c r="G479" s="164">
        <f>INDEX('Dictionary Subcategories'!$A$2:$A$70,MATCH(H479,'Dictionary Subcategories'!$B$2:$B$70,0))</f>
        <v>16</v>
      </c>
      <c r="H479" s="174" t="s">
        <v>2357</v>
      </c>
      <c r="I479" s="164"/>
      <c r="J479" s="164"/>
    </row>
    <row r="480" spans="1:10" ht="10.5" customHeight="1" x14ac:dyDescent="0.25">
      <c r="A480" s="172" t="str">
        <f>'ENIGHUR Consumption items'!H604</f>
        <v>07.3.2</v>
      </c>
      <c r="B480" s="172" t="str">
        <f>'ENIGHUR Consumption items'!J604</f>
        <v xml:space="preserve">TRANSPORTE DE PASAJEROS POR CARRETERA </v>
      </c>
      <c r="C480" s="168">
        <v>185</v>
      </c>
      <c r="D480" s="167" t="str">
        <f>IFERROR(VLOOKUP(C480,'symmetric IOT 245 2012'!$C$6:$D$276,2,FALSE),"")</f>
        <v>Servicios de transporte de pasajeros por carretera</v>
      </c>
      <c r="E480" s="159">
        <f>INDEX('Dictionary Categories'!$A$2:$A$25,MATCH(F480,'Dictionary Categories'!$B$2:$B$25,0))</f>
        <v>4</v>
      </c>
      <c r="F480" s="174" t="s">
        <v>586</v>
      </c>
      <c r="G480" s="164">
        <f>INDEX('Dictionary Subcategories'!$A$2:$A$70,MATCH(H480,'Dictionary Subcategories'!$B$2:$B$70,0))</f>
        <v>16</v>
      </c>
      <c r="H480" s="174" t="s">
        <v>2357</v>
      </c>
      <c r="I480" s="164"/>
      <c r="J480" s="164"/>
    </row>
    <row r="481" spans="1:10" ht="10.5" customHeight="1" x14ac:dyDescent="0.25">
      <c r="A481" s="172" t="str">
        <f>'ENIGHUR Consumption items'!H605</f>
        <v>07.3.2.000</v>
      </c>
      <c r="B481" s="172" t="str">
        <f>'ENIGHUR Consumption items'!J605</f>
        <v>Transporte de pasajeros por carretera</v>
      </c>
      <c r="C481" s="168">
        <v>185</v>
      </c>
      <c r="D481" s="167" t="str">
        <f>IFERROR(VLOOKUP(C481,'symmetric IOT 245 2012'!$C$6:$D$276,2,FALSE),"")</f>
        <v>Servicios de transporte de pasajeros por carretera</v>
      </c>
      <c r="E481" s="159">
        <f>INDEX('Dictionary Categories'!$A$2:$A$25,MATCH(F481,'Dictionary Categories'!$B$2:$B$25,0))</f>
        <v>4</v>
      </c>
      <c r="F481" s="174" t="s">
        <v>586</v>
      </c>
      <c r="G481" s="164">
        <f>INDEX('Dictionary Subcategories'!$A$2:$A$70,MATCH(H481,'Dictionary Subcategories'!$B$2:$B$70,0))</f>
        <v>16</v>
      </c>
      <c r="H481" s="174" t="s">
        <v>2357</v>
      </c>
      <c r="I481" s="164"/>
      <c r="J481" s="164"/>
    </row>
    <row r="482" spans="1:10" ht="10.5" customHeight="1" x14ac:dyDescent="0.25">
      <c r="A482" s="172" t="str">
        <f>'ENIGHUR Consumption items'!H606</f>
        <v>07.3.2.001</v>
      </c>
      <c r="B482" s="172" t="str">
        <f>'ENIGHUR Consumption items'!J606</f>
        <v xml:space="preserve">Alquiler de vehículo con conductor </v>
      </c>
      <c r="C482" s="168">
        <v>185</v>
      </c>
      <c r="D482" s="167" t="str">
        <f>IFERROR(VLOOKUP(C482,'symmetric IOT 245 2012'!$C$6:$D$276,2,FALSE),"")</f>
        <v>Servicios de transporte de pasajeros por carretera</v>
      </c>
      <c r="E482" s="159">
        <f>INDEX('Dictionary Categories'!$A$2:$A$25,MATCH(F482,'Dictionary Categories'!$B$2:$B$25,0))</f>
        <v>12</v>
      </c>
      <c r="F482" s="174" t="s">
        <v>2515</v>
      </c>
      <c r="G482" s="164">
        <f>INDEX('Dictionary Subcategories'!$A$2:$A$70,MATCH(H482,'Dictionary Subcategories'!$B$2:$B$70,0))</f>
        <v>31</v>
      </c>
      <c r="H482" s="174" t="s">
        <v>2516</v>
      </c>
      <c r="I482" s="164"/>
      <c r="J482" s="164"/>
    </row>
    <row r="483" spans="1:10" ht="10.5" customHeight="1" x14ac:dyDescent="0.25">
      <c r="A483" s="172" t="str">
        <f>'ENIGHUR Consumption items'!H607</f>
        <v>07.3.2.002</v>
      </c>
      <c r="B483" s="172" t="str">
        <f>'ENIGHUR Consumption items'!J607</f>
        <v>Transporte escolar</v>
      </c>
      <c r="C483" s="168">
        <v>185</v>
      </c>
      <c r="D483" s="167" t="str">
        <f>IFERROR(VLOOKUP(C483,'symmetric IOT 245 2012'!$C$6:$D$276,2,FALSE),"")</f>
        <v>Servicios de transporte de pasajeros por carretera</v>
      </c>
      <c r="E483" s="159">
        <f>INDEX('Dictionary Categories'!$A$2:$A$25,MATCH(F483,'Dictionary Categories'!$B$2:$B$25,0))</f>
        <v>12</v>
      </c>
      <c r="F483" s="174" t="s">
        <v>2515</v>
      </c>
      <c r="G483" s="164">
        <f>INDEX('Dictionary Subcategories'!$A$2:$A$70,MATCH(H483,'Dictionary Subcategories'!$B$2:$B$70,0))</f>
        <v>31</v>
      </c>
      <c r="H483" s="174" t="s">
        <v>2516</v>
      </c>
      <c r="I483" s="164"/>
      <c r="J483" s="164"/>
    </row>
    <row r="484" spans="1:10" ht="10.5" customHeight="1" x14ac:dyDescent="0.25">
      <c r="A484" s="172" t="str">
        <f>'ENIGHUR Consumption items'!H608</f>
        <v>07.3.2.003</v>
      </c>
      <c r="B484" s="172" t="str">
        <f>'ENIGHUR Consumption items'!J608</f>
        <v>Transporte de trabajo</v>
      </c>
      <c r="C484" s="168">
        <v>185</v>
      </c>
      <c r="D484" s="167" t="str">
        <f>IFERROR(VLOOKUP(C484,'symmetric IOT 245 2012'!$C$6:$D$276,2,FALSE),"")</f>
        <v>Servicios de transporte de pasajeros por carretera</v>
      </c>
      <c r="E484" s="159">
        <f>INDEX('Dictionary Categories'!$A$2:$A$25,MATCH(F484,'Dictionary Categories'!$B$2:$B$25,0))</f>
        <v>12</v>
      </c>
      <c r="F484" s="174" t="s">
        <v>2515</v>
      </c>
      <c r="G484" s="164">
        <f>INDEX('Dictionary Subcategories'!$A$2:$A$70,MATCH(H484,'Dictionary Subcategories'!$B$2:$B$70,0))</f>
        <v>31</v>
      </c>
      <c r="H484" s="174" t="s">
        <v>2516</v>
      </c>
      <c r="I484" s="164"/>
      <c r="J484" s="164"/>
    </row>
    <row r="485" spans="1:10" ht="10.5" customHeight="1" x14ac:dyDescent="0.25">
      <c r="A485" s="172" t="str">
        <f>'ENIGHUR Consumption items'!H609</f>
        <v>07.3.2.004</v>
      </c>
      <c r="B485" s="172" t="str">
        <f>'ENIGHUR Consumption items'!J609</f>
        <v xml:space="preserve">Transporte en bici taxi </v>
      </c>
      <c r="C485" s="168">
        <v>185</v>
      </c>
      <c r="D485" s="167" t="str">
        <f>IFERROR(VLOOKUP(C485,'symmetric IOT 245 2012'!$C$6:$D$276,2,FALSE),"")</f>
        <v>Servicios de transporte de pasajeros por carretera</v>
      </c>
      <c r="E485" s="159">
        <f>INDEX('Dictionary Categories'!$A$2:$A$25,MATCH(F485,'Dictionary Categories'!$B$2:$B$25,0))</f>
        <v>12</v>
      </c>
      <c r="F485" s="174" t="s">
        <v>2515</v>
      </c>
      <c r="G485" s="164">
        <f>INDEX('Dictionary Subcategories'!$A$2:$A$70,MATCH(H485,'Dictionary Subcategories'!$B$2:$B$70,0))</f>
        <v>31</v>
      </c>
      <c r="H485" s="174" t="s">
        <v>2516</v>
      </c>
      <c r="I485" s="164"/>
      <c r="J485" s="164"/>
    </row>
    <row r="486" spans="1:10" ht="10.5" customHeight="1" x14ac:dyDescent="0.25">
      <c r="A486" s="172" t="str">
        <f>'ENIGHUR Consumption items'!H610</f>
        <v>07.3.2.005</v>
      </c>
      <c r="B486" s="172" t="str">
        <f>'ENIGHUR Consumption items'!J610</f>
        <v xml:space="preserve">Transporte en bus, trolebús, metro bus, ecovía </v>
      </c>
      <c r="C486" s="168">
        <v>185</v>
      </c>
      <c r="D486" s="167" t="str">
        <f>IFERROR(VLOOKUP(C486,'symmetric IOT 245 2012'!$C$6:$D$276,2,FALSE),"")</f>
        <v>Servicios de transporte de pasajeros por carretera</v>
      </c>
      <c r="E486" s="159">
        <f>INDEX('Dictionary Categories'!$A$2:$A$25,MATCH(F486,'Dictionary Categories'!$B$2:$B$25,0))</f>
        <v>13</v>
      </c>
      <c r="F486" s="174" t="s">
        <v>2513</v>
      </c>
      <c r="G486" s="164">
        <f>INDEX('Dictionary Subcategories'!$A$2:$A$70,MATCH(H486,'Dictionary Subcategories'!$B$2:$B$70,0))</f>
        <v>31</v>
      </c>
      <c r="H486" s="174" t="s">
        <v>2516</v>
      </c>
      <c r="I486" s="164"/>
      <c r="J486" s="164"/>
    </row>
    <row r="487" spans="1:10" ht="10.5" customHeight="1" x14ac:dyDescent="0.25">
      <c r="A487" s="172" t="str">
        <f>'ENIGHUR Consumption items'!H611</f>
        <v>07.3.2.006</v>
      </c>
      <c r="B487" s="172" t="str">
        <f>'ENIGHUR Consumption items'!J611</f>
        <v xml:space="preserve">Transporte en camioneta </v>
      </c>
      <c r="C487" s="168">
        <v>185</v>
      </c>
      <c r="D487" s="167" t="str">
        <f>IFERROR(VLOOKUP(C487,'symmetric IOT 245 2012'!$C$6:$D$276,2,FALSE),"")</f>
        <v>Servicios de transporte de pasajeros por carretera</v>
      </c>
      <c r="E487" s="159">
        <f>INDEX('Dictionary Categories'!$A$2:$A$25,MATCH(F487,'Dictionary Categories'!$B$2:$B$25,0))</f>
        <v>12</v>
      </c>
      <c r="F487" s="174" t="s">
        <v>2515</v>
      </c>
      <c r="G487" s="164">
        <f>INDEX('Dictionary Subcategories'!$A$2:$A$70,MATCH(H487,'Dictionary Subcategories'!$B$2:$B$70,0))</f>
        <v>31</v>
      </c>
      <c r="H487" s="174" t="s">
        <v>2516</v>
      </c>
      <c r="I487" s="164"/>
      <c r="J487" s="164"/>
    </row>
    <row r="488" spans="1:10" ht="10.5" customHeight="1" x14ac:dyDescent="0.25">
      <c r="A488" s="172" t="str">
        <f>'ENIGHUR Consumption items'!H612</f>
        <v>07.3.2.007</v>
      </c>
      <c r="B488" s="172" t="str">
        <f>'ENIGHUR Consumption items'!J612</f>
        <v xml:space="preserve">Transporte en furgoneta </v>
      </c>
      <c r="C488" s="168">
        <v>185</v>
      </c>
      <c r="D488" s="167" t="str">
        <f>IFERROR(VLOOKUP(C488,'symmetric IOT 245 2012'!$C$6:$D$276,2,FALSE),"")</f>
        <v>Servicios de transporte de pasajeros por carretera</v>
      </c>
      <c r="E488" s="159">
        <f>INDEX('Dictionary Categories'!$A$2:$A$25,MATCH(F488,'Dictionary Categories'!$B$2:$B$25,0))</f>
        <v>12</v>
      </c>
      <c r="F488" s="174" t="s">
        <v>2515</v>
      </c>
      <c r="G488" s="164">
        <f>INDEX('Dictionary Subcategories'!$A$2:$A$70,MATCH(H488,'Dictionary Subcategories'!$B$2:$B$70,0))</f>
        <v>31</v>
      </c>
      <c r="H488" s="174" t="s">
        <v>2516</v>
      </c>
      <c r="I488" s="164"/>
      <c r="J488" s="164"/>
    </row>
    <row r="489" spans="1:10" ht="10.5" customHeight="1" x14ac:dyDescent="0.25">
      <c r="A489" s="172" t="str">
        <f>'ENIGHUR Consumption items'!H613</f>
        <v>07.3.2.008</v>
      </c>
      <c r="B489" s="172" t="str">
        <f>'ENIGHUR Consumption items'!J613</f>
        <v xml:space="preserve">Transporte en moto taxi </v>
      </c>
      <c r="C489" s="168">
        <v>185</v>
      </c>
      <c r="D489" s="167" t="str">
        <f>IFERROR(VLOOKUP(C489,'symmetric IOT 245 2012'!$C$6:$D$276,2,FALSE),"")</f>
        <v>Servicios de transporte de pasajeros por carretera</v>
      </c>
      <c r="E489" s="159">
        <f>INDEX('Dictionary Categories'!$A$2:$A$25,MATCH(F489,'Dictionary Categories'!$B$2:$B$25,0))</f>
        <v>12</v>
      </c>
      <c r="F489" s="174" t="s">
        <v>2515</v>
      </c>
      <c r="G489" s="164">
        <f>INDEX('Dictionary Subcategories'!$A$2:$A$70,MATCH(H489,'Dictionary Subcategories'!$B$2:$B$70,0))</f>
        <v>31</v>
      </c>
      <c r="H489" s="174" t="s">
        <v>2516</v>
      </c>
      <c r="I489" s="164"/>
      <c r="J489" s="164"/>
    </row>
    <row r="490" spans="1:10" ht="10.5" customHeight="1" x14ac:dyDescent="0.25">
      <c r="A490" s="172" t="str">
        <f>'ENIGHUR Consumption items'!H614</f>
        <v>07.3.2.009</v>
      </c>
      <c r="B490" s="172" t="str">
        <f>'ENIGHUR Consumption items'!J614</f>
        <v xml:space="preserve">Transporte intercantonal </v>
      </c>
      <c r="C490" s="168">
        <v>185</v>
      </c>
      <c r="D490" s="167" t="str">
        <f>IFERROR(VLOOKUP(C490,'symmetric IOT 245 2012'!$C$6:$D$276,2,FALSE),"")</f>
        <v>Servicios de transporte de pasajeros por carretera</v>
      </c>
      <c r="E490" s="159">
        <f>INDEX('Dictionary Categories'!$A$2:$A$25,MATCH(F490,'Dictionary Categories'!$B$2:$B$25,0))</f>
        <v>14</v>
      </c>
      <c r="F490" s="174" t="s">
        <v>2514</v>
      </c>
      <c r="G490" s="164">
        <f>INDEX('Dictionary Subcategories'!$A$2:$A$70,MATCH(H490,'Dictionary Subcategories'!$B$2:$B$70,0))</f>
        <v>31</v>
      </c>
      <c r="H490" s="174" t="s">
        <v>2516</v>
      </c>
      <c r="I490" s="164"/>
      <c r="J490" s="164"/>
    </row>
    <row r="491" spans="1:10" ht="10.5" customHeight="1" x14ac:dyDescent="0.25">
      <c r="A491" s="172" t="str">
        <f>'ENIGHUR Consumption items'!H615</f>
        <v>07.3.2.010</v>
      </c>
      <c r="B491" s="172" t="str">
        <f>'ENIGHUR Consumption items'!J615</f>
        <v xml:space="preserve">Transporte interparroquial </v>
      </c>
      <c r="C491" s="168">
        <v>185</v>
      </c>
      <c r="D491" s="167" t="str">
        <f>IFERROR(VLOOKUP(C491,'symmetric IOT 245 2012'!$C$6:$D$276,2,FALSE),"")</f>
        <v>Servicios de transporte de pasajeros por carretera</v>
      </c>
      <c r="E491" s="159">
        <f>INDEX('Dictionary Categories'!$A$2:$A$25,MATCH(F491,'Dictionary Categories'!$B$2:$B$25,0))</f>
        <v>14</v>
      </c>
      <c r="F491" s="174" t="s">
        <v>2514</v>
      </c>
      <c r="G491" s="164">
        <f>INDEX('Dictionary Subcategories'!$A$2:$A$70,MATCH(H491,'Dictionary Subcategories'!$B$2:$B$70,0))</f>
        <v>31</v>
      </c>
      <c r="H491" s="174" t="s">
        <v>2516</v>
      </c>
      <c r="I491" s="164"/>
      <c r="J491" s="164"/>
    </row>
    <row r="492" spans="1:10" ht="10.5" customHeight="1" x14ac:dyDescent="0.25">
      <c r="A492" s="172" t="str">
        <f>'ENIGHUR Consumption items'!H616</f>
        <v>07.3.2.011</v>
      </c>
      <c r="B492" s="172" t="str">
        <f>'ENIGHUR Consumption items'!J616</f>
        <v xml:space="preserve">Transporte interprovincial </v>
      </c>
      <c r="C492" s="168">
        <v>185</v>
      </c>
      <c r="D492" s="167" t="str">
        <f>IFERROR(VLOOKUP(C492,'symmetric IOT 245 2012'!$C$6:$D$276,2,FALSE),"")</f>
        <v>Servicios de transporte de pasajeros por carretera</v>
      </c>
      <c r="E492" s="159">
        <f>INDEX('Dictionary Categories'!$A$2:$A$25,MATCH(F492,'Dictionary Categories'!$B$2:$B$25,0))</f>
        <v>14</v>
      </c>
      <c r="F492" s="174" t="s">
        <v>2514</v>
      </c>
      <c r="G492" s="164">
        <f>INDEX('Dictionary Subcategories'!$A$2:$A$70,MATCH(H492,'Dictionary Subcategories'!$B$2:$B$70,0))</f>
        <v>31</v>
      </c>
      <c r="H492" s="174" t="s">
        <v>2516</v>
      </c>
      <c r="I492" s="164"/>
      <c r="J492" s="164"/>
    </row>
    <row r="493" spans="1:10" ht="10.5" customHeight="1" x14ac:dyDescent="0.25">
      <c r="A493" s="172" t="str">
        <f>'ENIGHUR Consumption items'!H617</f>
        <v>07.3.2.012</v>
      </c>
      <c r="B493" s="172" t="str">
        <f>'ENIGHUR Consumption items'!J617</f>
        <v xml:space="preserve">Transporte en taxi </v>
      </c>
      <c r="C493" s="168">
        <v>185</v>
      </c>
      <c r="D493" s="167" t="str">
        <f>IFERROR(VLOOKUP(C493,'symmetric IOT 245 2012'!$C$6:$D$276,2,FALSE),"")</f>
        <v>Servicios de transporte de pasajeros por carretera</v>
      </c>
      <c r="E493" s="159">
        <f>INDEX('Dictionary Categories'!$A$2:$A$25,MATCH(F493,'Dictionary Categories'!$B$2:$B$25,0))</f>
        <v>12</v>
      </c>
      <c r="F493" s="174" t="s">
        <v>2515</v>
      </c>
      <c r="G493" s="164">
        <f>INDEX('Dictionary Subcategories'!$A$2:$A$70,MATCH(H493,'Dictionary Subcategories'!$B$2:$B$70,0))</f>
        <v>31</v>
      </c>
      <c r="H493" s="174" t="s">
        <v>2516</v>
      </c>
      <c r="I493" s="164"/>
      <c r="J493" s="164"/>
    </row>
    <row r="494" spans="1:10" ht="10.5" customHeight="1" x14ac:dyDescent="0.25">
      <c r="A494" s="172" t="str">
        <f>'ENIGHUR Consumption items'!H618</f>
        <v>07.3.2.099</v>
      </c>
      <c r="B494" s="172" t="str">
        <f>'ENIGHUR Consumption items'!J618</f>
        <v xml:space="preserve">Otros transportes de pasajeros por carretera </v>
      </c>
      <c r="C494" s="168">
        <v>185</v>
      </c>
      <c r="D494" s="167" t="str">
        <f>IFERROR(VLOOKUP(C494,'symmetric IOT 245 2012'!$C$6:$D$276,2,FALSE),"")</f>
        <v>Servicios de transporte de pasajeros por carretera</v>
      </c>
      <c r="E494" s="159">
        <f>INDEX('Dictionary Categories'!$A$2:$A$25,MATCH(F494,'Dictionary Categories'!$B$2:$B$25,0))</f>
        <v>12</v>
      </c>
      <c r="F494" s="174" t="s">
        <v>2515</v>
      </c>
      <c r="G494" s="164">
        <f>INDEX('Dictionary Subcategories'!$A$2:$A$70,MATCH(H494,'Dictionary Subcategories'!$B$2:$B$70,0))</f>
        <v>31</v>
      </c>
      <c r="H494" s="174" t="s">
        <v>2516</v>
      </c>
      <c r="I494" s="164"/>
      <c r="J494" s="164"/>
    </row>
    <row r="495" spans="1:10" ht="10.5" customHeight="1" x14ac:dyDescent="0.25">
      <c r="A495" s="172" t="str">
        <f>'ENIGHUR Consumption items'!H619</f>
        <v>07.3.3</v>
      </c>
      <c r="B495" s="172" t="str">
        <f>'ENIGHUR Consumption items'!J619</f>
        <v xml:space="preserve">TRANSPORTE DE PASAJEROS POR AIRE </v>
      </c>
      <c r="C495" s="168">
        <v>190</v>
      </c>
      <c r="D495" s="167" t="str">
        <f>IFERROR(VLOOKUP(C495,'symmetric IOT 245 2012'!$C$6:$D$276,2,FALSE),"")</f>
        <v xml:space="preserve">Servicios de transporte de pasajeros por vía aérea </v>
      </c>
      <c r="E495" s="159">
        <f>INDEX('Dictionary Categories'!$A$2:$A$25,MATCH(F495,'Dictionary Categories'!$B$2:$B$25,0))</f>
        <v>4</v>
      </c>
      <c r="F495" s="174" t="s">
        <v>586</v>
      </c>
      <c r="G495" s="164">
        <f>INDEX('Dictionary Subcategories'!$A$2:$A$70,MATCH(H495,'Dictionary Subcategories'!$B$2:$B$70,0))</f>
        <v>32</v>
      </c>
      <c r="H495" s="174" t="s">
        <v>2484</v>
      </c>
      <c r="I495" s="164"/>
      <c r="J495" s="164"/>
    </row>
    <row r="496" spans="1:10" ht="10.5" customHeight="1" x14ac:dyDescent="0.25">
      <c r="A496" s="172" t="str">
        <f>'ENIGHUR Consumption items'!H620</f>
        <v>07.3.4</v>
      </c>
      <c r="B496" s="172" t="str">
        <f>'ENIGHUR Consumption items'!J620</f>
        <v>TRANSPORTE DE PASAJEROS POR MAR Y CURSOS DE AGUA INTERIORES</v>
      </c>
      <c r="C496" s="168">
        <v>189</v>
      </c>
      <c r="D496" s="167" t="str">
        <f>IFERROR(VLOOKUP(C496,'symmetric IOT 245 2012'!$C$6:$D$276,2,FALSE),"")</f>
        <v>Servicios de transporte por vía acuática</v>
      </c>
      <c r="E496" s="159">
        <f>INDEX('Dictionary Categories'!$A$2:$A$25,MATCH(F496,'Dictionary Categories'!$B$2:$B$25,0))</f>
        <v>4</v>
      </c>
      <c r="F496" s="174" t="s">
        <v>586</v>
      </c>
      <c r="G496" s="164">
        <f>INDEX('Dictionary Subcategories'!$A$2:$A$70,MATCH(H496,'Dictionary Subcategories'!$B$2:$B$70,0))</f>
        <v>16</v>
      </c>
      <c r="H496" s="174" t="s">
        <v>2357</v>
      </c>
      <c r="I496" s="164"/>
      <c r="J496" s="164"/>
    </row>
    <row r="497" spans="1:10" ht="10.5" customHeight="1" x14ac:dyDescent="0.25">
      <c r="A497" s="172" t="str">
        <f>'ENIGHUR Consumption items'!$H$621</f>
        <v>07.3.5</v>
      </c>
      <c r="B497" s="172" t="str">
        <f>'ENIGHUR Consumption items'!J621</f>
        <v xml:space="preserve">TRANSPORTE COMBINADO DE PASAJEROS </v>
      </c>
      <c r="C497" s="168">
        <v>185</v>
      </c>
      <c r="D497" s="167" t="str">
        <f>IFERROR(VLOOKUP(C497,'symmetric IOT 245 2012'!$C$6:$D$276,2,FALSE),"")</f>
        <v>Servicios de transporte de pasajeros por carretera</v>
      </c>
      <c r="E497" s="159">
        <f>INDEX('Dictionary Categories'!$A$2:$A$25,MATCH(F497,'Dictionary Categories'!$B$2:$B$25,0))</f>
        <v>4</v>
      </c>
      <c r="F497" s="174" t="s">
        <v>586</v>
      </c>
      <c r="G497" s="164">
        <f>INDEX('Dictionary Subcategories'!$A$2:$A$70,MATCH(H497,'Dictionary Subcategories'!$B$2:$B$70,0))</f>
        <v>16</v>
      </c>
      <c r="H497" s="174" t="s">
        <v>2357</v>
      </c>
      <c r="I497" s="164"/>
      <c r="J497" s="164"/>
    </row>
    <row r="498" spans="1:10" ht="10.5" customHeight="1" x14ac:dyDescent="0.25">
      <c r="A498" s="172" t="str">
        <f>'ENIGHUR Consumption items'!H622</f>
        <v>07.3.6</v>
      </c>
      <c r="B498" s="172" t="str">
        <f>'ENIGHUR Consumption items'!J622</f>
        <v xml:space="preserve">OTROS SERVICIOS DE TRANSPORTE ADQUIRIDOS </v>
      </c>
      <c r="C498" s="168">
        <v>195</v>
      </c>
      <c r="D498" s="167" t="str">
        <f>IFERROR(VLOOKUP(C498,'symmetric IOT 245 2012'!$C$6:$D$276,2,FALSE),"")</f>
        <v>Servicios complementarios y auxiliares del transporte</v>
      </c>
      <c r="E498" s="159">
        <f>INDEX('Dictionary Categories'!$A$2:$A$25,MATCH(F498,'Dictionary Categories'!$B$2:$B$25,0))</f>
        <v>4</v>
      </c>
      <c r="F498" s="174" t="s">
        <v>586</v>
      </c>
      <c r="G498" s="164">
        <f>INDEX('Dictionary Subcategories'!$A$2:$A$70,MATCH(H498,'Dictionary Subcategories'!$B$2:$B$70,0))</f>
        <v>16</v>
      </c>
      <c r="H498" s="174" t="s">
        <v>2357</v>
      </c>
      <c r="I498" s="164"/>
      <c r="J498" s="164"/>
    </row>
    <row r="499" spans="1:10" ht="10.5" customHeight="1" x14ac:dyDescent="0.25">
      <c r="A499" s="172" t="str">
        <f>'ENIGHUR Consumption items'!$H$600</f>
        <v>07.2.4</v>
      </c>
      <c r="B499" s="172" t="str">
        <f>'ENIGHUR Consumption items'!$J$600</f>
        <v xml:space="preserve">OTROS SERVICIOS RELATIVOS AL EQUIPO DE TRANSPORTE PERSONAL </v>
      </c>
      <c r="C499" s="168">
        <v>195</v>
      </c>
      <c r="D499" s="167" t="str">
        <f>IFERROR(VLOOKUP(C499,'symmetric IOT 245 2012'!$C$6:$D$276,2,FALSE),"")</f>
        <v>Servicios complementarios y auxiliares del transporte</v>
      </c>
      <c r="E499" s="159">
        <f>INDEX('Dictionary Categories'!$A$2:$A$25,MATCH(F499,'Dictionary Categories'!$B$2:$B$25,0))</f>
        <v>4</v>
      </c>
      <c r="F499" s="174" t="s">
        <v>586</v>
      </c>
      <c r="G499" s="164">
        <f>INDEX('Dictionary Subcategories'!$A$2:$A$70,MATCH(H499,'Dictionary Subcategories'!$B$2:$B$70,0))</f>
        <v>16</v>
      </c>
      <c r="H499" s="174" t="s">
        <v>2357</v>
      </c>
      <c r="I499" s="164"/>
      <c r="J499" s="164"/>
    </row>
    <row r="500" spans="1:10" ht="10.5" customHeight="1" x14ac:dyDescent="0.25">
      <c r="A500" s="172" t="str">
        <f>'ENIGHUR Consumption items'!$H$601</f>
        <v>07.2.5</v>
      </c>
      <c r="B500" s="172" t="str">
        <f>'ENIGHUR Consumption items'!$J$601</f>
        <v xml:space="preserve">SERVICIOS DE ESTACIONAMIENTO Y PEAJE </v>
      </c>
      <c r="C500" s="168">
        <v>195</v>
      </c>
      <c r="D500" s="167" t="str">
        <f>IFERROR(VLOOKUP(C500,'symmetric IOT 245 2012'!$C$6:$D$276,2,FALSE),"")</f>
        <v>Servicios complementarios y auxiliares del transporte</v>
      </c>
      <c r="E500" s="159">
        <f>INDEX('Dictionary Categories'!$A$2:$A$25,MATCH(F500,'Dictionary Categories'!$B$2:$B$25,0))</f>
        <v>4</v>
      </c>
      <c r="F500" s="174" t="s">
        <v>586</v>
      </c>
      <c r="G500" s="164">
        <f>INDEX('Dictionary Subcategories'!$A$2:$A$70,MATCH(H500,'Dictionary Subcategories'!$B$2:$B$70,0))</f>
        <v>16</v>
      </c>
      <c r="H500" s="174" t="s">
        <v>2357</v>
      </c>
      <c r="I500" s="164"/>
      <c r="J500" s="164"/>
    </row>
    <row r="501" spans="1:10" ht="10.5" customHeight="1" x14ac:dyDescent="0.25">
      <c r="A501" s="172" t="str">
        <f>'ENIGHUR Consumption items'!H559</f>
        <v>06.1.1</v>
      </c>
      <c r="B501" s="172" t="str">
        <f>'ENIGHUR Consumption items'!J559</f>
        <v xml:space="preserve">PRODUCTOS FARMACÉUTICOS </v>
      </c>
      <c r="C501" s="168">
        <v>139</v>
      </c>
      <c r="D501" s="167" t="str">
        <f>IFERROR(VLOOKUP(C501,'symmetric IOT 245 2012'!$C$6:$D$276,2,FALSE),"")</f>
        <v>Productos farmacéuticos y medicamentos</v>
      </c>
      <c r="E501" s="159">
        <f>INDEX('Dictionary Categories'!$A$2:$A$25,MATCH(F501,'Dictionary Categories'!$B$2:$B$25,0))</f>
        <v>15</v>
      </c>
      <c r="F501" s="164" t="s">
        <v>585</v>
      </c>
      <c r="G501" s="164">
        <f>INDEX('Dictionary Subcategories'!$A$2:$A$70,MATCH(H501,'Dictionary Subcategories'!$B$2:$B$70,0))</f>
        <v>33</v>
      </c>
      <c r="H501" s="174" t="s">
        <v>2351</v>
      </c>
      <c r="I501" s="164"/>
      <c r="J501" s="164"/>
    </row>
    <row r="502" spans="1:10" ht="10.5" customHeight="1" x14ac:dyDescent="0.25">
      <c r="A502" s="172" t="str">
        <f>'ENIGHUR Consumption items'!H561</f>
        <v>06.1.2</v>
      </c>
      <c r="B502" s="172" t="str">
        <f>'ENIGHUR Consumption items'!J561</f>
        <v xml:space="preserve">OTROS PRODUCTOS MÉDICOS </v>
      </c>
      <c r="C502" s="168">
        <v>139</v>
      </c>
      <c r="D502" s="167" t="str">
        <f>IFERROR(VLOOKUP(C502,'symmetric IOT 245 2012'!$C$6:$D$276,2,FALSE),"")</f>
        <v>Productos farmacéuticos y medicamentos</v>
      </c>
      <c r="E502" s="159">
        <f>INDEX('Dictionary Categories'!$A$2:$A$25,MATCH(F502,'Dictionary Categories'!$B$2:$B$25,0))</f>
        <v>15</v>
      </c>
      <c r="F502" s="164" t="s">
        <v>585</v>
      </c>
      <c r="G502" s="164">
        <f>INDEX('Dictionary Subcategories'!$A$2:$A$70,MATCH(H502,'Dictionary Subcategories'!$B$2:$B$70,0))</f>
        <v>33</v>
      </c>
      <c r="H502" s="174" t="s">
        <v>2351</v>
      </c>
      <c r="I502" s="164"/>
      <c r="J502" s="164"/>
    </row>
    <row r="503" spans="1:10" ht="10.5" customHeight="1" x14ac:dyDescent="0.25">
      <c r="A503" s="172" t="str">
        <f>'ENIGHUR Consumption items'!H563</f>
        <v>06.1.3</v>
      </c>
      <c r="B503" s="172" t="str">
        <f>'ENIGHUR Consumption items'!J563</f>
        <v xml:space="preserve">ARTEFACTOS Y EQUIPO TERAPÉUTICOS </v>
      </c>
      <c r="C503" s="168">
        <v>139</v>
      </c>
      <c r="D503" s="167" t="str">
        <f>IFERROR(VLOOKUP(C503,'symmetric IOT 245 2012'!$C$6:$D$276,2,FALSE),"")</f>
        <v>Productos farmacéuticos y medicamentos</v>
      </c>
      <c r="E503" s="159">
        <f>INDEX('Dictionary Categories'!$A$2:$A$25,MATCH(F503,'Dictionary Categories'!$B$2:$B$25,0))</f>
        <v>15</v>
      </c>
      <c r="F503" s="164" t="s">
        <v>585</v>
      </c>
      <c r="G503" s="164">
        <f>INDEX('Dictionary Subcategories'!$A$2:$A$70,MATCH(H503,'Dictionary Subcategories'!$B$2:$B$70,0))</f>
        <v>33</v>
      </c>
      <c r="H503" s="174" t="s">
        <v>2351</v>
      </c>
      <c r="I503" s="164"/>
      <c r="J503" s="164"/>
    </row>
    <row r="504" spans="1:10" ht="10.5" customHeight="1" x14ac:dyDescent="0.25">
      <c r="A504" s="172" t="str">
        <f>'ENIGHUR Consumption items'!H566</f>
        <v>06.2.1</v>
      </c>
      <c r="B504" s="172" t="str">
        <f>'ENIGHUR Consumption items'!J566</f>
        <v xml:space="preserve">SERVICIOS MÉDICOS </v>
      </c>
      <c r="C504" s="168">
        <v>240</v>
      </c>
      <c r="D504" s="167" t="str">
        <f>IFERROR(VLOOKUP(C504,'symmetric IOT 245 2012'!$C$6:$D$276,2,FALSE),"")</f>
        <v>Servicios de salud no de mercado (pública)</v>
      </c>
      <c r="E504" s="159">
        <f>INDEX('Dictionary Categories'!$A$2:$A$25,MATCH(F504,'Dictionary Categories'!$B$2:$B$25,0))</f>
        <v>15</v>
      </c>
      <c r="F504" s="164" t="s">
        <v>585</v>
      </c>
      <c r="G504" s="164">
        <f>INDEX('Dictionary Subcategories'!$A$2:$A$70,MATCH(H504,'Dictionary Subcategories'!$B$2:$B$70,0))</f>
        <v>34</v>
      </c>
      <c r="H504" s="174" t="s">
        <v>2352</v>
      </c>
      <c r="I504" s="164"/>
      <c r="J504" s="164"/>
    </row>
    <row r="505" spans="1:10" ht="10.5" customHeight="1" x14ac:dyDescent="0.25">
      <c r="A505" s="172" t="str">
        <f>'ENIGHUR Consumption items'!H567</f>
        <v>06.2.2</v>
      </c>
      <c r="B505" s="172" t="str">
        <f>'ENIGHUR Consumption items'!J567</f>
        <v xml:space="preserve">SERVICIOS DENTALES </v>
      </c>
      <c r="C505" s="168">
        <v>240</v>
      </c>
      <c r="D505" s="167" t="str">
        <f>IFERROR(VLOOKUP(C505,'symmetric IOT 245 2012'!$C$6:$D$276,2,FALSE),"")</f>
        <v>Servicios de salud no de mercado (pública)</v>
      </c>
      <c r="E505" s="159">
        <f>INDEX('Dictionary Categories'!$A$2:$A$25,MATCH(F505,'Dictionary Categories'!$B$2:$B$25,0))</f>
        <v>15</v>
      </c>
      <c r="F505" s="164" t="s">
        <v>585</v>
      </c>
      <c r="G505" s="164">
        <f>INDEX('Dictionary Subcategories'!$A$2:$A$70,MATCH(H505,'Dictionary Subcategories'!$B$2:$B$70,0))</f>
        <v>34</v>
      </c>
      <c r="H505" s="174" t="s">
        <v>2352</v>
      </c>
      <c r="I505" s="164"/>
      <c r="J505" s="164"/>
    </row>
    <row r="506" spans="1:10" ht="10.5" customHeight="1" x14ac:dyDescent="0.25">
      <c r="A506" s="172" t="str">
        <f>'ENIGHUR Consumption items'!H568</f>
        <v>06.2.3</v>
      </c>
      <c r="B506" s="172" t="str">
        <f>'ENIGHUR Consumption items'!J568</f>
        <v xml:space="preserve">SERVICIOS PARAMÉDICOS </v>
      </c>
      <c r="C506" s="168">
        <v>240</v>
      </c>
      <c r="D506" s="167" t="str">
        <f>IFERROR(VLOOKUP(C506,'symmetric IOT 245 2012'!$C$6:$D$276,2,FALSE),"")</f>
        <v>Servicios de salud no de mercado (pública)</v>
      </c>
      <c r="E506" s="159">
        <f>INDEX('Dictionary Categories'!$A$2:$A$25,MATCH(F506,'Dictionary Categories'!$B$2:$B$25,0))</f>
        <v>15</v>
      </c>
      <c r="F506" s="164" t="s">
        <v>585</v>
      </c>
      <c r="G506" s="164">
        <f>INDEX('Dictionary Subcategories'!$A$2:$A$70,MATCH(H506,'Dictionary Subcategories'!$B$2:$B$70,0))</f>
        <v>34</v>
      </c>
      <c r="H506" s="174" t="s">
        <v>2352</v>
      </c>
      <c r="I506" s="164"/>
      <c r="J506" s="164"/>
    </row>
    <row r="507" spans="1:10" ht="10.5" customHeight="1" x14ac:dyDescent="0.25">
      <c r="A507" s="172" t="str">
        <f>'ENIGHUR Consumption items'!H570</f>
        <v>06.3.1</v>
      </c>
      <c r="B507" s="172" t="str">
        <f>'ENIGHUR Consumption items'!J570</f>
        <v xml:space="preserve">SERVICIOS DE HOSPITAL </v>
      </c>
      <c r="C507" s="168">
        <v>240</v>
      </c>
      <c r="D507" s="167" t="str">
        <f>IFERROR(VLOOKUP(C507,'symmetric IOT 245 2012'!$C$6:$D$276,2,FALSE),"")</f>
        <v>Servicios de salud no de mercado (pública)</v>
      </c>
      <c r="E507" s="159">
        <f>INDEX('Dictionary Categories'!$A$2:$A$25,MATCH(F507,'Dictionary Categories'!$B$2:$B$25,0))</f>
        <v>15</v>
      </c>
      <c r="F507" s="164" t="s">
        <v>585</v>
      </c>
      <c r="G507" s="164">
        <f>INDEX('Dictionary Subcategories'!$A$2:$A$70,MATCH(H507,'Dictionary Subcategories'!$B$2:$B$70,0))</f>
        <v>34</v>
      </c>
      <c r="H507" s="174" t="s">
        <v>2352</v>
      </c>
      <c r="I507" s="164"/>
      <c r="J507" s="164"/>
    </row>
    <row r="508" spans="1:10" ht="10.5" customHeight="1" x14ac:dyDescent="0.25">
      <c r="A508" s="172" t="str">
        <f>'ENIGHUR Consumption items'!H632</f>
        <v>09.1.1</v>
      </c>
      <c r="B508" s="172" t="str">
        <f>'ENIGHUR Consumption items'!J632</f>
        <v xml:space="preserve">EQUIPO PARA LA RECEPCIÓN, GRABACIÓN Y REPRODUCCIÓN DE SONIDOS E IMÁGENES </v>
      </c>
      <c r="C508" s="168">
        <v>162</v>
      </c>
      <c r="D508" s="167" t="str">
        <f>IFERROR(VLOOKUP(C508,'symmetric IOT 245 2012'!$C$6:$D$276,2,FALSE),"")</f>
        <v>Aparatos de uso doméstico, partes y piezas</v>
      </c>
      <c r="E508" s="159">
        <f>INDEX('Dictionary Categories'!$A$2:$A$25,MATCH(F508,'Dictionary Categories'!$B$2:$B$25,0))</f>
        <v>6</v>
      </c>
      <c r="F508" s="159" t="s">
        <v>2482</v>
      </c>
      <c r="G508" s="164">
        <f>INDEX('Dictionary Subcategories'!$A$2:$A$70,MATCH(H508,'Dictionary Subcategories'!$B$2:$B$70,0))</f>
        <v>35</v>
      </c>
      <c r="H508" s="159" t="s">
        <v>2483</v>
      </c>
      <c r="I508" s="164"/>
      <c r="J508" s="164"/>
    </row>
    <row r="509" spans="1:10" ht="10.5" customHeight="1" x14ac:dyDescent="0.25">
      <c r="A509" s="172" t="str">
        <f>'ENIGHUR Consumption items'!H633</f>
        <v>09.1.2</v>
      </c>
      <c r="B509" s="172" t="str">
        <f>'ENIGHUR Consumption items'!J633</f>
        <v xml:space="preserve">EQUIPO FOTOGRÁFICO Y CINEMATOGRÁFICO E INSTRUMENTOS ÓPTICOS </v>
      </c>
      <c r="C509" s="168">
        <v>162</v>
      </c>
      <c r="D509" s="167" t="str">
        <f>IFERROR(VLOOKUP(C509,'symmetric IOT 245 2012'!$C$6:$D$276,2,FALSE),"")</f>
        <v>Aparatos de uso doméstico, partes y piezas</v>
      </c>
      <c r="E509" s="159">
        <f>INDEX('Dictionary Categories'!$A$2:$A$25,MATCH(F509,'Dictionary Categories'!$B$2:$B$25,0))</f>
        <v>6</v>
      </c>
      <c r="F509" s="159" t="s">
        <v>2482</v>
      </c>
      <c r="G509" s="164">
        <f>INDEX('Dictionary Subcategories'!$A$2:$A$70,MATCH(H509,'Dictionary Subcategories'!$B$2:$B$70,0))</f>
        <v>35</v>
      </c>
      <c r="H509" s="159" t="s">
        <v>2483</v>
      </c>
      <c r="I509" s="164"/>
      <c r="J509" s="164"/>
    </row>
    <row r="510" spans="1:10" ht="10.5" customHeight="1" x14ac:dyDescent="0.25">
      <c r="A510" s="172" t="str">
        <f>'ENIGHUR Consumption items'!H634</f>
        <v>09.1.3</v>
      </c>
      <c r="B510" s="172" t="str">
        <f>'ENIGHUR Consumption items'!J634</f>
        <v>EQUIPO DE PROCESAMIENTO E INFORMACIÓN</v>
      </c>
      <c r="C510" s="168">
        <v>164</v>
      </c>
      <c r="D510" s="167" t="str">
        <f>IFERROR(VLOOKUP(C510,'symmetric IOT 245 2012'!$C$6:$D$276,2,FALSE),"")</f>
        <v>Maquinaria informática; partes, piezas y accesorios</v>
      </c>
      <c r="E510" s="159">
        <f>INDEX('Dictionary Categories'!$A$2:$A$25,MATCH(F510,'Dictionary Categories'!$B$2:$B$25,0))</f>
        <v>6</v>
      </c>
      <c r="F510" s="159" t="s">
        <v>2482</v>
      </c>
      <c r="G510" s="164">
        <f>INDEX('Dictionary Subcategories'!$A$2:$A$70,MATCH(H510,'Dictionary Subcategories'!$B$2:$B$70,0))</f>
        <v>35</v>
      </c>
      <c r="H510" s="159" t="s">
        <v>2483</v>
      </c>
      <c r="I510" s="164"/>
      <c r="J510" s="164"/>
    </row>
    <row r="511" spans="1:10" ht="10.5" customHeight="1" x14ac:dyDescent="0.25">
      <c r="A511" s="172" t="str">
        <f>'ENIGHUR Consumption items'!H635</f>
        <v>09.1.4</v>
      </c>
      <c r="B511" s="172" t="str">
        <f>'ENIGHUR Consumption items'!J635</f>
        <v xml:space="preserve">MEDIOS PARA GRABACIÓN </v>
      </c>
      <c r="C511" s="168">
        <v>164</v>
      </c>
      <c r="D511" s="167" t="str">
        <f>IFERROR(VLOOKUP(C511,'symmetric IOT 245 2012'!$C$6:$D$276,2,FALSE),"")</f>
        <v>Maquinaria informática; partes, piezas y accesorios</v>
      </c>
      <c r="E511" s="159">
        <f>INDEX('Dictionary Categories'!$A$2:$A$25,MATCH(F511,'Dictionary Categories'!$B$2:$B$25,0))</f>
        <v>6</v>
      </c>
      <c r="F511" s="159" t="s">
        <v>2482</v>
      </c>
      <c r="G511" s="164">
        <f>INDEX('Dictionary Subcategories'!$A$2:$A$70,MATCH(H511,'Dictionary Subcategories'!$B$2:$B$70,0))</f>
        <v>35</v>
      </c>
      <c r="H511" s="159" t="s">
        <v>2483</v>
      </c>
      <c r="I511" s="164"/>
      <c r="J511" s="164"/>
    </row>
    <row r="512" spans="1:10" ht="10.5" customHeight="1" x14ac:dyDescent="0.25">
      <c r="A512" s="172" t="str">
        <f>'ENIGHUR Consumption items'!H638</f>
        <v>09.2.1</v>
      </c>
      <c r="B512" s="172" t="str">
        <f>'ENIGHUR Consumption items'!J638</f>
        <v xml:space="preserve">ARTEFACTOS DURADEROS IMPORTANTES PARA RECREACIÓN EN EXTERIORES </v>
      </c>
      <c r="C512" s="168">
        <v>146</v>
      </c>
      <c r="D512" s="167" t="str">
        <f>IFERROR(VLOOKUP(C512,'symmetric IOT 245 2012'!$C$6:$D$276,2,FALSE),"")</f>
        <v>Productos de plástico</v>
      </c>
      <c r="E512" s="159">
        <f>INDEX('Dictionary Categories'!$A$2:$A$25,MATCH(F512,'Dictionary Categories'!$B$2:$B$25,0))</f>
        <v>6</v>
      </c>
      <c r="F512" s="159" t="s">
        <v>2482</v>
      </c>
      <c r="G512" s="164">
        <f>INDEX('Dictionary Subcategories'!$A$2:$A$70,MATCH(H512,'Dictionary Subcategories'!$B$2:$B$70,0))</f>
        <v>35</v>
      </c>
      <c r="H512" s="159" t="s">
        <v>2483</v>
      </c>
      <c r="I512" s="164"/>
      <c r="J512" s="164"/>
    </row>
    <row r="513" spans="1:10" ht="10.5" customHeight="1" x14ac:dyDescent="0.25">
      <c r="A513" s="172" t="str">
        <f>'ENIGHUR Consumption items'!H639</f>
        <v>09.2.2</v>
      </c>
      <c r="B513" s="172" t="str">
        <f>'ENIGHUR Consumption items'!J639</f>
        <v xml:space="preserve">INSTRUMENTOS MUSICALES Y EQUIPOS DURADEROS IMPORTANTES PARA RECREACIÓN EN INTERIORES </v>
      </c>
      <c r="C513" s="168">
        <v>162</v>
      </c>
      <c r="D513" s="167" t="str">
        <f>IFERROR(VLOOKUP(C513,'symmetric IOT 245 2012'!$C$6:$D$276,2,FALSE),"")</f>
        <v>Aparatos de uso doméstico, partes y piezas</v>
      </c>
      <c r="E513" s="159">
        <f>INDEX('Dictionary Categories'!$A$2:$A$25,MATCH(F513,'Dictionary Categories'!$B$2:$B$25,0))</f>
        <v>6</v>
      </c>
      <c r="F513" s="159" t="s">
        <v>2482</v>
      </c>
      <c r="G513" s="164">
        <f>INDEX('Dictionary Subcategories'!$A$2:$A$70,MATCH(H513,'Dictionary Subcategories'!$B$2:$B$70,0))</f>
        <v>35</v>
      </c>
      <c r="H513" s="159" t="s">
        <v>2483</v>
      </c>
      <c r="I513" s="164"/>
      <c r="J513" s="164"/>
    </row>
    <row r="514" spans="1:10" ht="10.5" customHeight="1" x14ac:dyDescent="0.25">
      <c r="A514" s="172" t="str">
        <f>'ENIGHUR Consumption items'!H642</f>
        <v>09.3.1</v>
      </c>
      <c r="B514" s="172" t="str">
        <f>'ENIGHUR Consumption items'!J642</f>
        <v xml:space="preserve">JUEGOS, JUGUETES Y AFICIONES </v>
      </c>
      <c r="C514" s="168">
        <v>146</v>
      </c>
      <c r="D514" s="167" t="str">
        <f>IFERROR(VLOOKUP(C514,'symmetric IOT 245 2012'!$C$6:$D$276,2,FALSE),"")</f>
        <v>Productos de plástico</v>
      </c>
      <c r="E514" s="159">
        <f>INDEX('Dictionary Categories'!$A$2:$A$25,MATCH(F514,'Dictionary Categories'!$B$2:$B$25,0))</f>
        <v>16</v>
      </c>
      <c r="F514" s="164" t="s">
        <v>2481</v>
      </c>
      <c r="G514" s="164">
        <f>INDEX('Dictionary Subcategories'!$A$2:$A$70,MATCH(H514,'Dictionary Subcategories'!$B$2:$B$70,0))</f>
        <v>21</v>
      </c>
      <c r="H514" s="159" t="s">
        <v>2350</v>
      </c>
      <c r="I514" s="164"/>
      <c r="J514" s="164"/>
    </row>
    <row r="515" spans="1:10" ht="10.5" customHeight="1" x14ac:dyDescent="0.25">
      <c r="A515" s="172" t="str">
        <f>'ENIGHUR Consumption items'!H643</f>
        <v>09.3.2</v>
      </c>
      <c r="B515" s="172" t="str">
        <f>'ENIGHUR Consumption items'!J643</f>
        <v xml:space="preserve">EQUIPO DE DEPORTES, CAMPAMENTOS Y RECREACIÓN AL AIRE LIBRE </v>
      </c>
      <c r="C515" s="168">
        <v>146</v>
      </c>
      <c r="D515" s="167" t="str">
        <f>IFERROR(VLOOKUP(C515,'symmetric IOT 245 2012'!$C$6:$D$276,2,FALSE),"")</f>
        <v>Productos de plástico</v>
      </c>
      <c r="E515" s="159">
        <f>INDEX('Dictionary Categories'!$A$2:$A$25,MATCH(F515,'Dictionary Categories'!$B$2:$B$25,0))</f>
        <v>16</v>
      </c>
      <c r="F515" s="164" t="s">
        <v>2481</v>
      </c>
      <c r="G515" s="164">
        <f>INDEX('Dictionary Subcategories'!$A$2:$A$70,MATCH(H515,'Dictionary Subcategories'!$B$2:$B$70,0))</f>
        <v>21</v>
      </c>
      <c r="H515" s="159" t="s">
        <v>2350</v>
      </c>
      <c r="I515" s="164"/>
      <c r="J515" s="164"/>
    </row>
    <row r="516" spans="1:10" ht="10.5" customHeight="1" x14ac:dyDescent="0.25">
      <c r="A516" s="172" t="str">
        <f>'ENIGHUR Consumption items'!H644</f>
        <v>09.3.3</v>
      </c>
      <c r="B516" s="172" t="str">
        <f>'ENIGHUR Consumption items'!J644</f>
        <v xml:space="preserve">JARDINES, PLANTAS Y FLORES </v>
      </c>
      <c r="C516" s="168">
        <v>14</v>
      </c>
      <c r="D516" s="167" t="str">
        <f>IFERROR(VLOOKUP(C516,'symmetric IOT 245 2012'!$C$6:$D$276,2,FALSE),"")</f>
        <v>Otras flores y Plantas de flores y semillas de flores</v>
      </c>
      <c r="E516" s="159">
        <f>INDEX('Dictionary Categories'!$A$2:$A$25,MATCH(F516,'Dictionary Categories'!$B$2:$B$25,0))</f>
        <v>16</v>
      </c>
      <c r="F516" s="164" t="s">
        <v>2481</v>
      </c>
      <c r="G516" s="164">
        <f>INDEX('Dictionary Subcategories'!$A$2:$A$70,MATCH(H516,'Dictionary Subcategories'!$B$2:$B$70,0))</f>
        <v>21</v>
      </c>
      <c r="H516" s="159" t="s">
        <v>2350</v>
      </c>
      <c r="I516" s="164"/>
      <c r="J516" s="164"/>
    </row>
    <row r="517" spans="1:10" ht="10.5" customHeight="1" x14ac:dyDescent="0.25">
      <c r="A517" s="172" t="str">
        <f>'ENIGHUR Consumption items'!H645</f>
        <v>09.3.4</v>
      </c>
      <c r="B517" s="172" t="str">
        <f>'ENIGHUR Consumption items'!J645</f>
        <v xml:space="preserve">ANIMALES DOMÉSTICOS Y PRODUCTOS CONEXOS </v>
      </c>
      <c r="C517" s="168">
        <v>60</v>
      </c>
      <c r="D517" s="167" t="str">
        <f>IFERROR(VLOOKUP(C517,'symmetric IOT 245 2012'!$C$6:$D$276,2,FALSE),"")</f>
        <v>Otros animales vivos n.c.p. (excepto ranas)</v>
      </c>
      <c r="E517" s="159">
        <f>INDEX('Dictionary Categories'!$A$2:$A$25,MATCH(F517,'Dictionary Categories'!$B$2:$B$25,0))</f>
        <v>16</v>
      </c>
      <c r="F517" s="164" t="s">
        <v>2481</v>
      </c>
      <c r="G517" s="164">
        <f>INDEX('Dictionary Subcategories'!$A$2:$A$70,MATCH(H517,'Dictionary Subcategories'!$B$2:$B$70,0))</f>
        <v>21</v>
      </c>
      <c r="H517" s="159" t="s">
        <v>2350</v>
      </c>
      <c r="I517" s="164"/>
      <c r="J517" s="164"/>
    </row>
    <row r="518" spans="1:10" ht="10.5" customHeight="1" x14ac:dyDescent="0.25">
      <c r="A518" s="172" t="str">
        <f>'ENIGHUR Consumption items'!H636</f>
        <v>09.1.5</v>
      </c>
      <c r="B518" s="172" t="str">
        <f>'ENIGHUR Consumption items'!J636</f>
        <v xml:space="preserve">REPARACIÓN DE EQUIPO AUDIOVISUAL, FOTOGRÁFICO Y DE PROCESAMIENTO DE INFORMACIÓN </v>
      </c>
      <c r="C518" s="168">
        <v>224</v>
      </c>
      <c r="D518" s="167" t="str">
        <f>IFERROR(VLOOKUP(C518,'symmetric IOT 245 2012'!$C$6:$D$276,2,FALSE),"")</f>
        <v>Servicios de reparación de computadoras y otros enseres domésticos</v>
      </c>
      <c r="E518" s="159">
        <f>INDEX('Dictionary Categories'!$A$2:$A$25,MATCH(F518,'Dictionary Categories'!$B$2:$B$25,0))</f>
        <v>16</v>
      </c>
      <c r="F518" s="164" t="s">
        <v>2481</v>
      </c>
      <c r="G518" s="164">
        <f>INDEX('Dictionary Subcategories'!$A$2:$A$70,MATCH(H518,'Dictionary Subcategories'!$B$2:$B$70,0))</f>
        <v>36</v>
      </c>
      <c r="H518" s="174" t="s">
        <v>2366</v>
      </c>
      <c r="I518" s="164"/>
      <c r="J518" s="164"/>
    </row>
    <row r="519" spans="1:10" ht="10.5" customHeight="1" x14ac:dyDescent="0.25">
      <c r="A519" s="172" t="str">
        <f>'ENIGHUR Consumption items'!H640</f>
        <v>09.2.3</v>
      </c>
      <c r="B519" s="172" t="str">
        <f>'ENIGHUR Consumption items'!J640</f>
        <v>CONSERVACIÓN Y REPARACIÓN DE OTROS BIENES DURADEROS IMPORTANTES PARA RECREACIÓN Y CULTURA</v>
      </c>
      <c r="C519" s="168">
        <v>224</v>
      </c>
      <c r="D519" s="167" t="str">
        <f>IFERROR(VLOOKUP(C519,'symmetric IOT 245 2012'!$C$6:$D$276,2,FALSE),"")</f>
        <v>Servicios de reparación de computadoras y otros enseres domésticos</v>
      </c>
      <c r="E519" s="159">
        <f>INDEX('Dictionary Categories'!$A$2:$A$25,MATCH(F519,'Dictionary Categories'!$B$2:$B$25,0))</f>
        <v>16</v>
      </c>
      <c r="F519" s="164" t="s">
        <v>2481</v>
      </c>
      <c r="G519" s="164">
        <f>INDEX('Dictionary Subcategories'!$A$2:$A$70,MATCH(H519,'Dictionary Subcategories'!$B$2:$B$70,0))</f>
        <v>36</v>
      </c>
      <c r="H519" s="174" t="s">
        <v>2366</v>
      </c>
      <c r="I519" s="164"/>
      <c r="J519" s="164"/>
    </row>
    <row r="520" spans="1:10" ht="10.5" customHeight="1" x14ac:dyDescent="0.25">
      <c r="A520" s="172" t="str">
        <f>'ENIGHUR Consumption items'!H646</f>
        <v>09.3.5</v>
      </c>
      <c r="B520" s="172" t="str">
        <f>'ENIGHUR Consumption items'!J646</f>
        <v xml:space="preserve">SERVICIOS DE VETERINARIA Y DE OTRO TIPO PARA ANIMALES DOMÉSTICOS </v>
      </c>
      <c r="C520" s="168">
        <v>218</v>
      </c>
      <c r="D520" s="167" t="str">
        <f>IFERROR(VLOOKUP(C520,'symmetric IOT 245 2012'!$C$6:$D$276,2,FALSE),"")</f>
        <v>Servicios veterinarios</v>
      </c>
      <c r="E520" s="159">
        <f>INDEX('Dictionary Categories'!$A$2:$A$25,MATCH(F520,'Dictionary Categories'!$B$2:$B$25,0))</f>
        <v>16</v>
      </c>
      <c r="F520" s="164" t="s">
        <v>2481</v>
      </c>
      <c r="G520" s="164">
        <f>INDEX('Dictionary Subcategories'!$A$2:$A$70,MATCH(H520,'Dictionary Subcategories'!$B$2:$B$70,0))</f>
        <v>36</v>
      </c>
      <c r="H520" s="174" t="s">
        <v>2366</v>
      </c>
      <c r="I520" s="164"/>
      <c r="J520" s="164"/>
    </row>
    <row r="521" spans="1:10" ht="10.5" customHeight="1" x14ac:dyDescent="0.25">
      <c r="A521" s="172" t="str">
        <f>'ENIGHUR Consumption items'!H648</f>
        <v>09.4.1</v>
      </c>
      <c r="B521" s="172" t="str">
        <f>'ENIGHUR Consumption items'!J648</f>
        <v xml:space="preserve">SERVICIOS DE RECREACIÓN Y DEPORTIVOS </v>
      </c>
      <c r="C521" s="168">
        <v>242</v>
      </c>
      <c r="D521" s="167" t="str">
        <f>IFERROR(VLOOKUP(C521,'symmetric IOT 245 2012'!$C$6:$D$276,2,FALSE),"")</f>
        <v>Servicios recreacionales, culturales y deportivos</v>
      </c>
      <c r="E521" s="159">
        <f>INDEX('Dictionary Categories'!$A$2:$A$25,MATCH(F521,'Dictionary Categories'!$B$2:$B$25,0))</f>
        <v>16</v>
      </c>
      <c r="F521" s="164" t="s">
        <v>2481</v>
      </c>
      <c r="G521" s="164">
        <f>INDEX('Dictionary Subcategories'!$A$2:$A$70,MATCH(H521,'Dictionary Subcategories'!$B$2:$B$70,0))</f>
        <v>36</v>
      </c>
      <c r="H521" s="174" t="s">
        <v>2366</v>
      </c>
      <c r="I521" s="164"/>
      <c r="J521" s="164"/>
    </row>
    <row r="522" spans="1:10" ht="10.5" customHeight="1" x14ac:dyDescent="0.25">
      <c r="A522" s="172" t="str">
        <f>'ENIGHUR Consumption items'!H649</f>
        <v>09.4.2</v>
      </c>
      <c r="B522" s="172" t="str">
        <f>'ENIGHUR Consumption items'!J649</f>
        <v xml:space="preserve">SERVICIOS CULTURALES </v>
      </c>
      <c r="C522" s="168">
        <v>242</v>
      </c>
      <c r="D522" s="167" t="str">
        <f>IFERROR(VLOOKUP(C522,'symmetric IOT 245 2012'!$C$6:$D$276,2,FALSE),"")</f>
        <v>Servicios recreacionales, culturales y deportivos</v>
      </c>
      <c r="E522" s="159">
        <f>INDEX('Dictionary Categories'!$A$2:$A$25,MATCH(F522,'Dictionary Categories'!$B$2:$B$25,0))</f>
        <v>16</v>
      </c>
      <c r="F522" s="164" t="s">
        <v>2481</v>
      </c>
      <c r="G522" s="164">
        <f>INDEX('Dictionary Subcategories'!$A$2:$A$70,MATCH(H522,'Dictionary Subcategories'!$B$2:$B$70,0))</f>
        <v>36</v>
      </c>
      <c r="H522" s="174" t="s">
        <v>2366</v>
      </c>
      <c r="I522" s="164"/>
      <c r="J522" s="164"/>
    </row>
    <row r="523" spans="1:10" ht="10.5" customHeight="1" x14ac:dyDescent="0.25">
      <c r="A523" s="172" t="str">
        <f>'ENIGHUR Consumption items'!H650</f>
        <v>09.4.3</v>
      </c>
      <c r="B523" s="172" t="str">
        <f>'ENIGHUR Consumption items'!J650</f>
        <v xml:space="preserve">JUEGOS DE AZAR </v>
      </c>
      <c r="C523" s="168">
        <v>242</v>
      </c>
      <c r="D523" s="167" t="str">
        <f>IFERROR(VLOOKUP(C523,'symmetric IOT 245 2012'!$C$6:$D$276,2,FALSE),"")</f>
        <v>Servicios recreacionales, culturales y deportivos</v>
      </c>
      <c r="E523" s="159">
        <f>INDEX('Dictionary Categories'!$A$2:$A$25,MATCH(F523,'Dictionary Categories'!$B$2:$B$25,0))</f>
        <v>16</v>
      </c>
      <c r="F523" s="164" t="s">
        <v>2481</v>
      </c>
      <c r="G523" s="164">
        <f>INDEX('Dictionary Subcategories'!$A$2:$A$70,MATCH(H523,'Dictionary Subcategories'!$B$2:$B$70,0))</f>
        <v>36</v>
      </c>
      <c r="H523" s="174" t="s">
        <v>2366</v>
      </c>
      <c r="I523" s="164"/>
      <c r="J523" s="164"/>
    </row>
    <row r="524" spans="1:10" ht="10.5" customHeight="1" x14ac:dyDescent="0.25">
      <c r="A524" s="172" t="str">
        <f>'ENIGHUR Consumption items'!H652</f>
        <v>09.5.1</v>
      </c>
      <c r="B524" s="172" t="str">
        <f>'ENIGHUR Consumption items'!J652</f>
        <v xml:space="preserve">LIBROS </v>
      </c>
      <c r="C524" s="168">
        <v>129</v>
      </c>
      <c r="D524" s="167" t="str">
        <f>IFERROR(VLOOKUP(C524,'symmetric IOT 245 2012'!$C$6:$D$276,2,FALSE),"")</f>
        <v>Productos editoriales imprentas y otros productos n.c.p.</v>
      </c>
      <c r="E524" s="159">
        <f>INDEX('Dictionary Categories'!$A$2:$A$25,MATCH(F524,'Dictionary Categories'!$B$2:$B$25,0))</f>
        <v>16</v>
      </c>
      <c r="F524" s="164" t="s">
        <v>2481</v>
      </c>
      <c r="G524" s="164">
        <f>INDEX('Dictionary Subcategories'!$A$2:$A$70,MATCH(H524,'Dictionary Subcategories'!$B$2:$B$70,0))</f>
        <v>37</v>
      </c>
      <c r="H524" s="174" t="s">
        <v>2367</v>
      </c>
      <c r="I524" s="164"/>
      <c r="J524" s="164"/>
    </row>
    <row r="525" spans="1:10" ht="10.5" customHeight="1" x14ac:dyDescent="0.25">
      <c r="A525" s="172" t="str">
        <f>'ENIGHUR Consumption items'!H653</f>
        <v>09.5.2</v>
      </c>
      <c r="B525" s="172" t="str">
        <f>'ENIGHUR Consumption items'!J653</f>
        <v xml:space="preserve">DIARIOS Y PERIÓDICOS </v>
      </c>
      <c r="C525" s="168">
        <v>129</v>
      </c>
      <c r="D525" s="167" t="str">
        <f>IFERROR(VLOOKUP(C525,'symmetric IOT 245 2012'!$C$6:$D$276,2,FALSE),"")</f>
        <v>Productos editoriales imprentas y otros productos n.c.p.</v>
      </c>
      <c r="E525" s="159">
        <f>INDEX('Dictionary Categories'!$A$2:$A$25,MATCH(F525,'Dictionary Categories'!$B$2:$B$25,0))</f>
        <v>16</v>
      </c>
      <c r="F525" s="164" t="s">
        <v>2481</v>
      </c>
      <c r="G525" s="164">
        <f>INDEX('Dictionary Subcategories'!$A$2:$A$70,MATCH(H525,'Dictionary Subcategories'!$B$2:$B$70,0))</f>
        <v>37</v>
      </c>
      <c r="H525" s="174" t="s">
        <v>2367</v>
      </c>
      <c r="I525" s="164"/>
      <c r="J525" s="164"/>
    </row>
    <row r="526" spans="1:10" ht="10.5" customHeight="1" x14ac:dyDescent="0.25">
      <c r="A526" s="172" t="str">
        <f>'ENIGHUR Consumption items'!H654</f>
        <v>09.5.3</v>
      </c>
      <c r="B526" s="172" t="str">
        <f>'ENIGHUR Consumption items'!J654</f>
        <v xml:space="preserve">MATERIAL IMPRESO DIVERSO </v>
      </c>
      <c r="C526" s="168">
        <v>129</v>
      </c>
      <c r="D526" s="167" t="str">
        <f>IFERROR(VLOOKUP(C526,'symmetric IOT 245 2012'!$C$6:$D$276,2,FALSE),"")</f>
        <v>Productos editoriales imprentas y otros productos n.c.p.</v>
      </c>
      <c r="E526" s="159">
        <f>INDEX('Dictionary Categories'!$A$2:$A$25,MATCH(F526,'Dictionary Categories'!$B$2:$B$25,0))</f>
        <v>16</v>
      </c>
      <c r="F526" s="164" t="s">
        <v>2481</v>
      </c>
      <c r="G526" s="164">
        <f>INDEX('Dictionary Subcategories'!$A$2:$A$70,MATCH(H526,'Dictionary Subcategories'!$B$2:$B$70,0))</f>
        <v>37</v>
      </c>
      <c r="H526" s="174" t="s">
        <v>2367</v>
      </c>
      <c r="I526" s="164"/>
      <c r="J526" s="164"/>
    </row>
    <row r="527" spans="1:10" ht="10.5" customHeight="1" x14ac:dyDescent="0.25">
      <c r="A527" s="172" t="str">
        <f>'ENIGHUR Consumption items'!H655</f>
        <v>09.5.4</v>
      </c>
      <c r="B527" s="172" t="str">
        <f>'ENIGHUR Consumption items'!J655</f>
        <v xml:space="preserve">PAPEL Y ÚTILES DE OFICINA Y MATERIALES DE DIBUJO </v>
      </c>
      <c r="C527" s="168">
        <v>127</v>
      </c>
      <c r="D527" s="167" t="str">
        <f>IFERROR(VLOOKUP(C527,'symmetric IOT 245 2012'!$C$6:$D$276,2,FALSE),"")</f>
        <v xml:space="preserve">Pasta de papel y Papel y cartón </v>
      </c>
      <c r="E527" s="159">
        <f>INDEX('Dictionary Categories'!$A$2:$A$25,MATCH(F527,'Dictionary Categories'!$B$2:$B$25,0))</f>
        <v>16</v>
      </c>
      <c r="F527" s="164" t="s">
        <v>2481</v>
      </c>
      <c r="G527" s="164">
        <f>INDEX('Dictionary Subcategories'!$A$2:$A$70,MATCH(H527,'Dictionary Subcategories'!$B$2:$B$70,0))</f>
        <v>16</v>
      </c>
      <c r="H527" s="174" t="s">
        <v>2357</v>
      </c>
      <c r="I527" s="164"/>
      <c r="J527" s="164"/>
    </row>
    <row r="528" spans="1:10" ht="10.5" customHeight="1" x14ac:dyDescent="0.25">
      <c r="A528" s="172" t="str">
        <f>'ENIGHUR Consumption items'!H656</f>
        <v>09.5.5</v>
      </c>
      <c r="B528" s="172" t="str">
        <f>'ENIGHUR Consumption items'!J656</f>
        <v xml:space="preserve">LISTA DE ÚTILES ESCOLARES </v>
      </c>
      <c r="C528" s="168">
        <v>127</v>
      </c>
      <c r="D528" s="167" t="str">
        <f>IFERROR(VLOOKUP(C528,'symmetric IOT 245 2012'!$C$6:$D$276,2,FALSE),"")</f>
        <v xml:space="preserve">Pasta de papel y Papel y cartón </v>
      </c>
      <c r="E528" s="159">
        <f>INDEX('Dictionary Categories'!$A$2:$A$25,MATCH(F528,'Dictionary Categories'!$B$2:$B$25,0))</f>
        <v>16</v>
      </c>
      <c r="F528" s="164" t="s">
        <v>2481</v>
      </c>
      <c r="G528" s="164">
        <f>INDEX('Dictionary Subcategories'!$A$2:$A$70,MATCH(H528,'Dictionary Subcategories'!$B$2:$B$70,0))</f>
        <v>16</v>
      </c>
      <c r="H528" s="174" t="s">
        <v>2357</v>
      </c>
      <c r="I528" s="164"/>
      <c r="J528" s="164"/>
    </row>
    <row r="529" spans="1:10" ht="10.5" customHeight="1" x14ac:dyDescent="0.25">
      <c r="A529" s="172" t="str">
        <f>'ENIGHUR Consumption items'!H658</f>
        <v>09.6.1</v>
      </c>
      <c r="B529" s="172" t="str">
        <f>'ENIGHUR Consumption items'!J658</f>
        <v xml:space="preserve">PAQUETES TURÍSTICOS </v>
      </c>
      <c r="C529" s="168">
        <v>183</v>
      </c>
      <c r="D529" s="167" t="str">
        <f>IFERROR(VLOOKUP(C529,'symmetric IOT 245 2012'!$C$6:$D$276,2,FALSE),"")</f>
        <v>Servicios de hotelería y alojamiento</v>
      </c>
      <c r="E529" s="159">
        <f>INDEX('Dictionary Categories'!$A$2:$A$25,MATCH(F529,'Dictionary Categories'!$B$2:$B$25,0))</f>
        <v>16</v>
      </c>
      <c r="F529" s="164" t="s">
        <v>2481</v>
      </c>
      <c r="G529" s="164">
        <f>INDEX('Dictionary Subcategories'!$A$2:$A$70,MATCH(H529,'Dictionary Subcategories'!$B$2:$B$70,0))</f>
        <v>16</v>
      </c>
      <c r="H529" s="174" t="s">
        <v>2357</v>
      </c>
      <c r="I529" s="164"/>
      <c r="J529" s="164"/>
    </row>
    <row r="530" spans="1:10" ht="10.5" customHeight="1" x14ac:dyDescent="0.25">
      <c r="A530" s="172" t="str">
        <f>'ENIGHUR Consumption items'!H674</f>
        <v>11.1.1</v>
      </c>
      <c r="B530" s="172" t="str">
        <f>'ENIGHUR Consumption items'!J674</f>
        <v xml:space="preserve">RESTAURANTES, CAFÉS Y ESTABLECIMIENTOS SIMILARES </v>
      </c>
      <c r="C530" s="168">
        <v>184</v>
      </c>
      <c r="D530" s="167" t="str">
        <f>IFERROR(VLOOKUP(C530,'symmetric IOT 245 2012'!$C$6:$D$276,2,FALSE),"")</f>
        <v>Servicios de suministro de comida y de bebida</v>
      </c>
      <c r="E530" s="159">
        <f>INDEX('Dictionary Categories'!$A$2:$A$25,MATCH(F530,'Dictionary Categories'!$B$2:$B$25,0))</f>
        <v>17</v>
      </c>
      <c r="F530" s="174" t="s">
        <v>2467</v>
      </c>
      <c r="G530" s="164">
        <f>INDEX('Dictionary Subcategories'!$A$2:$A$70,MATCH(H530,'Dictionary Subcategories'!$B$2:$B$70,0))</f>
        <v>38</v>
      </c>
      <c r="H530" s="174" t="s">
        <v>2467</v>
      </c>
      <c r="I530" s="164"/>
      <c r="J530" s="164"/>
    </row>
    <row r="531" spans="1:10" ht="10.5" customHeight="1" x14ac:dyDescent="0.25">
      <c r="A531" s="172" t="str">
        <f>'ENIGHUR Consumption items'!H679</f>
        <v>11.1.2</v>
      </c>
      <c r="B531" s="172" t="str">
        <f>'ENIGHUR Consumption items'!J679</f>
        <v xml:space="preserve">COMEDORES </v>
      </c>
      <c r="C531" s="168">
        <v>184</v>
      </c>
      <c r="D531" s="167" t="str">
        <f>IFERROR(VLOOKUP(C531,'symmetric IOT 245 2012'!$C$6:$D$276,2,FALSE),"")</f>
        <v>Servicios de suministro de comida y de bebida</v>
      </c>
      <c r="E531" s="159">
        <f>INDEX('Dictionary Categories'!$A$2:$A$25,MATCH(F531,'Dictionary Categories'!$B$2:$B$25,0))</f>
        <v>17</v>
      </c>
      <c r="F531" s="174" t="s">
        <v>2467</v>
      </c>
      <c r="G531" s="164">
        <f>INDEX('Dictionary Subcategories'!$A$2:$A$70,MATCH(H531,'Dictionary Subcategories'!$B$2:$B$70,0))</f>
        <v>38</v>
      </c>
      <c r="H531" s="174" t="s">
        <v>2467</v>
      </c>
      <c r="I531" s="164"/>
      <c r="J531" s="164"/>
    </row>
    <row r="532" spans="1:10" ht="10.5" customHeight="1" x14ac:dyDescent="0.25">
      <c r="A532" s="172" t="str">
        <f>'ENIGHUR Consumption items'!H681</f>
        <v>11.2.1</v>
      </c>
      <c r="B532" s="172" t="str">
        <f>'ENIGHUR Consumption items'!J681</f>
        <v xml:space="preserve">SERVICIOS DE ALOJAMIENTO </v>
      </c>
      <c r="C532" s="168">
        <v>183</v>
      </c>
      <c r="D532" s="167" t="str">
        <f>IFERROR(VLOOKUP(C532,'symmetric IOT 245 2012'!$C$6:$D$276,2,FALSE),"")</f>
        <v>Servicios de hotelería y alojamiento</v>
      </c>
      <c r="E532" s="159">
        <f>INDEX('Dictionary Categories'!$A$2:$A$25,MATCH(F532,'Dictionary Categories'!$B$2:$B$25,0))</f>
        <v>4</v>
      </c>
      <c r="F532" s="159" t="s">
        <v>586</v>
      </c>
      <c r="G532" s="164">
        <f>INDEX('Dictionary Subcategories'!$A$2:$A$70,MATCH(H532,'Dictionary Subcategories'!$B$2:$B$70,0))</f>
        <v>39</v>
      </c>
      <c r="H532" s="174" t="s">
        <v>2468</v>
      </c>
      <c r="I532" s="164"/>
      <c r="J532" s="164"/>
    </row>
    <row r="533" spans="1:10" ht="10.5" customHeight="1" x14ac:dyDescent="0.25">
      <c r="A533" s="172" t="str">
        <f>'ENIGHUR Consumption items'!H684</f>
        <v>12.1.1</v>
      </c>
      <c r="B533" s="172" t="str">
        <f>'ENIGHUR Consumption items'!J684</f>
        <v xml:space="preserve">SALONES DE PELUQUERÍA Y ESTABLECIMIENTOS DE CUIDADOS PERSONALES </v>
      </c>
      <c r="C533" s="168">
        <v>217</v>
      </c>
      <c r="D533" s="167" t="str">
        <f>IFERROR(VLOOKUP(C533,'symmetric IOT 245 2012'!$C$6:$D$276,2,FALSE),"")</f>
        <v>Otros servicios profesionales y técnicos</v>
      </c>
      <c r="E533" s="159">
        <f>INDEX('Dictionary Categories'!$A$2:$A$25,MATCH(F533,'Dictionary Categories'!$B$2:$B$25,0))</f>
        <v>18</v>
      </c>
      <c r="F533" s="174" t="s">
        <v>2385</v>
      </c>
      <c r="G533" s="164">
        <f>INDEX('Dictionary Subcategories'!$A$2:$A$70,MATCH(H533,'Dictionary Subcategories'!$B$2:$B$70,0))</f>
        <v>40</v>
      </c>
      <c r="H533" s="174" t="s">
        <v>2385</v>
      </c>
      <c r="I533" s="164"/>
      <c r="J533" s="164"/>
    </row>
    <row r="534" spans="1:10" ht="10.5" customHeight="1" x14ac:dyDescent="0.25">
      <c r="A534" s="172" t="str">
        <f>'ENIGHUR Consumption items'!H685</f>
        <v>12.1.2</v>
      </c>
      <c r="B534" s="172" t="str">
        <f>'ENIGHUR Consumption items'!J685</f>
        <v xml:space="preserve">APARATOS ELÉCTRICOS PARA EL CUIDADO PERSONAL </v>
      </c>
      <c r="C534" s="168">
        <v>162</v>
      </c>
      <c r="D534" s="167" t="str">
        <f>IFERROR(VLOOKUP(C534,'symmetric IOT 245 2012'!$C$6:$D$276,2,FALSE),"")</f>
        <v>Aparatos de uso doméstico, partes y piezas</v>
      </c>
      <c r="E534" s="159">
        <f>INDEX('Dictionary Categories'!$A$2:$A$25,MATCH(F534,'Dictionary Categories'!$B$2:$B$25,0))</f>
        <v>18</v>
      </c>
      <c r="F534" s="174" t="s">
        <v>2385</v>
      </c>
      <c r="G534" s="164">
        <f>INDEX('Dictionary Subcategories'!$A$2:$A$70,MATCH(H534,'Dictionary Subcategories'!$B$2:$B$70,0))</f>
        <v>40</v>
      </c>
      <c r="H534" s="174" t="s">
        <v>2385</v>
      </c>
      <c r="I534" s="164"/>
      <c r="J534" s="164"/>
    </row>
    <row r="535" spans="1:10" ht="10.5" customHeight="1" x14ac:dyDescent="0.25">
      <c r="A535" s="172" t="str">
        <f>'ENIGHUR Consumption items'!H686</f>
        <v>12.1.3</v>
      </c>
      <c r="B535" s="172" t="str">
        <f>'ENIGHUR Consumption items'!J686</f>
        <v xml:space="preserve">OTROS APARATOS, ARTÍCULOS Y PRODUCTOS PARA LA ATENCIÓN PERSONAL </v>
      </c>
      <c r="C535" s="168">
        <v>141</v>
      </c>
      <c r="D535" s="167" t="str">
        <f>IFERROR(VLOOKUP(C535,'symmetric IOT 245 2012'!$C$6:$D$276,2,FALSE),"")</f>
        <v>Perfumes y preparados de tocador</v>
      </c>
      <c r="E535" s="159">
        <f>INDEX('Dictionary Categories'!$A$2:$A$25,MATCH(F535,'Dictionary Categories'!$B$2:$B$25,0))</f>
        <v>18</v>
      </c>
      <c r="F535" s="174" t="s">
        <v>2385</v>
      </c>
      <c r="G535" s="164">
        <f>INDEX('Dictionary Subcategories'!$A$2:$A$70,MATCH(H535,'Dictionary Subcategories'!$B$2:$B$70,0))</f>
        <v>40</v>
      </c>
      <c r="H535" s="174" t="s">
        <v>2385</v>
      </c>
      <c r="I535" s="164"/>
      <c r="J535" s="164"/>
    </row>
    <row r="536" spans="1:10" ht="10.5" customHeight="1" x14ac:dyDescent="0.25">
      <c r="A536" s="172" t="str">
        <f>'ENIGHUR Consumption items'!H690</f>
        <v>12.3.1</v>
      </c>
      <c r="B536" s="172" t="str">
        <f>'ENIGHUR Consumption items'!J690</f>
        <v xml:space="preserve">JOYERÍA, RELOJES DE PARED Y RELOJES DE PULSERA </v>
      </c>
      <c r="C536" s="168">
        <v>171</v>
      </c>
      <c r="D536" s="167" t="str">
        <f>IFERROR(VLOOKUP(C536,'symmetric IOT 245 2012'!$C$6:$D$276,2,FALSE),"")</f>
        <v>Joyas</v>
      </c>
      <c r="E536" s="159">
        <f>INDEX('Dictionary Categories'!$A$2:$A$25,MATCH(F536,'Dictionary Categories'!$B$2:$B$25,0))</f>
        <v>4</v>
      </c>
      <c r="F536" s="159" t="s">
        <v>586</v>
      </c>
      <c r="G536" s="164">
        <f>INDEX('Dictionary Subcategories'!$A$2:$A$70,MATCH(H536,'Dictionary Subcategories'!$B$2:$B$70,0))</f>
        <v>41</v>
      </c>
      <c r="H536" s="174" t="s">
        <v>2386</v>
      </c>
      <c r="I536" s="164"/>
      <c r="J536" s="164"/>
    </row>
    <row r="537" spans="1:10" ht="10.5" customHeight="1" x14ac:dyDescent="0.25">
      <c r="A537" s="172" t="str">
        <f>'ENIGHUR Consumption items'!H691</f>
        <v>12.3.2</v>
      </c>
      <c r="B537" s="172" t="str">
        <f>'ENIGHUR Consumption items'!J691</f>
        <v xml:space="preserve">OTROS EFECTOS PERSONALES </v>
      </c>
      <c r="C537" s="168">
        <v>173</v>
      </c>
      <c r="D537" s="167" t="str">
        <f>IFERROR(VLOOKUP(C537,'symmetric IOT 245 2012'!$C$6:$D$276,2,FALSE),"")</f>
        <v>Otros productos manufacturados diversos</v>
      </c>
      <c r="E537" s="159">
        <f>INDEX('Dictionary Categories'!$A$2:$A$25,MATCH(F537,'Dictionary Categories'!$B$2:$B$25,0))</f>
        <v>4</v>
      </c>
      <c r="F537" s="159" t="s">
        <v>586</v>
      </c>
      <c r="G537" s="164">
        <f>INDEX('Dictionary Subcategories'!$A$2:$A$70,MATCH(H537,'Dictionary Subcategories'!$B$2:$B$70,0))</f>
        <v>41</v>
      </c>
      <c r="H537" s="174" t="s">
        <v>2386</v>
      </c>
      <c r="I537" s="164"/>
      <c r="J537" s="164"/>
    </row>
    <row r="538" spans="1:10" ht="10.5" customHeight="1" x14ac:dyDescent="0.25">
      <c r="A538" s="172" t="str">
        <f>'ENIGHUR Consumption items'!H695</f>
        <v>12.5.1</v>
      </c>
      <c r="B538" s="172" t="str">
        <f>'ENIGHUR Consumption items'!J695</f>
        <v xml:space="preserve">SEGURO DE VIDA </v>
      </c>
      <c r="C538" s="168">
        <v>203</v>
      </c>
      <c r="D538" s="167" t="str">
        <f>IFERROR(VLOOKUP(C538,'symmetric IOT 245 2012'!$C$6:$D$276,2,FALSE),"")</f>
        <v>Serv de seguros de vida</v>
      </c>
      <c r="E538" s="159">
        <f>INDEX('Dictionary Categories'!$A$2:$A$25,MATCH(F538,'Dictionary Categories'!$B$2:$B$25,0))</f>
        <v>4</v>
      </c>
      <c r="F538" s="159" t="s">
        <v>586</v>
      </c>
      <c r="G538" s="164">
        <f>INDEX('Dictionary Subcategories'!$A$2:$A$70,MATCH(H538,'Dictionary Subcategories'!$B$2:$B$70,0))</f>
        <v>42</v>
      </c>
      <c r="H538" s="174" t="s">
        <v>2388</v>
      </c>
      <c r="I538" s="164"/>
      <c r="J538" s="164"/>
    </row>
    <row r="539" spans="1:10" ht="10.5" customHeight="1" x14ac:dyDescent="0.25">
      <c r="A539" s="172" t="str">
        <f>'ENIGHUR Consumption items'!H696</f>
        <v>12.5.2</v>
      </c>
      <c r="B539" s="172" t="str">
        <f>'ENIGHUR Consumption items'!J696</f>
        <v xml:space="preserve">SEGUROS RELACIONADOS CON LA VIVIENDA </v>
      </c>
      <c r="C539" s="168">
        <v>205</v>
      </c>
      <c r="D539" s="167" t="str">
        <f>IFERROR(VLOOKUP(C539,'symmetric IOT 245 2012'!$C$6:$D$276,2,FALSE),"")</f>
        <v>Otros servicios de seguros</v>
      </c>
      <c r="E539" s="159">
        <f>INDEX('Dictionary Categories'!$A$2:$A$25,MATCH(F539,'Dictionary Categories'!$B$2:$B$25,0))</f>
        <v>4</v>
      </c>
      <c r="F539" s="159" t="s">
        <v>586</v>
      </c>
      <c r="G539" s="164">
        <f>INDEX('Dictionary Subcategories'!$A$2:$A$70,MATCH(H539,'Dictionary Subcategories'!$B$2:$B$70,0))</f>
        <v>42</v>
      </c>
      <c r="H539" s="174" t="s">
        <v>2388</v>
      </c>
      <c r="I539" s="164"/>
      <c r="J539" s="164"/>
    </row>
    <row r="540" spans="1:10" ht="10.5" customHeight="1" x14ac:dyDescent="0.25">
      <c r="A540" s="172" t="str">
        <f>'ENIGHUR Consumption items'!H697</f>
        <v>12.5.3</v>
      </c>
      <c r="B540" s="172" t="str">
        <f>'ENIGHUR Consumption items'!J697</f>
        <v xml:space="preserve">SEGURO RELACIONADO CON LA SALUD </v>
      </c>
      <c r="C540" s="168">
        <v>205</v>
      </c>
      <c r="D540" s="167" t="str">
        <f>IFERROR(VLOOKUP(C540,'symmetric IOT 245 2012'!$C$6:$D$276,2,FALSE),"")</f>
        <v>Otros servicios de seguros</v>
      </c>
      <c r="E540" s="159">
        <f>INDEX('Dictionary Categories'!$A$2:$A$25,MATCH(F540,'Dictionary Categories'!$B$2:$B$25,0))</f>
        <v>4</v>
      </c>
      <c r="F540" s="159" t="s">
        <v>586</v>
      </c>
      <c r="G540" s="164">
        <f>INDEX('Dictionary Subcategories'!$A$2:$A$70,MATCH(H540,'Dictionary Subcategories'!$B$2:$B$70,0))</f>
        <v>43</v>
      </c>
      <c r="H540" s="174" t="s">
        <v>2477</v>
      </c>
      <c r="I540" s="164"/>
      <c r="J540" s="164"/>
    </row>
    <row r="541" spans="1:10" ht="10.5" customHeight="1" x14ac:dyDescent="0.25">
      <c r="A541" s="172" t="str">
        <f>'ENIGHUR Consumption items'!H698</f>
        <v>12.5.4</v>
      </c>
      <c r="B541" s="172" t="str">
        <f>'ENIGHUR Consumption items'!J698</f>
        <v xml:space="preserve">SEGURO RELACIONADO CON EL TRANSPORTE </v>
      </c>
      <c r="C541" s="168">
        <v>205</v>
      </c>
      <c r="D541" s="167" t="str">
        <f>IFERROR(VLOOKUP(C541,'symmetric IOT 245 2012'!$C$6:$D$276,2,FALSE),"")</f>
        <v>Otros servicios de seguros</v>
      </c>
      <c r="E541" s="159">
        <f>INDEX('Dictionary Categories'!$A$2:$A$25,MATCH(F541,'Dictionary Categories'!$B$2:$B$25,0))</f>
        <v>4</v>
      </c>
      <c r="F541" s="159" t="s">
        <v>586</v>
      </c>
      <c r="G541" s="164">
        <f>INDEX('Dictionary Subcategories'!$A$2:$A$70,MATCH(H541,'Dictionary Subcategories'!$B$2:$B$70,0))</f>
        <v>42</v>
      </c>
      <c r="H541" s="174" t="s">
        <v>2388</v>
      </c>
      <c r="I541" s="164"/>
      <c r="J541" s="164"/>
    </row>
    <row r="542" spans="1:10" ht="10.5" customHeight="1" x14ac:dyDescent="0.25">
      <c r="A542" s="172" t="str">
        <f>'ENIGHUR Consumption items'!H699</f>
        <v>12.5.5</v>
      </c>
      <c r="B542" s="172" t="str">
        <f>'ENIGHUR Consumption items'!J699</f>
        <v xml:space="preserve">OTROS SEGUROS </v>
      </c>
      <c r="C542" s="168">
        <v>205</v>
      </c>
      <c r="D542" s="167" t="str">
        <f>IFERROR(VLOOKUP(C542,'symmetric IOT 245 2012'!$C$6:$D$276,2,FALSE),"")</f>
        <v>Otros servicios de seguros</v>
      </c>
      <c r="E542" s="159">
        <f>INDEX('Dictionary Categories'!$A$2:$A$25,MATCH(F542,'Dictionary Categories'!$B$2:$B$25,0))</f>
        <v>4</v>
      </c>
      <c r="F542" s="159" t="s">
        <v>586</v>
      </c>
      <c r="G542" s="164">
        <f>INDEX('Dictionary Subcategories'!$A$2:$A$70,MATCH(H542,'Dictionary Subcategories'!$B$2:$B$70,0))</f>
        <v>42</v>
      </c>
      <c r="H542" s="174" t="s">
        <v>2388</v>
      </c>
      <c r="I542" s="164"/>
      <c r="J542" s="164"/>
    </row>
    <row r="543" spans="1:10" ht="10.5" customHeight="1" x14ac:dyDescent="0.25">
      <c r="A543" s="172" t="str">
        <f>'ENIGHUR Consumption items'!H701</f>
        <v>12.6.1</v>
      </c>
      <c r="B543" s="172" t="str">
        <f>'ENIGHUR Consumption items'!J701</f>
        <v xml:space="preserve">SERVICIOS FINANCIEROS N.E.P </v>
      </c>
      <c r="C543" s="168">
        <v>199</v>
      </c>
      <c r="D543" s="167" t="str">
        <f>IFERROR(VLOOKUP(C543,'symmetric IOT 245 2012'!$C$6:$D$276,2,FALSE),"")</f>
        <v>Servicios de intermediación financiera de otras instituciones de depósito y  SIFMI (Servicio de Intermediación Financiera Medido Indirectamente)</v>
      </c>
      <c r="E543" s="159">
        <f>INDEX('Dictionary Categories'!$A$2:$A$25,MATCH(F543,'Dictionary Categories'!$B$2:$B$25,0))</f>
        <v>4</v>
      </c>
      <c r="F543" s="159" t="s">
        <v>586</v>
      </c>
      <c r="G543" s="164">
        <f>INDEX('Dictionary Subcategories'!$A$2:$A$70,MATCH(H543,'Dictionary Subcategories'!$B$2:$B$70,0))</f>
        <v>42</v>
      </c>
      <c r="H543" s="174" t="s">
        <v>2388</v>
      </c>
      <c r="I543" s="164"/>
      <c r="J543" s="164"/>
    </row>
    <row r="544" spans="1:10" ht="10.5" customHeight="1" x14ac:dyDescent="0.25">
      <c r="A544" s="172" t="str">
        <f>'ENIGHUR Consumption items'!H703</f>
        <v>12.7.1</v>
      </c>
      <c r="B544" s="172" t="str">
        <f>'ENIGHUR Consumption items'!J703</f>
        <v>OTROS SERVICIOS N.E.P.</v>
      </c>
      <c r="C544" s="168">
        <v>217</v>
      </c>
      <c r="D544" s="167" t="str">
        <f>IFERROR(VLOOKUP(C544,'symmetric IOT 245 2012'!$C$6:$D$276,2,FALSE),"")</f>
        <v>Otros servicios profesionales y técnicos</v>
      </c>
      <c r="E544" s="159">
        <f>INDEX('Dictionary Categories'!$A$2:$A$25,MATCH(F544,'Dictionary Categories'!$B$2:$B$25,0))</f>
        <v>4</v>
      </c>
      <c r="F544" s="159" t="s">
        <v>586</v>
      </c>
      <c r="G544" s="164">
        <f>INDEX('Dictionary Subcategories'!$A$2:$A$70,MATCH(H544,'Dictionary Subcategories'!$B$2:$B$70,0))</f>
        <v>42</v>
      </c>
      <c r="H544" s="174" t="s">
        <v>2388</v>
      </c>
      <c r="I544" s="164"/>
      <c r="J544" s="164"/>
    </row>
    <row r="545" spans="1:10" ht="10.5" customHeight="1" x14ac:dyDescent="0.25">
      <c r="A545" s="172" t="str">
        <f>'ENIGHUR Consumption items'!H693</f>
        <v>12.4.1</v>
      </c>
      <c r="B545" s="172" t="str">
        <f>'ENIGHUR Consumption items'!J693</f>
        <v>PROTECCIÓN SOCIAL</v>
      </c>
      <c r="C545" s="168">
        <v>244</v>
      </c>
      <c r="D545" s="167" t="str">
        <f>IFERROR(VLOOKUP(C545,'symmetric IOT 245 2012'!$C$6:$D$276,2,FALSE),"")</f>
        <v>Otros servicios n.c.p.</v>
      </c>
      <c r="E545" s="159">
        <f>INDEX('Dictionary Categories'!$A$2:$A$25,MATCH(F545,'Dictionary Categories'!$B$2:$B$25,0))</f>
        <v>4</v>
      </c>
      <c r="F545" s="159" t="s">
        <v>586</v>
      </c>
      <c r="G545" s="164">
        <f>INDEX('Dictionary Subcategories'!$A$2:$A$70,MATCH(H545,'Dictionary Subcategories'!$B$2:$B$70,0))</f>
        <v>44</v>
      </c>
      <c r="H545" s="174" t="s">
        <v>2387</v>
      </c>
      <c r="I545" s="164"/>
      <c r="J545" s="164"/>
    </row>
    <row r="546" spans="1:10" ht="10.5" customHeight="1" x14ac:dyDescent="0.25">
      <c r="A546" s="172" t="str">
        <f>'ENIGHUR Consumption items'!H625</f>
        <v>08.1.1</v>
      </c>
      <c r="B546" s="172" t="str">
        <f>'ENIGHUR Consumption items'!J625</f>
        <v xml:space="preserve">SERVICIOS POSTALES </v>
      </c>
      <c r="C546" s="168">
        <v>196</v>
      </c>
      <c r="D546" s="167" t="str">
        <f>IFERROR(VLOOKUP(C546,'symmetric IOT 245 2012'!$C$6:$D$276,2,FALSE),"")</f>
        <v>Servicios postales y de mensajería</v>
      </c>
      <c r="E546" s="159">
        <f>INDEX('Dictionary Categories'!$A$2:$A$25,MATCH(F546,'Dictionary Categories'!$B$2:$B$25,0))</f>
        <v>19</v>
      </c>
      <c r="F546" s="164" t="s">
        <v>2359</v>
      </c>
      <c r="G546" s="164">
        <f>INDEX('Dictionary Subcategories'!$A$2:$A$70,MATCH(H546,'Dictionary Subcategories'!$B$2:$B$70,0))</f>
        <v>45</v>
      </c>
      <c r="H546" s="164" t="s">
        <v>2359</v>
      </c>
      <c r="I546" s="164"/>
      <c r="J546" s="164"/>
    </row>
    <row r="547" spans="1:10" ht="10.5" customHeight="1" x14ac:dyDescent="0.25">
      <c r="A547" s="172" t="str">
        <f>'ENIGHUR Consumption items'!H627</f>
        <v>08.2.1</v>
      </c>
      <c r="B547" s="172" t="str">
        <f>'ENIGHUR Consumption items'!J627</f>
        <v>EQUIPO TELEFÓNICO Y DE FACSÍMILE</v>
      </c>
      <c r="C547" s="168">
        <v>166</v>
      </c>
      <c r="D547" s="167" t="str">
        <f>IFERROR(VLOOKUP(C547,'symmetric IOT 245 2012'!$C$6:$D$276,2,FALSE),"")</f>
        <v>Equipos y aparatos de radio, TV y comunicaciones</v>
      </c>
      <c r="E547" s="159">
        <f>INDEX('Dictionary Categories'!$A$2:$A$25,MATCH(F547,'Dictionary Categories'!$B$2:$B$25,0))</f>
        <v>19</v>
      </c>
      <c r="F547" s="164" t="s">
        <v>2359</v>
      </c>
      <c r="G547" s="164">
        <f>INDEX('Dictionary Subcategories'!$A$2:$A$70,MATCH(H547,'Dictionary Subcategories'!$B$2:$B$70,0))</f>
        <v>45</v>
      </c>
      <c r="H547" s="164" t="s">
        <v>2359</v>
      </c>
      <c r="I547" s="164"/>
      <c r="J547" s="164"/>
    </row>
    <row r="548" spans="1:10" ht="10.5" customHeight="1" x14ac:dyDescent="0.25">
      <c r="A548" s="172" t="str">
        <f>'ENIGHUR Consumption items'!H629</f>
        <v>08.3.1</v>
      </c>
      <c r="B548" s="172" t="str">
        <f>'ENIGHUR Consumption items'!J629</f>
        <v>SERVICIOS TELEFÓNICOS Y DE FACSÍMILE</v>
      </c>
      <c r="C548" s="168">
        <v>197</v>
      </c>
      <c r="D548" s="167" t="str">
        <f>IFERROR(VLOOKUP(C548,'symmetric IOT 245 2012'!$C$6:$D$276,2,FALSE),"")</f>
        <v>Servicios de Comunicación e información</v>
      </c>
      <c r="E548" s="159">
        <f>INDEX('Dictionary Categories'!$A$2:$A$25,MATCH(F548,'Dictionary Categories'!$B$2:$B$25,0))</f>
        <v>19</v>
      </c>
      <c r="F548" s="164" t="s">
        <v>2359</v>
      </c>
      <c r="G548" s="164">
        <f>INDEX('Dictionary Subcategories'!$A$2:$A$70,MATCH(H548,'Dictionary Subcategories'!$B$2:$B$70,0))</f>
        <v>45</v>
      </c>
      <c r="H548" s="164" t="s">
        <v>2359</v>
      </c>
      <c r="I548" s="164"/>
      <c r="J548" s="164"/>
    </row>
    <row r="549" spans="1:10" ht="10.5" customHeight="1" x14ac:dyDescent="0.25">
      <c r="A549" s="172" t="str">
        <f>'ENIGHUR Consumption items'!H661</f>
        <v>10.1.1</v>
      </c>
      <c r="B549" s="172" t="str">
        <f>'ENIGHUR Consumption items'!J661</f>
        <v xml:space="preserve">ENSEÑANZA PREESCOLAR Y ENSEÑANZA PRIMARIA </v>
      </c>
      <c r="C549" s="168">
        <v>233</v>
      </c>
      <c r="D549" s="167" t="str">
        <f>IFERROR(VLOOKUP(C549,'symmetric IOT 245 2012'!$C$6:$D$276,2,FALSE),"")</f>
        <v>Servicios de enseñanza preprimaria y primaria público (no de mercado)</v>
      </c>
      <c r="E549" s="159">
        <f>INDEX('Dictionary Categories'!$A$2:$A$25,MATCH(F549,'Dictionary Categories'!$B$2:$B$25,0))</f>
        <v>20</v>
      </c>
      <c r="F549" s="174" t="s">
        <v>2374</v>
      </c>
      <c r="G549" s="164">
        <f>INDEX('Dictionary Subcategories'!$A$2:$A$70,MATCH(H549,'Dictionary Subcategories'!$B$2:$B$70,0))</f>
        <v>46</v>
      </c>
      <c r="H549" s="174" t="s">
        <v>2374</v>
      </c>
      <c r="I549" s="164"/>
      <c r="J549" s="164"/>
    </row>
    <row r="550" spans="1:10" ht="10.5" customHeight="1" x14ac:dyDescent="0.25">
      <c r="A550" s="172" t="str">
        <f>'ENIGHUR Consumption items'!H663</f>
        <v>10.2.1</v>
      </c>
      <c r="B550" s="172" t="str">
        <f>'ENIGHUR Consumption items'!J663</f>
        <v xml:space="preserve">ENSEÑANZA SECUNDARIA </v>
      </c>
      <c r="C550" s="168">
        <v>234</v>
      </c>
      <c r="D550" s="167" t="str">
        <f>IFERROR(VLOOKUP(C550,'symmetric IOT 245 2012'!$C$6:$D$276,2,FALSE),"")</f>
        <v>Servicios de enseñanza secundaria público (no de mercado)</v>
      </c>
      <c r="E550" s="159">
        <f>INDEX('Dictionary Categories'!$A$2:$A$25,MATCH(F550,'Dictionary Categories'!$B$2:$B$25,0))</f>
        <v>20</v>
      </c>
      <c r="F550" s="174" t="s">
        <v>2374</v>
      </c>
      <c r="G550" s="164">
        <f>INDEX('Dictionary Subcategories'!$A$2:$A$70,MATCH(H550,'Dictionary Subcategories'!$B$2:$B$70,0))</f>
        <v>46</v>
      </c>
      <c r="H550" s="174" t="s">
        <v>2374</v>
      </c>
      <c r="I550" s="164"/>
      <c r="J550" s="164"/>
    </row>
    <row r="551" spans="1:10" ht="10.5" customHeight="1" x14ac:dyDescent="0.25">
      <c r="A551" s="172" t="str">
        <f>'ENIGHUR Consumption items'!H665</f>
        <v>10.3.1</v>
      </c>
      <c r="B551" s="172" t="str">
        <f>'ENIGHUR Consumption items'!J665</f>
        <v xml:space="preserve">ENSEÑANZA POST-SECUNDARIA, NO TERCIARIA </v>
      </c>
      <c r="C551" s="168">
        <v>231</v>
      </c>
      <c r="D551" s="167" t="str">
        <f>IFERROR(VLOOKUP(C551,'symmetric IOT 245 2012'!$C$6:$D$276,2,FALSE),"")</f>
        <v>Otros servicios de enseñanza privada (de mercado)</v>
      </c>
      <c r="E551" s="159">
        <f>INDEX('Dictionary Categories'!$A$2:$A$25,MATCH(F551,'Dictionary Categories'!$B$2:$B$25,0))</f>
        <v>20</v>
      </c>
      <c r="F551" s="174" t="s">
        <v>2374</v>
      </c>
      <c r="G551" s="164">
        <f>INDEX('Dictionary Subcategories'!$A$2:$A$70,MATCH(H551,'Dictionary Subcategories'!$B$2:$B$70,0))</f>
        <v>46</v>
      </c>
      <c r="H551" s="174" t="s">
        <v>2374</v>
      </c>
      <c r="I551" s="164"/>
      <c r="J551" s="164"/>
    </row>
    <row r="552" spans="1:10" ht="10.5" customHeight="1" x14ac:dyDescent="0.25">
      <c r="A552" s="172" t="str">
        <f>'ENIGHUR Consumption items'!H667</f>
        <v>10.4.1</v>
      </c>
      <c r="B552" s="172" t="str">
        <f>'ENIGHUR Consumption items'!J667</f>
        <v>ENSEÑANZA TERCIARIA O UNIVERSITARIA</v>
      </c>
      <c r="C552" s="168">
        <v>235</v>
      </c>
      <c r="D552" s="167" t="str">
        <f>IFERROR(VLOOKUP(C552,'symmetric IOT 245 2012'!$C$6:$D$276,2,FALSE),"")</f>
        <v>Servicios de enseñanza superior público (no de mercado)</v>
      </c>
      <c r="E552" s="159">
        <f>INDEX('Dictionary Categories'!$A$2:$A$25,MATCH(F552,'Dictionary Categories'!$B$2:$B$25,0))</f>
        <v>20</v>
      </c>
      <c r="F552" s="174" t="s">
        <v>2374</v>
      </c>
      <c r="G552" s="164">
        <f>INDEX('Dictionary Subcategories'!$A$2:$A$70,MATCH(H552,'Dictionary Subcategories'!$B$2:$B$70,0))</f>
        <v>46</v>
      </c>
      <c r="H552" s="174" t="s">
        <v>2374</v>
      </c>
      <c r="I552" s="164"/>
      <c r="J552" s="164"/>
    </row>
    <row r="553" spans="1:10" ht="10.5" customHeight="1" x14ac:dyDescent="0.25">
      <c r="A553" s="172" t="str">
        <f>'ENIGHUR Consumption items'!H669</f>
        <v>10.5.1</v>
      </c>
      <c r="B553" s="172" t="str">
        <f>'ENIGHUR Consumption items'!J669</f>
        <v>ENSEÑANZA NO ATRIBUIBLE A NINGÚN NIVEL</v>
      </c>
      <c r="C553" s="168">
        <v>231</v>
      </c>
      <c r="D553" s="167" t="str">
        <f>IFERROR(VLOOKUP(C553,'symmetric IOT 245 2012'!$C$6:$D$276,2,FALSE),"")</f>
        <v>Otros servicios de enseñanza privada (de mercado)</v>
      </c>
      <c r="E553" s="159">
        <f>INDEX('Dictionary Categories'!$A$2:$A$25,MATCH(F553,'Dictionary Categories'!$B$2:$B$25,0))</f>
        <v>20</v>
      </c>
      <c r="F553" s="174" t="s">
        <v>2374</v>
      </c>
      <c r="G553" s="164">
        <f>INDEX('Dictionary Subcategories'!$A$2:$A$70,MATCH(H553,'Dictionary Subcategories'!$B$2:$B$70,0))</f>
        <v>46</v>
      </c>
      <c r="H553" s="174" t="s">
        <v>2374</v>
      </c>
      <c r="I553" s="164"/>
      <c r="J553" s="164"/>
    </row>
    <row r="554" spans="1:10" ht="10.5" customHeight="1" x14ac:dyDescent="0.25">
      <c r="A554" s="172" t="str">
        <f>'ENIGHUR Consumption items'!H671</f>
        <v>10.6.1</v>
      </c>
      <c r="B554" s="172" t="str">
        <f>'ENIGHUR Consumption items'!J671</f>
        <v>MATRÍCULAS DE ENSEÑANZA FORMAL</v>
      </c>
      <c r="C554" s="168">
        <v>236</v>
      </c>
      <c r="D554" s="167" t="str">
        <f>IFERROR(VLOOKUP(C554,'symmetric IOT 245 2012'!$C$6:$D$276,2,FALSE),"")</f>
        <v>Otros servicios de enseñanza público (no de mercado)</v>
      </c>
      <c r="E554" s="159">
        <f>INDEX('Dictionary Categories'!$A$2:$A$25,MATCH(F554,'Dictionary Categories'!$B$2:$B$25,0))</f>
        <v>20</v>
      </c>
      <c r="F554" s="174" t="s">
        <v>2374</v>
      </c>
      <c r="G554" s="164">
        <f>INDEX('Dictionary Subcategories'!$A$2:$A$70,MATCH(H554,'Dictionary Subcategories'!$B$2:$B$70,0))</f>
        <v>46</v>
      </c>
      <c r="H554" s="174" t="s">
        <v>2374</v>
      </c>
      <c r="I554" s="164"/>
      <c r="J554" s="164"/>
    </row>
    <row r="555" spans="1:10" ht="10.5" customHeight="1" x14ac:dyDescent="0.25">
      <c r="A555" s="172" t="str">
        <f>'ENIGHUR Consumption items'!H688</f>
        <v>12.2.1</v>
      </c>
      <c r="B555" s="172" t="str">
        <f>'ENIGHUR Consumption items'!J688</f>
        <v>PROSTITUCIÓN</v>
      </c>
      <c r="C555" s="168">
        <v>244</v>
      </c>
      <c r="D555" s="167" t="str">
        <f>IFERROR(VLOOKUP(C555,'symmetric IOT 245 2012'!$C$6:$D$276,2,FALSE),"")</f>
        <v>Otros servicios n.c.p.</v>
      </c>
      <c r="E555" s="159">
        <f>INDEX('Dictionary Categories'!$A$2:$A$25,MATCH(F555,'Dictionary Categories'!$B$2:$B$25,0))</f>
        <v>4</v>
      </c>
      <c r="F555" s="164" t="s">
        <v>586</v>
      </c>
      <c r="G555" s="164">
        <f>INDEX('Dictionary Subcategories'!$A$2:$A$70,MATCH(H555,'Dictionary Subcategories'!$B$2:$B$70,0))</f>
        <v>16</v>
      </c>
      <c r="H555" s="174" t="s">
        <v>2357</v>
      </c>
      <c r="I555" s="164"/>
      <c r="J555" s="164"/>
    </row>
    <row r="556" spans="1:10" ht="10.5" customHeight="1" x14ac:dyDescent="0.25">
      <c r="A556" s="165" t="str">
        <f>'ENIGHUR Consumption items'!H342</f>
        <v>02.2.1</v>
      </c>
      <c r="B556" s="165" t="str">
        <f>'ENIGHUR Consumption items'!J342</f>
        <v xml:space="preserve">TABACO </v>
      </c>
      <c r="C556" s="176">
        <v>115</v>
      </c>
      <c r="D556" s="167" t="str">
        <f>IFERROR(VLOOKUP(C556,'symmetric IOT 245 2012'!$C$6:$D$276,2,FALSE),"")</f>
        <v>Cigarrillos y otros productos de tabaco</v>
      </c>
      <c r="E556" s="159">
        <f>INDEX('Dictionary Categories'!$A$2:$A$25,MATCH(F556,'Dictionary Categories'!$B$2:$B$25,0))</f>
        <v>4</v>
      </c>
      <c r="F556" s="164" t="s">
        <v>586</v>
      </c>
      <c r="G556" s="164">
        <f>INDEX('Dictionary Subcategories'!$A$2:$A$70,MATCH(H556,'Dictionary Subcategories'!$B$2:$B$70,0))</f>
        <v>47</v>
      </c>
      <c r="H556" s="174" t="s">
        <v>2469</v>
      </c>
      <c r="I556" s="164"/>
      <c r="J556" s="164"/>
    </row>
    <row r="557" spans="1:10" ht="10.5" customHeight="1" x14ac:dyDescent="0.25">
      <c r="A557" s="165" t="str">
        <f>'ENIGHUR Consumption items'!H345</f>
        <v>02.3.1</v>
      </c>
      <c r="B557" s="165" t="str">
        <f>'ENIGHUR Consumption items'!J345</f>
        <v xml:space="preserve">ESTUPEFACIENTES </v>
      </c>
      <c r="C557" s="176">
        <v>115</v>
      </c>
      <c r="D557" s="167" t="str">
        <f>IFERROR(VLOOKUP(C557,'symmetric IOT 245 2012'!$C$6:$D$276,2,FALSE),"")</f>
        <v>Cigarrillos y otros productos de tabaco</v>
      </c>
      <c r="E557" s="159">
        <f>INDEX('Dictionary Categories'!$A$2:$A$25,MATCH(F557,'Dictionary Categories'!$B$2:$B$25,0))</f>
        <v>4</v>
      </c>
      <c r="F557" s="164" t="s">
        <v>586</v>
      </c>
      <c r="G557" s="164">
        <f>INDEX('Dictionary Subcategories'!$A$2:$A$70,MATCH(H557,'Dictionary Subcategories'!$B$2:$B$70,0))</f>
        <v>16</v>
      </c>
      <c r="H557" s="174" t="s">
        <v>2357</v>
      </c>
      <c r="I557" s="164"/>
      <c r="J557" s="164"/>
    </row>
    <row r="558" spans="1:10" ht="10.5" customHeight="1" x14ac:dyDescent="0.25">
      <c r="A558" s="177" t="s">
        <v>2445</v>
      </c>
      <c r="B558" s="165" t="s">
        <v>2451</v>
      </c>
      <c r="C558" s="176" t="s">
        <v>2389</v>
      </c>
      <c r="D558" s="167" t="str">
        <f>IFERROR(VLOOKUP(C558,'symmetric IOT 245 2012'!$C$6:$D$276,2,FALSE),"")</f>
        <v>matched on SC/SSC level</v>
      </c>
      <c r="E558" s="159">
        <f>INDEX('Dictionary Categories'!$A$2:$A$25,MATCH(F558,'Dictionary Categories'!$B$2:$B$25,0))</f>
        <v>21</v>
      </c>
      <c r="F558" s="159" t="s">
        <v>2465</v>
      </c>
      <c r="G558" s="164">
        <f>INDEX('Dictionary Subcategories'!$A$2:$A$70,MATCH(H558,'Dictionary Subcategories'!$B$2:$B$70,0))</f>
        <v>48</v>
      </c>
      <c r="H558" s="159" t="s">
        <v>2439</v>
      </c>
      <c r="I558" s="164"/>
      <c r="J558" s="164"/>
    </row>
    <row r="559" spans="1:10" ht="10.5" customHeight="1" x14ac:dyDescent="0.25">
      <c r="A559" s="159" t="s">
        <v>2425</v>
      </c>
      <c r="B559" s="159" t="s">
        <v>2441</v>
      </c>
      <c r="C559" s="173">
        <v>51</v>
      </c>
      <c r="D559" s="167" t="str">
        <f>IFERROR(VLOOKUP(C559,'symmetric IOT 245 2012'!$C$6:$D$276,2,FALSE),"")</f>
        <v>Otros productos agrícolas n.c.p.</v>
      </c>
      <c r="E559" s="159">
        <f>INDEX('Dictionary Categories'!$A$2:$A$25,MATCH(F559,'Dictionary Categories'!$B$2:$B$25,0))</f>
        <v>21</v>
      </c>
      <c r="F559" s="159" t="s">
        <v>2465</v>
      </c>
      <c r="G559" s="164">
        <f>INDEX('Dictionary Subcategories'!$A$2:$A$70,MATCH(H559,'Dictionary Subcategories'!$B$2:$B$70,0))</f>
        <v>48</v>
      </c>
      <c r="H559" s="159" t="s">
        <v>2439</v>
      </c>
      <c r="I559" s="164"/>
      <c r="J559" s="164"/>
    </row>
    <row r="560" spans="1:10" ht="10.5" customHeight="1" x14ac:dyDescent="0.25">
      <c r="A560" s="159" t="s">
        <v>2457</v>
      </c>
      <c r="B560" s="165" t="s">
        <v>2454</v>
      </c>
      <c r="C560" s="173">
        <v>51</v>
      </c>
      <c r="D560" s="167" t="str">
        <f>IFERROR(VLOOKUP(C560,'symmetric IOT 245 2012'!$C$6:$D$276,2,FALSE),"")</f>
        <v>Otros productos agrícolas n.c.p.</v>
      </c>
      <c r="E560" s="159">
        <f>INDEX('Dictionary Categories'!$A$2:$A$25,MATCH(F560,'Dictionary Categories'!$B$2:$B$25,0))</f>
        <v>21</v>
      </c>
      <c r="F560" s="159" t="s">
        <v>2465</v>
      </c>
      <c r="G560" s="164">
        <f>INDEX('Dictionary Subcategories'!$A$2:$A$70,MATCH(H560,'Dictionary Subcategories'!$B$2:$B$70,0))</f>
        <v>48</v>
      </c>
      <c r="H560" s="159" t="s">
        <v>2439</v>
      </c>
      <c r="I560" s="164"/>
      <c r="J560" s="164"/>
    </row>
    <row r="561" spans="1:10" ht="10.5" customHeight="1" x14ac:dyDescent="0.25">
      <c r="A561" s="159" t="s">
        <v>2426</v>
      </c>
      <c r="B561" s="159" t="s">
        <v>2442</v>
      </c>
      <c r="C561" s="173">
        <v>51</v>
      </c>
      <c r="D561" s="167" t="str">
        <f>IFERROR(VLOOKUP(C561,'symmetric IOT 245 2012'!$C$6:$D$276,2,FALSE),"")</f>
        <v>Otros productos agrícolas n.c.p.</v>
      </c>
      <c r="E561" s="159">
        <f>INDEX('Dictionary Categories'!$A$2:$A$25,MATCH(F561,'Dictionary Categories'!$B$2:$B$25,0))</f>
        <v>21</v>
      </c>
      <c r="F561" s="159" t="s">
        <v>2465</v>
      </c>
      <c r="G561" s="164">
        <f>INDEX('Dictionary Subcategories'!$A$2:$A$70,MATCH(H561,'Dictionary Subcategories'!$B$2:$B$70,0))</f>
        <v>48</v>
      </c>
      <c r="H561" s="159" t="s">
        <v>2439</v>
      </c>
      <c r="I561" s="164"/>
      <c r="J561" s="164"/>
    </row>
    <row r="562" spans="1:10" ht="10.5" customHeight="1" x14ac:dyDescent="0.25">
      <c r="A562" s="159" t="s">
        <v>2458</v>
      </c>
      <c r="B562" s="165" t="s">
        <v>2455</v>
      </c>
      <c r="C562" s="173">
        <v>51</v>
      </c>
      <c r="D562" s="167" t="str">
        <f>IFERROR(VLOOKUP(C562,'symmetric IOT 245 2012'!$C$6:$D$276,2,FALSE),"")</f>
        <v>Otros productos agrícolas n.c.p.</v>
      </c>
      <c r="E562" s="159">
        <f>INDEX('Dictionary Categories'!$A$2:$A$25,MATCH(F562,'Dictionary Categories'!$B$2:$B$25,0))</f>
        <v>21</v>
      </c>
      <c r="F562" s="159" t="s">
        <v>2465</v>
      </c>
      <c r="G562" s="164">
        <f>INDEX('Dictionary Subcategories'!$A$2:$A$70,MATCH(H562,'Dictionary Subcategories'!$B$2:$B$70,0))</f>
        <v>48</v>
      </c>
      <c r="H562" s="159" t="s">
        <v>2439</v>
      </c>
      <c r="I562" s="164"/>
      <c r="J562" s="164"/>
    </row>
    <row r="563" spans="1:10" ht="10.5" customHeight="1" x14ac:dyDescent="0.25">
      <c r="A563" s="159" t="s">
        <v>2427</v>
      </c>
      <c r="B563" s="159" t="s">
        <v>2443</v>
      </c>
      <c r="C563" s="173">
        <v>51</v>
      </c>
      <c r="D563" s="167" t="str">
        <f>IFERROR(VLOOKUP(C563,'symmetric IOT 245 2012'!$C$6:$D$276,2,FALSE),"")</f>
        <v>Otros productos agrícolas n.c.p.</v>
      </c>
      <c r="E563" s="159">
        <f>INDEX('Dictionary Categories'!$A$2:$A$25,MATCH(F563,'Dictionary Categories'!$B$2:$B$25,0))</f>
        <v>21</v>
      </c>
      <c r="F563" s="159" t="s">
        <v>2465</v>
      </c>
      <c r="G563" s="164">
        <f>INDEX('Dictionary Subcategories'!$A$2:$A$70,MATCH(H563,'Dictionary Subcategories'!$B$2:$B$70,0))</f>
        <v>48</v>
      </c>
      <c r="H563" s="159" t="s">
        <v>2439</v>
      </c>
      <c r="I563" s="164"/>
      <c r="J563" s="164"/>
    </row>
    <row r="564" spans="1:10" ht="10.5" customHeight="1" x14ac:dyDescent="0.25">
      <c r="A564" s="159" t="s">
        <v>2459</v>
      </c>
      <c r="B564" s="165" t="s">
        <v>2456</v>
      </c>
      <c r="C564" s="173">
        <v>52</v>
      </c>
      <c r="D564" s="167" t="str">
        <f>IFERROR(VLOOKUP(C564,'symmetric IOT 245 2012'!$C$6:$D$276,2,FALSE),"")</f>
        <v>Servicios relacionados con la agricultura</v>
      </c>
      <c r="E564" s="159">
        <f>INDEX('Dictionary Categories'!$A$2:$A$25,MATCH(F564,'Dictionary Categories'!$B$2:$B$25,0))</f>
        <v>21</v>
      </c>
      <c r="F564" s="159" t="s">
        <v>2465</v>
      </c>
      <c r="G564" s="164">
        <f>INDEX('Dictionary Subcategories'!$A$2:$A$70,MATCH(H564,'Dictionary Subcategories'!$B$2:$B$70,0))</f>
        <v>48</v>
      </c>
      <c r="H564" s="159" t="s">
        <v>2439</v>
      </c>
      <c r="I564" s="164"/>
      <c r="J564" s="164"/>
    </row>
    <row r="565" spans="1:10" ht="10.5" customHeight="1" x14ac:dyDescent="0.25">
      <c r="A565" s="159" t="s">
        <v>2428</v>
      </c>
      <c r="B565" s="174" t="s">
        <v>2444</v>
      </c>
      <c r="C565" s="173">
        <v>52</v>
      </c>
      <c r="D565" s="167" t="str">
        <f>IFERROR(VLOOKUP(C565,'symmetric IOT 245 2012'!$C$6:$D$276,2,FALSE),"")</f>
        <v>Servicios relacionados con la agricultura</v>
      </c>
      <c r="E565" s="159">
        <f>INDEX('Dictionary Categories'!$A$2:$A$25,MATCH(F565,'Dictionary Categories'!$B$2:$B$25,0))</f>
        <v>21</v>
      </c>
      <c r="F565" s="159" t="s">
        <v>2465</v>
      </c>
      <c r="G565" s="164">
        <f>INDEX('Dictionary Subcategories'!$A$2:$A$70,MATCH(H565,'Dictionary Subcategories'!$B$2:$B$70,0))</f>
        <v>48</v>
      </c>
      <c r="H565" s="159" t="s">
        <v>2439</v>
      </c>
      <c r="I565" s="164"/>
      <c r="J565" s="164"/>
    </row>
    <row r="566" spans="1:10" ht="10.5" customHeight="1" x14ac:dyDescent="0.25">
      <c r="A566" s="174" t="s">
        <v>2447</v>
      </c>
      <c r="B566" s="174" t="s">
        <v>2446</v>
      </c>
      <c r="C566" s="173" t="s">
        <v>2389</v>
      </c>
      <c r="D566" s="167" t="str">
        <f>IFERROR(VLOOKUP(C566,'symmetric IOT 245 2012'!$C$6:$D$276,2,FALSE),"")</f>
        <v>matched on SC/SSC level</v>
      </c>
      <c r="E566" s="159">
        <f>INDEX('Dictionary Categories'!$A$2:$A$25,MATCH(F566,'Dictionary Categories'!$B$2:$B$25,0))</f>
        <v>22</v>
      </c>
      <c r="F566" s="174" t="s">
        <v>2440</v>
      </c>
      <c r="G566" s="164">
        <f>INDEX('Dictionary Subcategories'!$A$2:$A$70,MATCH(H566,'Dictionary Subcategories'!$B$2:$B$70,0))</f>
        <v>49</v>
      </c>
      <c r="H566" s="174" t="s">
        <v>2440</v>
      </c>
      <c r="I566" s="164"/>
      <c r="J566" s="164"/>
    </row>
    <row r="567" spans="1:10" ht="10.5" customHeight="1" x14ac:dyDescent="0.25">
      <c r="A567" s="159" t="s">
        <v>2430</v>
      </c>
      <c r="B567" s="159" t="s">
        <v>2429</v>
      </c>
      <c r="C567" s="173">
        <v>180</v>
      </c>
      <c r="D567" s="167" t="str">
        <f>IFERROR(VLOOKUP(C567,'symmetric IOT 245 2012'!$C$6:$D$276,2,FALSE),"")</f>
        <v>Construcción</v>
      </c>
      <c r="E567" s="159">
        <f>INDEX('Dictionary Categories'!$A$2:$A$25,MATCH(F567,'Dictionary Categories'!$B$2:$B$25,0))</f>
        <v>22</v>
      </c>
      <c r="F567" s="174" t="s">
        <v>2440</v>
      </c>
      <c r="G567" s="164">
        <f>INDEX('Dictionary Subcategories'!$A$2:$A$70,MATCH(H567,'Dictionary Subcategories'!$B$2:$B$70,0))</f>
        <v>49</v>
      </c>
      <c r="H567" s="174" t="s">
        <v>2440</v>
      </c>
      <c r="I567" s="164"/>
      <c r="J567" s="164"/>
    </row>
    <row r="568" spans="1:10" ht="10.5" customHeight="1" x14ac:dyDescent="0.25">
      <c r="A568" s="178" t="s">
        <v>2435</v>
      </c>
      <c r="B568" s="159" t="s">
        <v>2432</v>
      </c>
      <c r="C568" s="173">
        <v>180</v>
      </c>
      <c r="D568" s="167" t="str">
        <f>IFERROR(VLOOKUP(C568,'symmetric IOT 245 2012'!$C$6:$D$276,2,FALSE),"")</f>
        <v>Construcción</v>
      </c>
      <c r="E568" s="159">
        <f>INDEX('Dictionary Categories'!$A$2:$A$25,MATCH(F568,'Dictionary Categories'!$B$2:$B$25,0))</f>
        <v>22</v>
      </c>
      <c r="F568" s="174" t="s">
        <v>2440</v>
      </c>
      <c r="G568" s="164">
        <f>INDEX('Dictionary Subcategories'!$A$2:$A$70,MATCH(H568,'Dictionary Subcategories'!$B$2:$B$70,0))</f>
        <v>49</v>
      </c>
      <c r="H568" s="174" t="s">
        <v>2440</v>
      </c>
      <c r="I568" s="164"/>
      <c r="J568" s="164"/>
    </row>
    <row r="569" spans="1:10" ht="10.5" customHeight="1" x14ac:dyDescent="0.25">
      <c r="A569" s="159" t="s">
        <v>2434</v>
      </c>
      <c r="B569" s="159" t="s">
        <v>2431</v>
      </c>
      <c r="C569" s="174">
        <v>180</v>
      </c>
      <c r="D569" s="167" t="str">
        <f>IFERROR(VLOOKUP(C569,'symmetric IOT 245 2012'!$C$6:$D$276,2,FALSE),"")</f>
        <v>Construcción</v>
      </c>
      <c r="E569" s="159">
        <f>INDEX('Dictionary Categories'!$A$2:$A$25,MATCH(F569,'Dictionary Categories'!$B$2:$B$25,0))</f>
        <v>22</v>
      </c>
      <c r="F569" s="174" t="s">
        <v>2440</v>
      </c>
      <c r="G569" s="164">
        <f>INDEX('Dictionary Subcategories'!$A$2:$A$70,MATCH(H569,'Dictionary Subcategories'!$B$2:$B$70,0))</f>
        <v>49</v>
      </c>
      <c r="H569" s="174" t="s">
        <v>2440</v>
      </c>
      <c r="I569" s="164"/>
      <c r="J569" s="164"/>
    </row>
    <row r="570" spans="1:10" ht="10.5" customHeight="1" x14ac:dyDescent="0.25">
      <c r="A570" s="178" t="s">
        <v>2436</v>
      </c>
      <c r="B570" s="159" t="s">
        <v>2433</v>
      </c>
      <c r="C570" s="174">
        <v>180</v>
      </c>
      <c r="D570" s="167" t="str">
        <f>IFERROR(VLOOKUP(C570,'symmetric IOT 245 2012'!$C$6:$D$276,2,FALSE),"")</f>
        <v>Construcción</v>
      </c>
      <c r="E570" s="159">
        <f>INDEX('Dictionary Categories'!$A$2:$A$25,MATCH(F570,'Dictionary Categories'!$B$2:$B$25,0))</f>
        <v>22</v>
      </c>
      <c r="F570" s="174" t="s">
        <v>2440</v>
      </c>
      <c r="G570" s="164">
        <f>INDEX('Dictionary Subcategories'!$A$2:$A$70,MATCH(H570,'Dictionary Subcategories'!$B$2:$B$70,0))</f>
        <v>49</v>
      </c>
      <c r="H570" s="174" t="s">
        <v>2440</v>
      </c>
      <c r="I570" s="164"/>
      <c r="J570" s="164"/>
    </row>
  </sheetData>
  <mergeCells count="4">
    <mergeCell ref="C1:D1"/>
    <mergeCell ref="E1:F1"/>
    <mergeCell ref="G1:H1"/>
    <mergeCell ref="A1:B1"/>
  </mergeCells>
  <conditionalFormatting sqref="A3:B570">
    <cfRule type="expression" dxfId="40" priority="1">
      <formula>RIGHT($A3,2)="00"</formula>
    </cfRule>
    <cfRule type="expression" dxfId="39" priority="2">
      <formula>LEFT(RIGHT($A3,2),1)="."</formula>
    </cfRule>
  </conditionalFormatting>
  <conditionalFormatting sqref="B564 A561:B562 A565:B565 A567:B567">
    <cfRule type="expression" dxfId="38" priority="3">
      <formula>RIGHT($A561,2)="00"</formula>
    </cfRule>
  </conditionalFormatting>
  <conditionalFormatting sqref="C2:C558">
    <cfRule type="expression" dxfId="37" priority="7">
      <formula>$C2="?"</formula>
    </cfRule>
  </conditionalFormatting>
  <conditionalFormatting sqref="B560">
    <cfRule type="expression" dxfId="36" priority="8">
      <formula>RIGHT($A560,2)="00"</formula>
    </cfRule>
  </conditionalFormatting>
  <conditionalFormatting sqref="B562">
    <cfRule type="expression" dxfId="35" priority="9">
      <formula>RIGHT($A562,2)="00"</formula>
    </cfRule>
  </conditionalFormatting>
  <conditionalFormatting sqref="A1">
    <cfRule type="expression" dxfId="34" priority="9776">
      <formula>LEFT(RIGHT($A1,2),1)="."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W614"/>
  <sheetViews>
    <sheetView tabSelected="1" zoomScale="70" zoomScaleNormal="70" workbookViewId="0">
      <pane ySplit="2" topLeftCell="A322" activePane="bottomLeft" state="frozen"/>
      <selection pane="bottomLeft" activeCell="I535" sqref="I535"/>
    </sheetView>
  </sheetViews>
  <sheetFormatPr defaultColWidth="11.42578125" defaultRowHeight="15" x14ac:dyDescent="0.25"/>
  <cols>
    <col min="1" max="1" width="9.7109375" style="82" bestFit="1" customWidth="1"/>
    <col min="2" max="2" width="8" style="82" customWidth="1"/>
    <col min="3" max="3" width="66.28515625" style="77" customWidth="1"/>
    <col min="4" max="4" width="4.140625" style="125" customWidth="1"/>
    <col min="5" max="5" width="22.140625" style="77" customWidth="1"/>
    <col min="6" max="6" width="14.5703125" style="77" customWidth="1"/>
    <col min="7" max="7" width="11.42578125" style="77" customWidth="1"/>
    <col min="8" max="8" width="4.7109375" style="77" bestFit="1" customWidth="1"/>
    <col min="9" max="9" width="33.140625" style="77" customWidth="1"/>
    <col min="10" max="10" width="4.7109375" style="77" bestFit="1" customWidth="1"/>
    <col min="11" max="11" width="19.42578125" style="77" customWidth="1"/>
    <col min="12" max="12" width="11.42578125" style="77"/>
    <col min="13" max="13" width="0" style="77" hidden="1" customWidth="1"/>
    <col min="14" max="16384" width="11.42578125" style="77"/>
  </cols>
  <sheetData>
    <row r="1" spans="1:15" x14ac:dyDescent="0.25">
      <c r="A1" s="142" t="s">
        <v>2448</v>
      </c>
      <c r="B1" s="143" t="s">
        <v>2449</v>
      </c>
      <c r="C1" s="144" t="s">
        <v>2463</v>
      </c>
      <c r="D1" s="180" t="s">
        <v>1227</v>
      </c>
      <c r="E1" s="180"/>
      <c r="F1" s="79">
        <f>SUMPRODUCT(1/COUNTIF(D3:D570,D3:D570))-1</f>
        <v>130.00000000000031</v>
      </c>
      <c r="H1" s="180" t="s">
        <v>2421</v>
      </c>
      <c r="I1" s="180"/>
      <c r="J1" s="180" t="s">
        <v>2422</v>
      </c>
      <c r="K1" s="180"/>
    </row>
    <row r="2" spans="1:15" s="85" customFormat="1" x14ac:dyDescent="0.25">
      <c r="A2" s="81" t="s">
        <v>507</v>
      </c>
      <c r="B2" s="134" t="s">
        <v>2418</v>
      </c>
      <c r="C2" s="81" t="s">
        <v>508</v>
      </c>
      <c r="D2" s="123" t="s">
        <v>1226</v>
      </c>
      <c r="E2" s="86" t="s">
        <v>519</v>
      </c>
      <c r="F2" s="85" t="s">
        <v>506</v>
      </c>
      <c r="G2" s="85" t="s">
        <v>2360</v>
      </c>
      <c r="H2" s="2" t="s">
        <v>2423</v>
      </c>
      <c r="I2" s="2" t="s">
        <v>2474</v>
      </c>
      <c r="J2" s="2" t="s">
        <v>2424</v>
      </c>
      <c r="K2" s="2" t="s">
        <v>2475</v>
      </c>
      <c r="L2" s="150" t="s">
        <v>2478</v>
      </c>
      <c r="M2" s="85" t="s">
        <v>2472</v>
      </c>
    </row>
    <row r="3" spans="1:15" x14ac:dyDescent="0.25">
      <c r="A3" s="83" t="str">
        <f>'ENIGHUR Consumption items'!H4</f>
        <v>01.1.1</v>
      </c>
      <c r="B3" s="116">
        <f>_xlfn.NUMBERVALUE(VLOOKUP(A3,'ENIGHUR Consumption items'!$H$2:$I$703,2,))</f>
        <v>111</v>
      </c>
      <c r="C3" s="83" t="str">
        <f>'ENIGHUR Consumption items'!J4</f>
        <v xml:space="preserve">PAN Y CEREALES </v>
      </c>
      <c r="D3" s="141" t="s">
        <v>2389</v>
      </c>
      <c r="E3" s="91" t="str">
        <f>IFERROR(VLOOKUP(D3,'symmetric IOT 245 2012'!$C$6:$D$276,2,FALSE),"")</f>
        <v>matched on SC/SSC level</v>
      </c>
      <c r="F3" s="80"/>
      <c r="H3" s="77">
        <f>INDEX('Dictionary Categories'!$A$2:$A$30,MATCH(I3,'Dictionary Categories'!$B$2:$B$30,0))</f>
        <v>1</v>
      </c>
      <c r="I3" s="2" t="s">
        <v>2470</v>
      </c>
      <c r="J3" s="2">
        <f>INDEX('Dictionary Subcategories'!$A$2:$A$70,MATCH(K3,'Dictionary Subcategories'!$B$2:$B$70,0))</f>
        <v>1</v>
      </c>
      <c r="K3" s="2" t="s">
        <v>1234</v>
      </c>
      <c r="L3" s="147"/>
      <c r="M3" s="77">
        <v>1</v>
      </c>
      <c r="O3" s="77">
        <f>IF(LEFT(RIGHT(A3,2),1)=".",1,0)</f>
        <v>1</v>
      </c>
    </row>
    <row r="4" spans="1:15" x14ac:dyDescent="0.25">
      <c r="A4" s="83" t="str">
        <f>'ENIGHUR Consumption items'!H5</f>
        <v>01.1.1.000</v>
      </c>
      <c r="B4" s="116">
        <f>_xlfn.NUMBERVALUE(VLOOKUP(A4,'ENIGHUR Consumption items'!$H$2:$I$703,2,))</f>
        <v>111000</v>
      </c>
      <c r="C4" s="83" t="str">
        <f>'ENIGHUR Consumption items'!J5</f>
        <v>Pan (productos de panadería)</v>
      </c>
      <c r="D4" s="124">
        <v>104</v>
      </c>
      <c r="E4" s="91" t="str">
        <f>IFERROR(VLOOKUP(D4,'symmetric IOT 245 2012'!$C$6:$D$276,2,FALSE),"")</f>
        <v>Productos de la panadería y pastelería</v>
      </c>
      <c r="H4" s="77">
        <f>INDEX('Dictionary Categories'!$A$2:$A$30,MATCH(I4,'Dictionary Categories'!$B$2:$B$30,0))</f>
        <v>1</v>
      </c>
      <c r="I4" s="2" t="s">
        <v>2470</v>
      </c>
      <c r="J4" s="2">
        <f>INDEX('Dictionary Subcategories'!$A$2:$A$70,MATCH(K4,'Dictionary Subcategories'!$B$2:$B$70,0))</f>
        <v>1</v>
      </c>
      <c r="K4" s="2" t="s">
        <v>1234</v>
      </c>
      <c r="L4" s="147"/>
      <c r="M4" s="77">
        <v>2</v>
      </c>
      <c r="N4" s="77" t="str">
        <f>COUNTIF('symmetric IOT 245 2012'!B6:B256,"WAHR")&amp;" IOT commodities were matched to expend items"</f>
        <v>0 IOT commodities were matched to expend items</v>
      </c>
      <c r="O4" s="77">
        <f t="shared" ref="O4:O67" si="0">IF(LEFT(RIGHT(A4,2),1)=".",1,0)</f>
        <v>0</v>
      </c>
    </row>
    <row r="5" spans="1:15" x14ac:dyDescent="0.25">
      <c r="A5" s="83" t="str">
        <f>'ENIGHUR Consumption items'!H6</f>
        <v>01.1.1.100</v>
      </c>
      <c r="B5" s="116">
        <f>_xlfn.NUMBERVALUE(VLOOKUP(A5,'ENIGHUR Consumption items'!$H$2:$I$703,2,))</f>
        <v>111100</v>
      </c>
      <c r="C5" s="83" t="str">
        <f>'ENIGHUR Consumption items'!J6</f>
        <v>Otros productos de panadería</v>
      </c>
      <c r="D5" s="124">
        <v>104</v>
      </c>
      <c r="E5" s="91" t="str">
        <f>IFERROR(VLOOKUP(D5,'symmetric IOT 245 2012'!$C$6:$D$276,2,FALSE),"")</f>
        <v>Productos de la panadería y pastelería</v>
      </c>
      <c r="H5" s="77">
        <f>INDEX('Dictionary Categories'!$A$2:$A$30,MATCH(I5,'Dictionary Categories'!$B$2:$B$30,0))</f>
        <v>1</v>
      </c>
      <c r="I5" s="2" t="s">
        <v>2470</v>
      </c>
      <c r="J5" s="2">
        <f>INDEX('Dictionary Subcategories'!$A$2:$A$70,MATCH(K5,'Dictionary Subcategories'!$B$2:$B$70,0))</f>
        <v>1</v>
      </c>
      <c r="K5" s="2" t="s">
        <v>1234</v>
      </c>
      <c r="L5" s="147"/>
      <c r="M5" s="77">
        <v>3</v>
      </c>
      <c r="O5" s="77">
        <f t="shared" si="0"/>
        <v>0</v>
      </c>
    </row>
    <row r="6" spans="1:15" x14ac:dyDescent="0.25">
      <c r="A6" s="83" t="str">
        <f>'ENIGHUR Consumption items'!H7</f>
        <v>01.1.1.200</v>
      </c>
      <c r="B6" s="116">
        <f>_xlfn.NUMBERVALUE(VLOOKUP(A6,'ENIGHUR Consumption items'!$H$2:$I$703,2,))</f>
        <v>111200</v>
      </c>
      <c r="C6" s="83" t="str">
        <f>'ENIGHUR Consumption items'!J7</f>
        <v>Harinas</v>
      </c>
      <c r="D6" s="124">
        <v>102</v>
      </c>
      <c r="E6" s="91" t="str">
        <f>IFERROR(VLOOKUP(D6,'symmetric IOT 245 2012'!$C$6:$D$276,2,FALSE),"")</f>
        <v>Otras harinas vegetales, sémolas y otros prod</v>
      </c>
      <c r="F6" s="80"/>
      <c r="H6" s="77">
        <f>INDEX('Dictionary Categories'!$A$2:$A$30,MATCH(I6,'Dictionary Categories'!$B$2:$B$30,0))</f>
        <v>1</v>
      </c>
      <c r="I6" s="2" t="s">
        <v>2470</v>
      </c>
      <c r="J6" s="2">
        <f>INDEX('Dictionary Subcategories'!$A$2:$A$70,MATCH(K6,'Dictionary Subcategories'!$B$2:$B$70,0))</f>
        <v>1</v>
      </c>
      <c r="K6" s="2" t="s">
        <v>1234</v>
      </c>
      <c r="L6" s="147"/>
      <c r="M6" s="77">
        <v>4</v>
      </c>
      <c r="O6" s="77">
        <f t="shared" si="0"/>
        <v>0</v>
      </c>
    </row>
    <row r="7" spans="1:15" x14ac:dyDescent="0.25">
      <c r="A7" s="83" t="str">
        <f>'ENIGHUR Consumption items'!H8</f>
        <v>01.1.1.201</v>
      </c>
      <c r="B7" s="116">
        <f>_xlfn.NUMBERVALUE(VLOOKUP(A7,'ENIGHUR Consumption items'!$H$2:$I$703,2,))</f>
        <v>111201</v>
      </c>
      <c r="C7" s="83" t="str">
        <f>'ENIGHUR Consumption items'!J8</f>
        <v>Almidón de achira (se elabora a base de la raíz de la achira)</v>
      </c>
      <c r="D7" s="124">
        <v>102</v>
      </c>
      <c r="E7" s="91" t="str">
        <f>IFERROR(VLOOKUP(D7,'symmetric IOT 245 2012'!$C$6:$D$276,2,FALSE),"")</f>
        <v>Otras harinas vegetales, sémolas y otros prod</v>
      </c>
      <c r="H7" s="77">
        <f>INDEX('Dictionary Categories'!$A$2:$A$30,MATCH(I7,'Dictionary Categories'!$B$2:$B$30,0))</f>
        <v>1</v>
      </c>
      <c r="I7" s="2" t="s">
        <v>2470</v>
      </c>
      <c r="J7" s="2">
        <f>INDEX('Dictionary Subcategories'!$A$2:$A$70,MATCH(K7,'Dictionary Subcategories'!$B$2:$B$70,0))</f>
        <v>1</v>
      </c>
      <c r="K7" s="2" t="s">
        <v>1234</v>
      </c>
      <c r="L7" s="147"/>
      <c r="M7" s="77">
        <v>5</v>
      </c>
      <c r="O7" s="77">
        <f t="shared" si="0"/>
        <v>0</v>
      </c>
    </row>
    <row r="8" spans="1:15" x14ac:dyDescent="0.25">
      <c r="A8" s="83" t="str">
        <f>'ENIGHUR Consumption items'!H9</f>
        <v>01.1.1.202</v>
      </c>
      <c r="B8" s="116">
        <f>_xlfn.NUMBERVALUE(VLOOKUP(A8,'ENIGHUR Consumption items'!$H$2:$I$703,2,))</f>
        <v>111202</v>
      </c>
      <c r="C8" s="83" t="str">
        <f>'ENIGHUR Consumption items'!J9</f>
        <v>Almidón de papa</v>
      </c>
      <c r="D8" s="124">
        <v>102</v>
      </c>
      <c r="E8" s="91" t="str">
        <f>IFERROR(VLOOKUP(D8,'symmetric IOT 245 2012'!$C$6:$D$276,2,FALSE),"")</f>
        <v>Otras harinas vegetales, sémolas y otros prod</v>
      </c>
      <c r="H8" s="77">
        <f>INDEX('Dictionary Categories'!$A$2:$A$30,MATCH(I8,'Dictionary Categories'!$B$2:$B$30,0))</f>
        <v>1</v>
      </c>
      <c r="I8" s="2" t="s">
        <v>2470</v>
      </c>
      <c r="J8" s="2">
        <f>INDEX('Dictionary Subcategories'!$A$2:$A$70,MATCH(K8,'Dictionary Subcategories'!$B$2:$B$70,0))</f>
        <v>1</v>
      </c>
      <c r="K8" s="2" t="s">
        <v>1234</v>
      </c>
      <c r="L8" s="147"/>
      <c r="M8" s="77">
        <v>6</v>
      </c>
      <c r="O8" s="77">
        <f t="shared" si="0"/>
        <v>0</v>
      </c>
    </row>
    <row r="9" spans="1:15" x14ac:dyDescent="0.25">
      <c r="A9" s="83" t="str">
        <f>'ENIGHUR Consumption items'!H10</f>
        <v>01.1.1.203</v>
      </c>
      <c r="B9" s="116">
        <f>_xlfn.NUMBERVALUE(VLOOKUP(A9,'ENIGHUR Consumption items'!$H$2:$I$703,2,))</f>
        <v>111203</v>
      </c>
      <c r="C9" s="83" t="str">
        <f>'ENIGHUR Consumption items'!J10</f>
        <v>Almidón de yuca</v>
      </c>
      <c r="D9" s="124">
        <v>102</v>
      </c>
      <c r="E9" s="91" t="str">
        <f>IFERROR(VLOOKUP(D9,'symmetric IOT 245 2012'!$C$6:$D$276,2,FALSE),"")</f>
        <v>Otras harinas vegetales, sémolas y otros prod</v>
      </c>
      <c r="H9" s="77">
        <f>INDEX('Dictionary Categories'!$A$2:$A$30,MATCH(I9,'Dictionary Categories'!$B$2:$B$30,0))</f>
        <v>1</v>
      </c>
      <c r="I9" s="2" t="s">
        <v>2470</v>
      </c>
      <c r="J9" s="2">
        <f>INDEX('Dictionary Subcategories'!$A$2:$A$70,MATCH(K9,'Dictionary Subcategories'!$B$2:$B$70,0))</f>
        <v>1</v>
      </c>
      <c r="K9" s="2" t="s">
        <v>1234</v>
      </c>
      <c r="L9" s="147"/>
      <c r="M9" s="77">
        <v>7</v>
      </c>
      <c r="O9" s="77">
        <f t="shared" si="0"/>
        <v>0</v>
      </c>
    </row>
    <row r="10" spans="1:15" x14ac:dyDescent="0.25">
      <c r="A10" s="83" t="str">
        <f>'ENIGHUR Consumption items'!H11</f>
        <v>01.1.1.204</v>
      </c>
      <c r="B10" s="116">
        <f>_xlfn.NUMBERVALUE(VLOOKUP(A10,'ENIGHUR Consumption items'!$H$2:$I$703,2,))</f>
        <v>111204</v>
      </c>
      <c r="C10" s="83" t="str">
        <f>'ENIGHUR Consumption items'!J11</f>
        <v>Tapioca (almidón)</v>
      </c>
      <c r="D10" s="124">
        <v>102</v>
      </c>
      <c r="E10" s="91" t="str">
        <f>IFERROR(VLOOKUP(D10,'symmetric IOT 245 2012'!$C$6:$D$276,2,FALSE),"")</f>
        <v>Otras harinas vegetales, sémolas y otros prod</v>
      </c>
      <c r="H10" s="77">
        <f>INDEX('Dictionary Categories'!$A$2:$A$30,MATCH(I10,'Dictionary Categories'!$B$2:$B$30,0))</f>
        <v>1</v>
      </c>
      <c r="I10" s="2" t="s">
        <v>2470</v>
      </c>
      <c r="J10" s="2">
        <f>INDEX('Dictionary Subcategories'!$A$2:$A$70,MATCH(K10,'Dictionary Subcategories'!$B$2:$B$70,0))</f>
        <v>1</v>
      </c>
      <c r="K10" s="2" t="s">
        <v>1234</v>
      </c>
      <c r="L10" s="147"/>
      <c r="M10" s="77">
        <v>8</v>
      </c>
      <c r="O10" s="77">
        <f t="shared" si="0"/>
        <v>0</v>
      </c>
    </row>
    <row r="11" spans="1:15" x14ac:dyDescent="0.25">
      <c r="A11" s="83" t="str">
        <f>'ENIGHUR Consumption items'!H12</f>
        <v>01.1.1.205</v>
      </c>
      <c r="B11" s="116">
        <f>_xlfn.NUMBERVALUE(VLOOKUP(A11,'ENIGHUR Consumption items'!$H$2:$I$703,2,))</f>
        <v>111205</v>
      </c>
      <c r="C11" s="83" t="str">
        <f>'ENIGHUR Consumption items'!J12</f>
        <v>Harina de arroz</v>
      </c>
      <c r="D11" s="124">
        <v>102</v>
      </c>
      <c r="E11" s="91" t="str">
        <f>IFERROR(VLOOKUP(D11,'symmetric IOT 245 2012'!$C$6:$D$276,2,FALSE),"")</f>
        <v>Otras harinas vegetales, sémolas y otros prod</v>
      </c>
      <c r="H11" s="77">
        <f>INDEX('Dictionary Categories'!$A$2:$A$30,MATCH(I11,'Dictionary Categories'!$B$2:$B$30,0))</f>
        <v>1</v>
      </c>
      <c r="I11" s="2" t="s">
        <v>2470</v>
      </c>
      <c r="J11" s="2">
        <f>INDEX('Dictionary Subcategories'!$A$2:$A$70,MATCH(K11,'Dictionary Subcategories'!$B$2:$B$70,0))</f>
        <v>1</v>
      </c>
      <c r="K11" s="2" t="s">
        <v>1234</v>
      </c>
      <c r="L11" s="147"/>
      <c r="M11" s="77">
        <v>9</v>
      </c>
      <c r="O11" s="77">
        <f t="shared" si="0"/>
        <v>0</v>
      </c>
    </row>
    <row r="12" spans="1:15" x14ac:dyDescent="0.25">
      <c r="A12" s="83" t="str">
        <f>'ENIGHUR Consumption items'!H13</f>
        <v>01.1.1.206</v>
      </c>
      <c r="B12" s="116">
        <f>_xlfn.NUMBERVALUE(VLOOKUP(A12,'ENIGHUR Consumption items'!$H$2:$I$703,2,))</f>
        <v>111206</v>
      </c>
      <c r="C12" s="83" t="str">
        <f>'ENIGHUR Consumption items'!J13</f>
        <v>Harina de cebada (máchica)</v>
      </c>
      <c r="D12" s="124">
        <v>102</v>
      </c>
      <c r="E12" s="91" t="str">
        <f>IFERROR(VLOOKUP(D12,'symmetric IOT 245 2012'!$C$6:$D$276,2,FALSE),"")</f>
        <v>Otras harinas vegetales, sémolas y otros prod</v>
      </c>
      <c r="H12" s="77">
        <f>INDEX('Dictionary Categories'!$A$2:$A$30,MATCH(I12,'Dictionary Categories'!$B$2:$B$30,0))</f>
        <v>1</v>
      </c>
      <c r="I12" s="2" t="s">
        <v>2470</v>
      </c>
      <c r="J12" s="2">
        <f>INDEX('Dictionary Subcategories'!$A$2:$A$70,MATCH(K12,'Dictionary Subcategories'!$B$2:$B$70,0))</f>
        <v>1</v>
      </c>
      <c r="K12" s="2" t="s">
        <v>1234</v>
      </c>
      <c r="L12" s="147"/>
      <c r="M12" s="77">
        <v>10</v>
      </c>
      <c r="O12" s="77">
        <f t="shared" si="0"/>
        <v>0</v>
      </c>
    </row>
    <row r="13" spans="1:15" x14ac:dyDescent="0.25">
      <c r="A13" s="83" t="str">
        <f>'ENIGHUR Consumption items'!H14</f>
        <v>01.1.1.207</v>
      </c>
      <c r="B13" s="116">
        <f>_xlfn.NUMBERVALUE(VLOOKUP(A13,'ENIGHUR Consumption items'!$H$2:$I$703,2,))</f>
        <v>111207</v>
      </c>
      <c r="C13" s="83" t="str">
        <f>'ENIGHUR Consumption items'!J14</f>
        <v>Harina de garbanzo</v>
      </c>
      <c r="D13" s="124">
        <v>102</v>
      </c>
      <c r="E13" s="91" t="str">
        <f>IFERROR(VLOOKUP(D13,'symmetric IOT 245 2012'!$C$6:$D$276,2,FALSE),"")</f>
        <v>Otras harinas vegetales, sémolas y otros prod</v>
      </c>
      <c r="H13" s="77">
        <f>INDEX('Dictionary Categories'!$A$2:$A$30,MATCH(I13,'Dictionary Categories'!$B$2:$B$30,0))</f>
        <v>1</v>
      </c>
      <c r="I13" s="2" t="s">
        <v>2470</v>
      </c>
      <c r="J13" s="2">
        <f>INDEX('Dictionary Subcategories'!$A$2:$A$70,MATCH(K13,'Dictionary Subcategories'!$B$2:$B$70,0))</f>
        <v>1</v>
      </c>
      <c r="K13" s="2" t="s">
        <v>1234</v>
      </c>
      <c r="L13" s="147"/>
      <c r="M13" s="77">
        <v>11</v>
      </c>
      <c r="O13" s="77">
        <f t="shared" si="0"/>
        <v>0</v>
      </c>
    </row>
    <row r="14" spans="1:15" x14ac:dyDescent="0.25">
      <c r="A14" s="83" t="str">
        <f>'ENIGHUR Consumption items'!H15</f>
        <v>01.1.1.208</v>
      </c>
      <c r="B14" s="116">
        <f>_xlfn.NUMBERVALUE(VLOOKUP(A14,'ENIGHUR Consumption items'!$H$2:$I$703,2,))</f>
        <v>111208</v>
      </c>
      <c r="C14" s="83" t="str">
        <f>'ENIGHUR Consumption items'!J15</f>
        <v>Harina de maíz</v>
      </c>
      <c r="D14" s="124">
        <v>102</v>
      </c>
      <c r="E14" s="91" t="str">
        <f>IFERROR(VLOOKUP(D14,'symmetric IOT 245 2012'!$C$6:$D$276,2,FALSE),"")</f>
        <v>Otras harinas vegetales, sémolas y otros prod</v>
      </c>
      <c r="H14" s="77">
        <f>INDEX('Dictionary Categories'!$A$2:$A$30,MATCH(I14,'Dictionary Categories'!$B$2:$B$30,0))</f>
        <v>1</v>
      </c>
      <c r="I14" s="2" t="s">
        <v>2470</v>
      </c>
      <c r="J14" s="2">
        <f>INDEX('Dictionary Subcategories'!$A$2:$A$70,MATCH(K14,'Dictionary Subcategories'!$B$2:$B$70,0))</f>
        <v>1</v>
      </c>
      <c r="K14" s="2" t="s">
        <v>1234</v>
      </c>
      <c r="L14" s="147"/>
      <c r="M14" s="77">
        <v>12</v>
      </c>
      <c r="O14" s="77">
        <f t="shared" si="0"/>
        <v>0</v>
      </c>
    </row>
    <row r="15" spans="1:15" x14ac:dyDescent="0.25">
      <c r="A15" s="83" t="str">
        <f>'ENIGHUR Consumption items'!H16</f>
        <v>01.1.1.209</v>
      </c>
      <c r="B15" s="116">
        <f>_xlfn.NUMBERVALUE(VLOOKUP(A15,'ENIGHUR Consumption items'!$H$2:$I$703,2,))</f>
        <v>111209</v>
      </c>
      <c r="C15" s="83" t="str">
        <f>'ENIGHUR Consumption items'!J16</f>
        <v>Harina de malta</v>
      </c>
      <c r="D15" s="124">
        <v>102</v>
      </c>
      <c r="E15" s="91" t="str">
        <f>IFERROR(VLOOKUP(D15,'symmetric IOT 245 2012'!$C$6:$D$276,2,FALSE),"")</f>
        <v>Otras harinas vegetales, sémolas y otros prod</v>
      </c>
      <c r="H15" s="77">
        <f>INDEX('Dictionary Categories'!$A$2:$A$30,MATCH(I15,'Dictionary Categories'!$B$2:$B$30,0))</f>
        <v>1</v>
      </c>
      <c r="I15" s="2" t="s">
        <v>2470</v>
      </c>
      <c r="J15" s="2">
        <f>INDEX('Dictionary Subcategories'!$A$2:$A$70,MATCH(K15,'Dictionary Subcategories'!$B$2:$B$70,0))</f>
        <v>1</v>
      </c>
      <c r="K15" s="2" t="s">
        <v>1234</v>
      </c>
      <c r="L15" s="147"/>
      <c r="M15" s="77">
        <v>13</v>
      </c>
      <c r="O15" s="77">
        <f t="shared" si="0"/>
        <v>0</v>
      </c>
    </row>
    <row r="16" spans="1:15" x14ac:dyDescent="0.25">
      <c r="A16" s="83" t="str">
        <f>'ENIGHUR Consumption items'!H17</f>
        <v>01.1.1.210</v>
      </c>
      <c r="B16" s="116">
        <f>_xlfn.NUMBERVALUE(VLOOKUP(A16,'ENIGHUR Consumption items'!$H$2:$I$703,2,))</f>
        <v>111210</v>
      </c>
      <c r="C16" s="83" t="str">
        <f>'ENIGHUR Consumption items'!J17</f>
        <v>Harina de plátano</v>
      </c>
      <c r="D16" s="124">
        <v>102</v>
      </c>
      <c r="E16" s="91" t="str">
        <f>IFERROR(VLOOKUP(D16,'symmetric IOT 245 2012'!$C$6:$D$276,2,FALSE),"")</f>
        <v>Otras harinas vegetales, sémolas y otros prod</v>
      </c>
      <c r="H16" s="77">
        <f>INDEX('Dictionary Categories'!$A$2:$A$30,MATCH(I16,'Dictionary Categories'!$B$2:$B$30,0))</f>
        <v>1</v>
      </c>
      <c r="I16" s="2" t="s">
        <v>2470</v>
      </c>
      <c r="J16" s="2">
        <f>INDEX('Dictionary Subcategories'!$A$2:$A$70,MATCH(K16,'Dictionary Subcategories'!$B$2:$B$70,0))</f>
        <v>1</v>
      </c>
      <c r="K16" s="2" t="s">
        <v>1234</v>
      </c>
      <c r="L16" s="147"/>
      <c r="M16" s="77">
        <v>14</v>
      </c>
      <c r="O16" s="77">
        <f t="shared" si="0"/>
        <v>0</v>
      </c>
    </row>
    <row r="17" spans="1:15" x14ac:dyDescent="0.25">
      <c r="A17" s="83" t="str">
        <f>'ENIGHUR Consumption items'!H18</f>
        <v>01.1.1.211</v>
      </c>
      <c r="B17" s="116">
        <f>_xlfn.NUMBERVALUE(VLOOKUP(A17,'ENIGHUR Consumption items'!$H$2:$I$703,2,))</f>
        <v>111211</v>
      </c>
      <c r="C17" s="83" t="str">
        <f>'ENIGHUR Consumption items'!J18</f>
        <v>Harina de morocho (cauca)</v>
      </c>
      <c r="D17" s="124">
        <v>102</v>
      </c>
      <c r="E17" s="91" t="str">
        <f>IFERROR(VLOOKUP(D17,'symmetric IOT 245 2012'!$C$6:$D$276,2,FALSE),"")</f>
        <v>Otras harinas vegetales, sémolas y otros prod</v>
      </c>
      <c r="H17" s="77">
        <f>INDEX('Dictionary Categories'!$A$2:$A$30,MATCH(I17,'Dictionary Categories'!$B$2:$B$30,0))</f>
        <v>1</v>
      </c>
      <c r="I17" s="2" t="s">
        <v>2470</v>
      </c>
      <c r="J17" s="2">
        <f>INDEX('Dictionary Subcategories'!$A$2:$A$70,MATCH(K17,'Dictionary Subcategories'!$B$2:$B$70,0))</f>
        <v>1</v>
      </c>
      <c r="K17" s="2" t="s">
        <v>1234</v>
      </c>
      <c r="L17" s="147"/>
      <c r="M17" s="77">
        <v>15</v>
      </c>
      <c r="O17" s="77">
        <f t="shared" si="0"/>
        <v>0</v>
      </c>
    </row>
    <row r="18" spans="1:15" x14ac:dyDescent="0.25">
      <c r="A18" s="83" t="str">
        <f>'ENIGHUR Consumption items'!H19</f>
        <v>01.1.1.212</v>
      </c>
      <c r="B18" s="116">
        <f>_xlfn.NUMBERVALUE(VLOOKUP(A18,'ENIGHUR Consumption items'!$H$2:$I$703,2,))</f>
        <v>111212</v>
      </c>
      <c r="C18" s="83" t="str">
        <f>'ENIGHUR Consumption items'!J19</f>
        <v>Harina de trigo</v>
      </c>
      <c r="D18" s="124">
        <v>100</v>
      </c>
      <c r="E18" s="91" t="str">
        <f>IFERROR(VLOOKUP(D18,'symmetric IOT 245 2012'!$C$6:$D$276,2,FALSE),"")</f>
        <v>Harina de trigo</v>
      </c>
      <c r="H18" s="77">
        <f>INDEX('Dictionary Categories'!$A$2:$A$30,MATCH(I18,'Dictionary Categories'!$B$2:$B$30,0))</f>
        <v>1</v>
      </c>
      <c r="I18" s="2" t="s">
        <v>2470</v>
      </c>
      <c r="J18" s="2">
        <f>INDEX('Dictionary Subcategories'!$A$2:$A$70,MATCH(K18,'Dictionary Subcategories'!$B$2:$B$70,0))</f>
        <v>1</v>
      </c>
      <c r="K18" s="2" t="s">
        <v>1234</v>
      </c>
      <c r="L18" s="147"/>
      <c r="M18" s="77">
        <v>16</v>
      </c>
      <c r="O18" s="77">
        <f t="shared" si="0"/>
        <v>0</v>
      </c>
    </row>
    <row r="19" spans="1:15" x14ac:dyDescent="0.25">
      <c r="A19" s="83" t="str">
        <f>'ENIGHUR Consumption items'!H20</f>
        <v>01.1.1.213</v>
      </c>
      <c r="B19" s="116">
        <f>_xlfn.NUMBERVALUE(VLOOKUP(A19,'ENIGHUR Consumption items'!$H$2:$I$703,2,))</f>
        <v>111213</v>
      </c>
      <c r="C19" s="83" t="str">
        <f>'ENIGHUR Consumption items'!J20</f>
        <v>Maicena (fécula de maíz)</v>
      </c>
      <c r="D19" s="124">
        <v>102</v>
      </c>
      <c r="E19" s="91" t="str">
        <f>IFERROR(VLOOKUP(D19,'symmetric IOT 245 2012'!$C$6:$D$276,2,FALSE),"")</f>
        <v>Otras harinas vegetales, sémolas y otros prod</v>
      </c>
      <c r="H19" s="77">
        <f>INDEX('Dictionary Categories'!$A$2:$A$30,MATCH(I19,'Dictionary Categories'!$B$2:$B$30,0))</f>
        <v>1</v>
      </c>
      <c r="I19" s="2" t="s">
        <v>2470</v>
      </c>
      <c r="J19" s="2">
        <f>INDEX('Dictionary Subcategories'!$A$2:$A$70,MATCH(K19,'Dictionary Subcategories'!$B$2:$B$70,0))</f>
        <v>1</v>
      </c>
      <c r="K19" s="2" t="s">
        <v>1234</v>
      </c>
      <c r="L19" s="147"/>
      <c r="M19" s="77">
        <v>17</v>
      </c>
      <c r="O19" s="77">
        <f t="shared" si="0"/>
        <v>0</v>
      </c>
    </row>
    <row r="20" spans="1:15" x14ac:dyDescent="0.25">
      <c r="A20" s="83" t="str">
        <f>'ENIGHUR Consumption items'!H21</f>
        <v>01.1.1.299</v>
      </c>
      <c r="B20" s="116">
        <f>_xlfn.NUMBERVALUE(VLOOKUP(A20,'ENIGHUR Consumption items'!$H$2:$I$703,2,))</f>
        <v>111299</v>
      </c>
      <c r="C20" s="83" t="str">
        <f>'ENIGHUR Consumption items'!J21</f>
        <v>Otras harinas</v>
      </c>
      <c r="D20" s="124">
        <v>102</v>
      </c>
      <c r="E20" s="91" t="str">
        <f>IFERROR(VLOOKUP(D20,'symmetric IOT 245 2012'!$C$6:$D$276,2,FALSE),"")</f>
        <v>Otras harinas vegetales, sémolas y otros prod</v>
      </c>
      <c r="H20" s="77">
        <f>INDEX('Dictionary Categories'!$A$2:$A$30,MATCH(I20,'Dictionary Categories'!$B$2:$B$30,0))</f>
        <v>1</v>
      </c>
      <c r="I20" s="2" t="s">
        <v>2470</v>
      </c>
      <c r="J20" s="2">
        <f>INDEX('Dictionary Subcategories'!$A$2:$A$70,MATCH(K20,'Dictionary Subcategories'!$B$2:$B$70,0))</f>
        <v>1</v>
      </c>
      <c r="K20" s="2" t="s">
        <v>1234</v>
      </c>
      <c r="L20" s="147"/>
      <c r="M20" s="77">
        <v>18</v>
      </c>
      <c r="O20" s="77">
        <f t="shared" si="0"/>
        <v>0</v>
      </c>
    </row>
    <row r="21" spans="1:15" x14ac:dyDescent="0.25">
      <c r="A21" s="83" t="str">
        <f>'ENIGHUR Consumption items'!H22</f>
        <v>01.1.1.300</v>
      </c>
      <c r="B21" s="116">
        <f>_xlfn.NUMBERVALUE(VLOOKUP(A21,'ENIGHUR Consumption items'!$H$2:$I$703,2,))</f>
        <v>111300</v>
      </c>
      <c r="C21" s="83" t="str">
        <f>'ENIGHUR Consumption items'!J22</f>
        <v>Pastas alimenticias</v>
      </c>
      <c r="D21" s="124">
        <v>105</v>
      </c>
      <c r="E21" s="91" t="str">
        <f>IFERROR(VLOOKUP(D21,'symmetric IOT 245 2012'!$C$6:$D$276,2,FALSE),"")</f>
        <v>Fideos, macarrones y otros productos farináceos similares</v>
      </c>
      <c r="H21" s="77">
        <f>INDEX('Dictionary Categories'!$A$2:$A$30,MATCH(I21,'Dictionary Categories'!$B$2:$B$30,0))</f>
        <v>1</v>
      </c>
      <c r="I21" s="2" t="s">
        <v>2470</v>
      </c>
      <c r="J21" s="2">
        <f>INDEX('Dictionary Subcategories'!$A$2:$A$70,MATCH(K21,'Dictionary Subcategories'!$B$2:$B$70,0))</f>
        <v>1</v>
      </c>
      <c r="K21" s="2" t="s">
        <v>1234</v>
      </c>
      <c r="L21" s="147"/>
      <c r="M21" s="77">
        <v>19</v>
      </c>
      <c r="O21" s="77">
        <f t="shared" si="0"/>
        <v>0</v>
      </c>
    </row>
    <row r="22" spans="1:15" x14ac:dyDescent="0.25">
      <c r="A22" s="83" t="str">
        <f>'ENIGHUR Consumption items'!H23</f>
        <v>01.1.1.400</v>
      </c>
      <c r="B22" s="116">
        <f>_xlfn.NUMBERVALUE(VLOOKUP(A22,'ENIGHUR Consumption items'!$H$2:$I$703,2,))</f>
        <v>111400</v>
      </c>
      <c r="C22" s="83" t="str">
        <f>'ENIGHUR Consumption items'!J23</f>
        <v>Arroz</v>
      </c>
      <c r="D22" s="124">
        <v>101</v>
      </c>
      <c r="E22" s="91" t="str">
        <f>IFERROR(VLOOKUP(D22,'symmetric IOT 245 2012'!$C$6:$D$276,2,FALSE),"")</f>
        <v>Arroz pilado, blanqueado y pulido</v>
      </c>
      <c r="H22" s="77">
        <f>INDEX('Dictionary Categories'!$A$2:$A$30,MATCH(I22,'Dictionary Categories'!$B$2:$B$30,0))</f>
        <v>1</v>
      </c>
      <c r="I22" s="2" t="s">
        <v>2470</v>
      </c>
      <c r="J22" s="2">
        <f>INDEX('Dictionary Subcategories'!$A$2:$A$70,MATCH(K22,'Dictionary Subcategories'!$B$2:$B$70,0))</f>
        <v>1</v>
      </c>
      <c r="K22" s="2" t="s">
        <v>1234</v>
      </c>
      <c r="L22" s="147"/>
      <c r="M22" s="77">
        <v>20</v>
      </c>
      <c r="O22" s="77">
        <f t="shared" si="0"/>
        <v>0</v>
      </c>
    </row>
    <row r="23" spans="1:15" x14ac:dyDescent="0.25">
      <c r="A23" s="83" t="str">
        <f>'ENIGHUR Consumption items'!H24</f>
        <v>01.1.1.500</v>
      </c>
      <c r="B23" s="116">
        <f>_xlfn.NUMBERVALUE(VLOOKUP(A23,'ENIGHUR Consumption items'!$H$2:$I$703,2,))</f>
        <v>111500</v>
      </c>
      <c r="C23" s="83" t="str">
        <f>'ENIGHUR Consumption items'!J24</f>
        <v>Otros cereales y derivados</v>
      </c>
      <c r="D23" s="124">
        <v>10</v>
      </c>
      <c r="E23" s="91" t="str">
        <f>IFERROR(VLOOKUP(D23,'symmetric IOT 245 2012'!$C$6:$D$276,2,FALSE),"")</f>
        <v>Otros cereales n.c.p.</v>
      </c>
      <c r="F23" s="80"/>
      <c r="H23" s="77">
        <f>INDEX('Dictionary Categories'!$A$2:$A$30,MATCH(I23,'Dictionary Categories'!$B$2:$B$30,0))</f>
        <v>1</v>
      </c>
      <c r="I23" s="2" t="s">
        <v>2470</v>
      </c>
      <c r="J23" s="2">
        <f>INDEX('Dictionary Subcategories'!$A$2:$A$70,MATCH(K23,'Dictionary Subcategories'!$B$2:$B$70,0))</f>
        <v>1</v>
      </c>
      <c r="K23" s="2" t="s">
        <v>1234</v>
      </c>
      <c r="L23" s="147"/>
      <c r="M23" s="77">
        <v>21</v>
      </c>
      <c r="O23" s="77">
        <f t="shared" si="0"/>
        <v>0</v>
      </c>
    </row>
    <row r="24" spans="1:15" x14ac:dyDescent="0.25">
      <c r="A24" s="83" t="str">
        <f>'ENIGHUR Consumption items'!H25</f>
        <v>01.1.1.501</v>
      </c>
      <c r="B24" s="116">
        <f>_xlfn.NUMBERVALUE(VLOOKUP(A24,'ENIGHUR Consumption items'!$H$2:$I$703,2,))</f>
        <v>111501</v>
      </c>
      <c r="C24" s="83" t="str">
        <f>'ENIGHUR Consumption items'!J25</f>
        <v>Avena</v>
      </c>
      <c r="D24" s="124">
        <v>9</v>
      </c>
      <c r="E24" s="91" t="str">
        <f>IFERROR(VLOOKUP(D24,'symmetric IOT 245 2012'!$C$6:$D$276,2,FALSE),"")</f>
        <v>Avena</v>
      </c>
      <c r="H24" s="77">
        <f>INDEX('Dictionary Categories'!$A$2:$A$30,MATCH(I24,'Dictionary Categories'!$B$2:$B$30,0))</f>
        <v>1</v>
      </c>
      <c r="I24" s="2" t="s">
        <v>2470</v>
      </c>
      <c r="J24" s="2">
        <f>INDEX('Dictionary Subcategories'!$A$2:$A$70,MATCH(K24,'Dictionary Subcategories'!$B$2:$B$70,0))</f>
        <v>1</v>
      </c>
      <c r="K24" s="2" t="s">
        <v>1234</v>
      </c>
      <c r="L24" s="147"/>
      <c r="M24" s="77">
        <v>22</v>
      </c>
      <c r="O24" s="77">
        <f t="shared" si="0"/>
        <v>0</v>
      </c>
    </row>
    <row r="25" spans="1:15" x14ac:dyDescent="0.25">
      <c r="A25" s="83" t="str">
        <f>'ENIGHUR Consumption items'!H26</f>
        <v>01.1.1.502</v>
      </c>
      <c r="B25" s="116">
        <f>_xlfn.NUMBERVALUE(VLOOKUP(A25,'ENIGHUR Consumption items'!$H$2:$I$703,2,))</f>
        <v>111502</v>
      </c>
      <c r="C25" s="83" t="str">
        <f>'ENIGHUR Consumption items'!J26</f>
        <v>Canguil</v>
      </c>
      <c r="D25" s="124">
        <v>10</v>
      </c>
      <c r="E25" s="91" t="str">
        <f>IFERROR(VLOOKUP(D25,'symmetric IOT 245 2012'!$C$6:$D$276,2,FALSE),"")</f>
        <v>Otros cereales n.c.p.</v>
      </c>
      <c r="H25" s="77">
        <f>INDEX('Dictionary Categories'!$A$2:$A$30,MATCH(I25,'Dictionary Categories'!$B$2:$B$30,0))</f>
        <v>1</v>
      </c>
      <c r="I25" s="2" t="s">
        <v>2470</v>
      </c>
      <c r="J25" s="2">
        <f>INDEX('Dictionary Subcategories'!$A$2:$A$70,MATCH(K25,'Dictionary Subcategories'!$B$2:$B$70,0))</f>
        <v>1</v>
      </c>
      <c r="K25" s="2" t="s">
        <v>1234</v>
      </c>
      <c r="L25" s="147"/>
      <c r="M25" s="77">
        <v>23</v>
      </c>
      <c r="O25" s="77">
        <f t="shared" si="0"/>
        <v>0</v>
      </c>
    </row>
    <row r="26" spans="1:15" x14ac:dyDescent="0.25">
      <c r="A26" s="83" t="str">
        <f>'ENIGHUR Consumption items'!H27</f>
        <v>01.1.1.503</v>
      </c>
      <c r="B26" s="116">
        <f>_xlfn.NUMBERVALUE(VLOOKUP(A26,'ENIGHUR Consumption items'!$H$2:$I$703,2,))</f>
        <v>111503</v>
      </c>
      <c r="C26" s="83" t="str">
        <f>'ENIGHUR Consumption items'!J27</f>
        <v>Cebada</v>
      </c>
      <c r="D26" s="124">
        <v>8</v>
      </c>
      <c r="E26" s="91" t="str">
        <f>IFERROR(VLOOKUP(D26,'symmetric IOT 245 2012'!$C$6:$D$276,2,FALSE),"")</f>
        <v>Cebada</v>
      </c>
      <c r="H26" s="77">
        <f>INDEX('Dictionary Categories'!$A$2:$A$30,MATCH(I26,'Dictionary Categories'!$B$2:$B$30,0))</f>
        <v>1</v>
      </c>
      <c r="I26" s="2" t="s">
        <v>2470</v>
      </c>
      <c r="J26" s="2">
        <f>INDEX('Dictionary Subcategories'!$A$2:$A$70,MATCH(K26,'Dictionary Subcategories'!$B$2:$B$70,0))</f>
        <v>1</v>
      </c>
      <c r="K26" s="2" t="s">
        <v>1234</v>
      </c>
      <c r="L26" s="147"/>
      <c r="M26" s="77">
        <v>24</v>
      </c>
      <c r="O26" s="77">
        <f t="shared" si="0"/>
        <v>0</v>
      </c>
    </row>
    <row r="27" spans="1:15" x14ac:dyDescent="0.25">
      <c r="A27" s="83" t="str">
        <f>'ENIGHUR Consumption items'!H28</f>
        <v>01.1.1.504</v>
      </c>
      <c r="B27" s="116">
        <f>_xlfn.NUMBERVALUE(VLOOKUP(A27,'ENIGHUR Consumption items'!$H$2:$I$703,2,))</f>
        <v>111504</v>
      </c>
      <c r="C27" s="83" t="str">
        <f>'ENIGHUR Consumption items'!J28</f>
        <v>Centeno</v>
      </c>
      <c r="D27" s="124">
        <v>10</v>
      </c>
      <c r="E27" s="91" t="str">
        <f>IFERROR(VLOOKUP(D27,'symmetric IOT 245 2012'!$C$6:$D$276,2,FALSE),"")</f>
        <v>Otros cereales n.c.p.</v>
      </c>
      <c r="H27" s="77">
        <f>INDEX('Dictionary Categories'!$A$2:$A$30,MATCH(I27,'Dictionary Categories'!$B$2:$B$30,0))</f>
        <v>1</v>
      </c>
      <c r="I27" s="2" t="s">
        <v>2470</v>
      </c>
      <c r="J27" s="2">
        <f>INDEX('Dictionary Subcategories'!$A$2:$A$70,MATCH(K27,'Dictionary Subcategories'!$B$2:$B$70,0))</f>
        <v>1</v>
      </c>
      <c r="K27" s="2" t="s">
        <v>1234</v>
      </c>
      <c r="L27" s="147"/>
      <c r="M27" s="77">
        <v>25</v>
      </c>
      <c r="O27" s="77">
        <f t="shared" si="0"/>
        <v>0</v>
      </c>
    </row>
    <row r="28" spans="1:15" x14ac:dyDescent="0.25">
      <c r="A28" s="83" t="str">
        <f>'ENIGHUR Consumption items'!H29</f>
        <v>01.1.1.505</v>
      </c>
      <c r="B28" s="116">
        <f>_xlfn.NUMBERVALUE(VLOOKUP(A28,'ENIGHUR Consumption items'!$H$2:$I$703,2,))</f>
        <v>111505</v>
      </c>
      <c r="C28" s="83" t="str">
        <f>'ENIGHUR Consumption items'!J29</f>
        <v>Cereales preparados (nestum, corn flakles, otro)</v>
      </c>
      <c r="D28" s="124">
        <v>10</v>
      </c>
      <c r="E28" s="91" t="str">
        <f>IFERROR(VLOOKUP(D28,'symmetric IOT 245 2012'!$C$6:$D$276,2,FALSE),"")</f>
        <v>Otros cereales n.c.p.</v>
      </c>
      <c r="H28" s="77">
        <f>INDEX('Dictionary Categories'!$A$2:$A$30,MATCH(I28,'Dictionary Categories'!$B$2:$B$30,0))</f>
        <v>1</v>
      </c>
      <c r="I28" s="2" t="s">
        <v>2470</v>
      </c>
      <c r="J28" s="2">
        <f>INDEX('Dictionary Subcategories'!$A$2:$A$70,MATCH(K28,'Dictionary Subcategories'!$B$2:$B$70,0))</f>
        <v>1</v>
      </c>
      <c r="K28" s="2" t="s">
        <v>1234</v>
      </c>
      <c r="L28" s="147"/>
      <c r="M28" s="77">
        <v>26</v>
      </c>
      <c r="O28" s="77">
        <f t="shared" si="0"/>
        <v>0</v>
      </c>
    </row>
    <row r="29" spans="1:15" x14ac:dyDescent="0.25">
      <c r="A29" s="83" t="str">
        <f>'ENIGHUR Consumption items'!H30</f>
        <v>01.1.1.506</v>
      </c>
      <c r="B29" s="116">
        <f>_xlfn.NUMBERVALUE(VLOOKUP(A29,'ENIGHUR Consumption items'!$H$2:$I$703,2,))</f>
        <v>111506</v>
      </c>
      <c r="C29" s="83" t="str">
        <f>'ENIGHUR Consumption items'!J30</f>
        <v>Chulpi</v>
      </c>
      <c r="D29" s="124">
        <v>10</v>
      </c>
      <c r="E29" s="91" t="str">
        <f>IFERROR(VLOOKUP(D29,'symmetric IOT 245 2012'!$C$6:$D$276,2,FALSE),"")</f>
        <v>Otros cereales n.c.p.</v>
      </c>
      <c r="H29" s="77">
        <f>INDEX('Dictionary Categories'!$A$2:$A$30,MATCH(I29,'Dictionary Categories'!$B$2:$B$30,0))</f>
        <v>1</v>
      </c>
      <c r="I29" s="2" t="s">
        <v>2470</v>
      </c>
      <c r="J29" s="2">
        <f>INDEX('Dictionary Subcategories'!$A$2:$A$70,MATCH(K29,'Dictionary Subcategories'!$B$2:$B$70,0))</f>
        <v>1</v>
      </c>
      <c r="K29" s="2" t="s">
        <v>1234</v>
      </c>
      <c r="L29" s="147"/>
      <c r="M29" s="77">
        <v>27</v>
      </c>
      <c r="O29" s="77">
        <f t="shared" si="0"/>
        <v>0</v>
      </c>
    </row>
    <row r="30" spans="1:15" x14ac:dyDescent="0.25">
      <c r="A30" s="83" t="str">
        <f>'ENIGHUR Consumption items'!H31</f>
        <v>01.1.1.507</v>
      </c>
      <c r="B30" s="116">
        <f>_xlfn.NUMBERVALUE(VLOOKUP(A30,'ENIGHUR Consumption items'!$H$2:$I$703,2,))</f>
        <v>111507</v>
      </c>
      <c r="C30" s="83" t="str">
        <f>'ENIGHUR Consumption items'!J31</f>
        <v>Fécula de patata</v>
      </c>
      <c r="D30" s="124">
        <v>10</v>
      </c>
      <c r="E30" s="91" t="str">
        <f>IFERROR(VLOOKUP(D30,'symmetric IOT 245 2012'!$C$6:$D$276,2,FALSE),"")</f>
        <v>Otros cereales n.c.p.</v>
      </c>
      <c r="H30" s="77">
        <f>INDEX('Dictionary Categories'!$A$2:$A$30,MATCH(I30,'Dictionary Categories'!$B$2:$B$30,0))</f>
        <v>1</v>
      </c>
      <c r="I30" s="2" t="s">
        <v>2470</v>
      </c>
      <c r="J30" s="2">
        <f>INDEX('Dictionary Subcategories'!$A$2:$A$70,MATCH(K30,'Dictionary Subcategories'!$B$2:$B$70,0))</f>
        <v>1</v>
      </c>
      <c r="K30" s="2" t="s">
        <v>1234</v>
      </c>
      <c r="L30" s="147"/>
      <c r="M30" s="77">
        <v>28</v>
      </c>
      <c r="O30" s="77">
        <f t="shared" si="0"/>
        <v>0</v>
      </c>
    </row>
    <row r="31" spans="1:15" x14ac:dyDescent="0.25">
      <c r="A31" s="83" t="str">
        <f>'ENIGHUR Consumption items'!H32</f>
        <v>01.1.1.508</v>
      </c>
      <c r="B31" s="116">
        <f>_xlfn.NUMBERVALUE(VLOOKUP(A31,'ENIGHUR Consumption items'!$H$2:$I$703,2,))</f>
        <v>111508</v>
      </c>
      <c r="C31" s="83" t="str">
        <f>'ENIGHUR Consumption items'!J32</f>
        <v>Fécula o extracto de malta en liquido</v>
      </c>
      <c r="D31" s="124">
        <v>10</v>
      </c>
      <c r="E31" s="91" t="str">
        <f>IFERROR(VLOOKUP(D31,'symmetric IOT 245 2012'!$C$6:$D$276,2,FALSE),"")</f>
        <v>Otros cereales n.c.p.</v>
      </c>
      <c r="H31" s="77">
        <f>INDEX('Dictionary Categories'!$A$2:$A$30,MATCH(I31,'Dictionary Categories'!$B$2:$B$30,0))</f>
        <v>1</v>
      </c>
      <c r="I31" s="2" t="s">
        <v>2470</v>
      </c>
      <c r="J31" s="2">
        <f>INDEX('Dictionary Subcategories'!$A$2:$A$70,MATCH(K31,'Dictionary Subcategories'!$B$2:$B$70,0))</f>
        <v>1</v>
      </c>
      <c r="K31" s="2" t="s">
        <v>1234</v>
      </c>
      <c r="L31" s="147"/>
      <c r="M31" s="77">
        <v>29</v>
      </c>
      <c r="O31" s="77">
        <f t="shared" si="0"/>
        <v>0</v>
      </c>
    </row>
    <row r="32" spans="1:15" x14ac:dyDescent="0.25">
      <c r="A32" s="83" t="str">
        <f>'ENIGHUR Consumption items'!H33</f>
        <v>01.1.1.509</v>
      </c>
      <c r="B32" s="116">
        <f>_xlfn.NUMBERVALUE(VLOOKUP(A32,'ENIGHUR Consumption items'!$H$2:$I$703,2,))</f>
        <v>111509</v>
      </c>
      <c r="C32" s="83" t="str">
        <f>'ENIGHUR Consumption items'!J33</f>
        <v>Fécula o extracto de malta en polvo</v>
      </c>
      <c r="D32" s="124">
        <v>10</v>
      </c>
      <c r="E32" s="91" t="str">
        <f>IFERROR(VLOOKUP(D32,'symmetric IOT 245 2012'!$C$6:$D$276,2,FALSE),"")</f>
        <v>Otros cereales n.c.p.</v>
      </c>
      <c r="H32" s="77">
        <f>INDEX('Dictionary Categories'!$A$2:$A$30,MATCH(I32,'Dictionary Categories'!$B$2:$B$30,0))</f>
        <v>1</v>
      </c>
      <c r="I32" s="2" t="s">
        <v>2470</v>
      </c>
      <c r="J32" s="2">
        <f>INDEX('Dictionary Subcategories'!$A$2:$A$70,MATCH(K32,'Dictionary Subcategories'!$B$2:$B$70,0))</f>
        <v>1</v>
      </c>
      <c r="K32" s="2" t="s">
        <v>1234</v>
      </c>
      <c r="L32" s="147"/>
      <c r="M32" s="77">
        <v>30</v>
      </c>
      <c r="O32" s="77">
        <f t="shared" si="0"/>
        <v>0</v>
      </c>
    </row>
    <row r="33" spans="1:15" x14ac:dyDescent="0.25">
      <c r="A33" s="83" t="str">
        <f>'ENIGHUR Consumption items'!H34</f>
        <v>01.1.1.510</v>
      </c>
      <c r="B33" s="116">
        <f>_xlfn.NUMBERVALUE(VLOOKUP(A33,'ENIGHUR Consumption items'!$H$2:$I$703,2,))</f>
        <v>111510</v>
      </c>
      <c r="C33" s="83" t="str">
        <f>'ENIGHUR Consumption items'!J34</f>
        <v>Maíz en grano seco</v>
      </c>
      <c r="D33" s="124">
        <v>6</v>
      </c>
      <c r="E33" s="91" t="str">
        <f>IFERROR(VLOOKUP(D33,'symmetric IOT 245 2012'!$C$6:$D$276,2,FALSE),"")</f>
        <v>Maíz duro</v>
      </c>
      <c r="H33" s="77">
        <f>INDEX('Dictionary Categories'!$A$2:$A$30,MATCH(I33,'Dictionary Categories'!$B$2:$B$30,0))</f>
        <v>1</v>
      </c>
      <c r="I33" s="2" t="s">
        <v>2470</v>
      </c>
      <c r="J33" s="2">
        <f>INDEX('Dictionary Subcategories'!$A$2:$A$70,MATCH(K33,'Dictionary Subcategories'!$B$2:$B$70,0))</f>
        <v>1</v>
      </c>
      <c r="K33" s="2" t="s">
        <v>1234</v>
      </c>
      <c r="L33" s="147"/>
      <c r="M33" s="77">
        <v>31</v>
      </c>
      <c r="O33" s="77">
        <f t="shared" si="0"/>
        <v>0</v>
      </c>
    </row>
    <row r="34" spans="1:15" x14ac:dyDescent="0.25">
      <c r="A34" s="83" t="str">
        <f>'ENIGHUR Consumption items'!H35</f>
        <v>01.1.1.511</v>
      </c>
      <c r="B34" s="116">
        <f>_xlfn.NUMBERVALUE(VLOOKUP(A34,'ENIGHUR Consumption items'!$H$2:$I$703,2,))</f>
        <v>111511</v>
      </c>
      <c r="C34" s="83" t="str">
        <f>'ENIGHUR Consumption items'!J35</f>
        <v>Maíz en mazorca seco</v>
      </c>
      <c r="D34" s="124">
        <v>6</v>
      </c>
      <c r="E34" s="91" t="str">
        <f>IFERROR(VLOOKUP(D34,'symmetric IOT 245 2012'!$C$6:$D$276,2,FALSE),"")</f>
        <v>Maíz duro</v>
      </c>
      <c r="H34" s="77">
        <f>INDEX('Dictionary Categories'!$A$2:$A$30,MATCH(I34,'Dictionary Categories'!$B$2:$B$30,0))</f>
        <v>1</v>
      </c>
      <c r="I34" s="2" t="s">
        <v>2470</v>
      </c>
      <c r="J34" s="2">
        <f>INDEX('Dictionary Subcategories'!$A$2:$A$70,MATCH(K34,'Dictionary Subcategories'!$B$2:$B$70,0))</f>
        <v>1</v>
      </c>
      <c r="K34" s="2" t="s">
        <v>1234</v>
      </c>
      <c r="L34" s="147"/>
      <c r="M34" s="77">
        <v>32</v>
      </c>
      <c r="O34" s="77">
        <f t="shared" si="0"/>
        <v>0</v>
      </c>
    </row>
    <row r="35" spans="1:15" x14ac:dyDescent="0.25">
      <c r="A35" s="83" t="str">
        <f>'ENIGHUR Consumption items'!H36</f>
        <v>01.1.1.512</v>
      </c>
      <c r="B35" s="116">
        <f>_xlfn.NUMBERVALUE(VLOOKUP(A35,'ENIGHUR Consumption items'!$H$2:$I$703,2,))</f>
        <v>111512</v>
      </c>
      <c r="C35" s="83" t="str">
        <f>'ENIGHUR Consumption items'!J36</f>
        <v>Malta (cebada malteada)</v>
      </c>
      <c r="D35" s="124">
        <v>10</v>
      </c>
      <c r="E35" s="91" t="str">
        <f>IFERROR(VLOOKUP(D35,'symmetric IOT 245 2012'!$C$6:$D$276,2,FALSE),"")</f>
        <v>Otros cereales n.c.p.</v>
      </c>
      <c r="H35" s="77">
        <f>INDEX('Dictionary Categories'!$A$2:$A$30,MATCH(I35,'Dictionary Categories'!$B$2:$B$30,0))</f>
        <v>1</v>
      </c>
      <c r="I35" s="2" t="s">
        <v>2470</v>
      </c>
      <c r="J35" s="2">
        <f>INDEX('Dictionary Subcategories'!$A$2:$A$70,MATCH(K35,'Dictionary Subcategories'!$B$2:$B$70,0))</f>
        <v>1</v>
      </c>
      <c r="K35" s="2" t="s">
        <v>1234</v>
      </c>
      <c r="L35" s="147"/>
      <c r="M35" s="77">
        <v>33</v>
      </c>
      <c r="O35" s="77">
        <f t="shared" si="0"/>
        <v>0</v>
      </c>
    </row>
    <row r="36" spans="1:15" x14ac:dyDescent="0.25">
      <c r="A36" s="83" t="str">
        <f>'ENIGHUR Consumption items'!H37</f>
        <v>01.1.1.513</v>
      </c>
      <c r="B36" s="116">
        <f>_xlfn.NUMBERVALUE(VLOOKUP(A36,'ENIGHUR Consumption items'!$H$2:$I$703,2,))</f>
        <v>111513</v>
      </c>
      <c r="C36" s="83" t="str">
        <f>'ENIGHUR Consumption items'!J37</f>
        <v>Morocho</v>
      </c>
      <c r="D36" s="124">
        <v>10</v>
      </c>
      <c r="E36" s="91" t="str">
        <f>IFERROR(VLOOKUP(D36,'symmetric IOT 245 2012'!$C$6:$D$276,2,FALSE),"")</f>
        <v>Otros cereales n.c.p.</v>
      </c>
      <c r="H36" s="77">
        <f>INDEX('Dictionary Categories'!$A$2:$A$30,MATCH(I36,'Dictionary Categories'!$B$2:$B$30,0))</f>
        <v>1</v>
      </c>
      <c r="I36" s="2" t="s">
        <v>2470</v>
      </c>
      <c r="J36" s="2">
        <f>INDEX('Dictionary Subcategories'!$A$2:$A$70,MATCH(K36,'Dictionary Subcategories'!$B$2:$B$70,0))</f>
        <v>1</v>
      </c>
      <c r="K36" s="2" t="s">
        <v>1234</v>
      </c>
      <c r="L36" s="147"/>
      <c r="M36" s="77">
        <v>34</v>
      </c>
      <c r="O36" s="77">
        <f t="shared" si="0"/>
        <v>0</v>
      </c>
    </row>
    <row r="37" spans="1:15" x14ac:dyDescent="0.25">
      <c r="A37" s="83" t="str">
        <f>'ENIGHUR Consumption items'!H38</f>
        <v>01.1.1.514</v>
      </c>
      <c r="B37" s="116">
        <f>_xlfn.NUMBERVALUE(VLOOKUP(A37,'ENIGHUR Consumption items'!$H$2:$I$703,2,))</f>
        <v>111514</v>
      </c>
      <c r="C37" s="83" t="str">
        <f>'ENIGHUR Consumption items'!J38</f>
        <v>Mote (maíz suave seco)</v>
      </c>
      <c r="D37" s="124">
        <v>5</v>
      </c>
      <c r="E37" s="91" t="str">
        <f>IFERROR(VLOOKUP(D37,'symmetric IOT 245 2012'!$C$6:$D$276,2,FALSE),"")</f>
        <v>Maíz suave</v>
      </c>
      <c r="H37" s="77">
        <f>INDEX('Dictionary Categories'!$A$2:$A$30,MATCH(I37,'Dictionary Categories'!$B$2:$B$30,0))</f>
        <v>1</v>
      </c>
      <c r="I37" s="2" t="s">
        <v>2470</v>
      </c>
      <c r="J37" s="2">
        <f>INDEX('Dictionary Subcategories'!$A$2:$A$70,MATCH(K37,'Dictionary Subcategories'!$B$2:$B$70,0))</f>
        <v>1</v>
      </c>
      <c r="K37" s="2" t="s">
        <v>1234</v>
      </c>
      <c r="L37" s="147"/>
      <c r="M37" s="77">
        <v>35</v>
      </c>
      <c r="O37" s="77">
        <f t="shared" si="0"/>
        <v>0</v>
      </c>
    </row>
    <row r="38" spans="1:15" x14ac:dyDescent="0.25">
      <c r="A38" s="83" t="str">
        <f>'ENIGHUR Consumption items'!H39</f>
        <v>01.1.1.515</v>
      </c>
      <c r="B38" s="116">
        <f>_xlfn.NUMBERVALUE(VLOOKUP(A38,'ENIGHUR Consumption items'!$H$2:$I$703,2,))</f>
        <v>111515</v>
      </c>
      <c r="C38" s="83" t="str">
        <f>'ENIGHUR Consumption items'!J39</f>
        <v>Pinol</v>
      </c>
      <c r="D38" s="124">
        <v>10</v>
      </c>
      <c r="E38" s="91" t="str">
        <f>IFERROR(VLOOKUP(D38,'symmetric IOT 245 2012'!$C$6:$D$276,2,FALSE),"")</f>
        <v>Otros cereales n.c.p.</v>
      </c>
      <c r="H38" s="77">
        <f>INDEX('Dictionary Categories'!$A$2:$A$30,MATCH(I38,'Dictionary Categories'!$B$2:$B$30,0))</f>
        <v>1</v>
      </c>
      <c r="I38" s="2" t="s">
        <v>2470</v>
      </c>
      <c r="J38" s="2">
        <f>INDEX('Dictionary Subcategories'!$A$2:$A$70,MATCH(K38,'Dictionary Subcategories'!$B$2:$B$70,0))</f>
        <v>1</v>
      </c>
      <c r="K38" s="2" t="s">
        <v>1234</v>
      </c>
      <c r="L38" s="147"/>
      <c r="M38" s="77">
        <v>36</v>
      </c>
      <c r="O38" s="77">
        <f t="shared" si="0"/>
        <v>0</v>
      </c>
    </row>
    <row r="39" spans="1:15" x14ac:dyDescent="0.25">
      <c r="A39" s="83" t="str">
        <f>'ENIGHUR Consumption items'!H40</f>
        <v>01.1.1.516</v>
      </c>
      <c r="B39" s="116">
        <f>_xlfn.NUMBERVALUE(VLOOKUP(A39,'ENIGHUR Consumption items'!$H$2:$I$703,2,))</f>
        <v>111516</v>
      </c>
      <c r="C39" s="83" t="str">
        <f>'ENIGHUR Consumption items'!J40</f>
        <v>Quinua</v>
      </c>
      <c r="D39" s="124">
        <v>10</v>
      </c>
      <c r="E39" s="91" t="str">
        <f>IFERROR(VLOOKUP(D39,'symmetric IOT 245 2012'!$C$6:$D$276,2,FALSE),"")</f>
        <v>Otros cereales n.c.p.</v>
      </c>
      <c r="H39" s="77">
        <f>INDEX('Dictionary Categories'!$A$2:$A$30,MATCH(I39,'Dictionary Categories'!$B$2:$B$30,0))</f>
        <v>1</v>
      </c>
      <c r="I39" s="2" t="s">
        <v>2470</v>
      </c>
      <c r="J39" s="2">
        <f>INDEX('Dictionary Subcategories'!$A$2:$A$70,MATCH(K39,'Dictionary Subcategories'!$B$2:$B$70,0))</f>
        <v>1</v>
      </c>
      <c r="K39" s="2" t="s">
        <v>1234</v>
      </c>
      <c r="L39" s="147"/>
      <c r="M39" s="77">
        <v>37</v>
      </c>
      <c r="O39" s="77">
        <f t="shared" si="0"/>
        <v>0</v>
      </c>
    </row>
    <row r="40" spans="1:15" x14ac:dyDescent="0.25">
      <c r="A40" s="83" t="str">
        <f>'ENIGHUR Consumption items'!H41</f>
        <v>01.1.1.517</v>
      </c>
      <c r="B40" s="116">
        <f>_xlfn.NUMBERVALUE(VLOOKUP(A40,'ENIGHUR Consumption items'!$H$2:$I$703,2,))</f>
        <v>111517</v>
      </c>
      <c r="C40" s="83" t="str">
        <f>'ENIGHUR Consumption items'!J41</f>
        <v>Sagú</v>
      </c>
      <c r="D40" s="124">
        <v>10</v>
      </c>
      <c r="E40" s="91" t="str">
        <f>IFERROR(VLOOKUP(D40,'symmetric IOT 245 2012'!$C$6:$D$276,2,FALSE),"")</f>
        <v>Otros cereales n.c.p.</v>
      </c>
      <c r="H40" s="77">
        <f>INDEX('Dictionary Categories'!$A$2:$A$30,MATCH(I40,'Dictionary Categories'!$B$2:$B$30,0))</f>
        <v>1</v>
      </c>
      <c r="I40" s="2" t="s">
        <v>2470</v>
      </c>
      <c r="J40" s="2">
        <f>INDEX('Dictionary Subcategories'!$A$2:$A$70,MATCH(K40,'Dictionary Subcategories'!$B$2:$B$70,0))</f>
        <v>1</v>
      </c>
      <c r="K40" s="2" t="s">
        <v>1234</v>
      </c>
      <c r="L40" s="147"/>
      <c r="M40" s="77">
        <v>38</v>
      </c>
      <c r="O40" s="77">
        <f t="shared" si="0"/>
        <v>0</v>
      </c>
    </row>
    <row r="41" spans="1:15" x14ac:dyDescent="0.25">
      <c r="A41" s="83" t="str">
        <f>'ENIGHUR Consumption items'!H42</f>
        <v>01.1.1.518</v>
      </c>
      <c r="B41" s="116">
        <f>_xlfn.NUMBERVALUE(VLOOKUP(A41,'ENIGHUR Consumption items'!$H$2:$I$703,2,))</f>
        <v>111518</v>
      </c>
      <c r="C41" s="83" t="str">
        <f>'ENIGHUR Consumption items'!J42</f>
        <v>Sémola de maíz (harina gruesa poco molida)</v>
      </c>
      <c r="D41" s="124">
        <v>102</v>
      </c>
      <c r="E41" s="91" t="str">
        <f>IFERROR(VLOOKUP(D41,'symmetric IOT 245 2012'!$C$6:$D$276,2,FALSE),"")</f>
        <v>Otras harinas vegetales, sémolas y otros prod</v>
      </c>
      <c r="H41" s="77">
        <f>INDEX('Dictionary Categories'!$A$2:$A$30,MATCH(I41,'Dictionary Categories'!$B$2:$B$30,0))</f>
        <v>1</v>
      </c>
      <c r="I41" s="2" t="s">
        <v>2470</v>
      </c>
      <c r="J41" s="2">
        <f>INDEX('Dictionary Subcategories'!$A$2:$A$70,MATCH(K41,'Dictionary Subcategories'!$B$2:$B$70,0))</f>
        <v>1</v>
      </c>
      <c r="K41" s="2" t="s">
        <v>1234</v>
      </c>
      <c r="L41" s="147"/>
      <c r="M41" s="77">
        <v>39</v>
      </c>
      <c r="O41" s="77">
        <f t="shared" si="0"/>
        <v>0</v>
      </c>
    </row>
    <row r="42" spans="1:15" x14ac:dyDescent="0.25">
      <c r="A42" s="83" t="str">
        <f>'ENIGHUR Consumption items'!H43</f>
        <v>01.1.1.519</v>
      </c>
      <c r="B42" s="116">
        <f>_xlfn.NUMBERVALUE(VLOOKUP(A42,'ENIGHUR Consumption items'!$H$2:$I$703,2,))</f>
        <v>111519</v>
      </c>
      <c r="C42" s="83" t="str">
        <f>'ENIGHUR Consumption items'!J43</f>
        <v>Sémola de trigo (harina gruesa, poco molida)</v>
      </c>
      <c r="D42" s="124">
        <v>102</v>
      </c>
      <c r="E42" s="91" t="str">
        <f>IFERROR(VLOOKUP(D42,'symmetric IOT 245 2012'!$C$6:$D$276,2,FALSE),"")</f>
        <v>Otras harinas vegetales, sémolas y otros prod</v>
      </c>
      <c r="H42" s="77">
        <f>INDEX('Dictionary Categories'!$A$2:$A$30,MATCH(I42,'Dictionary Categories'!$B$2:$B$30,0))</f>
        <v>1</v>
      </c>
      <c r="I42" s="2" t="s">
        <v>2470</v>
      </c>
      <c r="J42" s="2">
        <f>INDEX('Dictionary Subcategories'!$A$2:$A$70,MATCH(K42,'Dictionary Subcategories'!$B$2:$B$70,0))</f>
        <v>1</v>
      </c>
      <c r="K42" s="2" t="s">
        <v>1234</v>
      </c>
      <c r="L42" s="147"/>
      <c r="M42" s="77">
        <v>40</v>
      </c>
      <c r="O42" s="77">
        <f t="shared" si="0"/>
        <v>0</v>
      </c>
    </row>
    <row r="43" spans="1:15" x14ac:dyDescent="0.25">
      <c r="A43" s="83" t="str">
        <f>'ENIGHUR Consumption items'!H44</f>
        <v>01.1.1.520</v>
      </c>
      <c r="B43" s="116">
        <f>_xlfn.NUMBERVALUE(VLOOKUP(A43,'ENIGHUR Consumption items'!$H$2:$I$703,2,))</f>
        <v>111520</v>
      </c>
      <c r="C43" s="83" t="str">
        <f>'ENIGHUR Consumption items'!J44</f>
        <v>Soya</v>
      </c>
      <c r="D43" s="124">
        <v>43</v>
      </c>
      <c r="E43" s="91" t="str">
        <f>IFERROR(VLOOKUP(D43,'symmetric IOT 245 2012'!$C$6:$D$276,2,FALSE),"")</f>
        <v>Soya</v>
      </c>
      <c r="H43" s="77">
        <f>INDEX('Dictionary Categories'!$A$2:$A$30,MATCH(I43,'Dictionary Categories'!$B$2:$B$30,0))</f>
        <v>1</v>
      </c>
      <c r="I43" s="2" t="s">
        <v>2470</v>
      </c>
      <c r="J43" s="2">
        <f>INDEX('Dictionary Subcategories'!$A$2:$A$70,MATCH(K43,'Dictionary Subcategories'!$B$2:$B$70,0))</f>
        <v>1</v>
      </c>
      <c r="K43" s="2" t="s">
        <v>1234</v>
      </c>
      <c r="L43" s="147"/>
      <c r="M43" s="77">
        <v>41</v>
      </c>
      <c r="O43" s="77">
        <f t="shared" si="0"/>
        <v>0</v>
      </c>
    </row>
    <row r="44" spans="1:15" x14ac:dyDescent="0.25">
      <c r="A44" s="83" t="str">
        <f>'ENIGHUR Consumption items'!H45</f>
        <v>01.1.1.521</v>
      </c>
      <c r="B44" s="116">
        <f>_xlfn.NUMBERVALUE(VLOOKUP(A44,'ENIGHUR Consumption items'!$H$2:$I$703,2,))</f>
        <v>111521</v>
      </c>
      <c r="C44" s="83" t="str">
        <f>'ENIGHUR Consumption items'!J45</f>
        <v>Trigo y germen de trigo</v>
      </c>
      <c r="D44" s="124">
        <v>4</v>
      </c>
      <c r="E44" s="91" t="str">
        <f>IFERROR(VLOOKUP(D44,'symmetric IOT 245 2012'!$C$6:$D$276,2,FALSE),"")</f>
        <v>Trigo</v>
      </c>
      <c r="H44" s="77">
        <f>INDEX('Dictionary Categories'!$A$2:$A$30,MATCH(I44,'Dictionary Categories'!$B$2:$B$30,0))</f>
        <v>1</v>
      </c>
      <c r="I44" s="2" t="s">
        <v>2470</v>
      </c>
      <c r="J44" s="2">
        <f>INDEX('Dictionary Subcategories'!$A$2:$A$70,MATCH(K44,'Dictionary Subcategories'!$B$2:$B$70,0))</f>
        <v>1</v>
      </c>
      <c r="K44" s="2" t="s">
        <v>1234</v>
      </c>
      <c r="L44" s="147"/>
      <c r="M44" s="77">
        <v>42</v>
      </c>
      <c r="O44" s="77">
        <f t="shared" si="0"/>
        <v>0</v>
      </c>
    </row>
    <row r="45" spans="1:15" x14ac:dyDescent="0.25">
      <c r="A45" s="83" t="str">
        <f>'ENIGHUR Consumption items'!H46</f>
        <v>01.1.1.599</v>
      </c>
      <c r="B45" s="116">
        <f>_xlfn.NUMBERVALUE(VLOOKUP(A45,'ENIGHUR Consumption items'!$H$2:$I$703,2,))</f>
        <v>111599</v>
      </c>
      <c r="C45" s="83" t="str">
        <f>'ENIGHUR Consumption items'!J46</f>
        <v>Otros cereales y derivados</v>
      </c>
      <c r="D45" s="124">
        <v>10</v>
      </c>
      <c r="E45" s="91" t="str">
        <f>IFERROR(VLOOKUP(D45,'symmetric IOT 245 2012'!$C$6:$D$276,2,FALSE),"")</f>
        <v>Otros cereales n.c.p.</v>
      </c>
      <c r="H45" s="77">
        <f>INDEX('Dictionary Categories'!$A$2:$A$30,MATCH(I45,'Dictionary Categories'!$B$2:$B$30,0))</f>
        <v>1</v>
      </c>
      <c r="I45" s="2" t="s">
        <v>2470</v>
      </c>
      <c r="J45" s="2">
        <f>INDEX('Dictionary Subcategories'!$A$2:$A$70,MATCH(K45,'Dictionary Subcategories'!$B$2:$B$70,0))</f>
        <v>1</v>
      </c>
      <c r="K45" s="2" t="s">
        <v>1234</v>
      </c>
      <c r="L45" s="147"/>
      <c r="M45" s="77">
        <v>43</v>
      </c>
      <c r="O45" s="77">
        <f t="shared" si="0"/>
        <v>0</v>
      </c>
    </row>
    <row r="46" spans="1:15" x14ac:dyDescent="0.25">
      <c r="A46" s="83" t="str">
        <f>'ENIGHUR Consumption items'!H47</f>
        <v>01.1.2</v>
      </c>
      <c r="B46" s="116">
        <f>_xlfn.NUMBERVALUE(VLOOKUP(A46,'ENIGHUR Consumption items'!$H$2:$I$703,2,))</f>
        <v>112</v>
      </c>
      <c r="C46" s="83" t="str">
        <f>'ENIGHUR Consumption items'!J47</f>
        <v>CARNES FRESCAS Y CONGELADAS</v>
      </c>
      <c r="D46" s="124" t="s">
        <v>2389</v>
      </c>
      <c r="E46" s="91" t="str">
        <f>IFERROR(VLOOKUP(D46,'symmetric IOT 245 2012'!$C$6:$D$276,2,FALSE),"")</f>
        <v>matched on SC/SSC level</v>
      </c>
      <c r="F46" s="80"/>
      <c r="H46" s="77">
        <f>INDEX('Dictionary Categories'!$A$2:$A$30,MATCH(I46,'Dictionary Categories'!$B$2:$B$30,0))</f>
        <v>1</v>
      </c>
      <c r="I46" s="2" t="s">
        <v>2470</v>
      </c>
      <c r="J46" s="2">
        <f>INDEX('Dictionary Subcategories'!$A$2:$A$70,MATCH(K46,'Dictionary Subcategories'!$B$2:$B$70,0))</f>
        <v>2</v>
      </c>
      <c r="K46" s="2" t="s">
        <v>1228</v>
      </c>
      <c r="L46" s="147"/>
      <c r="M46" s="77">
        <v>44</v>
      </c>
      <c r="O46" s="77">
        <f t="shared" si="0"/>
        <v>1</v>
      </c>
    </row>
    <row r="47" spans="1:15" x14ac:dyDescent="0.25">
      <c r="A47" s="83" t="str">
        <f>'ENIGHUR Consumption items'!H48</f>
        <v>01.1.2.000</v>
      </c>
      <c r="B47" s="116">
        <f>_xlfn.NUMBERVALUE(VLOOKUP(A47,'ENIGHUR Consumption items'!$H$2:$I$703,2,))</f>
        <v>112000</v>
      </c>
      <c r="C47" s="83" t="str">
        <f>'ENIGHUR Consumption items'!J48</f>
        <v>Carne de bovino fresca, refrigerada o congelada</v>
      </c>
      <c r="D47" s="124">
        <v>83</v>
      </c>
      <c r="E47" s="91" t="str">
        <f>IFERROR(VLOOKUP(D47,'symmetric IOT 245 2012'!$C$6:$D$276,2,FALSE),"")</f>
        <v>Carne de ganado bovino y Despojos comestibles de mamíferos y Otros productos y subproductos de la carne n.c.p.</v>
      </c>
      <c r="H47" s="77">
        <f>INDEX('Dictionary Categories'!$A$2:$A$30,MATCH(I47,'Dictionary Categories'!$B$2:$B$30,0))</f>
        <v>1</v>
      </c>
      <c r="I47" s="2" t="s">
        <v>2470</v>
      </c>
      <c r="J47" s="2">
        <f>INDEX('Dictionary Subcategories'!$A$2:$A$70,MATCH(K47,'Dictionary Subcategories'!$B$2:$B$70,0))</f>
        <v>2</v>
      </c>
      <c r="K47" s="2" t="s">
        <v>1228</v>
      </c>
      <c r="L47" s="147"/>
      <c r="M47" s="77">
        <v>45</v>
      </c>
      <c r="O47" s="77">
        <f t="shared" si="0"/>
        <v>0</v>
      </c>
    </row>
    <row r="48" spans="1:15" x14ac:dyDescent="0.25">
      <c r="A48" s="83" t="str">
        <f>'ENIGHUR Consumption items'!H49</f>
        <v>01.1.2.100</v>
      </c>
      <c r="B48" s="116">
        <f>_xlfn.NUMBERVALUE(VLOOKUP(A48,'ENIGHUR Consumption items'!$H$2:$I$703,2,))</f>
        <v>112100</v>
      </c>
      <c r="C48" s="83" t="str">
        <f>'ENIGHUR Consumption items'!J49</f>
        <v>Carne de porcino fresca, refrigerada o congelada</v>
      </c>
      <c r="D48" s="124">
        <v>84</v>
      </c>
      <c r="E48" s="91" t="str">
        <f>IFERROR(VLOOKUP(D48,'symmetric IOT 245 2012'!$C$6:$D$276,2,FALSE),"")</f>
        <v>Carne de ganado porcino , con grasas animales en bruto (incluye manteca de cerdo) y despojos comestibles de mamíferos</v>
      </c>
      <c r="H48" s="77">
        <f>INDEX('Dictionary Categories'!$A$2:$A$30,MATCH(I48,'Dictionary Categories'!$B$2:$B$30,0))</f>
        <v>1</v>
      </c>
      <c r="I48" s="2" t="s">
        <v>2470</v>
      </c>
      <c r="J48" s="2">
        <f>INDEX('Dictionary Subcategories'!$A$2:$A$70,MATCH(K48,'Dictionary Subcategories'!$B$2:$B$70,0))</f>
        <v>2</v>
      </c>
      <c r="K48" s="2" t="s">
        <v>1228</v>
      </c>
      <c r="L48" s="147"/>
      <c r="M48" s="77">
        <v>46</v>
      </c>
      <c r="O48" s="77">
        <f t="shared" si="0"/>
        <v>0</v>
      </c>
    </row>
    <row r="49" spans="1:15" x14ac:dyDescent="0.25">
      <c r="A49" s="83" t="str">
        <f>'ENIGHUR Consumption items'!H50</f>
        <v>01.1.2.200</v>
      </c>
      <c r="B49" s="116">
        <f>_xlfn.NUMBERVALUE(VLOOKUP(A49,'ENIGHUR Consumption items'!$H$2:$I$703,2,))</f>
        <v>112200</v>
      </c>
      <c r="C49" s="83" t="str">
        <f>'ENIGHUR Consumption items'!J50</f>
        <v>Carne de ovino y caprino fresca, refrigerada o congelada</v>
      </c>
      <c r="D49" s="124">
        <v>85</v>
      </c>
      <c r="E49" s="91" t="str">
        <f>IFERROR(VLOOKUP(D49,'symmetric IOT 245 2012'!$C$6:$D$276,2,FALSE),"")</f>
        <v>Carne de otro tipo de ganado n.c.p. y despojos comestibles de mamíferos</v>
      </c>
      <c r="H49" s="77">
        <f>INDEX('Dictionary Categories'!$A$2:$A$30,MATCH(I49,'Dictionary Categories'!$B$2:$B$30,0))</f>
        <v>1</v>
      </c>
      <c r="I49" s="2" t="s">
        <v>2470</v>
      </c>
      <c r="J49" s="2">
        <f>INDEX('Dictionary Subcategories'!$A$2:$A$70,MATCH(K49,'Dictionary Subcategories'!$B$2:$B$70,0))</f>
        <v>2</v>
      </c>
      <c r="K49" s="2" t="s">
        <v>1228</v>
      </c>
      <c r="L49" s="147"/>
      <c r="M49" s="77">
        <v>47</v>
      </c>
      <c r="O49" s="77">
        <f t="shared" si="0"/>
        <v>0</v>
      </c>
    </row>
    <row r="50" spans="1:15" x14ac:dyDescent="0.25">
      <c r="A50" s="83" t="str">
        <f>'ENIGHUR Consumption items'!H51</f>
        <v>01.1.2.300</v>
      </c>
      <c r="B50" s="116">
        <f>_xlfn.NUMBERVALUE(VLOOKUP(A50,'ENIGHUR Consumption items'!$H$2:$I$703,2,))</f>
        <v>112300</v>
      </c>
      <c r="C50" s="83" t="str">
        <f>'ENIGHUR Consumption items'!J51</f>
        <v>Carne de aves fresca, refrigerada o congelada</v>
      </c>
      <c r="D50" s="124">
        <v>86</v>
      </c>
      <c r="E50" s="91" t="str">
        <f>IFERROR(VLOOKUP(D50,'symmetric IOT 245 2012'!$C$6:$D$276,2,FALSE),"")</f>
        <v>Carne de pollo y Carne de otras aves de corral y despojos de aves de corral</v>
      </c>
      <c r="H50" s="77">
        <f>INDEX('Dictionary Categories'!$A$2:$A$30,MATCH(I50,'Dictionary Categories'!$B$2:$B$30,0))</f>
        <v>1</v>
      </c>
      <c r="I50" s="2" t="s">
        <v>2470</v>
      </c>
      <c r="J50" s="2">
        <f>INDEX('Dictionary Subcategories'!$A$2:$A$70,MATCH(K50,'Dictionary Subcategories'!$B$2:$B$70,0))</f>
        <v>2</v>
      </c>
      <c r="K50" s="2" t="s">
        <v>1228</v>
      </c>
      <c r="L50" s="147"/>
      <c r="M50" s="77">
        <v>48</v>
      </c>
      <c r="O50" s="77">
        <f t="shared" si="0"/>
        <v>0</v>
      </c>
    </row>
    <row r="51" spans="1:15" x14ac:dyDescent="0.25">
      <c r="A51" s="83" t="str">
        <f>'ENIGHUR Consumption items'!H52</f>
        <v>01.1.2.400</v>
      </c>
      <c r="B51" s="116">
        <f>_xlfn.NUMBERVALUE(VLOOKUP(A51,'ENIGHUR Consumption items'!$H$2:$I$703,2,))</f>
        <v>112400</v>
      </c>
      <c r="C51" s="83" t="str">
        <f>'ENIGHUR Consumption items'!J52</f>
        <v>Carne de otros animales fresca, refrigerada o congelada</v>
      </c>
      <c r="D51" s="124">
        <v>85</v>
      </c>
      <c r="E51" s="91" t="str">
        <f>IFERROR(VLOOKUP(D51,'symmetric IOT 245 2012'!$C$6:$D$276,2,FALSE),"")</f>
        <v>Carne de otro tipo de ganado n.c.p. y despojos comestibles de mamíferos</v>
      </c>
      <c r="H51" s="77">
        <f>INDEX('Dictionary Categories'!$A$2:$A$30,MATCH(I51,'Dictionary Categories'!$B$2:$B$30,0))</f>
        <v>1</v>
      </c>
      <c r="I51" s="2" t="s">
        <v>2470</v>
      </c>
      <c r="J51" s="2">
        <f>INDEX('Dictionary Subcategories'!$A$2:$A$70,MATCH(K51,'Dictionary Subcategories'!$B$2:$B$70,0))</f>
        <v>2</v>
      </c>
      <c r="K51" s="2" t="s">
        <v>1228</v>
      </c>
      <c r="L51" s="147"/>
      <c r="M51" s="77">
        <v>49</v>
      </c>
      <c r="O51" s="77">
        <f t="shared" si="0"/>
        <v>0</v>
      </c>
    </row>
    <row r="52" spans="1:15" x14ac:dyDescent="0.25">
      <c r="A52" s="83" t="str">
        <f>'ENIGHUR Consumption items'!H53</f>
        <v>01.1.2.500</v>
      </c>
      <c r="B52" s="116">
        <f>_xlfn.NUMBERVALUE(VLOOKUP(A52,'ENIGHUR Consumption items'!$H$2:$I$703,2,))</f>
        <v>112500</v>
      </c>
      <c r="C52" s="83" t="str">
        <f>'ENIGHUR Consumption items'!J53</f>
        <v>Carnes preparadas y procesadas</v>
      </c>
      <c r="D52" s="124">
        <v>87</v>
      </c>
      <c r="E52" s="91" t="str">
        <f>IFERROR(VLOOKUP(D52,'symmetric IOT 245 2012'!$C$6:$D$276,2,FALSE),"")</f>
        <v>Embutidos, conservas y preparados de carne</v>
      </c>
      <c r="H52" s="77">
        <f>INDEX('Dictionary Categories'!$A$2:$A$30,MATCH(I52,'Dictionary Categories'!$B$2:$B$30,0))</f>
        <v>1</v>
      </c>
      <c r="I52" s="2" t="s">
        <v>2470</v>
      </c>
      <c r="J52" s="2">
        <f>INDEX('Dictionary Subcategories'!$A$2:$A$70,MATCH(K52,'Dictionary Subcategories'!$B$2:$B$70,0))</f>
        <v>2</v>
      </c>
      <c r="K52" s="2" t="s">
        <v>1228</v>
      </c>
      <c r="L52" s="147"/>
      <c r="M52" s="77">
        <v>50</v>
      </c>
      <c r="O52" s="77">
        <f t="shared" si="0"/>
        <v>0</v>
      </c>
    </row>
    <row r="53" spans="1:15" x14ac:dyDescent="0.25">
      <c r="A53" s="83" t="str">
        <f>'ENIGHUR Consumption items'!H54</f>
        <v>01.1.3</v>
      </c>
      <c r="B53" s="116">
        <f>_xlfn.NUMBERVALUE(VLOOKUP(A53,'ENIGHUR Consumption items'!$H$2:$I$703,2,))</f>
        <v>113</v>
      </c>
      <c r="C53" s="83" t="str">
        <f>'ENIGHUR Consumption items'!J54</f>
        <v>PESCADOS Y MARISCOS FRESCOS, PROCESADOS</v>
      </c>
      <c r="D53" s="124" t="s">
        <v>2389</v>
      </c>
      <c r="E53" s="91" t="str">
        <f>IFERROR(VLOOKUP(D53,'symmetric IOT 245 2012'!$C$6:$D$276,2,FALSE),"")</f>
        <v>matched on SC/SSC level</v>
      </c>
      <c r="F53" s="80"/>
      <c r="H53" s="77">
        <f>INDEX('Dictionary Categories'!$A$2:$A$30,MATCH(I53,'Dictionary Categories'!$B$2:$B$30,0))</f>
        <v>1</v>
      </c>
      <c r="I53" s="2" t="s">
        <v>2470</v>
      </c>
      <c r="J53" s="2">
        <f>INDEX('Dictionary Subcategories'!$A$2:$A$70,MATCH(K53,'Dictionary Subcategories'!$B$2:$B$70,0))</f>
        <v>2</v>
      </c>
      <c r="K53" s="2" t="s">
        <v>1228</v>
      </c>
      <c r="L53" s="147"/>
      <c r="M53" s="77">
        <v>51</v>
      </c>
      <c r="O53" s="77">
        <f t="shared" si="0"/>
        <v>1</v>
      </c>
    </row>
    <row r="54" spans="1:15" x14ac:dyDescent="0.25">
      <c r="A54" s="83" t="str">
        <f>'ENIGHUR Consumption items'!H55</f>
        <v>01.1.3.000</v>
      </c>
      <c r="B54" s="116">
        <f>_xlfn.NUMBERVALUE(VLOOKUP(A54,'ENIGHUR Consumption items'!$H$2:$I$703,2,))</f>
        <v>113000</v>
      </c>
      <c r="C54" s="83" t="str">
        <f>'ENIGHUR Consumption items'!J55</f>
        <v>Pescados frescos, refrigerados y congeladas</v>
      </c>
      <c r="D54" s="124">
        <v>71</v>
      </c>
      <c r="E54" s="91" t="str">
        <f>IFERROR(VLOOKUP(D54,'symmetric IOT 245 2012'!$C$6:$D$276,2,FALSE),"")</f>
        <v>Pescado vivo, fresco o refrigerado (excepto atún)</v>
      </c>
      <c r="F54" s="80"/>
      <c r="H54" s="77">
        <f>INDEX('Dictionary Categories'!$A$2:$A$30,MATCH(I54,'Dictionary Categories'!$B$2:$B$30,0))</f>
        <v>1</v>
      </c>
      <c r="I54" s="2" t="s">
        <v>2470</v>
      </c>
      <c r="J54" s="2">
        <f>INDEX('Dictionary Subcategories'!$A$2:$A$70,MATCH(K54,'Dictionary Subcategories'!$B$2:$B$70,0))</f>
        <v>2</v>
      </c>
      <c r="K54" s="2" t="s">
        <v>1228</v>
      </c>
      <c r="L54" s="147"/>
      <c r="M54" s="77">
        <v>52</v>
      </c>
      <c r="O54" s="77">
        <f t="shared" si="0"/>
        <v>0</v>
      </c>
    </row>
    <row r="55" spans="1:15" x14ac:dyDescent="0.25">
      <c r="A55" s="83" t="str">
        <f>'ENIGHUR Consumption items'!H56</f>
        <v>01.1.3.001</v>
      </c>
      <c r="B55" s="116">
        <f>_xlfn.NUMBERVALUE(VLOOKUP(A55,'ENIGHUR Consumption items'!$H$2:$I$703,2,))</f>
        <v>113001</v>
      </c>
      <c r="C55" s="83" t="str">
        <f>'ENIGHUR Consumption items'!J56</f>
        <v>Albacora</v>
      </c>
      <c r="D55" s="124">
        <v>71</v>
      </c>
      <c r="E55" s="91" t="str">
        <f>IFERROR(VLOOKUP(D55,'symmetric IOT 245 2012'!$C$6:$D$276,2,FALSE),"")</f>
        <v>Pescado vivo, fresco o refrigerado (excepto atún)</v>
      </c>
      <c r="F55" s="97"/>
      <c r="H55" s="77">
        <f>INDEX('Dictionary Categories'!$A$2:$A$30,MATCH(I55,'Dictionary Categories'!$B$2:$B$30,0))</f>
        <v>1</v>
      </c>
      <c r="I55" s="2" t="s">
        <v>2470</v>
      </c>
      <c r="J55" s="2">
        <f>INDEX('Dictionary Subcategories'!$A$2:$A$70,MATCH(K55,'Dictionary Subcategories'!$B$2:$B$70,0))</f>
        <v>3</v>
      </c>
      <c r="K55" s="2" t="s">
        <v>1229</v>
      </c>
      <c r="L55" s="147"/>
      <c r="M55" s="77">
        <v>53</v>
      </c>
      <c r="O55" s="77">
        <f t="shared" si="0"/>
        <v>0</v>
      </c>
    </row>
    <row r="56" spans="1:15" x14ac:dyDescent="0.25">
      <c r="A56" s="83" t="str">
        <f>'ENIGHUR Consumption items'!H57</f>
        <v>01.1.3.002</v>
      </c>
      <c r="B56" s="116">
        <f>_xlfn.NUMBERVALUE(VLOOKUP(A56,'ENIGHUR Consumption items'!$H$2:$I$703,2,))</f>
        <v>113002</v>
      </c>
      <c r="C56" s="83" t="str">
        <f>'ENIGHUR Consumption items'!J57</f>
        <v>Ancas de Rana</v>
      </c>
      <c r="D56" s="124">
        <v>71</v>
      </c>
      <c r="E56" s="91" t="str">
        <f>IFERROR(VLOOKUP(D56,'symmetric IOT 245 2012'!$C$6:$D$276,2,FALSE),"")</f>
        <v>Pescado vivo, fresco o refrigerado (excepto atún)</v>
      </c>
      <c r="F56" s="97"/>
      <c r="H56" s="77">
        <f>INDEX('Dictionary Categories'!$A$2:$A$30,MATCH(I56,'Dictionary Categories'!$B$2:$B$30,0))</f>
        <v>1</v>
      </c>
      <c r="I56" s="2" t="s">
        <v>2470</v>
      </c>
      <c r="J56" s="2">
        <f>INDEX('Dictionary Subcategories'!$A$2:$A$70,MATCH(K56,'Dictionary Subcategories'!$B$2:$B$70,0))</f>
        <v>3</v>
      </c>
      <c r="K56" s="2" t="s">
        <v>1229</v>
      </c>
      <c r="L56" s="147"/>
      <c r="M56" s="77">
        <v>54</v>
      </c>
      <c r="O56" s="77">
        <f t="shared" si="0"/>
        <v>0</v>
      </c>
    </row>
    <row r="57" spans="1:15" x14ac:dyDescent="0.25">
      <c r="A57" s="83" t="str">
        <f>'ENIGHUR Consumption items'!H58</f>
        <v>01.1.3.003</v>
      </c>
      <c r="B57" s="116">
        <f>_xlfn.NUMBERVALUE(VLOOKUP(A57,'ENIGHUR Consumption items'!$H$2:$I$703,2,))</f>
        <v>113003</v>
      </c>
      <c r="C57" s="83" t="str">
        <f>'ENIGHUR Consumption items'!J58</f>
        <v>Anchoas</v>
      </c>
      <c r="D57" s="124">
        <v>71</v>
      </c>
      <c r="E57" s="91" t="str">
        <f>IFERROR(VLOOKUP(D57,'symmetric IOT 245 2012'!$C$6:$D$276,2,FALSE),"")</f>
        <v>Pescado vivo, fresco o refrigerado (excepto atún)</v>
      </c>
      <c r="F57" s="97"/>
      <c r="H57" s="77">
        <f>INDEX('Dictionary Categories'!$A$2:$A$30,MATCH(I57,'Dictionary Categories'!$B$2:$B$30,0))</f>
        <v>1</v>
      </c>
      <c r="I57" s="2" t="s">
        <v>2470</v>
      </c>
      <c r="J57" s="2">
        <f>INDEX('Dictionary Subcategories'!$A$2:$A$70,MATCH(K57,'Dictionary Subcategories'!$B$2:$B$70,0))</f>
        <v>3</v>
      </c>
      <c r="K57" s="2" t="s">
        <v>1229</v>
      </c>
      <c r="L57" s="147"/>
      <c r="M57" s="77">
        <v>55</v>
      </c>
      <c r="O57" s="77">
        <f t="shared" si="0"/>
        <v>0</v>
      </c>
    </row>
    <row r="58" spans="1:15" x14ac:dyDescent="0.25">
      <c r="A58" s="83" t="str">
        <f>'ENIGHUR Consumption items'!H59</f>
        <v>01.1.3.004</v>
      </c>
      <c r="B58" s="116">
        <f>_xlfn.NUMBERVALUE(VLOOKUP(A58,'ENIGHUR Consumption items'!$H$2:$I$703,2,))</f>
        <v>113004</v>
      </c>
      <c r="C58" s="83" t="str">
        <f>'ENIGHUR Consumption items'!J59</f>
        <v>Atún fresco</v>
      </c>
      <c r="D58" s="124">
        <v>70</v>
      </c>
      <c r="E58" s="91" t="str">
        <f>IFERROR(VLOOKUP(D58,'symmetric IOT 245 2012'!$C$6:$D$276,2,FALSE),"")</f>
        <v>Atún</v>
      </c>
      <c r="F58" s="97"/>
      <c r="H58" s="77">
        <f>INDEX('Dictionary Categories'!$A$2:$A$30,MATCH(I58,'Dictionary Categories'!$B$2:$B$30,0))</f>
        <v>1</v>
      </c>
      <c r="I58" s="2" t="s">
        <v>2470</v>
      </c>
      <c r="J58" s="2">
        <f>INDEX('Dictionary Subcategories'!$A$2:$A$70,MATCH(K58,'Dictionary Subcategories'!$B$2:$B$70,0))</f>
        <v>3</v>
      </c>
      <c r="K58" s="2" t="s">
        <v>1229</v>
      </c>
      <c r="L58" s="147"/>
      <c r="M58" s="77">
        <v>56</v>
      </c>
      <c r="O58" s="77">
        <f t="shared" si="0"/>
        <v>0</v>
      </c>
    </row>
    <row r="59" spans="1:15" x14ac:dyDescent="0.25">
      <c r="A59" s="83" t="str">
        <f>'ENIGHUR Consumption items'!H60</f>
        <v>01.1.3.005</v>
      </c>
      <c r="B59" s="116">
        <f>_xlfn.NUMBERVALUE(VLOOKUP(A59,'ENIGHUR Consumption items'!$H$2:$I$703,2,))</f>
        <v>113005</v>
      </c>
      <c r="C59" s="83" t="str">
        <f>'ENIGHUR Consumption items'!J60</f>
        <v>Bacalao</v>
      </c>
      <c r="D59" s="124">
        <v>71</v>
      </c>
      <c r="E59" s="91" t="str">
        <f>IFERROR(VLOOKUP(D59,'symmetric IOT 245 2012'!$C$6:$D$276,2,FALSE),"")</f>
        <v>Pescado vivo, fresco o refrigerado (excepto atún)</v>
      </c>
      <c r="F59" s="97"/>
      <c r="H59" s="77">
        <f>INDEX('Dictionary Categories'!$A$2:$A$30,MATCH(I59,'Dictionary Categories'!$B$2:$B$30,0))</f>
        <v>1</v>
      </c>
      <c r="I59" s="2" t="s">
        <v>2470</v>
      </c>
      <c r="J59" s="2">
        <f>INDEX('Dictionary Subcategories'!$A$2:$A$70,MATCH(K59,'Dictionary Subcategories'!$B$2:$B$70,0))</f>
        <v>3</v>
      </c>
      <c r="K59" s="2" t="s">
        <v>1229</v>
      </c>
      <c r="L59" s="147"/>
      <c r="M59" s="77">
        <v>57</v>
      </c>
      <c r="O59" s="77">
        <f t="shared" si="0"/>
        <v>0</v>
      </c>
    </row>
    <row r="60" spans="1:15" x14ac:dyDescent="0.25">
      <c r="A60" s="83" t="str">
        <f>'ENIGHUR Consumption items'!H61</f>
        <v>01.1.3.006</v>
      </c>
      <c r="B60" s="116">
        <f>_xlfn.NUMBERVALUE(VLOOKUP(A60,'ENIGHUR Consumption items'!$H$2:$I$703,2,))</f>
        <v>113006</v>
      </c>
      <c r="C60" s="83" t="str">
        <f>'ENIGHUR Consumption items'!J61</f>
        <v>Bagre</v>
      </c>
      <c r="D60" s="124">
        <v>71</v>
      </c>
      <c r="E60" s="91" t="str">
        <f>IFERROR(VLOOKUP(D60,'symmetric IOT 245 2012'!$C$6:$D$276,2,FALSE),"")</f>
        <v>Pescado vivo, fresco o refrigerado (excepto atún)</v>
      </c>
      <c r="F60" s="97"/>
      <c r="H60" s="77">
        <f>INDEX('Dictionary Categories'!$A$2:$A$30,MATCH(I60,'Dictionary Categories'!$B$2:$B$30,0))</f>
        <v>1</v>
      </c>
      <c r="I60" s="2" t="s">
        <v>2470</v>
      </c>
      <c r="J60" s="2">
        <f>INDEX('Dictionary Subcategories'!$A$2:$A$70,MATCH(K60,'Dictionary Subcategories'!$B$2:$B$70,0))</f>
        <v>3</v>
      </c>
      <c r="K60" s="2" t="s">
        <v>1229</v>
      </c>
      <c r="L60" s="147"/>
      <c r="M60" s="77">
        <v>58</v>
      </c>
      <c r="O60" s="77">
        <f t="shared" si="0"/>
        <v>0</v>
      </c>
    </row>
    <row r="61" spans="1:15" x14ac:dyDescent="0.25">
      <c r="A61" s="83" t="str">
        <f>'ENIGHUR Consumption items'!H62</f>
        <v>01.1.3.007</v>
      </c>
      <c r="B61" s="116">
        <f>_xlfn.NUMBERVALUE(VLOOKUP(A61,'ENIGHUR Consumption items'!$H$2:$I$703,2,))</f>
        <v>113007</v>
      </c>
      <c r="C61" s="83" t="str">
        <f>'ENIGHUR Consumption items'!J62</f>
        <v>Bocachico</v>
      </c>
      <c r="D61" s="124">
        <v>71</v>
      </c>
      <c r="E61" s="91" t="str">
        <f>IFERROR(VLOOKUP(D61,'symmetric IOT 245 2012'!$C$6:$D$276,2,FALSE),"")</f>
        <v>Pescado vivo, fresco o refrigerado (excepto atún)</v>
      </c>
      <c r="F61" s="97"/>
      <c r="H61" s="77">
        <f>INDEX('Dictionary Categories'!$A$2:$A$30,MATCH(I61,'Dictionary Categories'!$B$2:$B$30,0))</f>
        <v>1</v>
      </c>
      <c r="I61" s="2" t="s">
        <v>2470</v>
      </c>
      <c r="J61" s="2">
        <f>INDEX('Dictionary Subcategories'!$A$2:$A$70,MATCH(K61,'Dictionary Subcategories'!$B$2:$B$70,0))</f>
        <v>3</v>
      </c>
      <c r="K61" s="2" t="s">
        <v>1229</v>
      </c>
      <c r="L61" s="147"/>
      <c r="M61" s="77">
        <v>59</v>
      </c>
      <c r="O61" s="77">
        <f t="shared" si="0"/>
        <v>0</v>
      </c>
    </row>
    <row r="62" spans="1:15" x14ac:dyDescent="0.25">
      <c r="A62" s="83" t="str">
        <f>'ENIGHUR Consumption items'!H63</f>
        <v>01.1.3.008</v>
      </c>
      <c r="B62" s="116">
        <f>_xlfn.NUMBERVALUE(VLOOKUP(A62,'ENIGHUR Consumption items'!$H$2:$I$703,2,))</f>
        <v>113008</v>
      </c>
      <c r="C62" s="83" t="str">
        <f>'ENIGHUR Consumption items'!J63</f>
        <v>Camotillo</v>
      </c>
      <c r="D62" s="124">
        <v>71</v>
      </c>
      <c r="E62" s="91" t="str">
        <f>IFERROR(VLOOKUP(D62,'symmetric IOT 245 2012'!$C$6:$D$276,2,FALSE),"")</f>
        <v>Pescado vivo, fresco o refrigerado (excepto atún)</v>
      </c>
      <c r="F62" s="97"/>
      <c r="H62" s="77">
        <f>INDEX('Dictionary Categories'!$A$2:$A$30,MATCH(I62,'Dictionary Categories'!$B$2:$B$30,0))</f>
        <v>1</v>
      </c>
      <c r="I62" s="2" t="s">
        <v>2470</v>
      </c>
      <c r="J62" s="2">
        <f>INDEX('Dictionary Subcategories'!$A$2:$A$70,MATCH(K62,'Dictionary Subcategories'!$B$2:$B$70,0))</f>
        <v>3</v>
      </c>
      <c r="K62" s="2" t="s">
        <v>1229</v>
      </c>
      <c r="L62" s="147"/>
      <c r="M62" s="77">
        <v>60</v>
      </c>
      <c r="O62" s="77">
        <f t="shared" si="0"/>
        <v>0</v>
      </c>
    </row>
    <row r="63" spans="1:15" x14ac:dyDescent="0.25">
      <c r="A63" s="83" t="str">
        <f>'ENIGHUR Consumption items'!H64</f>
        <v>01.1.3.009</v>
      </c>
      <c r="B63" s="116">
        <f>_xlfn.NUMBERVALUE(VLOOKUP(A63,'ENIGHUR Consumption items'!$H$2:$I$703,2,))</f>
        <v>113009</v>
      </c>
      <c r="C63" s="83" t="str">
        <f>'ENIGHUR Consumption items'!J64</f>
        <v>Cherna</v>
      </c>
      <c r="D63" s="124">
        <v>71</v>
      </c>
      <c r="E63" s="91" t="str">
        <f>IFERROR(VLOOKUP(D63,'symmetric IOT 245 2012'!$C$6:$D$276,2,FALSE),"")</f>
        <v>Pescado vivo, fresco o refrigerado (excepto atún)</v>
      </c>
      <c r="F63" s="97"/>
      <c r="H63" s="77">
        <f>INDEX('Dictionary Categories'!$A$2:$A$30,MATCH(I63,'Dictionary Categories'!$B$2:$B$30,0))</f>
        <v>1</v>
      </c>
      <c r="I63" s="2" t="s">
        <v>2470</v>
      </c>
      <c r="J63" s="2">
        <f>INDEX('Dictionary Subcategories'!$A$2:$A$70,MATCH(K63,'Dictionary Subcategories'!$B$2:$B$70,0))</f>
        <v>3</v>
      </c>
      <c r="K63" s="2" t="s">
        <v>1229</v>
      </c>
      <c r="L63" s="147"/>
      <c r="M63" s="77">
        <v>61</v>
      </c>
      <c r="O63" s="77">
        <f t="shared" si="0"/>
        <v>0</v>
      </c>
    </row>
    <row r="64" spans="1:15" x14ac:dyDescent="0.25">
      <c r="A64" s="83" t="str">
        <f>'ENIGHUR Consumption items'!H65</f>
        <v>01.1.3.010</v>
      </c>
      <c r="B64" s="116">
        <f>_xlfn.NUMBERVALUE(VLOOKUP(A64,'ENIGHUR Consumption items'!$H$2:$I$703,2,))</f>
        <v>113010</v>
      </c>
      <c r="C64" s="83" t="str">
        <f>'ENIGHUR Consumption items'!J65</f>
        <v>Corvina de mar</v>
      </c>
      <c r="D64" s="124">
        <v>71</v>
      </c>
      <c r="E64" s="91" t="str">
        <f>IFERROR(VLOOKUP(D64,'symmetric IOT 245 2012'!$C$6:$D$276,2,FALSE),"")</f>
        <v>Pescado vivo, fresco o refrigerado (excepto atún)</v>
      </c>
      <c r="F64" s="97"/>
      <c r="H64" s="77">
        <f>INDEX('Dictionary Categories'!$A$2:$A$30,MATCH(I64,'Dictionary Categories'!$B$2:$B$30,0))</f>
        <v>1</v>
      </c>
      <c r="I64" s="2" t="s">
        <v>2470</v>
      </c>
      <c r="J64" s="2">
        <f>INDEX('Dictionary Subcategories'!$A$2:$A$70,MATCH(K64,'Dictionary Subcategories'!$B$2:$B$70,0))</f>
        <v>3</v>
      </c>
      <c r="K64" s="2" t="s">
        <v>1229</v>
      </c>
      <c r="L64" s="147"/>
      <c r="M64" s="77">
        <v>62</v>
      </c>
      <c r="O64" s="77">
        <f t="shared" si="0"/>
        <v>0</v>
      </c>
    </row>
    <row r="65" spans="1:15" x14ac:dyDescent="0.25">
      <c r="A65" s="83" t="str">
        <f>'ENIGHUR Consumption items'!H66</f>
        <v>01.1.3.011</v>
      </c>
      <c r="B65" s="116">
        <f>_xlfn.NUMBERVALUE(VLOOKUP(A65,'ENIGHUR Consumption items'!$H$2:$I$703,2,))</f>
        <v>113011</v>
      </c>
      <c r="C65" s="83" t="str">
        <f>'ENIGHUR Consumption items'!J66</f>
        <v>Corvina de río</v>
      </c>
      <c r="D65" s="124">
        <v>71</v>
      </c>
      <c r="E65" s="91" t="str">
        <f>IFERROR(VLOOKUP(D65,'symmetric IOT 245 2012'!$C$6:$D$276,2,FALSE),"")</f>
        <v>Pescado vivo, fresco o refrigerado (excepto atún)</v>
      </c>
      <c r="F65" s="97"/>
      <c r="H65" s="77">
        <f>INDEX('Dictionary Categories'!$A$2:$A$30,MATCH(I65,'Dictionary Categories'!$B$2:$B$30,0))</f>
        <v>1</v>
      </c>
      <c r="I65" s="2" t="s">
        <v>2470</v>
      </c>
      <c r="J65" s="2">
        <f>INDEX('Dictionary Subcategories'!$A$2:$A$70,MATCH(K65,'Dictionary Subcategories'!$B$2:$B$70,0))</f>
        <v>3</v>
      </c>
      <c r="K65" s="2" t="s">
        <v>1229</v>
      </c>
      <c r="L65" s="147"/>
      <c r="M65" s="77">
        <v>63</v>
      </c>
      <c r="O65" s="77">
        <f t="shared" si="0"/>
        <v>0</v>
      </c>
    </row>
    <row r="66" spans="1:15" x14ac:dyDescent="0.25">
      <c r="A66" s="83" t="str">
        <f>'ENIGHUR Consumption items'!H67</f>
        <v>01.1.3.012</v>
      </c>
      <c r="B66" s="116">
        <f>_xlfn.NUMBERVALUE(VLOOKUP(A66,'ENIGHUR Consumption items'!$H$2:$I$703,2,))</f>
        <v>113012</v>
      </c>
      <c r="C66" s="83" t="str">
        <f>'ENIGHUR Consumption items'!J67</f>
        <v>Dorado</v>
      </c>
      <c r="D66" s="124">
        <v>71</v>
      </c>
      <c r="E66" s="91" t="str">
        <f>IFERROR(VLOOKUP(D66,'symmetric IOT 245 2012'!$C$6:$D$276,2,FALSE),"")</f>
        <v>Pescado vivo, fresco o refrigerado (excepto atún)</v>
      </c>
      <c r="F66" s="97"/>
      <c r="H66" s="77">
        <f>INDEX('Dictionary Categories'!$A$2:$A$30,MATCH(I66,'Dictionary Categories'!$B$2:$B$30,0))</f>
        <v>1</v>
      </c>
      <c r="I66" s="2" t="s">
        <v>2470</v>
      </c>
      <c r="J66" s="2">
        <f>INDEX('Dictionary Subcategories'!$A$2:$A$70,MATCH(K66,'Dictionary Subcategories'!$B$2:$B$70,0))</f>
        <v>3</v>
      </c>
      <c r="K66" s="2" t="s">
        <v>1229</v>
      </c>
      <c r="L66" s="147"/>
      <c r="M66" s="77">
        <v>64</v>
      </c>
      <c r="O66" s="77">
        <f t="shared" si="0"/>
        <v>0</v>
      </c>
    </row>
    <row r="67" spans="1:15" x14ac:dyDescent="0.25">
      <c r="A67" s="83" t="str">
        <f>'ENIGHUR Consumption items'!H68</f>
        <v>01.1.3.013</v>
      </c>
      <c r="B67" s="116">
        <f>_xlfn.NUMBERVALUE(VLOOKUP(A67,'ENIGHUR Consumption items'!$H$2:$I$703,2,))</f>
        <v>113013</v>
      </c>
      <c r="C67" s="83" t="str">
        <f>'ENIGHUR Consumption items'!J68</f>
        <v>Lenguado</v>
      </c>
      <c r="D67" s="124">
        <v>71</v>
      </c>
      <c r="E67" s="91" t="str">
        <f>IFERROR(VLOOKUP(D67,'symmetric IOT 245 2012'!$C$6:$D$276,2,FALSE),"")</f>
        <v>Pescado vivo, fresco o refrigerado (excepto atún)</v>
      </c>
      <c r="F67" s="97"/>
      <c r="H67" s="77">
        <f>INDEX('Dictionary Categories'!$A$2:$A$30,MATCH(I67,'Dictionary Categories'!$B$2:$B$30,0))</f>
        <v>1</v>
      </c>
      <c r="I67" s="2" t="s">
        <v>2470</v>
      </c>
      <c r="J67" s="2">
        <f>INDEX('Dictionary Subcategories'!$A$2:$A$70,MATCH(K67,'Dictionary Subcategories'!$B$2:$B$70,0))</f>
        <v>3</v>
      </c>
      <c r="K67" s="2" t="s">
        <v>1229</v>
      </c>
      <c r="L67" s="147"/>
      <c r="M67" s="77">
        <v>65</v>
      </c>
      <c r="O67" s="77">
        <f t="shared" si="0"/>
        <v>0</v>
      </c>
    </row>
    <row r="68" spans="1:15" x14ac:dyDescent="0.25">
      <c r="A68" s="83" t="str">
        <f>'ENIGHUR Consumption items'!H69</f>
        <v>01.1.3.014</v>
      </c>
      <c r="B68" s="116">
        <f>_xlfn.NUMBERVALUE(VLOOKUP(A68,'ENIGHUR Consumption items'!$H$2:$I$703,2,))</f>
        <v>113014</v>
      </c>
      <c r="C68" s="83" t="str">
        <f>'ENIGHUR Consumption items'!J69</f>
        <v>Lisa</v>
      </c>
      <c r="D68" s="124">
        <v>71</v>
      </c>
      <c r="E68" s="91" t="str">
        <f>IFERROR(VLOOKUP(D68,'symmetric IOT 245 2012'!$C$6:$D$276,2,FALSE),"")</f>
        <v>Pescado vivo, fresco o refrigerado (excepto atún)</v>
      </c>
      <c r="F68" s="97"/>
      <c r="H68" s="77">
        <f>INDEX('Dictionary Categories'!$A$2:$A$30,MATCH(I68,'Dictionary Categories'!$B$2:$B$30,0))</f>
        <v>1</v>
      </c>
      <c r="I68" s="2" t="s">
        <v>2470</v>
      </c>
      <c r="J68" s="2">
        <f>INDEX('Dictionary Subcategories'!$A$2:$A$70,MATCH(K68,'Dictionary Subcategories'!$B$2:$B$70,0))</f>
        <v>3</v>
      </c>
      <c r="K68" s="2" t="s">
        <v>1229</v>
      </c>
      <c r="L68" s="147"/>
      <c r="M68" s="77">
        <v>66</v>
      </c>
      <c r="O68" s="77">
        <f t="shared" ref="O68:O131" si="1">IF(LEFT(RIGHT(A68,2),1)=".",1,0)</f>
        <v>0</v>
      </c>
    </row>
    <row r="69" spans="1:15" x14ac:dyDescent="0.25">
      <c r="A69" s="83" t="str">
        <f>'ENIGHUR Consumption items'!H70</f>
        <v>01.1.3.015</v>
      </c>
      <c r="B69" s="116">
        <f>_xlfn.NUMBERVALUE(VLOOKUP(A69,'ENIGHUR Consumption items'!$H$2:$I$703,2,))</f>
        <v>113015</v>
      </c>
      <c r="C69" s="83" t="str">
        <f>'ENIGHUR Consumption items'!J70</f>
        <v>Merluza</v>
      </c>
      <c r="D69" s="124">
        <v>71</v>
      </c>
      <c r="E69" s="91" t="str">
        <f>IFERROR(VLOOKUP(D69,'symmetric IOT 245 2012'!$C$6:$D$276,2,FALSE),"")</f>
        <v>Pescado vivo, fresco o refrigerado (excepto atún)</v>
      </c>
      <c r="F69" s="97"/>
      <c r="H69" s="77">
        <f>INDEX('Dictionary Categories'!$A$2:$A$30,MATCH(I69,'Dictionary Categories'!$B$2:$B$30,0))</f>
        <v>1</v>
      </c>
      <c r="I69" s="2" t="s">
        <v>2470</v>
      </c>
      <c r="J69" s="2">
        <f>INDEX('Dictionary Subcategories'!$A$2:$A$70,MATCH(K69,'Dictionary Subcategories'!$B$2:$B$70,0))</f>
        <v>3</v>
      </c>
      <c r="K69" s="2" t="s">
        <v>1229</v>
      </c>
      <c r="L69" s="147"/>
      <c r="M69" s="77">
        <v>67</v>
      </c>
      <c r="O69" s="77">
        <f t="shared" si="1"/>
        <v>0</v>
      </c>
    </row>
    <row r="70" spans="1:15" x14ac:dyDescent="0.25">
      <c r="A70" s="83" t="str">
        <f>'ENIGHUR Consumption items'!H71</f>
        <v>01.1.3.016</v>
      </c>
      <c r="B70" s="116">
        <f>_xlfn.NUMBERVALUE(VLOOKUP(A70,'ENIGHUR Consumption items'!$H$2:$I$703,2,))</f>
        <v>113016</v>
      </c>
      <c r="C70" s="83" t="str">
        <f>'ENIGHUR Consumption items'!J71</f>
        <v>Pargo</v>
      </c>
      <c r="D70" s="124">
        <v>71</v>
      </c>
      <c r="E70" s="91" t="str">
        <f>IFERROR(VLOOKUP(D70,'symmetric IOT 245 2012'!$C$6:$D$276,2,FALSE),"")</f>
        <v>Pescado vivo, fresco o refrigerado (excepto atún)</v>
      </c>
      <c r="F70" s="97"/>
      <c r="H70" s="77">
        <f>INDEX('Dictionary Categories'!$A$2:$A$30,MATCH(I70,'Dictionary Categories'!$B$2:$B$30,0))</f>
        <v>1</v>
      </c>
      <c r="I70" s="2" t="s">
        <v>2470</v>
      </c>
      <c r="J70" s="2">
        <f>INDEX('Dictionary Subcategories'!$A$2:$A$70,MATCH(K70,'Dictionary Subcategories'!$B$2:$B$70,0))</f>
        <v>3</v>
      </c>
      <c r="K70" s="2" t="s">
        <v>1229</v>
      </c>
      <c r="L70" s="147"/>
      <c r="M70" s="77">
        <v>68</v>
      </c>
      <c r="O70" s="77">
        <f t="shared" si="1"/>
        <v>0</v>
      </c>
    </row>
    <row r="71" spans="1:15" x14ac:dyDescent="0.25">
      <c r="A71" s="83" t="str">
        <f>'ENIGHUR Consumption items'!H72</f>
        <v>01.1.3.017</v>
      </c>
      <c r="B71" s="116">
        <f>_xlfn.NUMBERVALUE(VLOOKUP(A71,'ENIGHUR Consumption items'!$H$2:$I$703,2,))</f>
        <v>113017</v>
      </c>
      <c r="C71" s="83" t="str">
        <f>'ENIGHUR Consumption items'!J72</f>
        <v>Picudo</v>
      </c>
      <c r="D71" s="124">
        <v>71</v>
      </c>
      <c r="E71" s="91" t="str">
        <f>IFERROR(VLOOKUP(D71,'symmetric IOT 245 2012'!$C$6:$D$276,2,FALSE),"")</f>
        <v>Pescado vivo, fresco o refrigerado (excepto atún)</v>
      </c>
      <c r="F71" s="97"/>
      <c r="H71" s="77">
        <f>INDEX('Dictionary Categories'!$A$2:$A$30,MATCH(I71,'Dictionary Categories'!$B$2:$B$30,0))</f>
        <v>1</v>
      </c>
      <c r="I71" s="2" t="s">
        <v>2470</v>
      </c>
      <c r="J71" s="2">
        <f>INDEX('Dictionary Subcategories'!$A$2:$A$70,MATCH(K71,'Dictionary Subcategories'!$B$2:$B$70,0))</f>
        <v>3</v>
      </c>
      <c r="K71" s="2" t="s">
        <v>1229</v>
      </c>
      <c r="L71" s="147"/>
      <c r="M71" s="77">
        <v>69</v>
      </c>
      <c r="O71" s="77">
        <f t="shared" si="1"/>
        <v>0</v>
      </c>
    </row>
    <row r="72" spans="1:15" x14ac:dyDescent="0.25">
      <c r="A72" s="83" t="str">
        <f>'ENIGHUR Consumption items'!H73</f>
        <v>01.1.3.018</v>
      </c>
      <c r="B72" s="116">
        <f>_xlfn.NUMBERVALUE(VLOOKUP(A72,'ENIGHUR Consumption items'!$H$2:$I$703,2,))</f>
        <v>113018</v>
      </c>
      <c r="C72" s="83" t="str">
        <f>'ENIGHUR Consumption items'!J73</f>
        <v>Pinchagua</v>
      </c>
      <c r="D72" s="124">
        <v>71</v>
      </c>
      <c r="E72" s="91" t="str">
        <f>IFERROR(VLOOKUP(D72,'symmetric IOT 245 2012'!$C$6:$D$276,2,FALSE),"")</f>
        <v>Pescado vivo, fresco o refrigerado (excepto atún)</v>
      </c>
      <c r="F72" s="97"/>
      <c r="H72" s="77">
        <f>INDEX('Dictionary Categories'!$A$2:$A$30,MATCH(I72,'Dictionary Categories'!$B$2:$B$30,0))</f>
        <v>1</v>
      </c>
      <c r="I72" s="2" t="s">
        <v>2470</v>
      </c>
      <c r="J72" s="2">
        <f>INDEX('Dictionary Subcategories'!$A$2:$A$70,MATCH(K72,'Dictionary Subcategories'!$B$2:$B$70,0))</f>
        <v>3</v>
      </c>
      <c r="K72" s="2" t="s">
        <v>1229</v>
      </c>
      <c r="L72" s="147"/>
      <c r="M72" s="77">
        <v>70</v>
      </c>
      <c r="O72" s="77">
        <f t="shared" si="1"/>
        <v>0</v>
      </c>
    </row>
    <row r="73" spans="1:15" x14ac:dyDescent="0.25">
      <c r="A73" s="83" t="str">
        <f>'ENIGHUR Consumption items'!H74</f>
        <v>01.1.3.019</v>
      </c>
      <c r="B73" s="116">
        <f>_xlfn.NUMBERVALUE(VLOOKUP(A73,'ENIGHUR Consumption items'!$H$2:$I$703,2,))</f>
        <v>113019</v>
      </c>
      <c r="C73" s="83" t="str">
        <f>'ENIGHUR Consumption items'!J74</f>
        <v>Salmón</v>
      </c>
      <c r="D73" s="124">
        <v>71</v>
      </c>
      <c r="E73" s="91" t="str">
        <f>IFERROR(VLOOKUP(D73,'symmetric IOT 245 2012'!$C$6:$D$276,2,FALSE),"")</f>
        <v>Pescado vivo, fresco o refrigerado (excepto atún)</v>
      </c>
      <c r="F73" s="97"/>
      <c r="H73" s="77">
        <f>INDEX('Dictionary Categories'!$A$2:$A$30,MATCH(I73,'Dictionary Categories'!$B$2:$B$30,0))</f>
        <v>1</v>
      </c>
      <c r="I73" s="2" t="s">
        <v>2470</v>
      </c>
      <c r="J73" s="2">
        <f>INDEX('Dictionary Subcategories'!$A$2:$A$70,MATCH(K73,'Dictionary Subcategories'!$B$2:$B$70,0))</f>
        <v>3</v>
      </c>
      <c r="K73" s="2" t="s">
        <v>1229</v>
      </c>
      <c r="L73" s="147"/>
      <c r="M73" s="77">
        <v>71</v>
      </c>
      <c r="O73" s="77">
        <f t="shared" si="1"/>
        <v>0</v>
      </c>
    </row>
    <row r="74" spans="1:15" x14ac:dyDescent="0.25">
      <c r="A74" s="83" t="str">
        <f>'ENIGHUR Consumption items'!H75</f>
        <v>01.1.3.020</v>
      </c>
      <c r="B74" s="116">
        <f>_xlfn.NUMBERVALUE(VLOOKUP(A74,'ENIGHUR Consumption items'!$H$2:$I$703,2,))</f>
        <v>113020</v>
      </c>
      <c r="C74" s="83" t="str">
        <f>'ENIGHUR Consumption items'!J75</f>
        <v>Sierra</v>
      </c>
      <c r="D74" s="124">
        <v>71</v>
      </c>
      <c r="E74" s="91" t="str">
        <f>IFERROR(VLOOKUP(D74,'symmetric IOT 245 2012'!$C$6:$D$276,2,FALSE),"")</f>
        <v>Pescado vivo, fresco o refrigerado (excepto atún)</v>
      </c>
      <c r="F74" s="97"/>
      <c r="H74" s="77">
        <f>INDEX('Dictionary Categories'!$A$2:$A$30,MATCH(I74,'Dictionary Categories'!$B$2:$B$30,0))</f>
        <v>1</v>
      </c>
      <c r="I74" s="2" t="s">
        <v>2470</v>
      </c>
      <c r="J74" s="2">
        <f>INDEX('Dictionary Subcategories'!$A$2:$A$70,MATCH(K74,'Dictionary Subcategories'!$B$2:$B$70,0))</f>
        <v>3</v>
      </c>
      <c r="K74" s="2" t="s">
        <v>1229</v>
      </c>
      <c r="L74" s="147"/>
      <c r="M74" s="77">
        <v>72</v>
      </c>
      <c r="O74" s="77">
        <f t="shared" si="1"/>
        <v>0</v>
      </c>
    </row>
    <row r="75" spans="1:15" x14ac:dyDescent="0.25">
      <c r="A75" s="83" t="str">
        <f>'ENIGHUR Consumption items'!H76</f>
        <v>01.1.3.021</v>
      </c>
      <c r="B75" s="116">
        <f>_xlfn.NUMBERVALUE(VLOOKUP(A75,'ENIGHUR Consumption items'!$H$2:$I$703,2,))</f>
        <v>113021</v>
      </c>
      <c r="C75" s="83" t="str">
        <f>'ENIGHUR Consumption items'!J76</f>
        <v>Tilapia</v>
      </c>
      <c r="D75" s="124">
        <v>73</v>
      </c>
      <c r="E75" s="91" t="str">
        <f>IFERROR(VLOOKUP(D75,'symmetric IOT 245 2012'!$C$6:$D$276,2,FALSE),"")</f>
        <v>Tilapia</v>
      </c>
      <c r="F75" s="97"/>
      <c r="H75" s="77">
        <f>INDEX('Dictionary Categories'!$A$2:$A$30,MATCH(I75,'Dictionary Categories'!$B$2:$B$30,0))</f>
        <v>1</v>
      </c>
      <c r="I75" s="2" t="s">
        <v>2470</v>
      </c>
      <c r="J75" s="2">
        <f>INDEX('Dictionary Subcategories'!$A$2:$A$70,MATCH(K75,'Dictionary Subcategories'!$B$2:$B$70,0))</f>
        <v>3</v>
      </c>
      <c r="K75" s="2" t="s">
        <v>1229</v>
      </c>
      <c r="L75" s="147"/>
      <c r="M75" s="77">
        <v>73</v>
      </c>
      <c r="O75" s="77">
        <f t="shared" si="1"/>
        <v>0</v>
      </c>
    </row>
    <row r="76" spans="1:15" x14ac:dyDescent="0.25">
      <c r="A76" s="83" t="str">
        <f>'ENIGHUR Consumption items'!H77</f>
        <v>01.1.3.022</v>
      </c>
      <c r="B76" s="116">
        <f>_xlfn.NUMBERVALUE(VLOOKUP(A76,'ENIGHUR Consumption items'!$H$2:$I$703,2,))</f>
        <v>113022</v>
      </c>
      <c r="C76" s="83" t="str">
        <f>'ENIGHUR Consumption items'!J77</f>
        <v>Toyo (Tiburón)</v>
      </c>
      <c r="D76" s="124">
        <v>71</v>
      </c>
      <c r="E76" s="91" t="str">
        <f>IFERROR(VLOOKUP(D76,'symmetric IOT 245 2012'!$C$6:$D$276,2,FALSE),"")</f>
        <v>Pescado vivo, fresco o refrigerado (excepto atún)</v>
      </c>
      <c r="F76" s="97"/>
      <c r="H76" s="77">
        <f>INDEX('Dictionary Categories'!$A$2:$A$30,MATCH(I76,'Dictionary Categories'!$B$2:$B$30,0))</f>
        <v>1</v>
      </c>
      <c r="I76" s="2" t="s">
        <v>2470</v>
      </c>
      <c r="J76" s="2">
        <f>INDEX('Dictionary Subcategories'!$A$2:$A$70,MATCH(K76,'Dictionary Subcategories'!$B$2:$B$70,0))</f>
        <v>3</v>
      </c>
      <c r="K76" s="2" t="s">
        <v>1229</v>
      </c>
      <c r="L76" s="147"/>
      <c r="M76" s="77">
        <v>74</v>
      </c>
      <c r="O76" s="77">
        <f t="shared" si="1"/>
        <v>0</v>
      </c>
    </row>
    <row r="77" spans="1:15" x14ac:dyDescent="0.25">
      <c r="A77" s="83" t="str">
        <f>'ENIGHUR Consumption items'!H78</f>
        <v>01.1.3.023</v>
      </c>
      <c r="B77" s="116">
        <f>_xlfn.NUMBERVALUE(VLOOKUP(A77,'ENIGHUR Consumption items'!$H$2:$I$703,2,))</f>
        <v>113023</v>
      </c>
      <c r="C77" s="83" t="str">
        <f>'ENIGHUR Consumption items'!J78</f>
        <v>Trucha</v>
      </c>
      <c r="D77" s="124">
        <v>71</v>
      </c>
      <c r="E77" s="91" t="str">
        <f>IFERROR(VLOOKUP(D77,'symmetric IOT 245 2012'!$C$6:$D$276,2,FALSE),"")</f>
        <v>Pescado vivo, fresco o refrigerado (excepto atún)</v>
      </c>
      <c r="F77" s="97"/>
      <c r="H77" s="77">
        <f>INDEX('Dictionary Categories'!$A$2:$A$30,MATCH(I77,'Dictionary Categories'!$B$2:$B$30,0))</f>
        <v>1</v>
      </c>
      <c r="I77" s="2" t="s">
        <v>2470</v>
      </c>
      <c r="J77" s="2">
        <f>INDEX('Dictionary Subcategories'!$A$2:$A$70,MATCH(K77,'Dictionary Subcategories'!$B$2:$B$70,0))</f>
        <v>3</v>
      </c>
      <c r="K77" s="2" t="s">
        <v>1229</v>
      </c>
      <c r="L77" s="147"/>
      <c r="M77" s="77">
        <v>75</v>
      </c>
      <c r="O77" s="77">
        <f t="shared" si="1"/>
        <v>0</v>
      </c>
    </row>
    <row r="78" spans="1:15" x14ac:dyDescent="0.25">
      <c r="A78" s="83" t="str">
        <f>'ENIGHUR Consumption items'!H79</f>
        <v>01.1.3.024</v>
      </c>
      <c r="B78" s="116">
        <f>_xlfn.NUMBERVALUE(VLOOKUP(A78,'ENIGHUR Consumption items'!$H$2:$I$703,2,))</f>
        <v>113024</v>
      </c>
      <c r="C78" s="83" t="str">
        <f>'ENIGHUR Consumption items'!J79</f>
        <v>Vieja</v>
      </c>
      <c r="D78" s="124">
        <v>71</v>
      </c>
      <c r="E78" s="91" t="str">
        <f>IFERROR(VLOOKUP(D78,'symmetric IOT 245 2012'!$C$6:$D$276,2,FALSE),"")</f>
        <v>Pescado vivo, fresco o refrigerado (excepto atún)</v>
      </c>
      <c r="F78" s="97"/>
      <c r="H78" s="77">
        <f>INDEX('Dictionary Categories'!$A$2:$A$30,MATCH(I78,'Dictionary Categories'!$B$2:$B$30,0))</f>
        <v>1</v>
      </c>
      <c r="I78" s="2" t="s">
        <v>2470</v>
      </c>
      <c r="J78" s="2">
        <f>INDEX('Dictionary Subcategories'!$A$2:$A$70,MATCH(K78,'Dictionary Subcategories'!$B$2:$B$70,0))</f>
        <v>3</v>
      </c>
      <c r="K78" s="2" t="s">
        <v>1229</v>
      </c>
      <c r="L78" s="147"/>
      <c r="M78" s="77">
        <v>76</v>
      </c>
      <c r="O78" s="77">
        <f t="shared" si="1"/>
        <v>0</v>
      </c>
    </row>
    <row r="79" spans="1:15" x14ac:dyDescent="0.25">
      <c r="A79" s="83" t="str">
        <f>'ENIGHUR Consumption items'!H80</f>
        <v>01.1.3.025</v>
      </c>
      <c r="B79" s="116">
        <f>_xlfn.NUMBERVALUE(VLOOKUP(A79,'ENIGHUR Consumption items'!$H$2:$I$703,2,))</f>
        <v>113025</v>
      </c>
      <c r="C79" s="83" t="str">
        <f>'ENIGHUR Consumption items'!J80</f>
        <v>Robalo</v>
      </c>
      <c r="D79" s="124">
        <v>71</v>
      </c>
      <c r="E79" s="91" t="str">
        <f>IFERROR(VLOOKUP(D79,'symmetric IOT 245 2012'!$C$6:$D$276,2,FALSE),"")</f>
        <v>Pescado vivo, fresco o refrigerado (excepto atún)</v>
      </c>
      <c r="F79" s="97"/>
      <c r="H79" s="77">
        <f>INDEX('Dictionary Categories'!$A$2:$A$30,MATCH(I79,'Dictionary Categories'!$B$2:$B$30,0))</f>
        <v>1</v>
      </c>
      <c r="I79" s="2" t="s">
        <v>2470</v>
      </c>
      <c r="J79" s="2">
        <f>INDEX('Dictionary Subcategories'!$A$2:$A$70,MATCH(K79,'Dictionary Subcategories'!$B$2:$B$70,0))</f>
        <v>3</v>
      </c>
      <c r="K79" s="2" t="s">
        <v>1229</v>
      </c>
      <c r="L79" s="147"/>
      <c r="M79" s="77">
        <v>77</v>
      </c>
      <c r="O79" s="77">
        <f t="shared" si="1"/>
        <v>0</v>
      </c>
    </row>
    <row r="80" spans="1:15" x14ac:dyDescent="0.25">
      <c r="A80" s="83" t="str">
        <f>'ENIGHUR Consumption items'!H81</f>
        <v>01.1.3.026</v>
      </c>
      <c r="B80" s="116">
        <f>_xlfn.NUMBERVALUE(VLOOKUP(A80,'ENIGHUR Consumption items'!$H$2:$I$703,2,))</f>
        <v>113026</v>
      </c>
      <c r="C80" s="83" t="str">
        <f>'ENIGHUR Consumption items'!J81</f>
        <v>Pampanito</v>
      </c>
      <c r="D80" s="124">
        <v>71</v>
      </c>
      <c r="E80" s="91" t="str">
        <f>IFERROR(VLOOKUP(D80,'symmetric IOT 245 2012'!$C$6:$D$276,2,FALSE),"")</f>
        <v>Pescado vivo, fresco o refrigerado (excepto atún)</v>
      </c>
      <c r="F80" s="97"/>
      <c r="H80" s="77">
        <f>INDEX('Dictionary Categories'!$A$2:$A$30,MATCH(I80,'Dictionary Categories'!$B$2:$B$30,0))</f>
        <v>1</v>
      </c>
      <c r="I80" s="2" t="s">
        <v>2470</v>
      </c>
      <c r="J80" s="2">
        <f>INDEX('Dictionary Subcategories'!$A$2:$A$70,MATCH(K80,'Dictionary Subcategories'!$B$2:$B$70,0))</f>
        <v>3</v>
      </c>
      <c r="K80" s="2" t="s">
        <v>1229</v>
      </c>
      <c r="L80" s="147"/>
      <c r="M80" s="77">
        <v>78</v>
      </c>
      <c r="O80" s="77">
        <f t="shared" si="1"/>
        <v>0</v>
      </c>
    </row>
    <row r="81" spans="1:15" x14ac:dyDescent="0.25">
      <c r="A81" s="83" t="str">
        <f>'ENIGHUR Consumption items'!H82</f>
        <v>01.1.3.027</v>
      </c>
      <c r="B81" s="116">
        <f>_xlfn.NUMBERVALUE(VLOOKUP(A81,'ENIGHUR Consumption items'!$H$2:$I$703,2,))</f>
        <v>113027</v>
      </c>
      <c r="C81" s="83" t="str">
        <f>'ENIGHUR Consumption items'!J82</f>
        <v>Pescados de otras variedades (hojitas, caritas, etc.)</v>
      </c>
      <c r="D81" s="124">
        <v>71</v>
      </c>
      <c r="E81" s="91" t="str">
        <f>IFERROR(VLOOKUP(D81,'symmetric IOT 245 2012'!$C$6:$D$276,2,FALSE),"")</f>
        <v>Pescado vivo, fresco o refrigerado (excepto atún)</v>
      </c>
      <c r="F81" s="97"/>
      <c r="H81" s="77">
        <f>INDEX('Dictionary Categories'!$A$2:$A$30,MATCH(I81,'Dictionary Categories'!$B$2:$B$30,0))</f>
        <v>1</v>
      </c>
      <c r="I81" s="2" t="s">
        <v>2470</v>
      </c>
      <c r="J81" s="2">
        <f>INDEX('Dictionary Subcategories'!$A$2:$A$70,MATCH(K81,'Dictionary Subcategories'!$B$2:$B$70,0))</f>
        <v>3</v>
      </c>
      <c r="K81" s="2" t="s">
        <v>1229</v>
      </c>
      <c r="L81" s="147"/>
      <c r="M81" s="77">
        <v>79</v>
      </c>
      <c r="O81" s="77">
        <f t="shared" si="1"/>
        <v>0</v>
      </c>
    </row>
    <row r="82" spans="1:15" x14ac:dyDescent="0.25">
      <c r="A82" s="83" t="str">
        <f>'ENIGHUR Consumption items'!H83</f>
        <v>01.1.3.099</v>
      </c>
      <c r="B82" s="116">
        <f>_xlfn.NUMBERVALUE(VLOOKUP(A82,'ENIGHUR Consumption items'!$H$2:$I$703,2,))</f>
        <v>113099</v>
      </c>
      <c r="C82" s="83" t="str">
        <f>'ENIGHUR Consumption items'!J83</f>
        <v>Otros pescados frescos refrigerados y congelados</v>
      </c>
      <c r="D82" s="124">
        <v>71</v>
      </c>
      <c r="E82" s="91" t="str">
        <f>IFERROR(VLOOKUP(D82,'symmetric IOT 245 2012'!$C$6:$D$276,2,FALSE),"")</f>
        <v>Pescado vivo, fresco o refrigerado (excepto atún)</v>
      </c>
      <c r="F82" s="97"/>
      <c r="H82" s="77">
        <f>INDEX('Dictionary Categories'!$A$2:$A$30,MATCH(I82,'Dictionary Categories'!$B$2:$B$30,0))</f>
        <v>1</v>
      </c>
      <c r="I82" s="2" t="s">
        <v>2470</v>
      </c>
      <c r="J82" s="2">
        <f>INDEX('Dictionary Subcategories'!$A$2:$A$70,MATCH(K82,'Dictionary Subcategories'!$B$2:$B$70,0))</f>
        <v>3</v>
      </c>
      <c r="K82" s="2" t="s">
        <v>1229</v>
      </c>
      <c r="L82" s="147"/>
      <c r="M82" s="77">
        <v>80</v>
      </c>
      <c r="O82" s="77">
        <f t="shared" si="1"/>
        <v>0</v>
      </c>
    </row>
    <row r="83" spans="1:15" x14ac:dyDescent="0.25">
      <c r="A83" s="83" t="str">
        <f>'ENIGHUR Consumption items'!H84</f>
        <v>01.1.3.100</v>
      </c>
      <c r="B83" s="116">
        <f>_xlfn.NUMBERVALUE(VLOOKUP(A83,'ENIGHUR Consumption items'!$H$2:$I$703,2,))</f>
        <v>113100</v>
      </c>
      <c r="C83" s="83" t="str">
        <f>'ENIGHUR Consumption items'!J84</f>
        <v>Pescados procesados y preparados</v>
      </c>
      <c r="D83" s="124">
        <v>92</v>
      </c>
      <c r="E83" s="91" t="str">
        <f>IFERROR(VLOOKUP(D83,'symmetric IOT 245 2012'!$C$6:$D$276,2,FALSE),"")</f>
        <v>Preparados y conservas de pescado y de otras especies acuáticas</v>
      </c>
      <c r="F83" s="80"/>
      <c r="H83" s="77">
        <f>INDEX('Dictionary Categories'!$A$2:$A$30,MATCH(I83,'Dictionary Categories'!$B$2:$B$30,0))</f>
        <v>1</v>
      </c>
      <c r="I83" s="2" t="s">
        <v>2470</v>
      </c>
      <c r="J83" s="2">
        <f>INDEX('Dictionary Subcategories'!$A$2:$A$70,MATCH(K83,'Dictionary Subcategories'!$B$2:$B$70,0))</f>
        <v>3</v>
      </c>
      <c r="K83" s="2" t="s">
        <v>1229</v>
      </c>
      <c r="L83" s="147"/>
      <c r="M83" s="77">
        <v>81</v>
      </c>
      <c r="O83" s="77">
        <f t="shared" si="1"/>
        <v>0</v>
      </c>
    </row>
    <row r="84" spans="1:15" x14ac:dyDescent="0.25">
      <c r="A84" s="83" t="str">
        <f>'ENIGHUR Consumption items'!H85</f>
        <v>01.1.3.101</v>
      </c>
      <c r="B84" s="116">
        <f>_xlfn.NUMBERVALUE(VLOOKUP(A84,'ENIGHUR Consumption items'!$H$2:$I$703,2,))</f>
        <v>113101</v>
      </c>
      <c r="C84" s="83" t="str">
        <f>'ENIGHUR Consumption items'!J85</f>
        <v>Atún con champiñones</v>
      </c>
      <c r="D84" s="124">
        <v>92</v>
      </c>
      <c r="E84" s="91" t="str">
        <f>IFERROR(VLOOKUP(D84,'symmetric IOT 245 2012'!$C$6:$D$276,2,FALSE),"")</f>
        <v>Preparados y conservas de pescado y de otras especies acuáticas</v>
      </c>
      <c r="F84" s="80"/>
      <c r="H84" s="77">
        <f>INDEX('Dictionary Categories'!$A$2:$A$30,MATCH(I84,'Dictionary Categories'!$B$2:$B$30,0))</f>
        <v>1</v>
      </c>
      <c r="I84" s="2" t="s">
        <v>2470</v>
      </c>
      <c r="J84" s="2">
        <f>INDEX('Dictionary Subcategories'!$A$2:$A$70,MATCH(K84,'Dictionary Subcategories'!$B$2:$B$70,0))</f>
        <v>3</v>
      </c>
      <c r="K84" s="2" t="s">
        <v>1229</v>
      </c>
      <c r="L84" s="147"/>
      <c r="M84" s="77">
        <v>82</v>
      </c>
      <c r="O84" s="77">
        <f t="shared" si="1"/>
        <v>0</v>
      </c>
    </row>
    <row r="85" spans="1:15" x14ac:dyDescent="0.25">
      <c r="A85" s="83" t="str">
        <f>'ENIGHUR Consumption items'!H86</f>
        <v>01.1.3.102</v>
      </c>
      <c r="B85" s="116">
        <f>_xlfn.NUMBERVALUE(VLOOKUP(A85,'ENIGHUR Consumption items'!$H$2:$I$703,2,))</f>
        <v>113102</v>
      </c>
      <c r="C85" s="83" t="str">
        <f>'ENIGHUR Consumption items'!J86</f>
        <v>Atún con ensalada</v>
      </c>
      <c r="D85" s="124">
        <v>92</v>
      </c>
      <c r="E85" s="91" t="str">
        <f>IFERROR(VLOOKUP(D85,'symmetric IOT 245 2012'!$C$6:$D$276,2,FALSE),"")</f>
        <v>Preparados y conservas de pescado y de otras especies acuáticas</v>
      </c>
      <c r="F85" s="80"/>
      <c r="H85" s="77">
        <f>INDEX('Dictionary Categories'!$A$2:$A$30,MATCH(I85,'Dictionary Categories'!$B$2:$B$30,0))</f>
        <v>1</v>
      </c>
      <c r="I85" s="2" t="s">
        <v>2470</v>
      </c>
      <c r="J85" s="2">
        <f>INDEX('Dictionary Subcategories'!$A$2:$A$70,MATCH(K85,'Dictionary Subcategories'!$B$2:$B$70,0))</f>
        <v>3</v>
      </c>
      <c r="K85" s="2" t="s">
        <v>1229</v>
      </c>
      <c r="L85" s="147"/>
      <c r="M85" s="77">
        <v>83</v>
      </c>
      <c r="O85" s="77">
        <f t="shared" si="1"/>
        <v>0</v>
      </c>
    </row>
    <row r="86" spans="1:15" x14ac:dyDescent="0.25">
      <c r="A86" s="83" t="str">
        <f>'ENIGHUR Consumption items'!H87</f>
        <v>01.1.3.103</v>
      </c>
      <c r="B86" s="116">
        <f>_xlfn.NUMBERVALUE(VLOOKUP(A86,'ENIGHUR Consumption items'!$H$2:$I$703,2,))</f>
        <v>113103</v>
      </c>
      <c r="C86" s="83" t="str">
        <f>'ENIGHUR Consumption items'!J87</f>
        <v>Atún en aceite de oliva</v>
      </c>
      <c r="D86" s="124">
        <v>92</v>
      </c>
      <c r="E86" s="91" t="str">
        <f>IFERROR(VLOOKUP(D86,'symmetric IOT 245 2012'!$C$6:$D$276,2,FALSE),"")</f>
        <v>Preparados y conservas de pescado y de otras especies acuáticas</v>
      </c>
      <c r="F86" s="80"/>
      <c r="H86" s="77">
        <f>INDEX('Dictionary Categories'!$A$2:$A$30,MATCH(I86,'Dictionary Categories'!$B$2:$B$30,0))</f>
        <v>1</v>
      </c>
      <c r="I86" s="2" t="s">
        <v>2470</v>
      </c>
      <c r="J86" s="2">
        <f>INDEX('Dictionary Subcategories'!$A$2:$A$70,MATCH(K86,'Dictionary Subcategories'!$B$2:$B$70,0))</f>
        <v>3</v>
      </c>
      <c r="K86" s="2" t="s">
        <v>1229</v>
      </c>
      <c r="L86" s="147"/>
      <c r="M86" s="77">
        <v>84</v>
      </c>
      <c r="O86" s="77">
        <f t="shared" si="1"/>
        <v>0</v>
      </c>
    </row>
    <row r="87" spans="1:15" x14ac:dyDescent="0.25">
      <c r="A87" s="83" t="str">
        <f>'ENIGHUR Consumption items'!H88</f>
        <v>01.1.3.104</v>
      </c>
      <c r="B87" s="116">
        <f>_xlfn.NUMBERVALUE(VLOOKUP(A87,'ENIGHUR Consumption items'!$H$2:$I$703,2,))</f>
        <v>113104</v>
      </c>
      <c r="C87" s="83" t="str">
        <f>'ENIGHUR Consumption items'!J88</f>
        <v>Atún en aceite vegetal</v>
      </c>
      <c r="D87" s="124">
        <v>92</v>
      </c>
      <c r="E87" s="91" t="str">
        <f>IFERROR(VLOOKUP(D87,'symmetric IOT 245 2012'!$C$6:$D$276,2,FALSE),"")</f>
        <v>Preparados y conservas de pescado y de otras especies acuáticas</v>
      </c>
      <c r="F87" s="80"/>
      <c r="H87" s="77">
        <f>INDEX('Dictionary Categories'!$A$2:$A$30,MATCH(I87,'Dictionary Categories'!$B$2:$B$30,0))</f>
        <v>1</v>
      </c>
      <c r="I87" s="2" t="s">
        <v>2470</v>
      </c>
      <c r="J87" s="2">
        <f>INDEX('Dictionary Subcategories'!$A$2:$A$70,MATCH(K87,'Dictionary Subcategories'!$B$2:$B$70,0))</f>
        <v>3</v>
      </c>
      <c r="K87" s="2" t="s">
        <v>1229</v>
      </c>
      <c r="L87" s="147"/>
      <c r="M87" s="77">
        <v>85</v>
      </c>
      <c r="O87" s="77">
        <f t="shared" si="1"/>
        <v>0</v>
      </c>
    </row>
    <row r="88" spans="1:15" x14ac:dyDescent="0.25">
      <c r="A88" s="83" t="str">
        <f>'ENIGHUR Consumption items'!H89</f>
        <v>01.1.3.105</v>
      </c>
      <c r="B88" s="116">
        <f>_xlfn.NUMBERVALUE(VLOOKUP(A88,'ENIGHUR Consumption items'!$H$2:$I$703,2,))</f>
        <v>113105</v>
      </c>
      <c r="C88" s="83" t="str">
        <f>'ENIGHUR Consumption items'!J89</f>
        <v>Atún en agua</v>
      </c>
      <c r="D88" s="124">
        <v>92</v>
      </c>
      <c r="E88" s="91" t="str">
        <f>IFERROR(VLOOKUP(D88,'symmetric IOT 245 2012'!$C$6:$D$276,2,FALSE),"")</f>
        <v>Preparados y conservas de pescado y de otras especies acuáticas</v>
      </c>
      <c r="F88" s="80"/>
      <c r="H88" s="77">
        <f>INDEX('Dictionary Categories'!$A$2:$A$30,MATCH(I88,'Dictionary Categories'!$B$2:$B$30,0))</f>
        <v>1</v>
      </c>
      <c r="I88" s="2" t="s">
        <v>2470</v>
      </c>
      <c r="J88" s="2">
        <f>INDEX('Dictionary Subcategories'!$A$2:$A$70,MATCH(K88,'Dictionary Subcategories'!$B$2:$B$70,0))</f>
        <v>3</v>
      </c>
      <c r="K88" s="2" t="s">
        <v>1229</v>
      </c>
      <c r="L88" s="147"/>
      <c r="M88" s="77">
        <v>86</v>
      </c>
      <c r="O88" s="77">
        <f t="shared" si="1"/>
        <v>0</v>
      </c>
    </row>
    <row r="89" spans="1:15" x14ac:dyDescent="0.25">
      <c r="A89" s="83" t="str">
        <f>'ENIGHUR Consumption items'!H90</f>
        <v>01.1.3.106</v>
      </c>
      <c r="B89" s="116">
        <f>_xlfn.NUMBERVALUE(VLOOKUP(A89,'ENIGHUR Consumption items'!$H$2:$I$703,2,))</f>
        <v>113106</v>
      </c>
      <c r="C89" s="83" t="str">
        <f>'ENIGHUR Consumption items'!J90</f>
        <v>Caviar y otras huevas</v>
      </c>
      <c r="D89" s="124">
        <v>92</v>
      </c>
      <c r="E89" s="91" t="str">
        <f>IFERROR(VLOOKUP(D89,'symmetric IOT 245 2012'!$C$6:$D$276,2,FALSE),"")</f>
        <v>Preparados y conservas de pescado y de otras especies acuáticas</v>
      </c>
      <c r="F89" s="80"/>
      <c r="H89" s="77">
        <f>INDEX('Dictionary Categories'!$A$2:$A$30,MATCH(I89,'Dictionary Categories'!$B$2:$B$30,0))</f>
        <v>1</v>
      </c>
      <c r="I89" s="2" t="s">
        <v>2470</v>
      </c>
      <c r="J89" s="2">
        <f>INDEX('Dictionary Subcategories'!$A$2:$A$70,MATCH(K89,'Dictionary Subcategories'!$B$2:$B$70,0))</f>
        <v>3</v>
      </c>
      <c r="K89" s="2" t="s">
        <v>1229</v>
      </c>
      <c r="L89" s="147"/>
      <c r="M89" s="77">
        <v>87</v>
      </c>
      <c r="O89" s="77">
        <f t="shared" si="1"/>
        <v>0</v>
      </c>
    </row>
    <row r="90" spans="1:15" x14ac:dyDescent="0.25">
      <c r="A90" s="83" t="str">
        <f>'ENIGHUR Consumption items'!H91</f>
        <v>01.1.3.107</v>
      </c>
      <c r="B90" s="116">
        <f>_xlfn.NUMBERVALUE(VLOOKUP(A90,'ENIGHUR Consumption items'!$H$2:$I$703,2,))</f>
        <v>113107</v>
      </c>
      <c r="C90" s="83" t="str">
        <f>'ENIGHUR Consumption items'!J91</f>
        <v>Pescado seco</v>
      </c>
      <c r="D90" s="124">
        <v>89</v>
      </c>
      <c r="E90" s="91" t="str">
        <f>IFERROR(VLOOKUP(D90,'symmetric IOT 245 2012'!$C$6:$D$276,2,FALSE),"")</f>
        <v>Pescado congelado, seco o salado; filetes de pescado</v>
      </c>
      <c r="F90" s="80"/>
      <c r="H90" s="77">
        <f>INDEX('Dictionary Categories'!$A$2:$A$30,MATCH(I90,'Dictionary Categories'!$B$2:$B$30,0))</f>
        <v>1</v>
      </c>
      <c r="I90" s="2" t="s">
        <v>2470</v>
      </c>
      <c r="J90" s="2">
        <f>INDEX('Dictionary Subcategories'!$A$2:$A$70,MATCH(K90,'Dictionary Subcategories'!$B$2:$B$70,0))</f>
        <v>3</v>
      </c>
      <c r="K90" s="2" t="s">
        <v>1229</v>
      </c>
      <c r="L90" s="147"/>
      <c r="M90" s="77">
        <v>88</v>
      </c>
      <c r="O90" s="77">
        <f t="shared" si="1"/>
        <v>0</v>
      </c>
    </row>
    <row r="91" spans="1:15" x14ac:dyDescent="0.25">
      <c r="A91" s="83" t="str">
        <f>'ENIGHUR Consumption items'!H92</f>
        <v>01.1.3.108</v>
      </c>
      <c r="B91" s="116">
        <f>_xlfn.NUMBERVALUE(VLOOKUP(A91,'ENIGHUR Consumption items'!$H$2:$I$703,2,))</f>
        <v>113108</v>
      </c>
      <c r="C91" s="83" t="str">
        <f>'ENIGHUR Consumption items'!J92</f>
        <v>Pescados ahumados o salados</v>
      </c>
      <c r="D91" s="124">
        <v>89</v>
      </c>
      <c r="E91" s="91" t="str">
        <f>IFERROR(VLOOKUP(D91,'symmetric IOT 245 2012'!$C$6:$D$276,2,FALSE),"")</f>
        <v>Pescado congelado, seco o salado; filetes de pescado</v>
      </c>
      <c r="F91" s="80"/>
      <c r="H91" s="77">
        <f>INDEX('Dictionary Categories'!$A$2:$A$30,MATCH(I91,'Dictionary Categories'!$B$2:$B$30,0))</f>
        <v>1</v>
      </c>
      <c r="I91" s="2" t="s">
        <v>2470</v>
      </c>
      <c r="J91" s="2">
        <f>INDEX('Dictionary Subcategories'!$A$2:$A$70,MATCH(K91,'Dictionary Subcategories'!$B$2:$B$70,0))</f>
        <v>3</v>
      </c>
      <c r="K91" s="2" t="s">
        <v>1229</v>
      </c>
      <c r="L91" s="147"/>
      <c r="M91" s="77">
        <v>89</v>
      </c>
      <c r="O91" s="77">
        <f t="shared" si="1"/>
        <v>0</v>
      </c>
    </row>
    <row r="92" spans="1:15" x14ac:dyDescent="0.25">
      <c r="A92" s="83" t="str">
        <f>'ENIGHUR Consumption items'!H93</f>
        <v>01.1.3.109</v>
      </c>
      <c r="B92" s="116">
        <f>_xlfn.NUMBERVALUE(VLOOKUP(A92,'ENIGHUR Consumption items'!$H$2:$I$703,2,))</f>
        <v>113109</v>
      </c>
      <c r="C92" s="83" t="str">
        <f>'ENIGHUR Consumption items'!J93</f>
        <v>Sardinas en aceite</v>
      </c>
      <c r="D92" s="124">
        <v>92</v>
      </c>
      <c r="E92" s="91" t="str">
        <f>IFERROR(VLOOKUP(D92,'symmetric IOT 245 2012'!$C$6:$D$276,2,FALSE),"")</f>
        <v>Preparados y conservas de pescado y de otras especies acuáticas</v>
      </c>
      <c r="F92" s="80"/>
      <c r="H92" s="77">
        <f>INDEX('Dictionary Categories'!$A$2:$A$30,MATCH(I92,'Dictionary Categories'!$B$2:$B$30,0))</f>
        <v>1</v>
      </c>
      <c r="I92" s="2" t="s">
        <v>2470</v>
      </c>
      <c r="J92" s="2">
        <f>INDEX('Dictionary Subcategories'!$A$2:$A$70,MATCH(K92,'Dictionary Subcategories'!$B$2:$B$70,0))</f>
        <v>3</v>
      </c>
      <c r="K92" s="2" t="s">
        <v>1229</v>
      </c>
      <c r="L92" s="147"/>
      <c r="M92" s="77">
        <v>90</v>
      </c>
      <c r="O92" s="77">
        <f t="shared" si="1"/>
        <v>0</v>
      </c>
    </row>
    <row r="93" spans="1:15" x14ac:dyDescent="0.25">
      <c r="A93" s="83" t="str">
        <f>'ENIGHUR Consumption items'!H94</f>
        <v>01.1.3.110</v>
      </c>
      <c r="B93" s="116">
        <f>_xlfn.NUMBERVALUE(VLOOKUP(A93,'ENIGHUR Consumption items'!$H$2:$I$703,2,))</f>
        <v>113110</v>
      </c>
      <c r="C93" s="83" t="str">
        <f>'ENIGHUR Consumption items'!J94</f>
        <v>Sardinas en salsa de tomate</v>
      </c>
      <c r="D93" s="124">
        <v>92</v>
      </c>
      <c r="E93" s="91" t="str">
        <f>IFERROR(VLOOKUP(D93,'symmetric IOT 245 2012'!$C$6:$D$276,2,FALSE),"")</f>
        <v>Preparados y conservas de pescado y de otras especies acuáticas</v>
      </c>
      <c r="F93" s="80"/>
      <c r="H93" s="77">
        <f>INDEX('Dictionary Categories'!$A$2:$A$30,MATCH(I93,'Dictionary Categories'!$B$2:$B$30,0))</f>
        <v>1</v>
      </c>
      <c r="I93" s="2" t="s">
        <v>2470</v>
      </c>
      <c r="J93" s="2">
        <f>INDEX('Dictionary Subcategories'!$A$2:$A$70,MATCH(K93,'Dictionary Subcategories'!$B$2:$B$70,0))</f>
        <v>3</v>
      </c>
      <c r="K93" s="2" t="s">
        <v>1229</v>
      </c>
      <c r="L93" s="147"/>
      <c r="M93" s="77">
        <v>91</v>
      </c>
      <c r="O93" s="77">
        <f t="shared" si="1"/>
        <v>0</v>
      </c>
    </row>
    <row r="94" spans="1:15" x14ac:dyDescent="0.25">
      <c r="A94" s="83" t="str">
        <f>'ENIGHUR Consumption items'!H95</f>
        <v>01.1.3.111</v>
      </c>
      <c r="B94" s="116">
        <f>_xlfn.NUMBERVALUE(VLOOKUP(A94,'ENIGHUR Consumption items'!$H$2:$I$703,2,))</f>
        <v>113111</v>
      </c>
      <c r="C94" s="83" t="str">
        <f>'ENIGHUR Consumption items'!J95</f>
        <v>Tartas de pescado</v>
      </c>
      <c r="D94" s="124">
        <v>92</v>
      </c>
      <c r="E94" s="91" t="str">
        <f>IFERROR(VLOOKUP(D94,'symmetric IOT 245 2012'!$C$6:$D$276,2,FALSE),"")</f>
        <v>Preparados y conservas de pescado y de otras especies acuáticas</v>
      </c>
      <c r="F94" s="80"/>
      <c r="H94" s="77">
        <f>INDEX('Dictionary Categories'!$A$2:$A$30,MATCH(I94,'Dictionary Categories'!$B$2:$B$30,0))</f>
        <v>1</v>
      </c>
      <c r="I94" s="2" t="s">
        <v>2470</v>
      </c>
      <c r="J94" s="2">
        <f>INDEX('Dictionary Subcategories'!$A$2:$A$70,MATCH(K94,'Dictionary Subcategories'!$B$2:$B$70,0))</f>
        <v>3</v>
      </c>
      <c r="K94" s="2" t="s">
        <v>1229</v>
      </c>
      <c r="L94" s="147"/>
      <c r="M94" s="77">
        <v>92</v>
      </c>
      <c r="O94" s="77">
        <f t="shared" si="1"/>
        <v>0</v>
      </c>
    </row>
    <row r="95" spans="1:15" x14ac:dyDescent="0.25">
      <c r="A95" s="83" t="str">
        <f>'ENIGHUR Consumption items'!H96</f>
        <v>01.1.3.199</v>
      </c>
      <c r="B95" s="116">
        <f>_xlfn.NUMBERVALUE(VLOOKUP(A95,'ENIGHUR Consumption items'!$H$2:$I$703,2,))</f>
        <v>113199</v>
      </c>
      <c r="C95" s="83" t="str">
        <f>'ENIGHUR Consumption items'!J96</f>
        <v>Oros pescados procesados y preparad</v>
      </c>
      <c r="D95" s="124">
        <v>92</v>
      </c>
      <c r="E95" s="91" t="str">
        <f>IFERROR(VLOOKUP(D95,'symmetric IOT 245 2012'!$C$6:$D$276,2,FALSE),"")</f>
        <v>Preparados y conservas de pescado y de otras especies acuáticas</v>
      </c>
      <c r="F95" s="80"/>
      <c r="H95" s="77">
        <f>INDEX('Dictionary Categories'!$A$2:$A$30,MATCH(I95,'Dictionary Categories'!$B$2:$B$30,0))</f>
        <v>1</v>
      </c>
      <c r="I95" s="2" t="s">
        <v>2470</v>
      </c>
      <c r="J95" s="2">
        <f>INDEX('Dictionary Subcategories'!$A$2:$A$70,MATCH(K95,'Dictionary Subcategories'!$B$2:$B$70,0))</f>
        <v>3</v>
      </c>
      <c r="K95" s="2" t="s">
        <v>1229</v>
      </c>
      <c r="L95" s="147"/>
      <c r="M95" s="77">
        <v>93</v>
      </c>
      <c r="O95" s="77">
        <f t="shared" si="1"/>
        <v>0</v>
      </c>
    </row>
    <row r="96" spans="1:15" x14ac:dyDescent="0.25">
      <c r="A96" s="83" t="str">
        <f>'ENIGHUR Consumption items'!H97</f>
        <v>01.1.3.200</v>
      </c>
      <c r="B96" s="116">
        <f>_xlfn.NUMBERVALUE(VLOOKUP(A96,'ENIGHUR Consumption items'!$H$2:$I$703,2,))</f>
        <v>113200</v>
      </c>
      <c r="C96" s="83" t="str">
        <f>'ENIGHUR Consumption items'!J97</f>
        <v>Mariscos frescos, refrigerados, congelados</v>
      </c>
      <c r="D96" s="124">
        <v>69</v>
      </c>
      <c r="E96" s="91" t="str">
        <f>IFERROR(VLOOKUP(D96,'symmetric IOT 245 2012'!$C$6:$D$276,2,FALSE),"")</f>
        <v>Camarón vivo o fresco</v>
      </c>
      <c r="G96" s="80" t="s">
        <v>1562</v>
      </c>
      <c r="H96" s="77">
        <f>INDEX('Dictionary Categories'!$A$2:$A$30,MATCH(I96,'Dictionary Categories'!$B$2:$B$30,0))</f>
        <v>1</v>
      </c>
      <c r="I96" s="2" t="s">
        <v>2470</v>
      </c>
      <c r="J96" s="2">
        <f>INDEX('Dictionary Subcategories'!$A$2:$A$70,MATCH(K96,'Dictionary Subcategories'!$B$2:$B$70,0))</f>
        <v>3</v>
      </c>
      <c r="K96" s="2" t="s">
        <v>1229</v>
      </c>
      <c r="L96" s="147"/>
      <c r="M96" s="77">
        <v>94</v>
      </c>
      <c r="O96" s="77">
        <f t="shared" si="1"/>
        <v>0</v>
      </c>
    </row>
    <row r="97" spans="1:15" x14ac:dyDescent="0.25">
      <c r="A97" s="83" t="str">
        <f>'ENIGHUR Consumption items'!H98</f>
        <v>01.1.3.300</v>
      </c>
      <c r="B97" s="116">
        <f>_xlfn.NUMBERVALUE(VLOOKUP(A97,'ENIGHUR Consumption items'!$H$2:$I$703,2,))</f>
        <v>113300</v>
      </c>
      <c r="C97" s="83" t="str">
        <f>'ENIGHUR Consumption items'!J98</f>
        <v>Mariscos procesados y preparados</v>
      </c>
      <c r="D97" s="124">
        <v>88</v>
      </c>
      <c r="E97" s="91" t="str">
        <f>IFERROR(VLOOKUP(D97,'symmetric IOT 245 2012'!$C$6:$D$276,2,FALSE),"")</f>
        <v>Camarón elaborado</v>
      </c>
      <c r="G97" s="80" t="s">
        <v>1562</v>
      </c>
      <c r="H97" s="77">
        <f>INDEX('Dictionary Categories'!$A$2:$A$30,MATCH(I97,'Dictionary Categories'!$B$2:$B$30,0))</f>
        <v>1</v>
      </c>
      <c r="I97" s="2" t="s">
        <v>2470</v>
      </c>
      <c r="J97" s="2">
        <f>INDEX('Dictionary Subcategories'!$A$2:$A$70,MATCH(K97,'Dictionary Subcategories'!$B$2:$B$70,0))</f>
        <v>3</v>
      </c>
      <c r="K97" s="2" t="s">
        <v>1229</v>
      </c>
      <c r="L97" s="147"/>
      <c r="M97" s="77">
        <v>95</v>
      </c>
      <c r="O97" s="77">
        <f t="shared" si="1"/>
        <v>0</v>
      </c>
    </row>
    <row r="98" spans="1:15" x14ac:dyDescent="0.25">
      <c r="A98" s="83" t="str">
        <f>'ENIGHUR Consumption items'!H99</f>
        <v>01.1.4</v>
      </c>
      <c r="B98" s="116">
        <f>_xlfn.NUMBERVALUE(VLOOKUP(A98,'ENIGHUR Consumption items'!$H$2:$I$703,2,))</f>
        <v>114</v>
      </c>
      <c r="C98" s="83" t="str">
        <f>'ENIGHUR Consumption items'!J99</f>
        <v xml:space="preserve">LECHE, YOGURT, QUESOS Y HUEVOS </v>
      </c>
      <c r="D98" s="125" t="s">
        <v>2389</v>
      </c>
      <c r="E98" s="91" t="str">
        <f>IFERROR(VLOOKUP(D98,'symmetric IOT 245 2012'!$C$6:$D$276,2,FALSE),"")</f>
        <v>matched on SC/SSC level</v>
      </c>
      <c r="F98" s="80"/>
      <c r="H98" s="77">
        <f>INDEX('Dictionary Categories'!$A$2:$A$30,MATCH(I98,'Dictionary Categories'!$B$2:$B$30,0))</f>
        <v>1</v>
      </c>
      <c r="I98" s="2" t="s">
        <v>2470</v>
      </c>
      <c r="J98" s="2">
        <f>INDEX('Dictionary Subcategories'!$A$2:$A$70,MATCH(K98,'Dictionary Subcategories'!$B$2:$B$70,0))</f>
        <v>4</v>
      </c>
      <c r="K98" s="2" t="s">
        <v>1230</v>
      </c>
      <c r="L98" s="147"/>
      <c r="M98" s="77">
        <v>96</v>
      </c>
      <c r="O98" s="77">
        <f t="shared" si="1"/>
        <v>1</v>
      </c>
    </row>
    <row r="99" spans="1:15" x14ac:dyDescent="0.25">
      <c r="A99" s="83" t="str">
        <f>'ENIGHUR Consumption items'!H100</f>
        <v>01.1.4.000</v>
      </c>
      <c r="B99" s="116">
        <f>_xlfn.NUMBERVALUE(VLOOKUP(A99,'ENIGHUR Consumption items'!$H$2:$I$703,2,))</f>
        <v>114000</v>
      </c>
      <c r="C99" s="83" t="str">
        <f>'ENIGHUR Consumption items'!J100</f>
        <v>Leche Líquida</v>
      </c>
      <c r="D99" s="124">
        <v>98</v>
      </c>
      <c r="E99" s="91" t="str">
        <f>IFERROR(VLOOKUP(D99,'symmetric IOT 245 2012'!$C$6:$D$276,2,FALSE),"")</f>
        <v>Leche elaborada</v>
      </c>
      <c r="H99" s="77">
        <f>INDEX('Dictionary Categories'!$A$2:$A$30,MATCH(I99,'Dictionary Categories'!$B$2:$B$30,0))</f>
        <v>1</v>
      </c>
      <c r="I99" s="2" t="s">
        <v>2470</v>
      </c>
      <c r="J99" s="2">
        <f>INDEX('Dictionary Subcategories'!$A$2:$A$70,MATCH(K99,'Dictionary Subcategories'!$B$2:$B$70,0))</f>
        <v>4</v>
      </c>
      <c r="K99" s="2" t="s">
        <v>1230</v>
      </c>
      <c r="L99" s="147"/>
      <c r="M99" s="77">
        <v>97</v>
      </c>
      <c r="O99" s="77">
        <f t="shared" si="1"/>
        <v>0</v>
      </c>
    </row>
    <row r="100" spans="1:15" x14ac:dyDescent="0.25">
      <c r="A100" s="83" t="str">
        <f>'ENIGHUR Consumption items'!H101</f>
        <v>01.1.4.100</v>
      </c>
      <c r="B100" s="116">
        <f>_xlfn.NUMBERVALUE(VLOOKUP(A100,'ENIGHUR Consumption items'!$H$2:$I$703,2,))</f>
        <v>114100</v>
      </c>
      <c r="C100" s="83" t="str">
        <f>'ENIGHUR Consumption items'!J101</f>
        <v>Leche conservada</v>
      </c>
      <c r="D100" s="124">
        <v>98</v>
      </c>
      <c r="E100" s="91" t="str">
        <f>IFERROR(VLOOKUP(D100,'symmetric IOT 245 2012'!$C$6:$D$276,2,FALSE),"")</f>
        <v>Leche elaborada</v>
      </c>
      <c r="H100" s="77">
        <f>INDEX('Dictionary Categories'!$A$2:$A$30,MATCH(I100,'Dictionary Categories'!$B$2:$B$30,0))</f>
        <v>1</v>
      </c>
      <c r="I100" s="2" t="s">
        <v>2470</v>
      </c>
      <c r="J100" s="2">
        <f>INDEX('Dictionary Subcategories'!$A$2:$A$70,MATCH(K100,'Dictionary Subcategories'!$B$2:$B$70,0))</f>
        <v>4</v>
      </c>
      <c r="K100" s="2" t="s">
        <v>1230</v>
      </c>
      <c r="L100" s="147"/>
      <c r="M100" s="77">
        <v>98</v>
      </c>
      <c r="O100" s="77">
        <f t="shared" si="1"/>
        <v>0</v>
      </c>
    </row>
    <row r="101" spans="1:15" x14ac:dyDescent="0.25">
      <c r="A101" s="83" t="str">
        <f>'ENIGHUR Consumption items'!H102</f>
        <v>01.1.4.200</v>
      </c>
      <c r="B101" s="116">
        <f>_xlfn.NUMBERVALUE(VLOOKUP(A101,'ENIGHUR Consumption items'!$H$2:$I$703,2,))</f>
        <v>114200</v>
      </c>
      <c r="C101" s="83" t="str">
        <f>'ENIGHUR Consumption items'!J102</f>
        <v>Yogures</v>
      </c>
      <c r="D101" s="124">
        <v>99</v>
      </c>
      <c r="E101" s="91" t="str">
        <f>IFERROR(VLOOKUP(D101,'symmetric IOT 245 2012'!$C$6:$D$276,2,FALSE),"")</f>
        <v>Productos derivados de la leche</v>
      </c>
      <c r="H101" s="77">
        <f>INDEX('Dictionary Categories'!$A$2:$A$30,MATCH(I101,'Dictionary Categories'!$B$2:$B$30,0))</f>
        <v>1</v>
      </c>
      <c r="I101" s="2" t="s">
        <v>2470</v>
      </c>
      <c r="J101" s="2">
        <f>INDEX('Dictionary Subcategories'!$A$2:$A$70,MATCH(K101,'Dictionary Subcategories'!$B$2:$B$70,0))</f>
        <v>4</v>
      </c>
      <c r="K101" s="2" t="s">
        <v>1230</v>
      </c>
      <c r="L101" s="147"/>
      <c r="M101" s="77">
        <v>99</v>
      </c>
      <c r="O101" s="77">
        <f t="shared" si="1"/>
        <v>0</v>
      </c>
    </row>
    <row r="102" spans="1:15" x14ac:dyDescent="0.25">
      <c r="A102" s="83" t="str">
        <f>'ENIGHUR Consumption items'!H103</f>
        <v>01.1.4.300</v>
      </c>
      <c r="B102" s="116">
        <f>_xlfn.NUMBERVALUE(VLOOKUP(A102,'ENIGHUR Consumption items'!$H$2:$I$703,2,))</f>
        <v>114300</v>
      </c>
      <c r="C102" s="83" t="str">
        <f>'ENIGHUR Consumption items'!J103</f>
        <v>Quesos</v>
      </c>
      <c r="D102" s="124">
        <v>99</v>
      </c>
      <c r="E102" s="91" t="str">
        <f>IFERROR(VLOOKUP(D102,'symmetric IOT 245 2012'!$C$6:$D$276,2,FALSE),"")</f>
        <v>Productos derivados de la leche</v>
      </c>
      <c r="H102" s="77">
        <f>INDEX('Dictionary Categories'!$A$2:$A$30,MATCH(I102,'Dictionary Categories'!$B$2:$B$30,0))</f>
        <v>1</v>
      </c>
      <c r="I102" s="2" t="s">
        <v>2470</v>
      </c>
      <c r="J102" s="2">
        <f>INDEX('Dictionary Subcategories'!$A$2:$A$70,MATCH(K102,'Dictionary Subcategories'!$B$2:$B$70,0))</f>
        <v>4</v>
      </c>
      <c r="K102" s="2" t="s">
        <v>1230</v>
      </c>
      <c r="L102" s="147"/>
      <c r="M102" s="77">
        <v>100</v>
      </c>
      <c r="O102" s="77">
        <f t="shared" si="1"/>
        <v>0</v>
      </c>
    </row>
    <row r="103" spans="1:15" x14ac:dyDescent="0.25">
      <c r="A103" s="83" t="str">
        <f>'ENIGHUR Consumption items'!H104</f>
        <v>01.1.4.400</v>
      </c>
      <c r="B103" s="116">
        <f>_xlfn.NUMBERVALUE(VLOOKUP(A103,'ENIGHUR Consumption items'!$H$2:$I$703,2,))</f>
        <v>114400</v>
      </c>
      <c r="C103" s="83" t="str">
        <f>'ENIGHUR Consumption items'!J104</f>
        <v>Huevos</v>
      </c>
      <c r="D103" s="124">
        <v>61</v>
      </c>
      <c r="E103" s="91" t="str">
        <f>IFERROR(VLOOKUP(D103,'symmetric IOT 245 2012'!$C$6:$D$276,2,FALSE),"")</f>
        <v>Huevos</v>
      </c>
      <c r="H103" s="77">
        <f>INDEX('Dictionary Categories'!$A$2:$A$30,MATCH(I103,'Dictionary Categories'!$B$2:$B$30,0))</f>
        <v>1</v>
      </c>
      <c r="I103" s="2" t="s">
        <v>2470</v>
      </c>
      <c r="J103" s="2">
        <f>INDEX('Dictionary Subcategories'!$A$2:$A$70,MATCH(K103,'Dictionary Subcategories'!$B$2:$B$70,0))</f>
        <v>4</v>
      </c>
      <c r="K103" s="2" t="s">
        <v>1230</v>
      </c>
      <c r="L103" s="147"/>
      <c r="M103" s="77">
        <v>101</v>
      </c>
      <c r="O103" s="77">
        <f t="shared" si="1"/>
        <v>0</v>
      </c>
    </row>
    <row r="104" spans="1:15" x14ac:dyDescent="0.25">
      <c r="A104" s="83" t="str">
        <f>'ENIGHUR Consumption items'!H105</f>
        <v>01.1.5</v>
      </c>
      <c r="B104" s="116">
        <f>_xlfn.NUMBERVALUE(VLOOKUP(A104,'ENIGHUR Consumption items'!$H$2:$I$703,2,))</f>
        <v>115</v>
      </c>
      <c r="C104" s="83" t="str">
        <f>'ENIGHUR Consumption items'!J105</f>
        <v xml:space="preserve">ACEITES Y GRASAS </v>
      </c>
      <c r="D104" s="125" t="s">
        <v>2389</v>
      </c>
      <c r="E104" s="91" t="str">
        <f>IFERROR(VLOOKUP(D104,'symmetric IOT 245 2012'!$C$6:$D$276,2,FALSE),"")</f>
        <v>matched on SC/SSC level</v>
      </c>
      <c r="F104" s="80"/>
      <c r="H104" s="77">
        <f>INDEX('Dictionary Categories'!$A$2:$A$30,MATCH(I104,'Dictionary Categories'!$B$2:$B$30,0))</f>
        <v>1</v>
      </c>
      <c r="I104" s="2" t="s">
        <v>2470</v>
      </c>
      <c r="J104" s="2">
        <f>INDEX('Dictionary Subcategories'!$A$2:$A$70,MATCH(K104,'Dictionary Subcategories'!$B$2:$B$70,0))</f>
        <v>5</v>
      </c>
      <c r="K104" s="2" t="s">
        <v>1599</v>
      </c>
      <c r="L104" s="147"/>
      <c r="M104" s="77">
        <v>102</v>
      </c>
      <c r="O104" s="77">
        <f t="shared" si="1"/>
        <v>1</v>
      </c>
    </row>
    <row r="105" spans="1:15" x14ac:dyDescent="0.25">
      <c r="A105" s="83" t="str">
        <f>'ENIGHUR Consumption items'!H106</f>
        <v>01.1.5.000</v>
      </c>
      <c r="B105" s="116">
        <f>_xlfn.NUMBERVALUE(VLOOKUP(A105,'ENIGHUR Consumption items'!$H$2:$I$703,2,))</f>
        <v>115000</v>
      </c>
      <c r="C105" s="83" t="str">
        <f>'ENIGHUR Consumption items'!J106</f>
        <v>Aceites Puros y mezclados</v>
      </c>
      <c r="D105" s="124">
        <v>95</v>
      </c>
      <c r="E105" s="91" t="str">
        <f>IFERROR(VLOOKUP(D105,'symmetric IOT 245 2012'!$C$6:$D$276,2,FALSE),"")</f>
        <v>Aceites refinados</v>
      </c>
      <c r="H105" s="77">
        <f>INDEX('Dictionary Categories'!$A$2:$A$30,MATCH(I105,'Dictionary Categories'!$B$2:$B$30,0))</f>
        <v>1</v>
      </c>
      <c r="I105" s="2" t="s">
        <v>2470</v>
      </c>
      <c r="J105" s="2">
        <f>INDEX('Dictionary Subcategories'!$A$2:$A$70,MATCH(K105,'Dictionary Subcategories'!$B$2:$B$70,0))</f>
        <v>5</v>
      </c>
      <c r="K105" s="2" t="s">
        <v>1599</v>
      </c>
      <c r="L105" s="147"/>
      <c r="M105" s="77">
        <v>103</v>
      </c>
      <c r="O105" s="77">
        <f t="shared" si="1"/>
        <v>0</v>
      </c>
    </row>
    <row r="106" spans="1:15" x14ac:dyDescent="0.25">
      <c r="A106" s="83" t="str">
        <f>'ENIGHUR Consumption items'!H107</f>
        <v>01.1.5.100</v>
      </c>
      <c r="B106" s="116">
        <f>_xlfn.NUMBERVALUE(VLOOKUP(A106,'ENIGHUR Consumption items'!$H$2:$I$703,2,))</f>
        <v>115100</v>
      </c>
      <c r="C106" s="83" t="str">
        <f>'ENIGHUR Consumption items'!J107</f>
        <v>Grasas</v>
      </c>
      <c r="D106" s="124">
        <v>96</v>
      </c>
      <c r="E106" s="91" t="str">
        <f>IFERROR(VLOOKUP(D106,'symmetric IOT 245 2012'!$C$6:$D$276,2,FALSE),"")</f>
        <v>Margarina y otros aceites y grasas vegetales</v>
      </c>
      <c r="H106" s="77">
        <f>INDEX('Dictionary Categories'!$A$2:$A$30,MATCH(I106,'Dictionary Categories'!$B$2:$B$30,0))</f>
        <v>1</v>
      </c>
      <c r="I106" s="2" t="s">
        <v>2470</v>
      </c>
      <c r="J106" s="2">
        <f>INDEX('Dictionary Subcategories'!$A$2:$A$70,MATCH(K106,'Dictionary Subcategories'!$B$2:$B$70,0))</f>
        <v>5</v>
      </c>
      <c r="K106" s="2" t="s">
        <v>1599</v>
      </c>
      <c r="L106" s="147"/>
      <c r="M106" s="77">
        <v>104</v>
      </c>
      <c r="O106" s="77">
        <f t="shared" si="1"/>
        <v>0</v>
      </c>
    </row>
    <row r="107" spans="1:15" x14ac:dyDescent="0.25">
      <c r="A107" s="83" t="str">
        <f>'ENIGHUR Consumption items'!H108</f>
        <v>01.1.6</v>
      </c>
      <c r="B107" s="116">
        <f>_xlfn.NUMBERVALUE(VLOOKUP(A107,'ENIGHUR Consumption items'!$H$2:$I$703,2,))</f>
        <v>116</v>
      </c>
      <c r="C107" s="83" t="str">
        <f>'ENIGHUR Consumption items'!J108</f>
        <v xml:space="preserve">FRUTAS </v>
      </c>
      <c r="D107" s="125" t="s">
        <v>2389</v>
      </c>
      <c r="E107" s="91" t="str">
        <f>IFERROR(VLOOKUP(D107,'symmetric IOT 245 2012'!$C$6:$D$276,2,FALSE),"")</f>
        <v>matched on SC/SSC level</v>
      </c>
      <c r="F107" s="80"/>
      <c r="H107" s="77">
        <f>INDEX('Dictionary Categories'!$A$2:$A$30,MATCH(I107,'Dictionary Categories'!$B$2:$B$30,0))</f>
        <v>1</v>
      </c>
      <c r="I107" s="2" t="s">
        <v>2470</v>
      </c>
      <c r="J107" s="2">
        <f>INDEX('Dictionary Subcategories'!$A$2:$A$70,MATCH(K107,'Dictionary Subcategories'!$B$2:$B$70,0))</f>
        <v>6</v>
      </c>
      <c r="K107" s="2" t="s">
        <v>1231</v>
      </c>
      <c r="L107" s="147"/>
      <c r="M107" s="77">
        <v>105</v>
      </c>
      <c r="O107" s="77">
        <f t="shared" si="1"/>
        <v>1</v>
      </c>
    </row>
    <row r="108" spans="1:15" x14ac:dyDescent="0.25">
      <c r="A108" s="83" t="str">
        <f>'ENIGHUR Consumption items'!H109</f>
        <v>01.1.6.000</v>
      </c>
      <c r="B108" s="116">
        <f>_xlfn.NUMBERVALUE(VLOOKUP(A108,'ENIGHUR Consumption items'!$H$2:$I$703,2,))</f>
        <v>116000</v>
      </c>
      <c r="C108" s="83" t="str">
        <f>'ENIGHUR Consumption items'!J109</f>
        <v>Frutas frescas refrigeradas y congeladas</v>
      </c>
      <c r="D108" s="124">
        <v>41</v>
      </c>
      <c r="E108" s="91" t="str">
        <f>IFERROR(VLOOKUP(D108,'symmetric IOT 245 2012'!$C$6:$D$276,2,FALSE),"")</f>
        <v>Otras frutas n.c.p.</v>
      </c>
      <c r="F108" s="80"/>
      <c r="H108" s="77">
        <f>INDEX('Dictionary Categories'!$A$2:$A$30,MATCH(I108,'Dictionary Categories'!$B$2:$B$30,0))</f>
        <v>1</v>
      </c>
      <c r="I108" s="2" t="s">
        <v>2470</v>
      </c>
      <c r="J108" s="2">
        <f>INDEX('Dictionary Subcategories'!$A$2:$A$70,MATCH(K108,'Dictionary Subcategories'!$B$2:$B$70,0))</f>
        <v>6</v>
      </c>
      <c r="K108" s="2" t="s">
        <v>1231</v>
      </c>
      <c r="L108" s="147"/>
      <c r="M108" s="77">
        <v>106</v>
      </c>
      <c r="O108" s="77">
        <f t="shared" si="1"/>
        <v>0</v>
      </c>
    </row>
    <row r="109" spans="1:15" x14ac:dyDescent="0.25">
      <c r="A109" s="83" t="str">
        <f>'ENIGHUR Consumption items'!H110</f>
        <v>01.1.6.001</v>
      </c>
      <c r="B109" s="116">
        <f>_xlfn.NUMBERVALUE(VLOOKUP(A109,'ENIGHUR Consumption items'!$H$2:$I$703,2,))</f>
        <v>116001</v>
      </c>
      <c r="C109" s="83" t="str">
        <f>'ENIGHUR Consumption items'!J110</f>
        <v>Achotillo</v>
      </c>
      <c r="D109" s="124">
        <v>41</v>
      </c>
      <c r="E109" s="91" t="str">
        <f>IFERROR(VLOOKUP(D109,'symmetric IOT 245 2012'!$C$6:$D$276,2,FALSE),"")</f>
        <v>Otras frutas n.c.p.</v>
      </c>
      <c r="H109" s="77">
        <f>INDEX('Dictionary Categories'!$A$2:$A$30,MATCH(I109,'Dictionary Categories'!$B$2:$B$30,0))</f>
        <v>1</v>
      </c>
      <c r="I109" s="2" t="s">
        <v>2470</v>
      </c>
      <c r="J109" s="2">
        <f>INDEX('Dictionary Subcategories'!$A$2:$A$70,MATCH(K109,'Dictionary Subcategories'!$B$2:$B$70,0))</f>
        <v>6</v>
      </c>
      <c r="K109" s="2" t="s">
        <v>1231</v>
      </c>
      <c r="L109" s="147"/>
      <c r="M109" s="77">
        <v>107</v>
      </c>
      <c r="O109" s="77">
        <f t="shared" si="1"/>
        <v>0</v>
      </c>
    </row>
    <row r="110" spans="1:15" x14ac:dyDescent="0.25">
      <c r="A110" s="83" t="str">
        <f>'ENIGHUR Consumption items'!H111</f>
        <v>01.1.6.002</v>
      </c>
      <c r="B110" s="116">
        <f>_xlfn.NUMBERVALUE(VLOOKUP(A110,'ENIGHUR Consumption items'!$H$2:$I$703,2,))</f>
        <v>116002</v>
      </c>
      <c r="C110" s="83" t="str">
        <f>'ENIGHUR Consumption items'!J111</f>
        <v>Aguacate</v>
      </c>
      <c r="D110" s="124">
        <v>30</v>
      </c>
      <c r="E110" s="91" t="str">
        <f>IFERROR(VLOOKUP(D110,'symmetric IOT 245 2012'!$C$6:$D$276,2,FALSE),"")</f>
        <v>Aguacate</v>
      </c>
      <c r="H110" s="77">
        <f>INDEX('Dictionary Categories'!$A$2:$A$30,MATCH(I110,'Dictionary Categories'!$B$2:$B$30,0))</f>
        <v>1</v>
      </c>
      <c r="I110" s="2" t="s">
        <v>2470</v>
      </c>
      <c r="J110" s="2">
        <f>INDEX('Dictionary Subcategories'!$A$2:$A$70,MATCH(K110,'Dictionary Subcategories'!$B$2:$B$70,0))</f>
        <v>6</v>
      </c>
      <c r="K110" s="2" t="s">
        <v>1231</v>
      </c>
      <c r="L110" s="147"/>
      <c r="M110" s="77">
        <v>108</v>
      </c>
      <c r="O110" s="77">
        <f t="shared" si="1"/>
        <v>0</v>
      </c>
    </row>
    <row r="111" spans="1:15" x14ac:dyDescent="0.25">
      <c r="A111" s="83" t="str">
        <f>'ENIGHUR Consumption items'!H112</f>
        <v>01.1.6.003</v>
      </c>
      <c r="B111" s="116">
        <f>_xlfn.NUMBERVALUE(VLOOKUP(A111,'ENIGHUR Consumption items'!$H$2:$I$703,2,))</f>
        <v>116003</v>
      </c>
      <c r="C111" s="83" t="str">
        <f>'ENIGHUR Consumption items'!J112</f>
        <v>Albaricoque</v>
      </c>
      <c r="D111" s="124">
        <v>41</v>
      </c>
      <c r="E111" s="91" t="str">
        <f>IFERROR(VLOOKUP(D111,'symmetric IOT 245 2012'!$C$6:$D$276,2,FALSE),"")</f>
        <v>Otras frutas n.c.p.</v>
      </c>
      <c r="H111" s="77">
        <f>INDEX('Dictionary Categories'!$A$2:$A$30,MATCH(I111,'Dictionary Categories'!$B$2:$B$30,0))</f>
        <v>1</v>
      </c>
      <c r="I111" s="2" t="s">
        <v>2470</v>
      </c>
      <c r="J111" s="2">
        <f>INDEX('Dictionary Subcategories'!$A$2:$A$70,MATCH(K111,'Dictionary Subcategories'!$B$2:$B$70,0))</f>
        <v>6</v>
      </c>
      <c r="K111" s="2" t="s">
        <v>1231</v>
      </c>
      <c r="L111" s="147"/>
      <c r="M111" s="77">
        <v>109</v>
      </c>
      <c r="O111" s="77">
        <f t="shared" si="1"/>
        <v>0</v>
      </c>
    </row>
    <row r="112" spans="1:15" x14ac:dyDescent="0.25">
      <c r="A112" s="83" t="str">
        <f>'ENIGHUR Consumption items'!H113</f>
        <v>01.1.6.004</v>
      </c>
      <c r="B112" s="116">
        <f>_xlfn.NUMBERVALUE(VLOOKUP(A112,'ENIGHUR Consumption items'!$H$2:$I$703,2,))</f>
        <v>116004</v>
      </c>
      <c r="C112" s="83" t="str">
        <f>'ENIGHUR Consumption items'!J113</f>
        <v>Arazá</v>
      </c>
      <c r="D112" s="124">
        <v>41</v>
      </c>
      <c r="E112" s="91" t="str">
        <f>IFERROR(VLOOKUP(D112,'symmetric IOT 245 2012'!$C$6:$D$276,2,FALSE),"")</f>
        <v>Otras frutas n.c.p.</v>
      </c>
      <c r="H112" s="77">
        <f>INDEX('Dictionary Categories'!$A$2:$A$30,MATCH(I112,'Dictionary Categories'!$B$2:$B$30,0))</f>
        <v>1</v>
      </c>
      <c r="I112" s="2" t="s">
        <v>2470</v>
      </c>
      <c r="J112" s="2">
        <f>INDEX('Dictionary Subcategories'!$A$2:$A$70,MATCH(K112,'Dictionary Subcategories'!$B$2:$B$70,0))</f>
        <v>6</v>
      </c>
      <c r="K112" s="2" t="s">
        <v>1231</v>
      </c>
      <c r="L112" s="147"/>
      <c r="M112" s="77">
        <v>110</v>
      </c>
      <c r="O112" s="77">
        <f t="shared" si="1"/>
        <v>0</v>
      </c>
    </row>
    <row r="113" spans="1:15" x14ac:dyDescent="0.25">
      <c r="A113" s="83" t="str">
        <f>'ENIGHUR Consumption items'!H114</f>
        <v>01.1.6.005</v>
      </c>
      <c r="B113" s="116">
        <f>_xlfn.NUMBERVALUE(VLOOKUP(A113,'ENIGHUR Consumption items'!$H$2:$I$703,2,))</f>
        <v>116005</v>
      </c>
      <c r="C113" s="83" t="str">
        <f>'ENIGHUR Consumption items'!J114</f>
        <v>Babaco</v>
      </c>
      <c r="D113" s="124">
        <v>41</v>
      </c>
      <c r="E113" s="91" t="str">
        <f>IFERROR(VLOOKUP(D113,'symmetric IOT 245 2012'!$C$6:$D$276,2,FALSE),"")</f>
        <v>Otras frutas n.c.p.</v>
      </c>
      <c r="H113" s="77">
        <f>INDEX('Dictionary Categories'!$A$2:$A$30,MATCH(I113,'Dictionary Categories'!$B$2:$B$30,0))</f>
        <v>1</v>
      </c>
      <c r="I113" s="2" t="s">
        <v>2470</v>
      </c>
      <c r="J113" s="2">
        <f>INDEX('Dictionary Subcategories'!$A$2:$A$70,MATCH(K113,'Dictionary Subcategories'!$B$2:$B$70,0))</f>
        <v>6</v>
      </c>
      <c r="K113" s="2" t="s">
        <v>1231</v>
      </c>
      <c r="L113" s="147"/>
      <c r="M113" s="77">
        <v>111</v>
      </c>
      <c r="O113" s="77">
        <f t="shared" si="1"/>
        <v>0</v>
      </c>
    </row>
    <row r="114" spans="1:15" x14ac:dyDescent="0.25">
      <c r="A114" s="83" t="str">
        <f>'ENIGHUR Consumption items'!H115</f>
        <v>01.1.6.006</v>
      </c>
      <c r="B114" s="116">
        <f>_xlfn.NUMBERVALUE(VLOOKUP(A114,'ENIGHUR Consumption items'!$H$2:$I$703,2,))</f>
        <v>116006</v>
      </c>
      <c r="C114" s="83" t="str">
        <f>'ENIGHUR Consumption items'!J115</f>
        <v>Badea</v>
      </c>
      <c r="D114" s="124">
        <v>41</v>
      </c>
      <c r="E114" s="91" t="str">
        <f>IFERROR(VLOOKUP(D114,'symmetric IOT 245 2012'!$C$6:$D$276,2,FALSE),"")</f>
        <v>Otras frutas n.c.p.</v>
      </c>
      <c r="H114" s="77">
        <f>INDEX('Dictionary Categories'!$A$2:$A$30,MATCH(I114,'Dictionary Categories'!$B$2:$B$30,0))</f>
        <v>1</v>
      </c>
      <c r="I114" s="2" t="s">
        <v>2470</v>
      </c>
      <c r="J114" s="2">
        <f>INDEX('Dictionary Subcategories'!$A$2:$A$70,MATCH(K114,'Dictionary Subcategories'!$B$2:$B$70,0))</f>
        <v>6</v>
      </c>
      <c r="K114" s="2" t="s">
        <v>1231</v>
      </c>
      <c r="L114" s="147"/>
      <c r="M114" s="77">
        <v>112</v>
      </c>
      <c r="O114" s="77">
        <f t="shared" si="1"/>
        <v>0</v>
      </c>
    </row>
    <row r="115" spans="1:15" x14ac:dyDescent="0.25">
      <c r="A115" s="83" t="str">
        <f>'ENIGHUR Consumption items'!H116</f>
        <v>01.1.6.007</v>
      </c>
      <c r="B115" s="116">
        <f>_xlfn.NUMBERVALUE(VLOOKUP(A115,'ENIGHUR Consumption items'!$H$2:$I$703,2,))</f>
        <v>116007</v>
      </c>
      <c r="C115" s="83" t="str">
        <f>'ENIGHUR Consumption items'!J116</f>
        <v>Banano (guineo)</v>
      </c>
      <c r="D115" s="124">
        <v>41</v>
      </c>
      <c r="E115" s="91" t="str">
        <f>IFERROR(VLOOKUP(D115,'symmetric IOT 245 2012'!$C$6:$D$276,2,FALSE),"")</f>
        <v>Otras frutas n.c.p.</v>
      </c>
      <c r="H115" s="77">
        <f>INDEX('Dictionary Categories'!$A$2:$A$30,MATCH(I115,'Dictionary Categories'!$B$2:$B$30,0))</f>
        <v>1</v>
      </c>
      <c r="I115" s="2" t="s">
        <v>2470</v>
      </c>
      <c r="J115" s="2">
        <f>INDEX('Dictionary Subcategories'!$A$2:$A$70,MATCH(K115,'Dictionary Subcategories'!$B$2:$B$70,0))</f>
        <v>6</v>
      </c>
      <c r="K115" s="2" t="s">
        <v>1231</v>
      </c>
      <c r="L115" s="147"/>
      <c r="M115" s="77">
        <v>113</v>
      </c>
      <c r="O115" s="77">
        <f t="shared" si="1"/>
        <v>0</v>
      </c>
    </row>
    <row r="116" spans="1:15" x14ac:dyDescent="0.25">
      <c r="A116" s="83" t="str">
        <f>'ENIGHUR Consumption items'!H117</f>
        <v>01.1.6.008</v>
      </c>
      <c r="B116" s="116">
        <f>_xlfn.NUMBERVALUE(VLOOKUP(A116,'ENIGHUR Consumption items'!$H$2:$I$703,2,))</f>
        <v>116008</v>
      </c>
      <c r="C116" s="83" t="str">
        <f>'ENIGHUR Consumption items'!J117</f>
        <v>Bandeja de frutas variadas</v>
      </c>
      <c r="D116" s="124">
        <v>41</v>
      </c>
      <c r="E116" s="91" t="str">
        <f>IFERROR(VLOOKUP(D116,'symmetric IOT 245 2012'!$C$6:$D$276,2,FALSE),"")</f>
        <v>Otras frutas n.c.p.</v>
      </c>
      <c r="H116" s="77">
        <f>INDEX('Dictionary Categories'!$A$2:$A$30,MATCH(I116,'Dictionary Categories'!$B$2:$B$30,0))</f>
        <v>1</v>
      </c>
      <c r="I116" s="2" t="s">
        <v>2470</v>
      </c>
      <c r="J116" s="2">
        <f>INDEX('Dictionary Subcategories'!$A$2:$A$70,MATCH(K116,'Dictionary Subcategories'!$B$2:$B$70,0))</f>
        <v>6</v>
      </c>
      <c r="K116" s="2" t="s">
        <v>1231</v>
      </c>
      <c r="L116" s="147"/>
      <c r="M116" s="77">
        <v>114</v>
      </c>
      <c r="O116" s="77">
        <f t="shared" si="1"/>
        <v>0</v>
      </c>
    </row>
    <row r="117" spans="1:15" x14ac:dyDescent="0.25">
      <c r="A117" s="83" t="str">
        <f>'ENIGHUR Consumption items'!H118</f>
        <v>01.1.6.009</v>
      </c>
      <c r="B117" s="116">
        <f>_xlfn.NUMBERVALUE(VLOOKUP(A117,'ENIGHUR Consumption items'!$H$2:$I$703,2,))</f>
        <v>116009</v>
      </c>
      <c r="C117" s="83" t="str">
        <f>'ENIGHUR Consumption items'!J118</f>
        <v>Borojó</v>
      </c>
      <c r="D117" s="124">
        <v>41</v>
      </c>
      <c r="E117" s="91" t="str">
        <f>IFERROR(VLOOKUP(D117,'symmetric IOT 245 2012'!$C$6:$D$276,2,FALSE),"")</f>
        <v>Otras frutas n.c.p.</v>
      </c>
      <c r="H117" s="77">
        <f>INDEX('Dictionary Categories'!$A$2:$A$30,MATCH(I117,'Dictionary Categories'!$B$2:$B$30,0))</f>
        <v>1</v>
      </c>
      <c r="I117" s="2" t="s">
        <v>2470</v>
      </c>
      <c r="J117" s="2">
        <f>INDEX('Dictionary Subcategories'!$A$2:$A$70,MATCH(K117,'Dictionary Subcategories'!$B$2:$B$70,0))</f>
        <v>6</v>
      </c>
      <c r="K117" s="2" t="s">
        <v>1231</v>
      </c>
      <c r="L117" s="147"/>
      <c r="M117" s="77">
        <v>115</v>
      </c>
      <c r="O117" s="77">
        <f t="shared" si="1"/>
        <v>0</v>
      </c>
    </row>
    <row r="118" spans="1:15" x14ac:dyDescent="0.25">
      <c r="A118" s="83" t="str">
        <f>'ENIGHUR Consumption items'!H119</f>
        <v>01.1.6.010</v>
      </c>
      <c r="B118" s="116">
        <f>_xlfn.NUMBERVALUE(VLOOKUP(A118,'ENIGHUR Consumption items'!$H$2:$I$703,2,))</f>
        <v>116010</v>
      </c>
      <c r="C118" s="83" t="str">
        <f>'ENIGHUR Consumption items'!J119</f>
        <v>Caimito</v>
      </c>
      <c r="D118" s="124">
        <v>41</v>
      </c>
      <c r="E118" s="91" t="str">
        <f>IFERROR(VLOOKUP(D118,'symmetric IOT 245 2012'!$C$6:$D$276,2,FALSE),"")</f>
        <v>Otras frutas n.c.p.</v>
      </c>
      <c r="H118" s="77">
        <f>INDEX('Dictionary Categories'!$A$2:$A$30,MATCH(I118,'Dictionary Categories'!$B$2:$B$30,0))</f>
        <v>1</v>
      </c>
      <c r="I118" s="2" t="s">
        <v>2470</v>
      </c>
      <c r="J118" s="2">
        <f>INDEX('Dictionary Subcategories'!$A$2:$A$70,MATCH(K118,'Dictionary Subcategories'!$B$2:$B$70,0))</f>
        <v>6</v>
      </c>
      <c r="K118" s="2" t="s">
        <v>1231</v>
      </c>
      <c r="L118" s="147"/>
      <c r="M118" s="77">
        <v>116</v>
      </c>
      <c r="O118" s="77">
        <f t="shared" si="1"/>
        <v>0</v>
      </c>
    </row>
    <row r="119" spans="1:15" x14ac:dyDescent="0.25">
      <c r="A119" s="83" t="str">
        <f>'ENIGHUR Consumption items'!H120</f>
        <v>01.1.6.011</v>
      </c>
      <c r="B119" s="116">
        <f>_xlfn.NUMBERVALUE(VLOOKUP(A119,'ENIGHUR Consumption items'!$H$2:$I$703,2,))</f>
        <v>116011</v>
      </c>
      <c r="C119" s="83" t="str">
        <f>'ENIGHUR Consumption items'!J120</f>
        <v>Capulí</v>
      </c>
      <c r="D119" s="124">
        <v>41</v>
      </c>
      <c r="E119" s="91" t="str">
        <f>IFERROR(VLOOKUP(D119,'symmetric IOT 245 2012'!$C$6:$D$276,2,FALSE),"")</f>
        <v>Otras frutas n.c.p.</v>
      </c>
      <c r="H119" s="77">
        <f>INDEX('Dictionary Categories'!$A$2:$A$30,MATCH(I119,'Dictionary Categories'!$B$2:$B$30,0))</f>
        <v>1</v>
      </c>
      <c r="I119" s="2" t="s">
        <v>2470</v>
      </c>
      <c r="J119" s="2">
        <f>INDEX('Dictionary Subcategories'!$A$2:$A$70,MATCH(K119,'Dictionary Subcategories'!$B$2:$B$70,0))</f>
        <v>6</v>
      </c>
      <c r="K119" s="2" t="s">
        <v>1231</v>
      </c>
      <c r="L119" s="147"/>
      <c r="M119" s="77">
        <v>117</v>
      </c>
      <c r="O119" s="77">
        <f t="shared" si="1"/>
        <v>0</v>
      </c>
    </row>
    <row r="120" spans="1:15" x14ac:dyDescent="0.25">
      <c r="A120" s="83" t="str">
        <f>'ENIGHUR Consumption items'!H121</f>
        <v>01.1.6.012</v>
      </c>
      <c r="B120" s="116">
        <f>_xlfn.NUMBERVALUE(VLOOKUP(A120,'ENIGHUR Consumption items'!$H$2:$I$703,2,))</f>
        <v>116012</v>
      </c>
      <c r="C120" s="83" t="str">
        <f>'ENIGHUR Consumption items'!J121</f>
        <v>Cereza y guindas</v>
      </c>
      <c r="D120" s="124">
        <v>41</v>
      </c>
      <c r="E120" s="91" t="str">
        <f>IFERROR(VLOOKUP(D120,'symmetric IOT 245 2012'!$C$6:$D$276,2,FALSE),"")</f>
        <v>Otras frutas n.c.p.</v>
      </c>
      <c r="H120" s="77">
        <f>INDEX('Dictionary Categories'!$A$2:$A$30,MATCH(I120,'Dictionary Categories'!$B$2:$B$30,0))</f>
        <v>1</v>
      </c>
      <c r="I120" s="2" t="s">
        <v>2470</v>
      </c>
      <c r="J120" s="2">
        <f>INDEX('Dictionary Subcategories'!$A$2:$A$70,MATCH(K120,'Dictionary Subcategories'!$B$2:$B$70,0))</f>
        <v>6</v>
      </c>
      <c r="K120" s="2" t="s">
        <v>1231</v>
      </c>
      <c r="L120" s="147"/>
      <c r="M120" s="77">
        <v>118</v>
      </c>
      <c r="O120" s="77">
        <f t="shared" si="1"/>
        <v>0</v>
      </c>
    </row>
    <row r="121" spans="1:15" x14ac:dyDescent="0.25">
      <c r="A121" s="83" t="str">
        <f>'ENIGHUR Consumption items'!H122</f>
        <v>01.1.6.013</v>
      </c>
      <c r="B121" s="116">
        <f>_xlfn.NUMBERVALUE(VLOOKUP(A121,'ENIGHUR Consumption items'!$H$2:$I$703,2,))</f>
        <v>116013</v>
      </c>
      <c r="C121" s="83" t="str">
        <f>'ENIGHUR Consumption items'!J122</f>
        <v>Chamburos</v>
      </c>
      <c r="D121" s="124">
        <v>41</v>
      </c>
      <c r="E121" s="91" t="str">
        <f>IFERROR(VLOOKUP(D121,'symmetric IOT 245 2012'!$C$6:$D$276,2,FALSE),"")</f>
        <v>Otras frutas n.c.p.</v>
      </c>
      <c r="H121" s="77">
        <f>INDEX('Dictionary Categories'!$A$2:$A$30,MATCH(I121,'Dictionary Categories'!$B$2:$B$30,0))</f>
        <v>1</v>
      </c>
      <c r="I121" s="2" t="s">
        <v>2470</v>
      </c>
      <c r="J121" s="2">
        <f>INDEX('Dictionary Subcategories'!$A$2:$A$70,MATCH(K121,'Dictionary Subcategories'!$B$2:$B$70,0))</f>
        <v>6</v>
      </c>
      <c r="K121" s="2" t="s">
        <v>1231</v>
      </c>
      <c r="L121" s="147"/>
      <c r="M121" s="77">
        <v>119</v>
      </c>
      <c r="O121" s="77">
        <f t="shared" si="1"/>
        <v>0</v>
      </c>
    </row>
    <row r="122" spans="1:15" x14ac:dyDescent="0.25">
      <c r="A122" s="83" t="str">
        <f>'ENIGHUR Consumption items'!H123</f>
        <v>01.1.6.014</v>
      </c>
      <c r="B122" s="116">
        <f>_xlfn.NUMBERVALUE(VLOOKUP(A122,'ENIGHUR Consumption items'!$H$2:$I$703,2,))</f>
        <v>116014</v>
      </c>
      <c r="C122" s="83" t="str">
        <f>'ENIGHUR Consumption items'!J123</f>
        <v>Chirimoya</v>
      </c>
      <c r="D122" s="124">
        <v>41</v>
      </c>
      <c r="E122" s="91" t="str">
        <f>IFERROR(VLOOKUP(D122,'symmetric IOT 245 2012'!$C$6:$D$276,2,FALSE),"")</f>
        <v>Otras frutas n.c.p.</v>
      </c>
      <c r="H122" s="77">
        <f>INDEX('Dictionary Categories'!$A$2:$A$30,MATCH(I122,'Dictionary Categories'!$B$2:$B$30,0))</f>
        <v>1</v>
      </c>
      <c r="I122" s="2" t="s">
        <v>2470</v>
      </c>
      <c r="J122" s="2">
        <f>INDEX('Dictionary Subcategories'!$A$2:$A$70,MATCH(K122,'Dictionary Subcategories'!$B$2:$B$70,0))</f>
        <v>6</v>
      </c>
      <c r="K122" s="2" t="s">
        <v>1231</v>
      </c>
      <c r="L122" s="147"/>
      <c r="M122" s="77">
        <v>120</v>
      </c>
      <c r="O122" s="77">
        <f t="shared" si="1"/>
        <v>0</v>
      </c>
    </row>
    <row r="123" spans="1:15" x14ac:dyDescent="0.25">
      <c r="A123" s="83" t="str">
        <f>'ENIGHUR Consumption items'!H124</f>
        <v>01.1.6.015</v>
      </c>
      <c r="B123" s="116">
        <f>_xlfn.NUMBERVALUE(VLOOKUP(A123,'ENIGHUR Consumption items'!$H$2:$I$703,2,))</f>
        <v>116015</v>
      </c>
      <c r="C123" s="83" t="str">
        <f>'ENIGHUR Consumption items'!J124</f>
        <v>Ciruelas</v>
      </c>
      <c r="D123" s="124">
        <v>41</v>
      </c>
      <c r="E123" s="91" t="str">
        <f>IFERROR(VLOOKUP(D123,'symmetric IOT 245 2012'!$C$6:$D$276,2,FALSE),"")</f>
        <v>Otras frutas n.c.p.</v>
      </c>
      <c r="H123" s="77">
        <f>INDEX('Dictionary Categories'!$A$2:$A$30,MATCH(I123,'Dictionary Categories'!$B$2:$B$30,0))</f>
        <v>1</v>
      </c>
      <c r="I123" s="2" t="s">
        <v>2470</v>
      </c>
      <c r="J123" s="2">
        <f>INDEX('Dictionary Subcategories'!$A$2:$A$70,MATCH(K123,'Dictionary Subcategories'!$B$2:$B$70,0))</f>
        <v>6</v>
      </c>
      <c r="K123" s="2" t="s">
        <v>1231</v>
      </c>
      <c r="L123" s="147"/>
      <c r="M123" s="77">
        <v>121</v>
      </c>
      <c r="O123" s="77">
        <f t="shared" si="1"/>
        <v>0</v>
      </c>
    </row>
    <row r="124" spans="1:15" x14ac:dyDescent="0.25">
      <c r="A124" s="83" t="str">
        <f>'ENIGHUR Consumption items'!H125</f>
        <v>01.1.6.016</v>
      </c>
      <c r="B124" s="116">
        <f>_xlfn.NUMBERVALUE(VLOOKUP(A124,'ENIGHUR Consumption items'!$H$2:$I$703,2,))</f>
        <v>116016</v>
      </c>
      <c r="C124" s="83" t="str">
        <f>'ENIGHUR Consumption items'!J125</f>
        <v>Claudias</v>
      </c>
      <c r="D124" s="124">
        <v>41</v>
      </c>
      <c r="E124" s="91" t="str">
        <f>IFERROR(VLOOKUP(D124,'symmetric IOT 245 2012'!$C$6:$D$276,2,FALSE),"")</f>
        <v>Otras frutas n.c.p.</v>
      </c>
      <c r="H124" s="77">
        <f>INDEX('Dictionary Categories'!$A$2:$A$30,MATCH(I124,'Dictionary Categories'!$B$2:$B$30,0))</f>
        <v>1</v>
      </c>
      <c r="I124" s="2" t="s">
        <v>2470</v>
      </c>
      <c r="J124" s="2">
        <f>INDEX('Dictionary Subcategories'!$A$2:$A$70,MATCH(K124,'Dictionary Subcategories'!$B$2:$B$70,0))</f>
        <v>6</v>
      </c>
      <c r="K124" s="2" t="s">
        <v>1231</v>
      </c>
      <c r="L124" s="147"/>
      <c r="M124" s="77">
        <v>122</v>
      </c>
      <c r="O124" s="77">
        <f t="shared" si="1"/>
        <v>0</v>
      </c>
    </row>
    <row r="125" spans="1:15" x14ac:dyDescent="0.25">
      <c r="A125" s="83" t="str">
        <f>'ENIGHUR Consumption items'!H126</f>
        <v>01.1.6.017</v>
      </c>
      <c r="B125" s="116">
        <f>_xlfn.NUMBERVALUE(VLOOKUP(A125,'ENIGHUR Consumption items'!$H$2:$I$703,2,))</f>
        <v>116017</v>
      </c>
      <c r="C125" s="83" t="str">
        <f>'ENIGHUR Consumption items'!J126</f>
        <v>Cocos</v>
      </c>
      <c r="D125" s="124">
        <v>41</v>
      </c>
      <c r="E125" s="91" t="str">
        <f>IFERROR(VLOOKUP(D125,'symmetric IOT 245 2012'!$C$6:$D$276,2,FALSE),"")</f>
        <v>Otras frutas n.c.p.</v>
      </c>
      <c r="H125" s="77">
        <f>INDEX('Dictionary Categories'!$A$2:$A$30,MATCH(I125,'Dictionary Categories'!$B$2:$B$30,0))</f>
        <v>1</v>
      </c>
      <c r="I125" s="2" t="s">
        <v>2470</v>
      </c>
      <c r="J125" s="2">
        <f>INDEX('Dictionary Subcategories'!$A$2:$A$70,MATCH(K125,'Dictionary Subcategories'!$B$2:$B$70,0))</f>
        <v>6</v>
      </c>
      <c r="K125" s="2" t="s">
        <v>1231</v>
      </c>
      <c r="L125" s="147"/>
      <c r="M125" s="77">
        <v>123</v>
      </c>
      <c r="O125" s="77">
        <f t="shared" si="1"/>
        <v>0</v>
      </c>
    </row>
    <row r="126" spans="1:15" x14ac:dyDescent="0.25">
      <c r="A126" s="83" t="str">
        <f>'ENIGHUR Consumption items'!H127</f>
        <v>01.1.6.018</v>
      </c>
      <c r="B126" s="116">
        <f>_xlfn.NUMBERVALUE(VLOOKUP(A126,'ENIGHUR Consumption items'!$H$2:$I$703,2,))</f>
        <v>116018</v>
      </c>
      <c r="C126" s="83" t="str">
        <f>'ENIGHUR Consumption items'!J127</f>
        <v>Durazno</v>
      </c>
      <c r="D126" s="124">
        <v>41</v>
      </c>
      <c r="E126" s="91" t="str">
        <f>IFERROR(VLOOKUP(D126,'symmetric IOT 245 2012'!$C$6:$D$276,2,FALSE),"")</f>
        <v>Otras frutas n.c.p.</v>
      </c>
      <c r="H126" s="77">
        <f>INDEX('Dictionary Categories'!$A$2:$A$30,MATCH(I126,'Dictionary Categories'!$B$2:$B$30,0))</f>
        <v>1</v>
      </c>
      <c r="I126" s="2" t="s">
        <v>2470</v>
      </c>
      <c r="J126" s="2">
        <f>INDEX('Dictionary Subcategories'!$A$2:$A$70,MATCH(K126,'Dictionary Subcategories'!$B$2:$B$70,0))</f>
        <v>6</v>
      </c>
      <c r="K126" s="2" t="s">
        <v>1231</v>
      </c>
      <c r="L126" s="147"/>
      <c r="M126" s="77">
        <v>124</v>
      </c>
      <c r="O126" s="77">
        <f t="shared" si="1"/>
        <v>0</v>
      </c>
    </row>
    <row r="127" spans="1:15" x14ac:dyDescent="0.25">
      <c r="A127" s="83" t="str">
        <f>'ENIGHUR Consumption items'!H128</f>
        <v>01.1.6.019</v>
      </c>
      <c r="B127" s="116">
        <f>_xlfn.NUMBERVALUE(VLOOKUP(A127,'ENIGHUR Consumption items'!$H$2:$I$703,2,))</f>
        <v>116019</v>
      </c>
      <c r="C127" s="83" t="str">
        <f>'ENIGHUR Consumption items'!J128</f>
        <v>Feijoa</v>
      </c>
      <c r="D127" s="124">
        <v>41</v>
      </c>
      <c r="E127" s="91" t="str">
        <f>IFERROR(VLOOKUP(D127,'symmetric IOT 245 2012'!$C$6:$D$276,2,FALSE),"")</f>
        <v>Otras frutas n.c.p.</v>
      </c>
      <c r="H127" s="77">
        <f>INDEX('Dictionary Categories'!$A$2:$A$30,MATCH(I127,'Dictionary Categories'!$B$2:$B$30,0))</f>
        <v>1</v>
      </c>
      <c r="I127" s="2" t="s">
        <v>2470</v>
      </c>
      <c r="J127" s="2">
        <f>INDEX('Dictionary Subcategories'!$A$2:$A$70,MATCH(K127,'Dictionary Subcategories'!$B$2:$B$70,0))</f>
        <v>6</v>
      </c>
      <c r="K127" s="2" t="s">
        <v>1231</v>
      </c>
      <c r="L127" s="147"/>
      <c r="M127" s="77">
        <v>125</v>
      </c>
      <c r="O127" s="77">
        <f t="shared" si="1"/>
        <v>0</v>
      </c>
    </row>
    <row r="128" spans="1:15" x14ac:dyDescent="0.25">
      <c r="A128" s="83" t="str">
        <f>'ENIGHUR Consumption items'!H129</f>
        <v>01.1.6.020</v>
      </c>
      <c r="B128" s="116">
        <f>_xlfn.NUMBERVALUE(VLOOKUP(A128,'ENIGHUR Consumption items'!$H$2:$I$703,2,))</f>
        <v>116020</v>
      </c>
      <c r="C128" s="83" t="str">
        <f>'ENIGHUR Consumption items'!J129</f>
        <v>Frambuesa</v>
      </c>
      <c r="D128" s="124">
        <v>41</v>
      </c>
      <c r="E128" s="91" t="str">
        <f>IFERROR(VLOOKUP(D128,'symmetric IOT 245 2012'!$C$6:$D$276,2,FALSE),"")</f>
        <v>Otras frutas n.c.p.</v>
      </c>
      <c r="H128" s="77">
        <f>INDEX('Dictionary Categories'!$A$2:$A$30,MATCH(I128,'Dictionary Categories'!$B$2:$B$30,0))</f>
        <v>1</v>
      </c>
      <c r="I128" s="2" t="s">
        <v>2470</v>
      </c>
      <c r="J128" s="2">
        <f>INDEX('Dictionary Subcategories'!$A$2:$A$70,MATCH(K128,'Dictionary Subcategories'!$B$2:$B$70,0))</f>
        <v>6</v>
      </c>
      <c r="K128" s="2" t="s">
        <v>1231</v>
      </c>
      <c r="L128" s="147"/>
      <c r="M128" s="77">
        <v>126</v>
      </c>
      <c r="O128" s="77">
        <f t="shared" si="1"/>
        <v>0</v>
      </c>
    </row>
    <row r="129" spans="1:15" x14ac:dyDescent="0.25">
      <c r="A129" s="83" t="str">
        <f>'ENIGHUR Consumption items'!H130</f>
        <v>01.1.6.021</v>
      </c>
      <c r="B129" s="116">
        <f>_xlfn.NUMBERVALUE(VLOOKUP(A129,'ENIGHUR Consumption items'!$H$2:$I$703,2,))</f>
        <v>116021</v>
      </c>
      <c r="C129" s="83" t="str">
        <f>'ENIGHUR Consumption items'!J130</f>
        <v>Fruta china</v>
      </c>
      <c r="D129" s="124">
        <v>41</v>
      </c>
      <c r="E129" s="91" t="str">
        <f>IFERROR(VLOOKUP(D129,'symmetric IOT 245 2012'!$C$6:$D$276,2,FALSE),"")</f>
        <v>Otras frutas n.c.p.</v>
      </c>
      <c r="H129" s="77">
        <f>INDEX('Dictionary Categories'!$A$2:$A$30,MATCH(I129,'Dictionary Categories'!$B$2:$B$30,0))</f>
        <v>1</v>
      </c>
      <c r="I129" s="2" t="s">
        <v>2470</v>
      </c>
      <c r="J129" s="2">
        <f>INDEX('Dictionary Subcategories'!$A$2:$A$70,MATCH(K129,'Dictionary Subcategories'!$B$2:$B$70,0))</f>
        <v>6</v>
      </c>
      <c r="K129" s="2" t="s">
        <v>1231</v>
      </c>
      <c r="L129" s="147"/>
      <c r="M129" s="77">
        <v>127</v>
      </c>
      <c r="O129" s="77">
        <f t="shared" si="1"/>
        <v>0</v>
      </c>
    </row>
    <row r="130" spans="1:15" x14ac:dyDescent="0.25">
      <c r="A130" s="83" t="str">
        <f>'ENIGHUR Consumption items'!H131</f>
        <v>01.1.6.022</v>
      </c>
      <c r="B130" s="116">
        <f>_xlfn.NUMBERVALUE(VLOOKUP(A130,'ENIGHUR Consumption items'!$H$2:$I$703,2,))</f>
        <v>116022</v>
      </c>
      <c r="C130" s="83" t="str">
        <f>'ENIGHUR Consumption items'!J131</f>
        <v>Fruta de pan</v>
      </c>
      <c r="D130" s="124">
        <v>41</v>
      </c>
      <c r="E130" s="91" t="str">
        <f>IFERROR(VLOOKUP(D130,'symmetric IOT 245 2012'!$C$6:$D$276,2,FALSE),"")</f>
        <v>Otras frutas n.c.p.</v>
      </c>
      <c r="H130" s="77">
        <f>INDEX('Dictionary Categories'!$A$2:$A$30,MATCH(I130,'Dictionary Categories'!$B$2:$B$30,0))</f>
        <v>1</v>
      </c>
      <c r="I130" s="2" t="s">
        <v>2470</v>
      </c>
      <c r="J130" s="2">
        <f>INDEX('Dictionary Subcategories'!$A$2:$A$70,MATCH(K130,'Dictionary Subcategories'!$B$2:$B$70,0))</f>
        <v>6</v>
      </c>
      <c r="K130" s="2" t="s">
        <v>1231</v>
      </c>
      <c r="L130" s="147"/>
      <c r="M130" s="77">
        <v>128</v>
      </c>
      <c r="O130" s="77">
        <f t="shared" si="1"/>
        <v>0</v>
      </c>
    </row>
    <row r="131" spans="1:15" x14ac:dyDescent="0.25">
      <c r="A131" s="83" t="str">
        <f>'ENIGHUR Consumption items'!H132</f>
        <v>01.1.6.023</v>
      </c>
      <c r="B131" s="116">
        <f>_xlfn.NUMBERVALUE(VLOOKUP(A131,'ENIGHUR Consumption items'!$H$2:$I$703,2,))</f>
        <v>116023</v>
      </c>
      <c r="C131" s="83" t="str">
        <f>'ENIGHUR Consumption items'!J132</f>
        <v>Frutillas</v>
      </c>
      <c r="D131" s="124">
        <v>41</v>
      </c>
      <c r="E131" s="91" t="str">
        <f>IFERROR(VLOOKUP(D131,'symmetric IOT 245 2012'!$C$6:$D$276,2,FALSE),"")</f>
        <v>Otras frutas n.c.p.</v>
      </c>
      <c r="H131" s="77">
        <f>INDEX('Dictionary Categories'!$A$2:$A$30,MATCH(I131,'Dictionary Categories'!$B$2:$B$30,0))</f>
        <v>1</v>
      </c>
      <c r="I131" s="2" t="s">
        <v>2470</v>
      </c>
      <c r="J131" s="2">
        <f>INDEX('Dictionary Subcategories'!$A$2:$A$70,MATCH(K131,'Dictionary Subcategories'!$B$2:$B$70,0))</f>
        <v>6</v>
      </c>
      <c r="K131" s="2" t="s">
        <v>1231</v>
      </c>
      <c r="L131" s="147"/>
      <c r="M131" s="77">
        <v>129</v>
      </c>
      <c r="O131" s="77">
        <f t="shared" si="1"/>
        <v>0</v>
      </c>
    </row>
    <row r="132" spans="1:15" x14ac:dyDescent="0.25">
      <c r="A132" s="83" t="str">
        <f>'ENIGHUR Consumption items'!H133</f>
        <v>01.1.6.024</v>
      </c>
      <c r="B132" s="116">
        <f>_xlfn.NUMBERVALUE(VLOOKUP(A132,'ENIGHUR Consumption items'!$H$2:$I$703,2,))</f>
        <v>116024</v>
      </c>
      <c r="C132" s="83" t="str">
        <f>'ENIGHUR Consumption items'!J133</f>
        <v>Granada</v>
      </c>
      <c r="D132" s="124">
        <v>41</v>
      </c>
      <c r="E132" s="91" t="str">
        <f>IFERROR(VLOOKUP(D132,'symmetric IOT 245 2012'!$C$6:$D$276,2,FALSE),"")</f>
        <v>Otras frutas n.c.p.</v>
      </c>
      <c r="H132" s="77">
        <f>INDEX('Dictionary Categories'!$A$2:$A$30,MATCH(I132,'Dictionary Categories'!$B$2:$B$30,0))</f>
        <v>1</v>
      </c>
      <c r="I132" s="2" t="s">
        <v>2470</v>
      </c>
      <c r="J132" s="2">
        <f>INDEX('Dictionary Subcategories'!$A$2:$A$70,MATCH(K132,'Dictionary Subcategories'!$B$2:$B$70,0))</f>
        <v>6</v>
      </c>
      <c r="K132" s="2" t="s">
        <v>1231</v>
      </c>
      <c r="L132" s="147"/>
      <c r="M132" s="77">
        <v>130</v>
      </c>
      <c r="O132" s="77">
        <f t="shared" ref="O132:O195" si="2">IF(LEFT(RIGHT(A132,2),1)=".",1,0)</f>
        <v>0</v>
      </c>
    </row>
    <row r="133" spans="1:15" x14ac:dyDescent="0.25">
      <c r="A133" s="83" t="str">
        <f>'ENIGHUR Consumption items'!H134</f>
        <v>01.1.6.025</v>
      </c>
      <c r="B133" s="116">
        <f>_xlfn.NUMBERVALUE(VLOOKUP(A133,'ENIGHUR Consumption items'!$H$2:$I$703,2,))</f>
        <v>116025</v>
      </c>
      <c r="C133" s="83" t="str">
        <f>'ENIGHUR Consumption items'!J134</f>
        <v>Granadilla</v>
      </c>
      <c r="D133" s="124">
        <v>41</v>
      </c>
      <c r="E133" s="91" t="str">
        <f>IFERROR(VLOOKUP(D133,'symmetric IOT 245 2012'!$C$6:$D$276,2,FALSE),"")</f>
        <v>Otras frutas n.c.p.</v>
      </c>
      <c r="H133" s="77">
        <f>INDEX('Dictionary Categories'!$A$2:$A$30,MATCH(I133,'Dictionary Categories'!$B$2:$B$30,0))</f>
        <v>1</v>
      </c>
      <c r="I133" s="2" t="s">
        <v>2470</v>
      </c>
      <c r="J133" s="2">
        <f>INDEX('Dictionary Subcategories'!$A$2:$A$70,MATCH(K133,'Dictionary Subcategories'!$B$2:$B$70,0))</f>
        <v>6</v>
      </c>
      <c r="K133" s="2" t="s">
        <v>1231</v>
      </c>
      <c r="L133" s="147"/>
      <c r="M133" s="77">
        <v>131</v>
      </c>
      <c r="O133" s="77">
        <f t="shared" si="2"/>
        <v>0</v>
      </c>
    </row>
    <row r="134" spans="1:15" x14ac:dyDescent="0.25">
      <c r="A134" s="83" t="str">
        <f>'ENIGHUR Consumption items'!H135</f>
        <v>01.1.6.026</v>
      </c>
      <c r="B134" s="116">
        <f>_xlfn.NUMBERVALUE(VLOOKUP(A134,'ENIGHUR Consumption items'!$H$2:$I$703,2,))</f>
        <v>116026</v>
      </c>
      <c r="C134" s="83" t="str">
        <f>'ENIGHUR Consumption items'!J135</f>
        <v>Grosellas</v>
      </c>
      <c r="D134" s="124">
        <v>41</v>
      </c>
      <c r="E134" s="91" t="str">
        <f>IFERROR(VLOOKUP(D134,'symmetric IOT 245 2012'!$C$6:$D$276,2,FALSE),"")</f>
        <v>Otras frutas n.c.p.</v>
      </c>
      <c r="H134" s="77">
        <f>INDEX('Dictionary Categories'!$A$2:$A$30,MATCH(I134,'Dictionary Categories'!$B$2:$B$30,0))</f>
        <v>1</v>
      </c>
      <c r="I134" s="2" t="s">
        <v>2470</v>
      </c>
      <c r="J134" s="2">
        <f>INDEX('Dictionary Subcategories'!$A$2:$A$70,MATCH(K134,'Dictionary Subcategories'!$B$2:$B$70,0))</f>
        <v>6</v>
      </c>
      <c r="K134" s="2" t="s">
        <v>1231</v>
      </c>
      <c r="L134" s="147"/>
      <c r="M134" s="77">
        <v>132</v>
      </c>
      <c r="O134" s="77">
        <f t="shared" si="2"/>
        <v>0</v>
      </c>
    </row>
    <row r="135" spans="1:15" x14ac:dyDescent="0.25">
      <c r="A135" s="83" t="str">
        <f>'ENIGHUR Consumption items'!H136</f>
        <v>01.1.6.027</v>
      </c>
      <c r="B135" s="116">
        <f>_xlfn.NUMBERVALUE(VLOOKUP(A135,'ENIGHUR Consumption items'!$H$2:$I$703,2,))</f>
        <v>116027</v>
      </c>
      <c r="C135" s="83" t="str">
        <f>'ENIGHUR Consumption items'!J136</f>
        <v>Guaba de bejuco</v>
      </c>
      <c r="D135" s="124">
        <v>41</v>
      </c>
      <c r="E135" s="91" t="str">
        <f>IFERROR(VLOOKUP(D135,'symmetric IOT 245 2012'!$C$6:$D$276,2,FALSE),"")</f>
        <v>Otras frutas n.c.p.</v>
      </c>
      <c r="H135" s="77">
        <f>INDEX('Dictionary Categories'!$A$2:$A$30,MATCH(I135,'Dictionary Categories'!$B$2:$B$30,0))</f>
        <v>1</v>
      </c>
      <c r="I135" s="2" t="s">
        <v>2470</v>
      </c>
      <c r="J135" s="2">
        <f>INDEX('Dictionary Subcategories'!$A$2:$A$70,MATCH(K135,'Dictionary Subcategories'!$B$2:$B$70,0))</f>
        <v>6</v>
      </c>
      <c r="K135" s="2" t="s">
        <v>1231</v>
      </c>
      <c r="L135" s="147"/>
      <c r="M135" s="77">
        <v>133</v>
      </c>
      <c r="O135" s="77">
        <f t="shared" si="2"/>
        <v>0</v>
      </c>
    </row>
    <row r="136" spans="1:15" x14ac:dyDescent="0.25">
      <c r="A136" s="83" t="str">
        <f>'ENIGHUR Consumption items'!H137</f>
        <v>01.1.6.028</v>
      </c>
      <c r="B136" s="116">
        <f>_xlfn.NUMBERVALUE(VLOOKUP(A136,'ENIGHUR Consumption items'!$H$2:$I$703,2,))</f>
        <v>116028</v>
      </c>
      <c r="C136" s="83" t="str">
        <f>'ENIGHUR Consumption items'!J137</f>
        <v>Guaba machete</v>
      </c>
      <c r="D136" s="124">
        <v>41</v>
      </c>
      <c r="E136" s="91" t="str">
        <f>IFERROR(VLOOKUP(D136,'symmetric IOT 245 2012'!$C$6:$D$276,2,FALSE),"")</f>
        <v>Otras frutas n.c.p.</v>
      </c>
      <c r="H136" s="77">
        <f>INDEX('Dictionary Categories'!$A$2:$A$30,MATCH(I136,'Dictionary Categories'!$B$2:$B$30,0))</f>
        <v>1</v>
      </c>
      <c r="I136" s="2" t="s">
        <v>2470</v>
      </c>
      <c r="J136" s="2">
        <f>INDEX('Dictionary Subcategories'!$A$2:$A$70,MATCH(K136,'Dictionary Subcategories'!$B$2:$B$70,0))</f>
        <v>6</v>
      </c>
      <c r="K136" s="2" t="s">
        <v>1231</v>
      </c>
      <c r="L136" s="147"/>
      <c r="M136" s="77">
        <v>134</v>
      </c>
      <c r="O136" s="77">
        <f t="shared" si="2"/>
        <v>0</v>
      </c>
    </row>
    <row r="137" spans="1:15" x14ac:dyDescent="0.25">
      <c r="A137" s="83" t="str">
        <f>'ENIGHUR Consumption items'!H138</f>
        <v>01.1.6.029</v>
      </c>
      <c r="B137" s="116">
        <f>_xlfn.NUMBERVALUE(VLOOKUP(A137,'ENIGHUR Consumption items'!$H$2:$I$703,2,))</f>
        <v>116029</v>
      </c>
      <c r="C137" s="83" t="str">
        <f>'ENIGHUR Consumption items'!J138</f>
        <v>Guaba pequeña</v>
      </c>
      <c r="D137" s="124">
        <v>41</v>
      </c>
      <c r="E137" s="91" t="str">
        <f>IFERROR(VLOOKUP(D137,'symmetric IOT 245 2012'!$C$6:$D$276,2,FALSE),"")</f>
        <v>Otras frutas n.c.p.</v>
      </c>
      <c r="H137" s="77">
        <f>INDEX('Dictionary Categories'!$A$2:$A$30,MATCH(I137,'Dictionary Categories'!$B$2:$B$30,0))</f>
        <v>1</v>
      </c>
      <c r="I137" s="2" t="s">
        <v>2470</v>
      </c>
      <c r="J137" s="2">
        <f>INDEX('Dictionary Subcategories'!$A$2:$A$70,MATCH(K137,'Dictionary Subcategories'!$B$2:$B$70,0))</f>
        <v>6</v>
      </c>
      <c r="K137" s="2" t="s">
        <v>1231</v>
      </c>
      <c r="L137" s="147"/>
      <c r="M137" s="77">
        <v>135</v>
      </c>
      <c r="O137" s="77">
        <f t="shared" si="2"/>
        <v>0</v>
      </c>
    </row>
    <row r="138" spans="1:15" x14ac:dyDescent="0.25">
      <c r="A138" s="83" t="str">
        <f>'ENIGHUR Consumption items'!H139</f>
        <v>01.1.6.030</v>
      </c>
      <c r="B138" s="116">
        <f>_xlfn.NUMBERVALUE(VLOOKUP(A138,'ENIGHUR Consumption items'!$H$2:$I$703,2,))</f>
        <v>116030</v>
      </c>
      <c r="C138" s="83" t="str">
        <f>'ENIGHUR Consumption items'!J139</f>
        <v>Guanábana</v>
      </c>
      <c r="D138" s="124">
        <v>41</v>
      </c>
      <c r="E138" s="91" t="str">
        <f>IFERROR(VLOOKUP(D138,'symmetric IOT 245 2012'!$C$6:$D$276,2,FALSE),"")</f>
        <v>Otras frutas n.c.p.</v>
      </c>
      <c r="H138" s="77">
        <f>INDEX('Dictionary Categories'!$A$2:$A$30,MATCH(I138,'Dictionary Categories'!$B$2:$B$30,0))</f>
        <v>1</v>
      </c>
      <c r="I138" s="2" t="s">
        <v>2470</v>
      </c>
      <c r="J138" s="2">
        <f>INDEX('Dictionary Subcategories'!$A$2:$A$70,MATCH(K138,'Dictionary Subcategories'!$B$2:$B$70,0))</f>
        <v>6</v>
      </c>
      <c r="K138" s="2" t="s">
        <v>1231</v>
      </c>
      <c r="L138" s="147"/>
      <c r="M138" s="77">
        <v>136</v>
      </c>
      <c r="O138" s="77">
        <f t="shared" si="2"/>
        <v>0</v>
      </c>
    </row>
    <row r="139" spans="1:15" x14ac:dyDescent="0.25">
      <c r="A139" s="83" t="str">
        <f>'ENIGHUR Consumption items'!H140</f>
        <v>01.1.6.031</v>
      </c>
      <c r="B139" s="116">
        <f>_xlfn.NUMBERVALUE(VLOOKUP(A139,'ENIGHUR Consumption items'!$H$2:$I$703,2,))</f>
        <v>116031</v>
      </c>
      <c r="C139" s="83" t="str">
        <f>'ENIGHUR Consumption items'!J140</f>
        <v>Guayaba</v>
      </c>
      <c r="D139" s="124">
        <v>41</v>
      </c>
      <c r="E139" s="91" t="str">
        <f>IFERROR(VLOOKUP(D139,'symmetric IOT 245 2012'!$C$6:$D$276,2,FALSE),"")</f>
        <v>Otras frutas n.c.p.</v>
      </c>
      <c r="H139" s="77">
        <f>INDEX('Dictionary Categories'!$A$2:$A$30,MATCH(I139,'Dictionary Categories'!$B$2:$B$30,0))</f>
        <v>1</v>
      </c>
      <c r="I139" s="2" t="s">
        <v>2470</v>
      </c>
      <c r="J139" s="2">
        <f>INDEX('Dictionary Subcategories'!$A$2:$A$70,MATCH(K139,'Dictionary Subcategories'!$B$2:$B$70,0))</f>
        <v>6</v>
      </c>
      <c r="K139" s="2" t="s">
        <v>1231</v>
      </c>
      <c r="L139" s="147"/>
      <c r="M139" s="77">
        <v>137</v>
      </c>
      <c r="O139" s="77">
        <f t="shared" si="2"/>
        <v>0</v>
      </c>
    </row>
    <row r="140" spans="1:15" x14ac:dyDescent="0.25">
      <c r="A140" s="83" t="str">
        <f>'ENIGHUR Consumption items'!H141</f>
        <v>01.1.6.032</v>
      </c>
      <c r="B140" s="116">
        <f>_xlfn.NUMBERVALUE(VLOOKUP(A140,'ENIGHUR Consumption items'!$H$2:$I$703,2,))</f>
        <v>116032</v>
      </c>
      <c r="C140" s="83" t="str">
        <f>'ENIGHUR Consumption items'!J141</f>
        <v>Guaytambo (durazno abridor)</v>
      </c>
      <c r="D140" s="124">
        <v>41</v>
      </c>
      <c r="E140" s="91" t="str">
        <f>IFERROR(VLOOKUP(D140,'symmetric IOT 245 2012'!$C$6:$D$276,2,FALSE),"")</f>
        <v>Otras frutas n.c.p.</v>
      </c>
      <c r="H140" s="77">
        <f>INDEX('Dictionary Categories'!$A$2:$A$30,MATCH(I140,'Dictionary Categories'!$B$2:$B$30,0))</f>
        <v>1</v>
      </c>
      <c r="I140" s="2" t="s">
        <v>2470</v>
      </c>
      <c r="J140" s="2">
        <f>INDEX('Dictionary Subcategories'!$A$2:$A$70,MATCH(K140,'Dictionary Subcategories'!$B$2:$B$70,0))</f>
        <v>6</v>
      </c>
      <c r="K140" s="2" t="s">
        <v>1231</v>
      </c>
      <c r="L140" s="147"/>
      <c r="M140" s="77">
        <v>138</v>
      </c>
      <c r="O140" s="77">
        <f t="shared" si="2"/>
        <v>0</v>
      </c>
    </row>
    <row r="141" spans="1:15" x14ac:dyDescent="0.25">
      <c r="A141" s="83" t="str">
        <f>'ENIGHUR Consumption items'!H142</f>
        <v>01.1.6.033</v>
      </c>
      <c r="B141" s="116">
        <f>_xlfn.NUMBERVALUE(VLOOKUP(A141,'ENIGHUR Consumption items'!$H$2:$I$703,2,))</f>
        <v>116033</v>
      </c>
      <c r="C141" s="83" t="str">
        <f>'ENIGHUR Consumption items'!J142</f>
        <v>Higo</v>
      </c>
      <c r="D141" s="124">
        <v>41</v>
      </c>
      <c r="E141" s="91" t="str">
        <f>IFERROR(VLOOKUP(D141,'symmetric IOT 245 2012'!$C$6:$D$276,2,FALSE),"")</f>
        <v>Otras frutas n.c.p.</v>
      </c>
      <c r="H141" s="77">
        <f>INDEX('Dictionary Categories'!$A$2:$A$30,MATCH(I141,'Dictionary Categories'!$B$2:$B$30,0))</f>
        <v>1</v>
      </c>
      <c r="I141" s="2" t="s">
        <v>2470</v>
      </c>
      <c r="J141" s="2">
        <f>INDEX('Dictionary Subcategories'!$A$2:$A$70,MATCH(K141,'Dictionary Subcategories'!$B$2:$B$70,0))</f>
        <v>6</v>
      </c>
      <c r="K141" s="2" t="s">
        <v>1231</v>
      </c>
      <c r="L141" s="147"/>
      <c r="M141" s="77">
        <v>139</v>
      </c>
      <c r="O141" s="77">
        <f t="shared" si="2"/>
        <v>0</v>
      </c>
    </row>
    <row r="142" spans="1:15" x14ac:dyDescent="0.25">
      <c r="A142" s="83" t="str">
        <f>'ENIGHUR Consumption items'!H143</f>
        <v>01.1.6.034</v>
      </c>
      <c r="B142" s="116">
        <f>_xlfn.NUMBERVALUE(VLOOKUP(A142,'ENIGHUR Consumption items'!$H$2:$I$703,2,))</f>
        <v>116034</v>
      </c>
      <c r="C142" s="83" t="str">
        <f>'ENIGHUR Consumption items'!J143</f>
        <v>Kiwi</v>
      </c>
      <c r="D142" s="124">
        <v>41</v>
      </c>
      <c r="E142" s="91" t="str">
        <f>IFERROR(VLOOKUP(D142,'symmetric IOT 245 2012'!$C$6:$D$276,2,FALSE),"")</f>
        <v>Otras frutas n.c.p.</v>
      </c>
      <c r="H142" s="77">
        <f>INDEX('Dictionary Categories'!$A$2:$A$30,MATCH(I142,'Dictionary Categories'!$B$2:$B$30,0))</f>
        <v>1</v>
      </c>
      <c r="I142" s="2" t="s">
        <v>2470</v>
      </c>
      <c r="J142" s="2">
        <f>INDEX('Dictionary Subcategories'!$A$2:$A$70,MATCH(K142,'Dictionary Subcategories'!$B$2:$B$70,0))</f>
        <v>6</v>
      </c>
      <c r="K142" s="2" t="s">
        <v>1231</v>
      </c>
      <c r="L142" s="147"/>
      <c r="M142" s="77">
        <v>140</v>
      </c>
      <c r="O142" s="77">
        <f t="shared" si="2"/>
        <v>0</v>
      </c>
    </row>
    <row r="143" spans="1:15" x14ac:dyDescent="0.25">
      <c r="A143" s="83" t="str">
        <f>'ENIGHUR Consumption items'!H144</f>
        <v>01.1.6.035</v>
      </c>
      <c r="B143" s="116">
        <f>_xlfn.NUMBERVALUE(VLOOKUP(A143,'ENIGHUR Consumption items'!$H$2:$I$703,2,))</f>
        <v>116035</v>
      </c>
      <c r="C143" s="83" t="str">
        <f>'ENIGHUR Consumption items'!J144</f>
        <v>Lima</v>
      </c>
      <c r="D143" s="124">
        <v>41</v>
      </c>
      <c r="E143" s="91" t="str">
        <f>IFERROR(VLOOKUP(D143,'symmetric IOT 245 2012'!$C$6:$D$276,2,FALSE),"")</f>
        <v>Otras frutas n.c.p.</v>
      </c>
      <c r="H143" s="77">
        <f>INDEX('Dictionary Categories'!$A$2:$A$30,MATCH(I143,'Dictionary Categories'!$B$2:$B$30,0))</f>
        <v>1</v>
      </c>
      <c r="I143" s="2" t="s">
        <v>2470</v>
      </c>
      <c r="J143" s="2">
        <f>INDEX('Dictionary Subcategories'!$A$2:$A$70,MATCH(K143,'Dictionary Subcategories'!$B$2:$B$70,0))</f>
        <v>6</v>
      </c>
      <c r="K143" s="2" t="s">
        <v>1231</v>
      </c>
      <c r="L143" s="147"/>
      <c r="M143" s="77">
        <v>141</v>
      </c>
      <c r="O143" s="77">
        <f t="shared" si="2"/>
        <v>0</v>
      </c>
    </row>
    <row r="144" spans="1:15" x14ac:dyDescent="0.25">
      <c r="A144" s="83" t="str">
        <f>'ENIGHUR Consumption items'!H145</f>
        <v>01.1.6.036</v>
      </c>
      <c r="B144" s="116">
        <f>_xlfn.NUMBERVALUE(VLOOKUP(A144,'ENIGHUR Consumption items'!$H$2:$I$703,2,))</f>
        <v>116036</v>
      </c>
      <c r="C144" s="83" t="str">
        <f>'ENIGHUR Consumption items'!J145</f>
        <v>Limón mandarina</v>
      </c>
      <c r="D144" s="124">
        <v>35</v>
      </c>
      <c r="E144" s="91" t="str">
        <f>IFERROR(VLOOKUP(D144,'symmetric IOT 245 2012'!$C$6:$D$276,2,FALSE),"")</f>
        <v xml:space="preserve">Limón y Plantas de limón </v>
      </c>
      <c r="H144" s="77">
        <f>INDEX('Dictionary Categories'!$A$2:$A$30,MATCH(I144,'Dictionary Categories'!$B$2:$B$30,0))</f>
        <v>1</v>
      </c>
      <c r="I144" s="2" t="s">
        <v>2470</v>
      </c>
      <c r="J144" s="2">
        <f>INDEX('Dictionary Subcategories'!$A$2:$A$70,MATCH(K144,'Dictionary Subcategories'!$B$2:$B$70,0))</f>
        <v>6</v>
      </c>
      <c r="K144" s="2" t="s">
        <v>1231</v>
      </c>
      <c r="L144" s="147"/>
      <c r="M144" s="77">
        <v>142</v>
      </c>
      <c r="O144" s="77">
        <f t="shared" si="2"/>
        <v>0</v>
      </c>
    </row>
    <row r="145" spans="1:15" x14ac:dyDescent="0.25">
      <c r="A145" s="83" t="str">
        <f>'ENIGHUR Consumption items'!H146</f>
        <v>01.1.6.037</v>
      </c>
      <c r="B145" s="116">
        <f>_xlfn.NUMBERVALUE(VLOOKUP(A145,'ENIGHUR Consumption items'!$H$2:$I$703,2,))</f>
        <v>116037</v>
      </c>
      <c r="C145" s="83" t="str">
        <f>'ENIGHUR Consumption items'!J146</f>
        <v>Limón real</v>
      </c>
      <c r="D145" s="124">
        <v>35</v>
      </c>
      <c r="E145" s="91" t="str">
        <f>IFERROR(VLOOKUP(D145,'symmetric IOT 245 2012'!$C$6:$D$276,2,FALSE),"")</f>
        <v xml:space="preserve">Limón y Plantas de limón </v>
      </c>
      <c r="H145" s="77">
        <f>INDEX('Dictionary Categories'!$A$2:$A$30,MATCH(I145,'Dictionary Categories'!$B$2:$B$30,0))</f>
        <v>1</v>
      </c>
      <c r="I145" s="2" t="s">
        <v>2470</v>
      </c>
      <c r="J145" s="2">
        <f>INDEX('Dictionary Subcategories'!$A$2:$A$70,MATCH(K145,'Dictionary Subcategories'!$B$2:$B$70,0))</f>
        <v>6</v>
      </c>
      <c r="K145" s="2" t="s">
        <v>1231</v>
      </c>
      <c r="L145" s="147"/>
      <c r="M145" s="77">
        <v>143</v>
      </c>
      <c r="O145" s="77">
        <f t="shared" si="2"/>
        <v>0</v>
      </c>
    </row>
    <row r="146" spans="1:15" x14ac:dyDescent="0.25">
      <c r="A146" s="83" t="str">
        <f>'ENIGHUR Consumption items'!H147</f>
        <v>01.1.6.038</v>
      </c>
      <c r="B146" s="116">
        <f>_xlfn.NUMBERVALUE(VLOOKUP(A146,'ENIGHUR Consumption items'!$H$2:$I$703,2,))</f>
        <v>116038</v>
      </c>
      <c r="C146" s="83" t="str">
        <f>'ENIGHUR Consumption items'!J147</f>
        <v>Limón sutil</v>
      </c>
      <c r="D146" s="124">
        <v>35</v>
      </c>
      <c r="E146" s="91" t="str">
        <f>IFERROR(VLOOKUP(D146,'symmetric IOT 245 2012'!$C$6:$D$276,2,FALSE),"")</f>
        <v xml:space="preserve">Limón y Plantas de limón </v>
      </c>
      <c r="H146" s="77">
        <f>INDEX('Dictionary Categories'!$A$2:$A$30,MATCH(I146,'Dictionary Categories'!$B$2:$B$30,0))</f>
        <v>1</v>
      </c>
      <c r="I146" s="2" t="s">
        <v>2470</v>
      </c>
      <c r="J146" s="2">
        <f>INDEX('Dictionary Subcategories'!$A$2:$A$70,MATCH(K146,'Dictionary Subcategories'!$B$2:$B$70,0))</f>
        <v>6</v>
      </c>
      <c r="K146" s="2" t="s">
        <v>1231</v>
      </c>
      <c r="L146" s="147"/>
      <c r="M146" s="77">
        <v>144</v>
      </c>
      <c r="O146" s="77">
        <f t="shared" si="2"/>
        <v>0</v>
      </c>
    </row>
    <row r="147" spans="1:15" x14ac:dyDescent="0.25">
      <c r="A147" s="83" t="str">
        <f>'ENIGHUR Consumption items'!H148</f>
        <v>01.1.6.039</v>
      </c>
      <c r="B147" s="116">
        <f>_xlfn.NUMBERVALUE(VLOOKUP(A147,'ENIGHUR Consumption items'!$H$2:$I$703,2,))</f>
        <v>116039</v>
      </c>
      <c r="C147" s="83" t="str">
        <f>'ENIGHUR Consumption items'!J148</f>
        <v>Mamey</v>
      </c>
      <c r="D147" s="124">
        <v>41</v>
      </c>
      <c r="E147" s="91" t="str">
        <f>IFERROR(VLOOKUP(D147,'symmetric IOT 245 2012'!$C$6:$D$276,2,FALSE),"")</f>
        <v>Otras frutas n.c.p.</v>
      </c>
      <c r="H147" s="77">
        <f>INDEX('Dictionary Categories'!$A$2:$A$30,MATCH(I147,'Dictionary Categories'!$B$2:$B$30,0))</f>
        <v>1</v>
      </c>
      <c r="I147" s="2" t="s">
        <v>2470</v>
      </c>
      <c r="J147" s="2">
        <f>INDEX('Dictionary Subcategories'!$A$2:$A$70,MATCH(K147,'Dictionary Subcategories'!$B$2:$B$70,0))</f>
        <v>6</v>
      </c>
      <c r="K147" s="2" t="s">
        <v>1231</v>
      </c>
      <c r="L147" s="147"/>
      <c r="M147" s="77">
        <v>145</v>
      </c>
      <c r="O147" s="77">
        <f t="shared" si="2"/>
        <v>0</v>
      </c>
    </row>
    <row r="148" spans="1:15" x14ac:dyDescent="0.25">
      <c r="A148" s="83" t="str">
        <f>'ENIGHUR Consumption items'!H149</f>
        <v>01.1.6.040</v>
      </c>
      <c r="B148" s="116">
        <f>_xlfn.NUMBERVALUE(VLOOKUP(A148,'ENIGHUR Consumption items'!$H$2:$I$703,2,))</f>
        <v>116040</v>
      </c>
      <c r="C148" s="83" t="str">
        <f>'ENIGHUR Consumption items'!J149</f>
        <v>Mandarina</v>
      </c>
      <c r="D148" s="124">
        <v>37</v>
      </c>
      <c r="E148" s="91" t="str">
        <f>IFERROR(VLOOKUP(D148,'symmetric IOT 245 2012'!$C$6:$D$276,2,FALSE),"")</f>
        <v>Mandarina y Plantas de</v>
      </c>
      <c r="H148" s="77">
        <f>INDEX('Dictionary Categories'!$A$2:$A$30,MATCH(I148,'Dictionary Categories'!$B$2:$B$30,0))</f>
        <v>1</v>
      </c>
      <c r="I148" s="2" t="s">
        <v>2470</v>
      </c>
      <c r="J148" s="2">
        <f>INDEX('Dictionary Subcategories'!$A$2:$A$70,MATCH(K148,'Dictionary Subcategories'!$B$2:$B$70,0))</f>
        <v>6</v>
      </c>
      <c r="K148" s="2" t="s">
        <v>1231</v>
      </c>
      <c r="L148" s="147"/>
      <c r="M148" s="77">
        <v>146</v>
      </c>
      <c r="O148" s="77">
        <f t="shared" si="2"/>
        <v>0</v>
      </c>
    </row>
    <row r="149" spans="1:15" x14ac:dyDescent="0.25">
      <c r="A149" s="83" t="str">
        <f>'ENIGHUR Consumption items'!H150</f>
        <v>01.1.6.041</v>
      </c>
      <c r="B149" s="116">
        <f>_xlfn.NUMBERVALUE(VLOOKUP(A149,'ENIGHUR Consumption items'!$H$2:$I$703,2,))</f>
        <v>116041</v>
      </c>
      <c r="C149" s="83" t="str">
        <f>'ENIGHUR Consumption items'!J150</f>
        <v>Mango</v>
      </c>
      <c r="D149" s="124">
        <v>31</v>
      </c>
      <c r="E149" s="91" t="str">
        <f>IFERROR(VLOOKUP(D149,'symmetric IOT 245 2012'!$C$6:$D$276,2,FALSE),"")</f>
        <v>Mango</v>
      </c>
      <c r="H149" s="77">
        <f>INDEX('Dictionary Categories'!$A$2:$A$30,MATCH(I149,'Dictionary Categories'!$B$2:$B$30,0))</f>
        <v>1</v>
      </c>
      <c r="I149" s="2" t="s">
        <v>2470</v>
      </c>
      <c r="J149" s="2">
        <f>INDEX('Dictionary Subcategories'!$A$2:$A$70,MATCH(K149,'Dictionary Subcategories'!$B$2:$B$70,0))</f>
        <v>6</v>
      </c>
      <c r="K149" s="2" t="s">
        <v>1231</v>
      </c>
      <c r="L149" s="147"/>
      <c r="M149" s="77">
        <v>147</v>
      </c>
      <c r="O149" s="77">
        <f t="shared" si="2"/>
        <v>0</v>
      </c>
    </row>
    <row r="150" spans="1:15" x14ac:dyDescent="0.25">
      <c r="A150" s="83" t="str">
        <f>'ENIGHUR Consumption items'!H151</f>
        <v>01.1.6.042</v>
      </c>
      <c r="B150" s="116">
        <f>_xlfn.NUMBERVALUE(VLOOKUP(A150,'ENIGHUR Consumption items'!$H$2:$I$703,2,))</f>
        <v>116042</v>
      </c>
      <c r="C150" s="83" t="str">
        <f>'ENIGHUR Consumption items'!J151</f>
        <v>Manzana</v>
      </c>
      <c r="D150" s="124">
        <v>40</v>
      </c>
      <c r="E150" s="91" t="str">
        <f>IFERROR(VLOOKUP(D150,'symmetric IOT 245 2012'!$C$6:$D$276,2,FALSE),"")</f>
        <v>Manzana y Plantas de manzana</v>
      </c>
      <c r="H150" s="77">
        <f>INDEX('Dictionary Categories'!$A$2:$A$30,MATCH(I150,'Dictionary Categories'!$B$2:$B$30,0))</f>
        <v>1</v>
      </c>
      <c r="I150" s="2" t="s">
        <v>2470</v>
      </c>
      <c r="J150" s="2">
        <f>INDEX('Dictionary Subcategories'!$A$2:$A$70,MATCH(K150,'Dictionary Subcategories'!$B$2:$B$70,0))</f>
        <v>6</v>
      </c>
      <c r="K150" s="2" t="s">
        <v>1231</v>
      </c>
      <c r="L150" s="147"/>
      <c r="M150" s="77">
        <v>148</v>
      </c>
      <c r="O150" s="77">
        <f t="shared" si="2"/>
        <v>0</v>
      </c>
    </row>
    <row r="151" spans="1:15" x14ac:dyDescent="0.25">
      <c r="A151" s="83" t="str">
        <f>'ENIGHUR Consumption items'!H152</f>
        <v>01.1.6.043</v>
      </c>
      <c r="B151" s="116">
        <f>_xlfn.NUMBERVALUE(VLOOKUP(A151,'ENIGHUR Consumption items'!$H$2:$I$703,2,))</f>
        <v>116043</v>
      </c>
      <c r="C151" s="83" t="str">
        <f>'ENIGHUR Consumption items'!J152</f>
        <v>Maqueño</v>
      </c>
      <c r="D151" s="124">
        <v>41</v>
      </c>
      <c r="E151" s="91" t="str">
        <f>IFERROR(VLOOKUP(D151,'symmetric IOT 245 2012'!$C$6:$D$276,2,FALSE),"")</f>
        <v>Otras frutas n.c.p.</v>
      </c>
      <c r="H151" s="77">
        <f>INDEX('Dictionary Categories'!$A$2:$A$30,MATCH(I151,'Dictionary Categories'!$B$2:$B$30,0))</f>
        <v>1</v>
      </c>
      <c r="I151" s="2" t="s">
        <v>2470</v>
      </c>
      <c r="J151" s="2">
        <f>INDEX('Dictionary Subcategories'!$A$2:$A$70,MATCH(K151,'Dictionary Subcategories'!$B$2:$B$70,0))</f>
        <v>6</v>
      </c>
      <c r="K151" s="2" t="s">
        <v>1231</v>
      </c>
      <c r="L151" s="147"/>
      <c r="M151" s="77">
        <v>149</v>
      </c>
      <c r="O151" s="77">
        <f t="shared" si="2"/>
        <v>0</v>
      </c>
    </row>
    <row r="152" spans="1:15" x14ac:dyDescent="0.25">
      <c r="A152" s="83" t="str">
        <f>'ENIGHUR Consumption items'!H153</f>
        <v>01.1.6.044</v>
      </c>
      <c r="B152" s="116">
        <f>_xlfn.NUMBERVALUE(VLOOKUP(A152,'ENIGHUR Consumption items'!$H$2:$I$703,2,))</f>
        <v>116044</v>
      </c>
      <c r="C152" s="83" t="str">
        <f>'ENIGHUR Consumption items'!J153</f>
        <v>Maracuyá</v>
      </c>
      <c r="D152" s="124">
        <v>38</v>
      </c>
      <c r="E152" s="91" t="str">
        <f>IFERROR(VLOOKUP(D152,'symmetric IOT 245 2012'!$C$6:$D$276,2,FALSE),"")</f>
        <v>Maracuyá y Plantas de</v>
      </c>
      <c r="H152" s="77">
        <f>INDEX('Dictionary Categories'!$A$2:$A$30,MATCH(I152,'Dictionary Categories'!$B$2:$B$30,0))</f>
        <v>1</v>
      </c>
      <c r="I152" s="2" t="s">
        <v>2470</v>
      </c>
      <c r="J152" s="2">
        <f>INDEX('Dictionary Subcategories'!$A$2:$A$70,MATCH(K152,'Dictionary Subcategories'!$B$2:$B$70,0))</f>
        <v>6</v>
      </c>
      <c r="K152" s="2" t="s">
        <v>1231</v>
      </c>
      <c r="L152" s="147"/>
      <c r="M152" s="77">
        <v>150</v>
      </c>
      <c r="O152" s="77">
        <f t="shared" si="2"/>
        <v>0</v>
      </c>
    </row>
    <row r="153" spans="1:15" x14ac:dyDescent="0.25">
      <c r="A153" s="83" t="str">
        <f>'ENIGHUR Consumption items'!H154</f>
        <v>01.1.6.045</v>
      </c>
      <c r="B153" s="116">
        <f>_xlfn.NUMBERVALUE(VLOOKUP(A153,'ENIGHUR Consumption items'!$H$2:$I$703,2,))</f>
        <v>116045</v>
      </c>
      <c r="C153" s="83" t="str">
        <f>'ENIGHUR Consumption items'!J154</f>
        <v>Melón</v>
      </c>
      <c r="D153" s="124">
        <v>41</v>
      </c>
      <c r="E153" s="91" t="str">
        <f>IFERROR(VLOOKUP(D153,'symmetric IOT 245 2012'!$C$6:$D$276,2,FALSE),"")</f>
        <v>Otras frutas n.c.p.</v>
      </c>
      <c r="H153" s="77">
        <f>INDEX('Dictionary Categories'!$A$2:$A$30,MATCH(I153,'Dictionary Categories'!$B$2:$B$30,0))</f>
        <v>1</v>
      </c>
      <c r="I153" s="2" t="s">
        <v>2470</v>
      </c>
      <c r="J153" s="2">
        <f>INDEX('Dictionary Subcategories'!$A$2:$A$70,MATCH(K153,'Dictionary Subcategories'!$B$2:$B$70,0))</f>
        <v>6</v>
      </c>
      <c r="K153" s="2" t="s">
        <v>1231</v>
      </c>
      <c r="L153" s="147"/>
      <c r="M153" s="77">
        <v>151</v>
      </c>
      <c r="O153" s="77">
        <f t="shared" si="2"/>
        <v>0</v>
      </c>
    </row>
    <row r="154" spans="1:15" x14ac:dyDescent="0.25">
      <c r="A154" s="83" t="str">
        <f>'ENIGHUR Consumption items'!H155</f>
        <v>01.1.6.046</v>
      </c>
      <c r="B154" s="116">
        <f>_xlfn.NUMBERVALUE(VLOOKUP(A154,'ENIGHUR Consumption items'!$H$2:$I$703,2,))</f>
        <v>116046</v>
      </c>
      <c r="C154" s="83" t="str">
        <f>'ENIGHUR Consumption items'!J155</f>
        <v>Membrillo</v>
      </c>
      <c r="D154" s="124">
        <v>41</v>
      </c>
      <c r="E154" s="91" t="str">
        <f>IFERROR(VLOOKUP(D154,'symmetric IOT 245 2012'!$C$6:$D$276,2,FALSE),"")</f>
        <v>Otras frutas n.c.p.</v>
      </c>
      <c r="H154" s="77">
        <f>INDEX('Dictionary Categories'!$A$2:$A$30,MATCH(I154,'Dictionary Categories'!$B$2:$B$30,0))</f>
        <v>1</v>
      </c>
      <c r="I154" s="2" t="s">
        <v>2470</v>
      </c>
      <c r="J154" s="2">
        <f>INDEX('Dictionary Subcategories'!$A$2:$A$70,MATCH(K154,'Dictionary Subcategories'!$B$2:$B$70,0))</f>
        <v>6</v>
      </c>
      <c r="K154" s="2" t="s">
        <v>1231</v>
      </c>
      <c r="L154" s="147"/>
      <c r="M154" s="77">
        <v>152</v>
      </c>
      <c r="O154" s="77">
        <f t="shared" si="2"/>
        <v>0</v>
      </c>
    </row>
    <row r="155" spans="1:15" x14ac:dyDescent="0.25">
      <c r="A155" s="83" t="str">
        <f>'ENIGHUR Consumption items'!H156</f>
        <v>01.1.6.047</v>
      </c>
      <c r="B155" s="116">
        <f>_xlfn.NUMBERVALUE(VLOOKUP(A155,'ENIGHUR Consumption items'!$H$2:$I$703,2,))</f>
        <v>116047</v>
      </c>
      <c r="C155" s="83" t="str">
        <f>'ENIGHUR Consumption items'!J156</f>
        <v>Mora (castilla y silvestre)</v>
      </c>
      <c r="D155" s="124">
        <v>39</v>
      </c>
      <c r="E155" s="91" t="str">
        <f>IFERROR(VLOOKUP(D155,'symmetric IOT 245 2012'!$C$6:$D$276,2,FALSE),"")</f>
        <v>Mora</v>
      </c>
      <c r="H155" s="77">
        <f>INDEX('Dictionary Categories'!$A$2:$A$30,MATCH(I155,'Dictionary Categories'!$B$2:$B$30,0))</f>
        <v>1</v>
      </c>
      <c r="I155" s="2" t="s">
        <v>2470</v>
      </c>
      <c r="J155" s="2">
        <f>INDEX('Dictionary Subcategories'!$A$2:$A$70,MATCH(K155,'Dictionary Subcategories'!$B$2:$B$70,0))</f>
        <v>6</v>
      </c>
      <c r="K155" s="2" t="s">
        <v>1231</v>
      </c>
      <c r="L155" s="147"/>
      <c r="M155" s="77">
        <v>153</v>
      </c>
      <c r="O155" s="77">
        <f t="shared" si="2"/>
        <v>0</v>
      </c>
    </row>
    <row r="156" spans="1:15" x14ac:dyDescent="0.25">
      <c r="A156" s="83" t="str">
        <f>'ENIGHUR Consumption items'!H157</f>
        <v>01.1.6.048</v>
      </c>
      <c r="B156" s="116">
        <f>_xlfn.NUMBERVALUE(VLOOKUP(A156,'ENIGHUR Consumption items'!$H$2:$I$703,2,))</f>
        <v>116048</v>
      </c>
      <c r="C156" s="83" t="str">
        <f>'ENIGHUR Consumption items'!J157</f>
        <v>Mortiño</v>
      </c>
      <c r="D156" s="124">
        <v>41</v>
      </c>
      <c r="E156" s="91" t="str">
        <f>IFERROR(VLOOKUP(D156,'symmetric IOT 245 2012'!$C$6:$D$276,2,FALSE),"")</f>
        <v>Otras frutas n.c.p.</v>
      </c>
      <c r="H156" s="77">
        <f>INDEX('Dictionary Categories'!$A$2:$A$30,MATCH(I156,'Dictionary Categories'!$B$2:$B$30,0))</f>
        <v>1</v>
      </c>
      <c r="I156" s="2" t="s">
        <v>2470</v>
      </c>
      <c r="J156" s="2">
        <f>INDEX('Dictionary Subcategories'!$A$2:$A$70,MATCH(K156,'Dictionary Subcategories'!$B$2:$B$70,0))</f>
        <v>6</v>
      </c>
      <c r="K156" s="2" t="s">
        <v>1231</v>
      </c>
      <c r="L156" s="147"/>
      <c r="M156" s="77">
        <v>154</v>
      </c>
      <c r="O156" s="77">
        <f t="shared" si="2"/>
        <v>0</v>
      </c>
    </row>
    <row r="157" spans="1:15" x14ac:dyDescent="0.25">
      <c r="A157" s="83" t="str">
        <f>'ENIGHUR Consumption items'!H158</f>
        <v>01.1.6.049</v>
      </c>
      <c r="B157" s="116">
        <f>_xlfn.NUMBERVALUE(VLOOKUP(A157,'ENIGHUR Consumption items'!$H$2:$I$703,2,))</f>
        <v>116049</v>
      </c>
      <c r="C157" s="83" t="str">
        <f>'ENIGHUR Consumption items'!J158</f>
        <v>Naranja</v>
      </c>
      <c r="D157" s="124">
        <v>36</v>
      </c>
      <c r="E157" s="91" t="str">
        <f>IFERROR(VLOOKUP(D157,'symmetric IOT 245 2012'!$C$6:$D$276,2,FALSE),"")</f>
        <v>Naranja y Plantas de naranja</v>
      </c>
      <c r="H157" s="77">
        <f>INDEX('Dictionary Categories'!$A$2:$A$30,MATCH(I157,'Dictionary Categories'!$B$2:$B$30,0))</f>
        <v>1</v>
      </c>
      <c r="I157" s="2" t="s">
        <v>2470</v>
      </c>
      <c r="J157" s="2">
        <f>INDEX('Dictionary Subcategories'!$A$2:$A$70,MATCH(K157,'Dictionary Subcategories'!$B$2:$B$70,0))</f>
        <v>6</v>
      </c>
      <c r="K157" s="2" t="s">
        <v>1231</v>
      </c>
      <c r="L157" s="147"/>
      <c r="M157" s="77">
        <v>155</v>
      </c>
      <c r="O157" s="77">
        <f t="shared" si="2"/>
        <v>0</v>
      </c>
    </row>
    <row r="158" spans="1:15" x14ac:dyDescent="0.25">
      <c r="A158" s="83" t="str">
        <f>'ENIGHUR Consumption items'!H159</f>
        <v>01.1.6.050</v>
      </c>
      <c r="B158" s="116">
        <f>_xlfn.NUMBERVALUE(VLOOKUP(A158,'ENIGHUR Consumption items'!$H$2:$I$703,2,))</f>
        <v>116050</v>
      </c>
      <c r="C158" s="83" t="str">
        <f>'ENIGHUR Consumption items'!J159</f>
        <v>Naranja agria</v>
      </c>
      <c r="D158" s="124">
        <v>41</v>
      </c>
      <c r="E158" s="91" t="str">
        <f>IFERROR(VLOOKUP(D158,'symmetric IOT 245 2012'!$C$6:$D$276,2,FALSE),"")</f>
        <v>Otras frutas n.c.p.</v>
      </c>
      <c r="H158" s="77">
        <f>INDEX('Dictionary Categories'!$A$2:$A$30,MATCH(I158,'Dictionary Categories'!$B$2:$B$30,0))</f>
        <v>1</v>
      </c>
      <c r="I158" s="2" t="s">
        <v>2470</v>
      </c>
      <c r="J158" s="2">
        <f>INDEX('Dictionary Subcategories'!$A$2:$A$70,MATCH(K158,'Dictionary Subcategories'!$B$2:$B$70,0))</f>
        <v>6</v>
      </c>
      <c r="K158" s="2" t="s">
        <v>1231</v>
      </c>
      <c r="L158" s="147"/>
      <c r="M158" s="77">
        <v>156</v>
      </c>
      <c r="O158" s="77">
        <f t="shared" si="2"/>
        <v>0</v>
      </c>
    </row>
    <row r="159" spans="1:15" x14ac:dyDescent="0.25">
      <c r="A159" s="83" t="str">
        <f>'ENIGHUR Consumption items'!H160</f>
        <v>01.1.6.051</v>
      </c>
      <c r="B159" s="116">
        <f>_xlfn.NUMBERVALUE(VLOOKUP(A159,'ENIGHUR Consumption items'!$H$2:$I$703,2,))</f>
        <v>116051</v>
      </c>
      <c r="C159" s="83" t="str">
        <f>'ENIGHUR Consumption items'!J160</f>
        <v>Naranjilla</v>
      </c>
      <c r="D159" s="124">
        <v>41</v>
      </c>
      <c r="E159" s="91" t="str">
        <f>IFERROR(VLOOKUP(D159,'symmetric IOT 245 2012'!$C$6:$D$276,2,FALSE),"")</f>
        <v>Otras frutas n.c.p.</v>
      </c>
      <c r="H159" s="77">
        <f>INDEX('Dictionary Categories'!$A$2:$A$30,MATCH(I159,'Dictionary Categories'!$B$2:$B$30,0))</f>
        <v>1</v>
      </c>
      <c r="I159" s="2" t="s">
        <v>2470</v>
      </c>
      <c r="J159" s="2">
        <f>INDEX('Dictionary Subcategories'!$A$2:$A$70,MATCH(K159,'Dictionary Subcategories'!$B$2:$B$70,0))</f>
        <v>6</v>
      </c>
      <c r="K159" s="2" t="s">
        <v>1231</v>
      </c>
      <c r="L159" s="147"/>
      <c r="M159" s="77">
        <v>157</v>
      </c>
      <c r="O159" s="77">
        <f t="shared" si="2"/>
        <v>0</v>
      </c>
    </row>
    <row r="160" spans="1:15" x14ac:dyDescent="0.25">
      <c r="A160" s="83" t="str">
        <f>'ENIGHUR Consumption items'!H161</f>
        <v>01.1.6.052</v>
      </c>
      <c r="B160" s="116">
        <f>_xlfn.NUMBERVALUE(VLOOKUP(A160,'ENIGHUR Consumption items'!$H$2:$I$703,2,))</f>
        <v>116052</v>
      </c>
      <c r="C160" s="83" t="str">
        <f>'ENIGHUR Consumption items'!J161</f>
        <v>Níspero</v>
      </c>
      <c r="D160" s="124">
        <v>41</v>
      </c>
      <c r="E160" s="91" t="str">
        <f>IFERROR(VLOOKUP(D160,'symmetric IOT 245 2012'!$C$6:$D$276,2,FALSE),"")</f>
        <v>Otras frutas n.c.p.</v>
      </c>
      <c r="H160" s="77">
        <f>INDEX('Dictionary Categories'!$A$2:$A$30,MATCH(I160,'Dictionary Categories'!$B$2:$B$30,0))</f>
        <v>1</v>
      </c>
      <c r="I160" s="2" t="s">
        <v>2470</v>
      </c>
      <c r="J160" s="2">
        <f>INDEX('Dictionary Subcategories'!$A$2:$A$70,MATCH(K160,'Dictionary Subcategories'!$B$2:$B$70,0))</f>
        <v>6</v>
      </c>
      <c r="K160" s="2" t="s">
        <v>1231</v>
      </c>
      <c r="L160" s="147"/>
      <c r="M160" s="77">
        <v>158</v>
      </c>
      <c r="O160" s="77">
        <f t="shared" si="2"/>
        <v>0</v>
      </c>
    </row>
    <row r="161" spans="1:15" x14ac:dyDescent="0.25">
      <c r="A161" s="83" t="str">
        <f>'ENIGHUR Consumption items'!H162</f>
        <v>01.1.6.053</v>
      </c>
      <c r="B161" s="116">
        <f>_xlfn.NUMBERVALUE(VLOOKUP(A161,'ENIGHUR Consumption items'!$H$2:$I$703,2,))</f>
        <v>116053</v>
      </c>
      <c r="C161" s="83" t="str">
        <f>'ENIGHUR Consumption items'!J162</f>
        <v>Noni</v>
      </c>
      <c r="D161" s="124">
        <v>41</v>
      </c>
      <c r="E161" s="91" t="str">
        <f>IFERROR(VLOOKUP(D161,'symmetric IOT 245 2012'!$C$6:$D$276,2,FALSE),"")</f>
        <v>Otras frutas n.c.p.</v>
      </c>
      <c r="H161" s="77">
        <f>INDEX('Dictionary Categories'!$A$2:$A$30,MATCH(I161,'Dictionary Categories'!$B$2:$B$30,0))</f>
        <v>1</v>
      </c>
      <c r="I161" s="2" t="s">
        <v>2470</v>
      </c>
      <c r="J161" s="2">
        <f>INDEX('Dictionary Subcategories'!$A$2:$A$70,MATCH(K161,'Dictionary Subcategories'!$B$2:$B$70,0))</f>
        <v>6</v>
      </c>
      <c r="K161" s="2" t="s">
        <v>1231</v>
      </c>
      <c r="L161" s="147"/>
      <c r="M161" s="77">
        <v>159</v>
      </c>
      <c r="O161" s="77">
        <f t="shared" si="2"/>
        <v>0</v>
      </c>
    </row>
    <row r="162" spans="1:15" x14ac:dyDescent="0.25">
      <c r="A162" s="83" t="str">
        <f>'ENIGHUR Consumption items'!H163</f>
        <v>01.1.6.054</v>
      </c>
      <c r="B162" s="116">
        <f>_xlfn.NUMBERVALUE(VLOOKUP(A162,'ENIGHUR Consumption items'!$H$2:$I$703,2,))</f>
        <v>116054</v>
      </c>
      <c r="C162" s="83" t="str">
        <f>'ENIGHUR Consumption items'!J163</f>
        <v>Orito</v>
      </c>
      <c r="D162" s="124">
        <v>41</v>
      </c>
      <c r="E162" s="91" t="str">
        <f>IFERROR(VLOOKUP(D162,'symmetric IOT 245 2012'!$C$6:$D$276,2,FALSE),"")</f>
        <v>Otras frutas n.c.p.</v>
      </c>
      <c r="H162" s="77">
        <f>INDEX('Dictionary Categories'!$A$2:$A$30,MATCH(I162,'Dictionary Categories'!$B$2:$B$30,0))</f>
        <v>1</v>
      </c>
      <c r="I162" s="2" t="s">
        <v>2470</v>
      </c>
      <c r="J162" s="2">
        <f>INDEX('Dictionary Subcategories'!$A$2:$A$70,MATCH(K162,'Dictionary Subcategories'!$B$2:$B$70,0))</f>
        <v>6</v>
      </c>
      <c r="K162" s="2" t="s">
        <v>1231</v>
      </c>
      <c r="L162" s="147"/>
      <c r="M162" s="77">
        <v>160</v>
      </c>
      <c r="O162" s="77">
        <f t="shared" si="2"/>
        <v>0</v>
      </c>
    </row>
    <row r="163" spans="1:15" x14ac:dyDescent="0.25">
      <c r="A163" s="83" t="str">
        <f>'ENIGHUR Consumption items'!H164</f>
        <v>01.1.6.055</v>
      </c>
      <c r="B163" s="116">
        <f>_xlfn.NUMBERVALUE(VLOOKUP(A163,'ENIGHUR Consumption items'!$H$2:$I$703,2,))</f>
        <v>116055</v>
      </c>
      <c r="C163" s="83" t="str">
        <f>'ENIGHUR Consumption items'!J164</f>
        <v>Ovos, ciruelos</v>
      </c>
      <c r="D163" s="124">
        <v>41</v>
      </c>
      <c r="E163" s="91" t="str">
        <f>IFERROR(VLOOKUP(D163,'symmetric IOT 245 2012'!$C$6:$D$276,2,FALSE),"")</f>
        <v>Otras frutas n.c.p.</v>
      </c>
      <c r="H163" s="77">
        <f>INDEX('Dictionary Categories'!$A$2:$A$30,MATCH(I163,'Dictionary Categories'!$B$2:$B$30,0))</f>
        <v>1</v>
      </c>
      <c r="I163" s="2" t="s">
        <v>2470</v>
      </c>
      <c r="J163" s="2">
        <f>INDEX('Dictionary Subcategories'!$A$2:$A$70,MATCH(K163,'Dictionary Subcategories'!$B$2:$B$70,0))</f>
        <v>6</v>
      </c>
      <c r="K163" s="2" t="s">
        <v>1231</v>
      </c>
      <c r="L163" s="147"/>
      <c r="M163" s="77">
        <v>161</v>
      </c>
      <c r="O163" s="77">
        <f t="shared" si="2"/>
        <v>0</v>
      </c>
    </row>
    <row r="164" spans="1:15" x14ac:dyDescent="0.25">
      <c r="A164" s="83" t="str">
        <f>'ENIGHUR Consumption items'!H165</f>
        <v>01.1.6.056</v>
      </c>
      <c r="B164" s="116">
        <f>_xlfn.NUMBERVALUE(VLOOKUP(A164,'ENIGHUR Consumption items'!$H$2:$I$703,2,))</f>
        <v>116056</v>
      </c>
      <c r="C164" s="83" t="str">
        <f>'ENIGHUR Consumption items'!J165</f>
        <v>Papaya</v>
      </c>
      <c r="D164" s="124">
        <v>32</v>
      </c>
      <c r="E164" s="91" t="str">
        <f>IFERROR(VLOOKUP(D164,'symmetric IOT 245 2012'!$C$6:$D$276,2,FALSE),"")</f>
        <v>Papaya y Plantas de papaya</v>
      </c>
      <c r="H164" s="77">
        <f>INDEX('Dictionary Categories'!$A$2:$A$30,MATCH(I164,'Dictionary Categories'!$B$2:$B$30,0))</f>
        <v>1</v>
      </c>
      <c r="I164" s="2" t="s">
        <v>2470</v>
      </c>
      <c r="J164" s="2">
        <f>INDEX('Dictionary Subcategories'!$A$2:$A$70,MATCH(K164,'Dictionary Subcategories'!$B$2:$B$70,0))</f>
        <v>6</v>
      </c>
      <c r="K164" s="2" t="s">
        <v>1231</v>
      </c>
      <c r="L164" s="147"/>
      <c r="M164" s="77">
        <v>162</v>
      </c>
      <c r="O164" s="77">
        <f t="shared" si="2"/>
        <v>0</v>
      </c>
    </row>
    <row r="165" spans="1:15" x14ac:dyDescent="0.25">
      <c r="A165" s="83" t="str">
        <f>'ENIGHUR Consumption items'!H166</f>
        <v>01.1.6.057</v>
      </c>
      <c r="B165" s="116">
        <f>_xlfn.NUMBERVALUE(VLOOKUP(A165,'ENIGHUR Consumption items'!$H$2:$I$703,2,))</f>
        <v>116057</v>
      </c>
      <c r="C165" s="83" t="str">
        <f>'ENIGHUR Consumption items'!J166</f>
        <v>Papaya hawaiana</v>
      </c>
      <c r="D165" s="124">
        <v>41</v>
      </c>
      <c r="E165" s="91" t="str">
        <f>IFERROR(VLOOKUP(D165,'symmetric IOT 245 2012'!$C$6:$D$276,2,FALSE),"")</f>
        <v>Otras frutas n.c.p.</v>
      </c>
      <c r="H165" s="77">
        <f>INDEX('Dictionary Categories'!$A$2:$A$30,MATCH(I165,'Dictionary Categories'!$B$2:$B$30,0))</f>
        <v>1</v>
      </c>
      <c r="I165" s="2" t="s">
        <v>2470</v>
      </c>
      <c r="J165" s="2">
        <f>INDEX('Dictionary Subcategories'!$A$2:$A$70,MATCH(K165,'Dictionary Subcategories'!$B$2:$B$70,0))</f>
        <v>6</v>
      </c>
      <c r="K165" s="2" t="s">
        <v>1231</v>
      </c>
      <c r="L165" s="147"/>
      <c r="M165" s="77">
        <v>163</v>
      </c>
      <c r="O165" s="77">
        <f t="shared" si="2"/>
        <v>0</v>
      </c>
    </row>
    <row r="166" spans="1:15" x14ac:dyDescent="0.25">
      <c r="A166" s="83" t="str">
        <f>'ENIGHUR Consumption items'!H167</f>
        <v>01.1.6.058</v>
      </c>
      <c r="B166" s="116">
        <f>_xlfn.NUMBERVALUE(VLOOKUP(A166,'ENIGHUR Consumption items'!$H$2:$I$703,2,))</f>
        <v>116058</v>
      </c>
      <c r="C166" s="83" t="str">
        <f>'ENIGHUR Consumption items'!J167</f>
        <v>Pechiche</v>
      </c>
      <c r="D166" s="124">
        <v>41</v>
      </c>
      <c r="E166" s="91" t="str">
        <f>IFERROR(VLOOKUP(D166,'symmetric IOT 245 2012'!$C$6:$D$276,2,FALSE),"")</f>
        <v>Otras frutas n.c.p.</v>
      </c>
      <c r="H166" s="77">
        <f>INDEX('Dictionary Categories'!$A$2:$A$30,MATCH(I166,'Dictionary Categories'!$B$2:$B$30,0))</f>
        <v>1</v>
      </c>
      <c r="I166" s="2" t="s">
        <v>2470</v>
      </c>
      <c r="J166" s="2">
        <f>INDEX('Dictionary Subcategories'!$A$2:$A$70,MATCH(K166,'Dictionary Subcategories'!$B$2:$B$70,0))</f>
        <v>6</v>
      </c>
      <c r="K166" s="2" t="s">
        <v>1231</v>
      </c>
      <c r="L166" s="147"/>
      <c r="M166" s="77">
        <v>164</v>
      </c>
      <c r="O166" s="77">
        <f t="shared" si="2"/>
        <v>0</v>
      </c>
    </row>
    <row r="167" spans="1:15" x14ac:dyDescent="0.25">
      <c r="A167" s="83" t="str">
        <f>'ENIGHUR Consumption items'!H168</f>
        <v>01.1.6.059</v>
      </c>
      <c r="B167" s="116">
        <f>_xlfn.NUMBERVALUE(VLOOKUP(A167,'ENIGHUR Consumption items'!$H$2:$I$703,2,))</f>
        <v>116059</v>
      </c>
      <c r="C167" s="83" t="str">
        <f>'ENIGHUR Consumption items'!J168</f>
        <v>Pepino de dulce</v>
      </c>
      <c r="D167" s="124">
        <v>41</v>
      </c>
      <c r="E167" s="91" t="str">
        <f>IFERROR(VLOOKUP(D167,'symmetric IOT 245 2012'!$C$6:$D$276,2,FALSE),"")</f>
        <v>Otras frutas n.c.p.</v>
      </c>
      <c r="H167" s="77">
        <f>INDEX('Dictionary Categories'!$A$2:$A$30,MATCH(I167,'Dictionary Categories'!$B$2:$B$30,0))</f>
        <v>1</v>
      </c>
      <c r="I167" s="2" t="s">
        <v>2470</v>
      </c>
      <c r="J167" s="2">
        <f>INDEX('Dictionary Subcategories'!$A$2:$A$70,MATCH(K167,'Dictionary Subcategories'!$B$2:$B$70,0))</f>
        <v>6</v>
      </c>
      <c r="K167" s="2" t="s">
        <v>1231</v>
      </c>
      <c r="L167" s="147"/>
      <c r="M167" s="77">
        <v>165</v>
      </c>
      <c r="O167" s="77">
        <f t="shared" si="2"/>
        <v>0</v>
      </c>
    </row>
    <row r="168" spans="1:15" x14ac:dyDescent="0.25">
      <c r="A168" s="83" t="str">
        <f>'ENIGHUR Consumption items'!H169</f>
        <v>01.1.6.060</v>
      </c>
      <c r="B168" s="116">
        <f>_xlfn.NUMBERVALUE(VLOOKUP(A168,'ENIGHUR Consumption items'!$H$2:$I$703,2,))</f>
        <v>116060</v>
      </c>
      <c r="C168" s="83" t="str">
        <f>'ENIGHUR Consumption items'!J169</f>
        <v>Pera</v>
      </c>
      <c r="D168" s="124">
        <v>41</v>
      </c>
      <c r="E168" s="91" t="str">
        <f>IFERROR(VLOOKUP(D168,'symmetric IOT 245 2012'!$C$6:$D$276,2,FALSE),"")</f>
        <v>Otras frutas n.c.p.</v>
      </c>
      <c r="H168" s="77">
        <f>INDEX('Dictionary Categories'!$A$2:$A$30,MATCH(I168,'Dictionary Categories'!$B$2:$B$30,0))</f>
        <v>1</v>
      </c>
      <c r="I168" s="2" t="s">
        <v>2470</v>
      </c>
      <c r="J168" s="2">
        <f>INDEX('Dictionary Subcategories'!$A$2:$A$70,MATCH(K168,'Dictionary Subcategories'!$B$2:$B$70,0))</f>
        <v>6</v>
      </c>
      <c r="K168" s="2" t="s">
        <v>1231</v>
      </c>
      <c r="L168" s="147"/>
      <c r="M168" s="77">
        <v>166</v>
      </c>
      <c r="O168" s="77">
        <f t="shared" si="2"/>
        <v>0</v>
      </c>
    </row>
    <row r="169" spans="1:15" x14ac:dyDescent="0.25">
      <c r="A169" s="83" t="str">
        <f>'ENIGHUR Consumption items'!H170</f>
        <v>01.1.6.061</v>
      </c>
      <c r="B169" s="116">
        <f>_xlfn.NUMBERVALUE(VLOOKUP(A169,'ENIGHUR Consumption items'!$H$2:$I$703,2,))</f>
        <v>116061</v>
      </c>
      <c r="C169" s="83" t="str">
        <f>'ENIGHUR Consumption items'!J170</f>
        <v>Piña</v>
      </c>
      <c r="D169" s="124">
        <v>33</v>
      </c>
      <c r="E169" s="91" t="str">
        <f>IFERROR(VLOOKUP(D169,'symmetric IOT 245 2012'!$C$6:$D$276,2,FALSE),"")</f>
        <v>Piña y Plantas de piña</v>
      </c>
      <c r="H169" s="77">
        <f>INDEX('Dictionary Categories'!$A$2:$A$30,MATCH(I169,'Dictionary Categories'!$B$2:$B$30,0))</f>
        <v>1</v>
      </c>
      <c r="I169" s="2" t="s">
        <v>2470</v>
      </c>
      <c r="J169" s="2">
        <f>INDEX('Dictionary Subcategories'!$A$2:$A$70,MATCH(K169,'Dictionary Subcategories'!$B$2:$B$70,0))</f>
        <v>6</v>
      </c>
      <c r="K169" s="2" t="s">
        <v>1231</v>
      </c>
      <c r="L169" s="147"/>
      <c r="M169" s="77">
        <v>167</v>
      </c>
      <c r="O169" s="77">
        <f t="shared" si="2"/>
        <v>0</v>
      </c>
    </row>
    <row r="170" spans="1:15" x14ac:dyDescent="0.25">
      <c r="A170" s="83" t="str">
        <f>'ENIGHUR Consumption items'!H171</f>
        <v>01.1.6.062</v>
      </c>
      <c r="B170" s="116">
        <f>_xlfn.NUMBERVALUE(VLOOKUP(A170,'ENIGHUR Consumption items'!$H$2:$I$703,2,))</f>
        <v>116062</v>
      </c>
      <c r="C170" s="83" t="str">
        <f>'ENIGHUR Consumption items'!J171</f>
        <v>Piña hawaiana</v>
      </c>
      <c r="D170" s="124">
        <v>41</v>
      </c>
      <c r="E170" s="91" t="str">
        <f>IFERROR(VLOOKUP(D170,'symmetric IOT 245 2012'!$C$6:$D$276,2,FALSE),"")</f>
        <v>Otras frutas n.c.p.</v>
      </c>
      <c r="H170" s="77">
        <f>INDEX('Dictionary Categories'!$A$2:$A$30,MATCH(I170,'Dictionary Categories'!$B$2:$B$30,0))</f>
        <v>1</v>
      </c>
      <c r="I170" s="2" t="s">
        <v>2470</v>
      </c>
      <c r="J170" s="2">
        <f>INDEX('Dictionary Subcategories'!$A$2:$A$70,MATCH(K170,'Dictionary Subcategories'!$B$2:$B$70,0))</f>
        <v>6</v>
      </c>
      <c r="K170" s="2" t="s">
        <v>1231</v>
      </c>
      <c r="L170" s="147"/>
      <c r="M170" s="77">
        <v>168</v>
      </c>
      <c r="O170" s="77">
        <f t="shared" si="2"/>
        <v>0</v>
      </c>
    </row>
    <row r="171" spans="1:15" x14ac:dyDescent="0.25">
      <c r="A171" s="83" t="str">
        <f>'ENIGHUR Consumption items'!H172</f>
        <v>01.1.6.063</v>
      </c>
      <c r="B171" s="116">
        <f>_xlfn.NUMBERVALUE(VLOOKUP(A171,'ENIGHUR Consumption items'!$H$2:$I$703,2,))</f>
        <v>116063</v>
      </c>
      <c r="C171" s="83" t="str">
        <f>'ENIGHUR Consumption items'!J172</f>
        <v>Pitajaya</v>
      </c>
      <c r="D171" s="124">
        <v>41</v>
      </c>
      <c r="E171" s="91" t="str">
        <f>IFERROR(VLOOKUP(D171,'symmetric IOT 245 2012'!$C$6:$D$276,2,FALSE),"")</f>
        <v>Otras frutas n.c.p.</v>
      </c>
      <c r="H171" s="77">
        <f>INDEX('Dictionary Categories'!$A$2:$A$30,MATCH(I171,'Dictionary Categories'!$B$2:$B$30,0))</f>
        <v>1</v>
      </c>
      <c r="I171" s="2" t="s">
        <v>2470</v>
      </c>
      <c r="J171" s="2">
        <f>INDEX('Dictionary Subcategories'!$A$2:$A$70,MATCH(K171,'Dictionary Subcategories'!$B$2:$B$70,0))</f>
        <v>6</v>
      </c>
      <c r="K171" s="2" t="s">
        <v>1231</v>
      </c>
      <c r="L171" s="147"/>
      <c r="M171" s="77">
        <v>169</v>
      </c>
      <c r="O171" s="77">
        <f t="shared" si="2"/>
        <v>0</v>
      </c>
    </row>
    <row r="172" spans="1:15" x14ac:dyDescent="0.25">
      <c r="A172" s="83" t="str">
        <f>'ENIGHUR Consumption items'!H173</f>
        <v>01.1.6.064</v>
      </c>
      <c r="B172" s="116">
        <f>_xlfn.NUMBERVALUE(VLOOKUP(A172,'ENIGHUR Consumption items'!$H$2:$I$703,2,))</f>
        <v>116064</v>
      </c>
      <c r="C172" s="83" t="str">
        <f>'ENIGHUR Consumption items'!J173</f>
        <v>Plátano maduro</v>
      </c>
      <c r="D172" s="124">
        <v>1</v>
      </c>
      <c r="E172" s="91" t="str">
        <f>IFERROR(VLOOKUP(D172,'symmetric IOT 245 2012'!$C$6:$D$276,2,FALSE),"")</f>
        <v>Banano y plátano y plantas de banano</v>
      </c>
      <c r="H172" s="77">
        <f>INDEX('Dictionary Categories'!$A$2:$A$30,MATCH(I172,'Dictionary Categories'!$B$2:$B$30,0))</f>
        <v>1</v>
      </c>
      <c r="I172" s="2" t="s">
        <v>2470</v>
      </c>
      <c r="J172" s="2">
        <f>INDEX('Dictionary Subcategories'!$A$2:$A$70,MATCH(K172,'Dictionary Subcategories'!$B$2:$B$70,0))</f>
        <v>6</v>
      </c>
      <c r="K172" s="2" t="s">
        <v>1231</v>
      </c>
      <c r="L172" s="147"/>
      <c r="M172" s="77">
        <v>170</v>
      </c>
      <c r="O172" s="77">
        <f t="shared" si="2"/>
        <v>0</v>
      </c>
    </row>
    <row r="173" spans="1:15" x14ac:dyDescent="0.25">
      <c r="A173" s="83" t="str">
        <f>'ENIGHUR Consumption items'!H174</f>
        <v>01.1.6.065</v>
      </c>
      <c r="B173" s="116">
        <f>_xlfn.NUMBERVALUE(VLOOKUP(A173,'ENIGHUR Consumption items'!$H$2:$I$703,2,))</f>
        <v>116065</v>
      </c>
      <c r="C173" s="83" t="str">
        <f>'ENIGHUR Consumption items'!J174</f>
        <v>Plátano verde</v>
      </c>
      <c r="D173" s="124">
        <v>1</v>
      </c>
      <c r="E173" s="91" t="str">
        <f>IFERROR(VLOOKUP(D173,'symmetric IOT 245 2012'!$C$6:$D$276,2,FALSE),"")</f>
        <v>Banano y plátano y plantas de banano</v>
      </c>
      <c r="H173" s="77">
        <f>INDEX('Dictionary Categories'!$A$2:$A$30,MATCH(I173,'Dictionary Categories'!$B$2:$B$30,0))</f>
        <v>1</v>
      </c>
      <c r="I173" s="2" t="s">
        <v>2470</v>
      </c>
      <c r="J173" s="2">
        <f>INDEX('Dictionary Subcategories'!$A$2:$A$70,MATCH(K173,'Dictionary Subcategories'!$B$2:$B$70,0))</f>
        <v>6</v>
      </c>
      <c r="K173" s="2" t="s">
        <v>1231</v>
      </c>
      <c r="L173" s="147"/>
      <c r="M173" s="77">
        <v>171</v>
      </c>
      <c r="O173" s="77">
        <f t="shared" si="2"/>
        <v>0</v>
      </c>
    </row>
    <row r="174" spans="1:15" x14ac:dyDescent="0.25">
      <c r="A174" s="83" t="str">
        <f>'ENIGHUR Consumption items'!H175</f>
        <v>01.1.6.066</v>
      </c>
      <c r="B174" s="116">
        <f>_xlfn.NUMBERVALUE(VLOOKUP(A174,'ENIGHUR Consumption items'!$H$2:$I$703,2,))</f>
        <v>116066</v>
      </c>
      <c r="C174" s="83" t="str">
        <f>'ENIGHUR Consumption items'!J175</f>
        <v>Sandía</v>
      </c>
      <c r="D174" s="124">
        <v>27</v>
      </c>
      <c r="E174" s="91" t="str">
        <f>IFERROR(VLOOKUP(D174,'symmetric IOT 245 2012'!$C$6:$D$276,2,FALSE),"")</f>
        <v>Sandía</v>
      </c>
      <c r="H174" s="77">
        <f>INDEX('Dictionary Categories'!$A$2:$A$30,MATCH(I174,'Dictionary Categories'!$B$2:$B$30,0))</f>
        <v>1</v>
      </c>
      <c r="I174" s="2" t="s">
        <v>2470</v>
      </c>
      <c r="J174" s="2">
        <f>INDEX('Dictionary Subcategories'!$A$2:$A$70,MATCH(K174,'Dictionary Subcategories'!$B$2:$B$70,0))</f>
        <v>6</v>
      </c>
      <c r="K174" s="2" t="s">
        <v>1231</v>
      </c>
      <c r="L174" s="147"/>
      <c r="M174" s="77">
        <v>172</v>
      </c>
      <c r="O174" s="77">
        <f t="shared" si="2"/>
        <v>0</v>
      </c>
    </row>
    <row r="175" spans="1:15" x14ac:dyDescent="0.25">
      <c r="A175" s="83" t="str">
        <f>'ENIGHUR Consumption items'!H176</f>
        <v>01.1.6.067</v>
      </c>
      <c r="B175" s="116">
        <f>_xlfn.NUMBERVALUE(VLOOKUP(A175,'ENIGHUR Consumption items'!$H$2:$I$703,2,))</f>
        <v>116067</v>
      </c>
      <c r="C175" s="83" t="str">
        <f>'ENIGHUR Consumption items'!J176</f>
        <v>Tamarindo</v>
      </c>
      <c r="D175" s="124">
        <v>41</v>
      </c>
      <c r="E175" s="91" t="str">
        <f>IFERROR(VLOOKUP(D175,'symmetric IOT 245 2012'!$C$6:$D$276,2,FALSE),"")</f>
        <v>Otras frutas n.c.p.</v>
      </c>
      <c r="H175" s="77">
        <f>INDEX('Dictionary Categories'!$A$2:$A$30,MATCH(I175,'Dictionary Categories'!$B$2:$B$30,0))</f>
        <v>1</v>
      </c>
      <c r="I175" s="2" t="s">
        <v>2470</v>
      </c>
      <c r="J175" s="2">
        <f>INDEX('Dictionary Subcategories'!$A$2:$A$70,MATCH(K175,'Dictionary Subcategories'!$B$2:$B$70,0))</f>
        <v>6</v>
      </c>
      <c r="K175" s="2" t="s">
        <v>1231</v>
      </c>
      <c r="L175" s="147"/>
      <c r="M175" s="77">
        <v>173</v>
      </c>
      <c r="O175" s="77">
        <f t="shared" si="2"/>
        <v>0</v>
      </c>
    </row>
    <row r="176" spans="1:15" x14ac:dyDescent="0.25">
      <c r="A176" s="83" t="str">
        <f>'ENIGHUR Consumption items'!H177</f>
        <v>01.1.6.068</v>
      </c>
      <c r="B176" s="116">
        <f>_xlfn.NUMBERVALUE(VLOOKUP(A176,'ENIGHUR Consumption items'!$H$2:$I$703,2,))</f>
        <v>116068</v>
      </c>
      <c r="C176" s="83" t="str">
        <f>'ENIGHUR Consumption items'!J177</f>
        <v>Taxo</v>
      </c>
      <c r="D176" s="124">
        <v>41</v>
      </c>
      <c r="E176" s="91" t="str">
        <f>IFERROR(VLOOKUP(D176,'symmetric IOT 245 2012'!$C$6:$D$276,2,FALSE),"")</f>
        <v>Otras frutas n.c.p.</v>
      </c>
      <c r="H176" s="77">
        <f>INDEX('Dictionary Categories'!$A$2:$A$30,MATCH(I176,'Dictionary Categories'!$B$2:$B$30,0))</f>
        <v>1</v>
      </c>
      <c r="I176" s="2" t="s">
        <v>2470</v>
      </c>
      <c r="J176" s="2">
        <f>INDEX('Dictionary Subcategories'!$A$2:$A$70,MATCH(K176,'Dictionary Subcategories'!$B$2:$B$70,0))</f>
        <v>6</v>
      </c>
      <c r="K176" s="2" t="s">
        <v>1231</v>
      </c>
      <c r="L176" s="147"/>
      <c r="M176" s="77">
        <v>174</v>
      </c>
      <c r="O176" s="77">
        <f t="shared" si="2"/>
        <v>0</v>
      </c>
    </row>
    <row r="177" spans="1:15" x14ac:dyDescent="0.25">
      <c r="A177" s="83" t="str">
        <f>'ENIGHUR Consumption items'!H178</f>
        <v>01.1.6.069</v>
      </c>
      <c r="B177" s="116">
        <f>_xlfn.NUMBERVALUE(VLOOKUP(A177,'ENIGHUR Consumption items'!$H$2:$I$703,2,))</f>
        <v>116069</v>
      </c>
      <c r="C177" s="83" t="str">
        <f>'ENIGHUR Consumption items'!J178</f>
        <v>Tomate de árbol</v>
      </c>
      <c r="D177" s="124">
        <v>34</v>
      </c>
      <c r="E177" s="91" t="str">
        <f>IFERROR(VLOOKUP(D177,'symmetric IOT 245 2012'!$C$6:$D$276,2,FALSE),"")</f>
        <v xml:space="preserve">Tomate de árbol y Plantas de tomate de árbol </v>
      </c>
      <c r="H177" s="77">
        <f>INDEX('Dictionary Categories'!$A$2:$A$30,MATCH(I177,'Dictionary Categories'!$B$2:$B$30,0))</f>
        <v>1</v>
      </c>
      <c r="I177" s="2" t="s">
        <v>2470</v>
      </c>
      <c r="J177" s="2">
        <f>INDEX('Dictionary Subcategories'!$A$2:$A$70,MATCH(K177,'Dictionary Subcategories'!$B$2:$B$70,0))</f>
        <v>6</v>
      </c>
      <c r="K177" s="2" t="s">
        <v>1231</v>
      </c>
      <c r="L177" s="147"/>
      <c r="M177" s="77">
        <v>175</v>
      </c>
      <c r="O177" s="77">
        <f t="shared" si="2"/>
        <v>0</v>
      </c>
    </row>
    <row r="178" spans="1:15" x14ac:dyDescent="0.25">
      <c r="A178" s="83" t="str">
        <f>'ENIGHUR Consumption items'!H179</f>
        <v>01.1.6.070</v>
      </c>
      <c r="B178" s="116">
        <f>_xlfn.NUMBERVALUE(VLOOKUP(A178,'ENIGHUR Consumption items'!$H$2:$I$703,2,))</f>
        <v>116070</v>
      </c>
      <c r="C178" s="83" t="str">
        <f>'ENIGHUR Consumption items'!J179</f>
        <v>Toronja</v>
      </c>
      <c r="D178" s="124">
        <v>41</v>
      </c>
      <c r="E178" s="91" t="str">
        <f>IFERROR(VLOOKUP(D178,'symmetric IOT 245 2012'!$C$6:$D$276,2,FALSE),"")</f>
        <v>Otras frutas n.c.p.</v>
      </c>
      <c r="H178" s="77">
        <f>INDEX('Dictionary Categories'!$A$2:$A$30,MATCH(I178,'Dictionary Categories'!$B$2:$B$30,0))</f>
        <v>1</v>
      </c>
      <c r="I178" s="2" t="s">
        <v>2470</v>
      </c>
      <c r="J178" s="2">
        <f>INDEX('Dictionary Subcategories'!$A$2:$A$70,MATCH(K178,'Dictionary Subcategories'!$B$2:$B$70,0))</f>
        <v>6</v>
      </c>
      <c r="K178" s="2" t="s">
        <v>1231</v>
      </c>
      <c r="L178" s="147"/>
      <c r="M178" s="77">
        <v>176</v>
      </c>
      <c r="O178" s="77">
        <f t="shared" si="2"/>
        <v>0</v>
      </c>
    </row>
    <row r="179" spans="1:15" x14ac:dyDescent="0.25">
      <c r="A179" s="83" t="str">
        <f>'ENIGHUR Consumption items'!H180</f>
        <v>01.1.6.071</v>
      </c>
      <c r="B179" s="116">
        <f>_xlfn.NUMBERVALUE(VLOOKUP(A179,'ENIGHUR Consumption items'!$H$2:$I$703,2,))</f>
        <v>116071</v>
      </c>
      <c r="C179" s="83" t="str">
        <f>'ENIGHUR Consumption items'!J180</f>
        <v>Tuna</v>
      </c>
      <c r="D179" s="124">
        <v>41</v>
      </c>
      <c r="E179" s="91" t="str">
        <f>IFERROR(VLOOKUP(D179,'symmetric IOT 245 2012'!$C$6:$D$276,2,FALSE),"")</f>
        <v>Otras frutas n.c.p.</v>
      </c>
      <c r="H179" s="77">
        <f>INDEX('Dictionary Categories'!$A$2:$A$30,MATCH(I179,'Dictionary Categories'!$B$2:$B$30,0))</f>
        <v>1</v>
      </c>
      <c r="I179" s="2" t="s">
        <v>2470</v>
      </c>
      <c r="J179" s="2">
        <f>INDEX('Dictionary Subcategories'!$A$2:$A$70,MATCH(K179,'Dictionary Subcategories'!$B$2:$B$70,0))</f>
        <v>6</v>
      </c>
      <c r="K179" s="2" t="s">
        <v>1231</v>
      </c>
      <c r="L179" s="147"/>
      <c r="M179" s="77">
        <v>177</v>
      </c>
      <c r="O179" s="77">
        <f t="shared" si="2"/>
        <v>0</v>
      </c>
    </row>
    <row r="180" spans="1:15" x14ac:dyDescent="0.25">
      <c r="A180" s="83" t="str">
        <f>'ENIGHUR Consumption items'!H181</f>
        <v>01.1.6.072</v>
      </c>
      <c r="B180" s="116">
        <f>_xlfn.NUMBERVALUE(VLOOKUP(A180,'ENIGHUR Consumption items'!$H$2:$I$703,2,))</f>
        <v>116072</v>
      </c>
      <c r="C180" s="83" t="str">
        <f>'ENIGHUR Consumption items'!J181</f>
        <v>Uvas negras</v>
      </c>
      <c r="D180" s="124">
        <v>41</v>
      </c>
      <c r="E180" s="91" t="str">
        <f>IFERROR(VLOOKUP(D180,'symmetric IOT 245 2012'!$C$6:$D$276,2,FALSE),"")</f>
        <v>Otras frutas n.c.p.</v>
      </c>
      <c r="H180" s="77">
        <f>INDEX('Dictionary Categories'!$A$2:$A$30,MATCH(I180,'Dictionary Categories'!$B$2:$B$30,0))</f>
        <v>1</v>
      </c>
      <c r="I180" s="2" t="s">
        <v>2470</v>
      </c>
      <c r="J180" s="2">
        <f>INDEX('Dictionary Subcategories'!$A$2:$A$70,MATCH(K180,'Dictionary Subcategories'!$B$2:$B$70,0))</f>
        <v>6</v>
      </c>
      <c r="K180" s="2" t="s">
        <v>1231</v>
      </c>
      <c r="L180" s="147"/>
      <c r="M180" s="77">
        <v>178</v>
      </c>
      <c r="O180" s="77">
        <f t="shared" si="2"/>
        <v>0</v>
      </c>
    </row>
    <row r="181" spans="1:15" x14ac:dyDescent="0.25">
      <c r="A181" s="83" t="str">
        <f>'ENIGHUR Consumption items'!H182</f>
        <v>01.1.6.073</v>
      </c>
      <c r="B181" s="116">
        <f>_xlfn.NUMBERVALUE(VLOOKUP(A181,'ENIGHUR Consumption items'!$H$2:$I$703,2,))</f>
        <v>116073</v>
      </c>
      <c r="C181" s="83" t="str">
        <f>'ENIGHUR Consumption items'!J182</f>
        <v>Uvas rojas</v>
      </c>
      <c r="D181" s="124">
        <v>41</v>
      </c>
      <c r="E181" s="91" t="str">
        <f>IFERROR(VLOOKUP(D181,'symmetric IOT 245 2012'!$C$6:$D$276,2,FALSE),"")</f>
        <v>Otras frutas n.c.p.</v>
      </c>
      <c r="H181" s="77">
        <f>INDEX('Dictionary Categories'!$A$2:$A$30,MATCH(I181,'Dictionary Categories'!$B$2:$B$30,0))</f>
        <v>1</v>
      </c>
      <c r="I181" s="2" t="s">
        <v>2470</v>
      </c>
      <c r="J181" s="2">
        <f>INDEX('Dictionary Subcategories'!$A$2:$A$70,MATCH(K181,'Dictionary Subcategories'!$B$2:$B$70,0))</f>
        <v>6</v>
      </c>
      <c r="K181" s="2" t="s">
        <v>1231</v>
      </c>
      <c r="L181" s="147"/>
      <c r="M181" s="77">
        <v>179</v>
      </c>
      <c r="O181" s="77">
        <f t="shared" si="2"/>
        <v>0</v>
      </c>
    </row>
    <row r="182" spans="1:15" x14ac:dyDescent="0.25">
      <c r="A182" s="83" t="str">
        <f>'ENIGHUR Consumption items'!H183</f>
        <v>01.1.6.074</v>
      </c>
      <c r="B182" s="116">
        <f>_xlfn.NUMBERVALUE(VLOOKUP(A182,'ENIGHUR Consumption items'!$H$2:$I$703,2,))</f>
        <v>116074</v>
      </c>
      <c r="C182" s="83" t="str">
        <f>'ENIGHUR Consumption items'!J183</f>
        <v>Uvas verdes</v>
      </c>
      <c r="D182" s="124">
        <v>41</v>
      </c>
      <c r="E182" s="91" t="str">
        <f>IFERROR(VLOOKUP(D182,'symmetric IOT 245 2012'!$C$6:$D$276,2,FALSE),"")</f>
        <v>Otras frutas n.c.p.</v>
      </c>
      <c r="H182" s="77">
        <f>INDEX('Dictionary Categories'!$A$2:$A$30,MATCH(I182,'Dictionary Categories'!$B$2:$B$30,0))</f>
        <v>1</v>
      </c>
      <c r="I182" s="2" t="s">
        <v>2470</v>
      </c>
      <c r="J182" s="2">
        <f>INDEX('Dictionary Subcategories'!$A$2:$A$70,MATCH(K182,'Dictionary Subcategories'!$B$2:$B$70,0))</f>
        <v>6</v>
      </c>
      <c r="K182" s="2" t="s">
        <v>1231</v>
      </c>
      <c r="L182" s="147"/>
      <c r="M182" s="77">
        <v>180</v>
      </c>
      <c r="O182" s="77">
        <f t="shared" si="2"/>
        <v>0</v>
      </c>
    </row>
    <row r="183" spans="1:15" x14ac:dyDescent="0.25">
      <c r="A183" s="83" t="str">
        <f>'ENIGHUR Consumption items'!H184</f>
        <v>01.1.6.075</v>
      </c>
      <c r="B183" s="116">
        <f>_xlfn.NUMBERVALUE(VLOOKUP(A183,'ENIGHUR Consumption items'!$H$2:$I$703,2,))</f>
        <v>116075</v>
      </c>
      <c r="C183" s="83" t="str">
        <f>'ENIGHUR Consumption items'!J184</f>
        <v>Uvillas</v>
      </c>
      <c r="D183" s="124">
        <v>41</v>
      </c>
      <c r="E183" s="91" t="str">
        <f>IFERROR(VLOOKUP(D183,'symmetric IOT 245 2012'!$C$6:$D$276,2,FALSE),"")</f>
        <v>Otras frutas n.c.p.</v>
      </c>
      <c r="H183" s="77">
        <f>INDEX('Dictionary Categories'!$A$2:$A$30,MATCH(I183,'Dictionary Categories'!$B$2:$B$30,0))</f>
        <v>1</v>
      </c>
      <c r="I183" s="2" t="s">
        <v>2470</v>
      </c>
      <c r="J183" s="2">
        <f>INDEX('Dictionary Subcategories'!$A$2:$A$70,MATCH(K183,'Dictionary Subcategories'!$B$2:$B$70,0))</f>
        <v>6</v>
      </c>
      <c r="K183" s="2" t="s">
        <v>1231</v>
      </c>
      <c r="L183" s="147"/>
      <c r="M183" s="77">
        <v>181</v>
      </c>
      <c r="O183" s="77">
        <f t="shared" si="2"/>
        <v>0</v>
      </c>
    </row>
    <row r="184" spans="1:15" x14ac:dyDescent="0.25">
      <c r="A184" s="83" t="str">
        <f>'ENIGHUR Consumption items'!H185</f>
        <v>01.1.6.076</v>
      </c>
      <c r="B184" s="116">
        <f>_xlfn.NUMBERVALUE(VLOOKUP(A184,'ENIGHUR Consumption items'!$H$2:$I$703,2,))</f>
        <v>116076</v>
      </c>
      <c r="C184" s="83" t="str">
        <f>'ENIGHUR Consumption items'!J185</f>
        <v>Zapote</v>
      </c>
      <c r="D184" s="124">
        <v>41</v>
      </c>
      <c r="E184" s="91" t="str">
        <f>IFERROR(VLOOKUP(D184,'symmetric IOT 245 2012'!$C$6:$D$276,2,FALSE),"")</f>
        <v>Otras frutas n.c.p.</v>
      </c>
      <c r="H184" s="77">
        <f>INDEX('Dictionary Categories'!$A$2:$A$30,MATCH(I184,'Dictionary Categories'!$B$2:$B$30,0))</f>
        <v>1</v>
      </c>
      <c r="I184" s="2" t="s">
        <v>2470</v>
      </c>
      <c r="J184" s="2">
        <f>INDEX('Dictionary Subcategories'!$A$2:$A$70,MATCH(K184,'Dictionary Subcategories'!$B$2:$B$70,0))</f>
        <v>6</v>
      </c>
      <c r="K184" s="2" t="s">
        <v>1231</v>
      </c>
      <c r="L184" s="147"/>
      <c r="M184" s="77">
        <v>182</v>
      </c>
      <c r="O184" s="77">
        <f t="shared" si="2"/>
        <v>0</v>
      </c>
    </row>
    <row r="185" spans="1:15" x14ac:dyDescent="0.25">
      <c r="A185" s="83" t="str">
        <f>'ENIGHUR Consumption items'!H186</f>
        <v>01.1.6.077</v>
      </c>
      <c r="B185" s="116">
        <f>_xlfn.NUMBERVALUE(VLOOKUP(A185,'ENIGHUR Consumption items'!$H$2:$I$703,2,))</f>
        <v>116077</v>
      </c>
      <c r="C185" s="83" t="str">
        <f>'ENIGHUR Consumption items'!J186</f>
        <v>Chonta</v>
      </c>
      <c r="D185" s="124">
        <v>41</v>
      </c>
      <c r="E185" s="91" t="str">
        <f>IFERROR(VLOOKUP(D185,'symmetric IOT 245 2012'!$C$6:$D$276,2,FALSE),"")</f>
        <v>Otras frutas n.c.p.</v>
      </c>
      <c r="H185" s="77">
        <f>INDEX('Dictionary Categories'!$A$2:$A$30,MATCH(I185,'Dictionary Categories'!$B$2:$B$30,0))</f>
        <v>1</v>
      </c>
      <c r="I185" s="2" t="s">
        <v>2470</v>
      </c>
      <c r="J185" s="2">
        <f>INDEX('Dictionary Subcategories'!$A$2:$A$70,MATCH(K185,'Dictionary Subcategories'!$B$2:$B$70,0))</f>
        <v>6</v>
      </c>
      <c r="K185" s="2" t="s">
        <v>1231</v>
      </c>
      <c r="L185" s="147"/>
      <c r="M185" s="77">
        <v>183</v>
      </c>
      <c r="O185" s="77">
        <f t="shared" si="2"/>
        <v>0</v>
      </c>
    </row>
    <row r="186" spans="1:15" x14ac:dyDescent="0.25">
      <c r="A186" s="83" t="str">
        <f>'ENIGHUR Consumption items'!H187</f>
        <v>01.1.6.099</v>
      </c>
      <c r="B186" s="116">
        <f>_xlfn.NUMBERVALUE(VLOOKUP(A186,'ENIGHUR Consumption items'!$H$2:$I$703,2,))</f>
        <v>116099</v>
      </c>
      <c r="C186" s="83" t="str">
        <f>'ENIGHUR Consumption items'!J187</f>
        <v>Otras frutas frescas, refrigeradas y congeladas</v>
      </c>
      <c r="D186" s="124">
        <v>41</v>
      </c>
      <c r="E186" s="91" t="str">
        <f>IFERROR(VLOOKUP(D186,'symmetric IOT 245 2012'!$C$6:$D$276,2,FALSE),"")</f>
        <v>Otras frutas n.c.p.</v>
      </c>
      <c r="H186" s="77">
        <f>INDEX('Dictionary Categories'!$A$2:$A$30,MATCH(I186,'Dictionary Categories'!$B$2:$B$30,0))</f>
        <v>1</v>
      </c>
      <c r="I186" s="2" t="s">
        <v>2470</v>
      </c>
      <c r="J186" s="2">
        <f>INDEX('Dictionary Subcategories'!$A$2:$A$70,MATCH(K186,'Dictionary Subcategories'!$B$2:$B$70,0))</f>
        <v>6</v>
      </c>
      <c r="K186" s="2" t="s">
        <v>1231</v>
      </c>
      <c r="L186" s="147"/>
      <c r="M186" s="77">
        <v>184</v>
      </c>
      <c r="O186" s="77">
        <f t="shared" si="2"/>
        <v>0</v>
      </c>
    </row>
    <row r="187" spans="1:15" x14ac:dyDescent="0.25">
      <c r="A187" s="83" t="str">
        <f>'ENIGHUR Consumption items'!H188</f>
        <v>01.1.6.100</v>
      </c>
      <c r="B187" s="116">
        <f>_xlfn.NUMBERVALUE(VLOOKUP(A187,'ENIGHUR Consumption items'!$H$2:$I$703,2,))</f>
        <v>116100</v>
      </c>
      <c r="C187" s="83" t="str">
        <f>'ENIGHUR Consumption items'!J188</f>
        <v>Frutas secas y en conserva (procesadas)</v>
      </c>
      <c r="D187" s="124">
        <v>45</v>
      </c>
      <c r="E187" s="91" t="str">
        <f>IFERROR(VLOOKUP(D187,'symmetric IOT 245 2012'!$C$6:$D$276,2,FALSE),"")</f>
        <v>Otras oleaginosas n.c.p.</v>
      </c>
      <c r="G187" s="80" t="s">
        <v>2080</v>
      </c>
      <c r="H187" s="77">
        <f>INDEX('Dictionary Categories'!$A$2:$A$30,MATCH(I187,'Dictionary Categories'!$B$2:$B$30,0))</f>
        <v>1</v>
      </c>
      <c r="I187" s="2" t="s">
        <v>2470</v>
      </c>
      <c r="J187" s="2">
        <f>INDEX('Dictionary Subcategories'!$A$2:$A$70,MATCH(K187,'Dictionary Subcategories'!$B$2:$B$70,0))</f>
        <v>6</v>
      </c>
      <c r="K187" s="2" t="s">
        <v>1231</v>
      </c>
      <c r="L187" s="147"/>
      <c r="M187" s="77">
        <v>185</v>
      </c>
      <c r="O187" s="77">
        <f t="shared" si="2"/>
        <v>0</v>
      </c>
    </row>
    <row r="188" spans="1:15" x14ac:dyDescent="0.25">
      <c r="A188" s="83" t="str">
        <f>'ENIGHUR Consumption items'!H189</f>
        <v>01.1.7</v>
      </c>
      <c r="B188" s="116">
        <f>_xlfn.NUMBERVALUE(VLOOKUP(A188,'ENIGHUR Consumption items'!$H$2:$I$703,2,))</f>
        <v>117</v>
      </c>
      <c r="C188" s="83" t="str">
        <f>'ENIGHUR Consumption items'!J189</f>
        <v>HORTALIZAS VERDURAS / LEGUMINOSAS Y TUBÉRCULOS</v>
      </c>
      <c r="D188" s="124" t="s">
        <v>2389</v>
      </c>
      <c r="E188" s="91" t="str">
        <f>IFERROR(VLOOKUP(D188,'symmetric IOT 245 2012'!$C$6:$D$276,2,FALSE),"")</f>
        <v>matched on SC/SSC level</v>
      </c>
      <c r="F188" s="80"/>
      <c r="H188" s="77">
        <f>INDEX('Dictionary Categories'!$A$2:$A$30,MATCH(I188,'Dictionary Categories'!$B$2:$B$30,0))</f>
        <v>1</v>
      </c>
      <c r="I188" s="2" t="s">
        <v>2470</v>
      </c>
      <c r="J188" s="2">
        <f>INDEX('Dictionary Subcategories'!$A$2:$A$70,MATCH(K188,'Dictionary Subcategories'!$B$2:$B$70,0))</f>
        <v>7</v>
      </c>
      <c r="K188" s="2" t="s">
        <v>1232</v>
      </c>
      <c r="L188" s="147"/>
      <c r="M188" s="77">
        <v>186</v>
      </c>
      <c r="O188" s="77">
        <f t="shared" si="2"/>
        <v>1</v>
      </c>
    </row>
    <row r="189" spans="1:15" x14ac:dyDescent="0.25">
      <c r="A189" s="83" t="str">
        <f>'ENIGHUR Consumption items'!H190</f>
        <v>01.1.7.000</v>
      </c>
      <c r="B189" s="116">
        <f>_xlfn.NUMBERVALUE(VLOOKUP(A189,'ENIGHUR Consumption items'!$H$2:$I$703,2,))</f>
        <v>117000</v>
      </c>
      <c r="C189" s="83" t="str">
        <f>'ENIGHUR Consumption items'!J190</f>
        <v>Hortalizas</v>
      </c>
      <c r="D189" s="124">
        <v>29</v>
      </c>
      <c r="E189" s="91" t="str">
        <f>IFERROR(VLOOKUP(D189,'symmetric IOT 245 2012'!$C$6:$D$276,2,FALSE),"")</f>
        <v>Otros vegetales y melones n.c.p.</v>
      </c>
      <c r="F189" s="80"/>
      <c r="H189" s="77">
        <f>INDEX('Dictionary Categories'!$A$2:$A$30,MATCH(I189,'Dictionary Categories'!$B$2:$B$30,0))</f>
        <v>1</v>
      </c>
      <c r="I189" s="2" t="s">
        <v>2470</v>
      </c>
      <c r="J189" s="2">
        <f>INDEX('Dictionary Subcategories'!$A$2:$A$70,MATCH(K189,'Dictionary Subcategories'!$B$2:$B$70,0))</f>
        <v>7</v>
      </c>
      <c r="K189" s="2" t="s">
        <v>1232</v>
      </c>
      <c r="L189" s="147"/>
      <c r="M189" s="77">
        <v>187</v>
      </c>
      <c r="O189" s="77">
        <f t="shared" si="2"/>
        <v>0</v>
      </c>
    </row>
    <row r="190" spans="1:15" x14ac:dyDescent="0.25">
      <c r="A190" s="83" t="str">
        <f>'ENIGHUR Consumption items'!H191</f>
        <v>01.1.7.001</v>
      </c>
      <c r="B190" s="116">
        <f>_xlfn.NUMBERVALUE(VLOOKUP(A190,'ENIGHUR Consumption items'!$H$2:$I$703,2,))</f>
        <v>117001</v>
      </c>
      <c r="C190" s="83" t="str">
        <f>'ENIGHUR Consumption items'!J191</f>
        <v>Acelga</v>
      </c>
      <c r="D190" s="124">
        <v>29</v>
      </c>
      <c r="E190" s="91" t="str">
        <f>IFERROR(VLOOKUP(D190,'symmetric IOT 245 2012'!$C$6:$D$276,2,FALSE),"")</f>
        <v>Otros vegetales y melones n.c.p.</v>
      </c>
      <c r="H190" s="77">
        <f>INDEX('Dictionary Categories'!$A$2:$A$30,MATCH(I190,'Dictionary Categories'!$B$2:$B$30,0))</f>
        <v>1</v>
      </c>
      <c r="I190" s="2" t="s">
        <v>2470</v>
      </c>
      <c r="J190" s="2">
        <f>INDEX('Dictionary Subcategories'!$A$2:$A$70,MATCH(K190,'Dictionary Subcategories'!$B$2:$B$70,0))</f>
        <v>7</v>
      </c>
      <c r="K190" s="2" t="s">
        <v>1232</v>
      </c>
      <c r="L190" s="147"/>
      <c r="M190" s="77">
        <v>188</v>
      </c>
      <c r="O190" s="77">
        <f t="shared" si="2"/>
        <v>0</v>
      </c>
    </row>
    <row r="191" spans="1:15" x14ac:dyDescent="0.25">
      <c r="A191" s="83" t="str">
        <f>'ENIGHUR Consumption items'!H192</f>
        <v>01.1.7.002</v>
      </c>
      <c r="B191" s="116">
        <f>_xlfn.NUMBERVALUE(VLOOKUP(A191,'ENIGHUR Consumption items'!$H$2:$I$703,2,))</f>
        <v>117002</v>
      </c>
      <c r="C191" s="83" t="str">
        <f>'ENIGHUR Consumption items'!J192</f>
        <v>Achogchas</v>
      </c>
      <c r="D191" s="124">
        <v>29</v>
      </c>
      <c r="E191" s="91" t="str">
        <f>IFERROR(VLOOKUP(D191,'symmetric IOT 245 2012'!$C$6:$D$276,2,FALSE),"")</f>
        <v>Otros vegetales y melones n.c.p.</v>
      </c>
      <c r="H191" s="77">
        <f>INDEX('Dictionary Categories'!$A$2:$A$30,MATCH(I191,'Dictionary Categories'!$B$2:$B$30,0))</f>
        <v>1</v>
      </c>
      <c r="I191" s="2" t="s">
        <v>2470</v>
      </c>
      <c r="J191" s="2">
        <f>INDEX('Dictionary Subcategories'!$A$2:$A$70,MATCH(K191,'Dictionary Subcategories'!$B$2:$B$70,0))</f>
        <v>7</v>
      </c>
      <c r="K191" s="2" t="s">
        <v>1232</v>
      </c>
      <c r="L191" s="147"/>
      <c r="M191" s="77">
        <v>189</v>
      </c>
      <c r="O191" s="77">
        <f t="shared" si="2"/>
        <v>0</v>
      </c>
    </row>
    <row r="192" spans="1:15" x14ac:dyDescent="0.25">
      <c r="A192" s="83" t="str">
        <f>'ENIGHUR Consumption items'!H193</f>
        <v>01.1.7.003</v>
      </c>
      <c r="B192" s="116">
        <f>_xlfn.NUMBERVALUE(VLOOKUP(A192,'ENIGHUR Consumption items'!$H$2:$I$703,2,))</f>
        <v>117003</v>
      </c>
      <c r="C192" s="83" t="str">
        <f>'ENIGHUR Consumption items'!J193</f>
        <v>Ají</v>
      </c>
      <c r="D192" s="124">
        <v>29</v>
      </c>
      <c r="E192" s="91" t="str">
        <f>IFERROR(VLOOKUP(D192,'symmetric IOT 245 2012'!$C$6:$D$276,2,FALSE),"")</f>
        <v>Otros vegetales y melones n.c.p.</v>
      </c>
      <c r="H192" s="77">
        <f>INDEX('Dictionary Categories'!$A$2:$A$30,MATCH(I192,'Dictionary Categories'!$B$2:$B$30,0))</f>
        <v>1</v>
      </c>
      <c r="I192" s="2" t="s">
        <v>2470</v>
      </c>
      <c r="J192" s="2">
        <f>INDEX('Dictionary Subcategories'!$A$2:$A$70,MATCH(K192,'Dictionary Subcategories'!$B$2:$B$70,0))</f>
        <v>7</v>
      </c>
      <c r="K192" s="2" t="s">
        <v>1232</v>
      </c>
      <c r="L192" s="147"/>
      <c r="M192" s="77">
        <v>190</v>
      </c>
      <c r="O192" s="77">
        <f t="shared" si="2"/>
        <v>0</v>
      </c>
    </row>
    <row r="193" spans="1:15" x14ac:dyDescent="0.25">
      <c r="A193" s="83" t="str">
        <f>'ENIGHUR Consumption items'!H194</f>
        <v>01.1.7.004</v>
      </c>
      <c r="B193" s="116">
        <f>_xlfn.NUMBERVALUE(VLOOKUP(A193,'ENIGHUR Consumption items'!$H$2:$I$703,2,))</f>
        <v>117004</v>
      </c>
      <c r="C193" s="83" t="str">
        <f>'ENIGHUR Consumption items'!J194</f>
        <v>Ajo en pepa (sin pelar)</v>
      </c>
      <c r="D193" s="124">
        <v>29</v>
      </c>
      <c r="E193" s="91" t="str">
        <f>IFERROR(VLOOKUP(D193,'symmetric IOT 245 2012'!$C$6:$D$276,2,FALSE),"")</f>
        <v>Otros vegetales y melones n.c.p.</v>
      </c>
      <c r="H193" s="77">
        <f>INDEX('Dictionary Categories'!$A$2:$A$30,MATCH(I193,'Dictionary Categories'!$B$2:$B$30,0))</f>
        <v>1</v>
      </c>
      <c r="I193" s="2" t="s">
        <v>2470</v>
      </c>
      <c r="J193" s="2">
        <f>INDEX('Dictionary Subcategories'!$A$2:$A$70,MATCH(K193,'Dictionary Subcategories'!$B$2:$B$70,0))</f>
        <v>7</v>
      </c>
      <c r="K193" s="2" t="s">
        <v>1232</v>
      </c>
      <c r="L193" s="147"/>
      <c r="M193" s="77">
        <v>191</v>
      </c>
      <c r="O193" s="77">
        <f t="shared" si="2"/>
        <v>0</v>
      </c>
    </row>
    <row r="194" spans="1:15" x14ac:dyDescent="0.25">
      <c r="A194" s="83" t="str">
        <f>'ENIGHUR Consumption items'!H195</f>
        <v>01.1.7.005</v>
      </c>
      <c r="B194" s="116">
        <f>_xlfn.NUMBERVALUE(VLOOKUP(A194,'ENIGHUR Consumption items'!$H$2:$I$703,2,))</f>
        <v>117005</v>
      </c>
      <c r="C194" s="83" t="str">
        <f>'ENIGHUR Consumption items'!J195</f>
        <v>Ajo en pepa (pelado)</v>
      </c>
      <c r="D194" s="124">
        <v>29</v>
      </c>
      <c r="E194" s="91" t="str">
        <f>IFERROR(VLOOKUP(D194,'symmetric IOT 245 2012'!$C$6:$D$276,2,FALSE),"")</f>
        <v>Otros vegetales y melones n.c.p.</v>
      </c>
      <c r="H194" s="77">
        <f>INDEX('Dictionary Categories'!$A$2:$A$30,MATCH(I194,'Dictionary Categories'!$B$2:$B$30,0))</f>
        <v>1</v>
      </c>
      <c r="I194" s="2" t="s">
        <v>2470</v>
      </c>
      <c r="J194" s="2">
        <f>INDEX('Dictionary Subcategories'!$A$2:$A$70,MATCH(K194,'Dictionary Subcategories'!$B$2:$B$70,0))</f>
        <v>7</v>
      </c>
      <c r="K194" s="2" t="s">
        <v>1232</v>
      </c>
      <c r="L194" s="147"/>
      <c r="M194" s="77">
        <v>192</v>
      </c>
      <c r="O194" s="77">
        <f t="shared" si="2"/>
        <v>0</v>
      </c>
    </row>
    <row r="195" spans="1:15" x14ac:dyDescent="0.25">
      <c r="A195" s="83" t="str">
        <f>'ENIGHUR Consumption items'!H196</f>
        <v>01.1.7.006</v>
      </c>
      <c r="B195" s="116">
        <f>_xlfn.NUMBERVALUE(VLOOKUP(A195,'ENIGHUR Consumption items'!$H$2:$I$703,2,))</f>
        <v>117006</v>
      </c>
      <c r="C195" s="83" t="str">
        <f>'ENIGHUR Consumption items'!J196</f>
        <v>Alcachofa</v>
      </c>
      <c r="D195" s="124">
        <v>29</v>
      </c>
      <c r="E195" s="91" t="str">
        <f>IFERROR(VLOOKUP(D195,'symmetric IOT 245 2012'!$C$6:$D$276,2,FALSE),"")</f>
        <v>Otros vegetales y melones n.c.p.</v>
      </c>
      <c r="H195" s="77">
        <f>INDEX('Dictionary Categories'!$A$2:$A$30,MATCH(I195,'Dictionary Categories'!$B$2:$B$30,0))</f>
        <v>1</v>
      </c>
      <c r="I195" s="2" t="s">
        <v>2470</v>
      </c>
      <c r="J195" s="2">
        <f>INDEX('Dictionary Subcategories'!$A$2:$A$70,MATCH(K195,'Dictionary Subcategories'!$B$2:$B$70,0))</f>
        <v>7</v>
      </c>
      <c r="K195" s="2" t="s">
        <v>1232</v>
      </c>
      <c r="L195" s="147"/>
      <c r="M195" s="77">
        <v>193</v>
      </c>
      <c r="O195" s="77">
        <f t="shared" si="2"/>
        <v>0</v>
      </c>
    </row>
    <row r="196" spans="1:15" x14ac:dyDescent="0.25">
      <c r="A196" s="83" t="str">
        <f>'ENIGHUR Consumption items'!H197</f>
        <v>01.1.7.007</v>
      </c>
      <c r="B196" s="116">
        <f>_xlfn.NUMBERVALUE(VLOOKUP(A196,'ENIGHUR Consumption items'!$H$2:$I$703,2,))</f>
        <v>117007</v>
      </c>
      <c r="C196" s="83" t="str">
        <f>'ENIGHUR Consumption items'!J197</f>
        <v>Apio</v>
      </c>
      <c r="D196" s="124">
        <v>29</v>
      </c>
      <c r="E196" s="91" t="str">
        <f>IFERROR(VLOOKUP(D196,'symmetric IOT 245 2012'!$C$6:$D$276,2,FALSE),"")</f>
        <v>Otros vegetales y melones n.c.p.</v>
      </c>
      <c r="H196" s="77">
        <f>INDEX('Dictionary Categories'!$A$2:$A$30,MATCH(I196,'Dictionary Categories'!$B$2:$B$30,0))</f>
        <v>1</v>
      </c>
      <c r="I196" s="2" t="s">
        <v>2470</v>
      </c>
      <c r="J196" s="2">
        <f>INDEX('Dictionary Subcategories'!$A$2:$A$70,MATCH(K196,'Dictionary Subcategories'!$B$2:$B$70,0))</f>
        <v>7</v>
      </c>
      <c r="K196" s="2" t="s">
        <v>1232</v>
      </c>
      <c r="L196" s="147"/>
      <c r="M196" s="77">
        <v>194</v>
      </c>
      <c r="O196" s="77">
        <f t="shared" ref="O196:O259" si="3">IF(LEFT(RIGHT(A196,2),1)=".",1,0)</f>
        <v>0</v>
      </c>
    </row>
    <row r="197" spans="1:15" x14ac:dyDescent="0.25">
      <c r="A197" s="83" t="str">
        <f>'ENIGHUR Consumption items'!H198</f>
        <v>01.1.7.008</v>
      </c>
      <c r="B197" s="116">
        <f>_xlfn.NUMBERVALUE(VLOOKUP(A197,'ENIGHUR Consumption items'!$H$2:$I$703,2,))</f>
        <v>117008</v>
      </c>
      <c r="C197" s="83" t="str">
        <f>'ENIGHUR Consumption items'!J198</f>
        <v>Berenjena</v>
      </c>
      <c r="D197" s="124">
        <v>29</v>
      </c>
      <c r="E197" s="91" t="str">
        <f>IFERROR(VLOOKUP(D197,'symmetric IOT 245 2012'!$C$6:$D$276,2,FALSE),"")</f>
        <v>Otros vegetales y melones n.c.p.</v>
      </c>
      <c r="H197" s="77">
        <f>INDEX('Dictionary Categories'!$A$2:$A$30,MATCH(I197,'Dictionary Categories'!$B$2:$B$30,0))</f>
        <v>1</v>
      </c>
      <c r="I197" s="2" t="s">
        <v>2470</v>
      </c>
      <c r="J197" s="2">
        <f>INDEX('Dictionary Subcategories'!$A$2:$A$70,MATCH(K197,'Dictionary Subcategories'!$B$2:$B$70,0))</f>
        <v>7</v>
      </c>
      <c r="K197" s="2" t="s">
        <v>1232</v>
      </c>
      <c r="L197" s="147"/>
      <c r="M197" s="77">
        <v>195</v>
      </c>
      <c r="O197" s="77">
        <f t="shared" si="3"/>
        <v>0</v>
      </c>
    </row>
    <row r="198" spans="1:15" x14ac:dyDescent="0.25">
      <c r="A198" s="83" t="str">
        <f>'ENIGHUR Consumption items'!H199</f>
        <v>01.1.7.009</v>
      </c>
      <c r="B198" s="116">
        <f>_xlfn.NUMBERVALUE(VLOOKUP(A198,'ENIGHUR Consumption items'!$H$2:$I$703,2,))</f>
        <v>117009</v>
      </c>
      <c r="C198" s="83" t="str">
        <f>'ENIGHUR Consumption items'!J199</f>
        <v>Berros</v>
      </c>
      <c r="D198" s="124">
        <v>29</v>
      </c>
      <c r="E198" s="91" t="str">
        <f>IFERROR(VLOOKUP(D198,'symmetric IOT 245 2012'!$C$6:$D$276,2,FALSE),"")</f>
        <v>Otros vegetales y melones n.c.p.</v>
      </c>
      <c r="H198" s="77">
        <f>INDEX('Dictionary Categories'!$A$2:$A$30,MATCH(I198,'Dictionary Categories'!$B$2:$B$30,0))</f>
        <v>1</v>
      </c>
      <c r="I198" s="2" t="s">
        <v>2470</v>
      </c>
      <c r="J198" s="2">
        <f>INDEX('Dictionary Subcategories'!$A$2:$A$70,MATCH(K198,'Dictionary Subcategories'!$B$2:$B$70,0))</f>
        <v>7</v>
      </c>
      <c r="K198" s="2" t="s">
        <v>1232</v>
      </c>
      <c r="L198" s="147"/>
      <c r="M198" s="77">
        <v>196</v>
      </c>
      <c r="O198" s="77">
        <f t="shared" si="3"/>
        <v>0</v>
      </c>
    </row>
    <row r="199" spans="1:15" x14ac:dyDescent="0.25">
      <c r="A199" s="83" t="str">
        <f>'ENIGHUR Consumption items'!H200</f>
        <v>01.1.7.010</v>
      </c>
      <c r="B199" s="116">
        <f>_xlfn.NUMBERVALUE(VLOOKUP(A199,'ENIGHUR Consumption items'!$H$2:$I$703,2,))</f>
        <v>117010</v>
      </c>
      <c r="C199" s="83" t="str">
        <f>'ENIGHUR Consumption items'!J200</f>
        <v>Brócoli</v>
      </c>
      <c r="D199" s="124">
        <v>19</v>
      </c>
      <c r="E199" s="91" t="str">
        <f>IFERROR(VLOOKUP(D199,'symmetric IOT 245 2012'!$C$6:$D$276,2,FALSE),"")</f>
        <v>Brócoli</v>
      </c>
      <c r="H199" s="77">
        <f>INDEX('Dictionary Categories'!$A$2:$A$30,MATCH(I199,'Dictionary Categories'!$B$2:$B$30,0))</f>
        <v>1</v>
      </c>
      <c r="I199" s="2" t="s">
        <v>2470</v>
      </c>
      <c r="J199" s="2">
        <f>INDEX('Dictionary Subcategories'!$A$2:$A$70,MATCH(K199,'Dictionary Subcategories'!$B$2:$B$70,0))</f>
        <v>7</v>
      </c>
      <c r="K199" s="2" t="s">
        <v>1232</v>
      </c>
      <c r="L199" s="147"/>
      <c r="M199" s="77">
        <v>197</v>
      </c>
      <c r="O199" s="77">
        <f t="shared" si="3"/>
        <v>0</v>
      </c>
    </row>
    <row r="200" spans="1:15" x14ac:dyDescent="0.25">
      <c r="A200" s="83" t="str">
        <f>'ENIGHUR Consumption items'!H201</f>
        <v>01.1.7.011</v>
      </c>
      <c r="B200" s="116">
        <f>_xlfn.NUMBERVALUE(VLOOKUP(A200,'ENIGHUR Consumption items'!$H$2:$I$703,2,))</f>
        <v>117011</v>
      </c>
      <c r="C200" s="83" t="str">
        <f>'ENIGHUR Consumption items'!J201</f>
        <v>Calabacín</v>
      </c>
      <c r="D200" s="124">
        <v>29</v>
      </c>
      <c r="E200" s="91" t="str">
        <f>IFERROR(VLOOKUP(D200,'symmetric IOT 245 2012'!$C$6:$D$276,2,FALSE),"")</f>
        <v>Otros vegetales y melones n.c.p.</v>
      </c>
      <c r="H200" s="77">
        <f>INDEX('Dictionary Categories'!$A$2:$A$30,MATCH(I200,'Dictionary Categories'!$B$2:$B$30,0))</f>
        <v>1</v>
      </c>
      <c r="I200" s="2" t="s">
        <v>2470</v>
      </c>
      <c r="J200" s="2">
        <f>INDEX('Dictionary Subcategories'!$A$2:$A$70,MATCH(K200,'Dictionary Subcategories'!$B$2:$B$70,0))</f>
        <v>7</v>
      </c>
      <c r="K200" s="2" t="s">
        <v>1232</v>
      </c>
      <c r="L200" s="147"/>
      <c r="M200" s="77">
        <v>198</v>
      </c>
      <c r="O200" s="77">
        <f t="shared" si="3"/>
        <v>0</v>
      </c>
    </row>
    <row r="201" spans="1:15" x14ac:dyDescent="0.25">
      <c r="A201" s="83" t="str">
        <f>'ENIGHUR Consumption items'!H202</f>
        <v>01.1.7.012</v>
      </c>
      <c r="B201" s="116">
        <f>_xlfn.NUMBERVALUE(VLOOKUP(A201,'ENIGHUR Consumption items'!$H$2:$I$703,2,))</f>
        <v>117012</v>
      </c>
      <c r="C201" s="83" t="str">
        <f>'ENIGHUR Consumption items'!J202</f>
        <v>Cebolla blanca</v>
      </c>
      <c r="D201" s="124">
        <v>26</v>
      </c>
      <c r="E201" s="91" t="str">
        <f>IFERROR(VLOOKUP(D201,'symmetric IOT 245 2012'!$C$6:$D$276,2,FALSE),"")</f>
        <v>Cebolla blanca y colorada</v>
      </c>
      <c r="H201" s="77">
        <f>INDEX('Dictionary Categories'!$A$2:$A$30,MATCH(I201,'Dictionary Categories'!$B$2:$B$30,0))</f>
        <v>1</v>
      </c>
      <c r="I201" s="2" t="s">
        <v>2470</v>
      </c>
      <c r="J201" s="2">
        <f>INDEX('Dictionary Subcategories'!$A$2:$A$70,MATCH(K201,'Dictionary Subcategories'!$B$2:$B$70,0))</f>
        <v>7</v>
      </c>
      <c r="K201" s="2" t="s">
        <v>1232</v>
      </c>
      <c r="L201" s="147"/>
      <c r="M201" s="77">
        <v>199</v>
      </c>
      <c r="O201" s="77">
        <f t="shared" si="3"/>
        <v>0</v>
      </c>
    </row>
    <row r="202" spans="1:15" x14ac:dyDescent="0.25">
      <c r="A202" s="83" t="str">
        <f>'ENIGHUR Consumption items'!H203</f>
        <v>01.1.7.013</v>
      </c>
      <c r="B202" s="116">
        <f>_xlfn.NUMBERVALUE(VLOOKUP(A202,'ENIGHUR Consumption items'!$H$2:$I$703,2,))</f>
        <v>117013</v>
      </c>
      <c r="C202" s="83" t="str">
        <f>'ENIGHUR Consumption items'!J203</f>
        <v>Cebolla paiteña colorada</v>
      </c>
      <c r="D202" s="124">
        <v>26</v>
      </c>
      <c r="E202" s="91" t="str">
        <f>IFERROR(VLOOKUP(D202,'symmetric IOT 245 2012'!$C$6:$D$276,2,FALSE),"")</f>
        <v>Cebolla blanca y colorada</v>
      </c>
      <c r="H202" s="77">
        <f>INDEX('Dictionary Categories'!$A$2:$A$30,MATCH(I202,'Dictionary Categories'!$B$2:$B$30,0))</f>
        <v>1</v>
      </c>
      <c r="I202" s="2" t="s">
        <v>2470</v>
      </c>
      <c r="J202" s="2">
        <f>INDEX('Dictionary Subcategories'!$A$2:$A$70,MATCH(K202,'Dictionary Subcategories'!$B$2:$B$70,0))</f>
        <v>7</v>
      </c>
      <c r="K202" s="2" t="s">
        <v>1232</v>
      </c>
      <c r="L202" s="147"/>
      <c r="M202" s="77">
        <v>200</v>
      </c>
      <c r="O202" s="77">
        <f t="shared" si="3"/>
        <v>0</v>
      </c>
    </row>
    <row r="203" spans="1:15" x14ac:dyDescent="0.25">
      <c r="A203" s="83" t="str">
        <f>'ENIGHUR Consumption items'!H204</f>
        <v>01.1.7.014</v>
      </c>
      <c r="B203" s="116">
        <f>_xlfn.NUMBERVALUE(VLOOKUP(A203,'ENIGHUR Consumption items'!$H$2:$I$703,2,))</f>
        <v>117014</v>
      </c>
      <c r="C203" s="83" t="str">
        <f>'ENIGHUR Consumption items'!J204</f>
        <v>Cebolla paiteña perla</v>
      </c>
      <c r="D203" s="124">
        <v>26</v>
      </c>
      <c r="E203" s="91" t="str">
        <f>IFERROR(VLOOKUP(D203,'symmetric IOT 245 2012'!$C$6:$D$276,2,FALSE),"")</f>
        <v>Cebolla blanca y colorada</v>
      </c>
      <c r="H203" s="77">
        <f>INDEX('Dictionary Categories'!$A$2:$A$30,MATCH(I203,'Dictionary Categories'!$B$2:$B$30,0))</f>
        <v>1</v>
      </c>
      <c r="I203" s="2" t="s">
        <v>2470</v>
      </c>
      <c r="J203" s="2">
        <f>INDEX('Dictionary Subcategories'!$A$2:$A$70,MATCH(K203,'Dictionary Subcategories'!$B$2:$B$70,0))</f>
        <v>7</v>
      </c>
      <c r="K203" s="2" t="s">
        <v>1232</v>
      </c>
      <c r="L203" s="147"/>
      <c r="M203" s="77">
        <v>201</v>
      </c>
      <c r="O203" s="77">
        <f t="shared" si="3"/>
        <v>0</v>
      </c>
    </row>
    <row r="204" spans="1:15" x14ac:dyDescent="0.25">
      <c r="A204" s="83" t="str">
        <f>'ENIGHUR Consumption items'!H205</f>
        <v>01.1.7.015</v>
      </c>
      <c r="B204" s="116">
        <f>_xlfn.NUMBERVALUE(VLOOKUP(A204,'ENIGHUR Consumption items'!$H$2:$I$703,2,))</f>
        <v>117015</v>
      </c>
      <c r="C204" s="83" t="str">
        <f>'ENIGHUR Consumption items'!J205</f>
        <v>Choclo tierno desgranado</v>
      </c>
      <c r="D204" s="124">
        <v>29</v>
      </c>
      <c r="E204" s="91" t="str">
        <f>IFERROR(VLOOKUP(D204,'symmetric IOT 245 2012'!$C$6:$D$276,2,FALSE),"")</f>
        <v>Otros vegetales y melones n.c.p.</v>
      </c>
      <c r="H204" s="77">
        <f>INDEX('Dictionary Categories'!$A$2:$A$30,MATCH(I204,'Dictionary Categories'!$B$2:$B$30,0))</f>
        <v>1</v>
      </c>
      <c r="I204" s="2" t="s">
        <v>2470</v>
      </c>
      <c r="J204" s="2">
        <f>INDEX('Dictionary Subcategories'!$A$2:$A$70,MATCH(K204,'Dictionary Subcategories'!$B$2:$B$70,0))</f>
        <v>7</v>
      </c>
      <c r="K204" s="2" t="s">
        <v>1232</v>
      </c>
      <c r="L204" s="147"/>
      <c r="M204" s="77">
        <v>202</v>
      </c>
      <c r="O204" s="77">
        <f t="shared" si="3"/>
        <v>0</v>
      </c>
    </row>
    <row r="205" spans="1:15" x14ac:dyDescent="0.25">
      <c r="A205" s="83" t="str">
        <f>'ENIGHUR Consumption items'!H206</f>
        <v>01.1.7.016</v>
      </c>
      <c r="B205" s="116">
        <f>_xlfn.NUMBERVALUE(VLOOKUP(A205,'ENIGHUR Consumption items'!$H$2:$I$703,2,))</f>
        <v>117016</v>
      </c>
      <c r="C205" s="83" t="str">
        <f>'ENIGHUR Consumption items'!J206</f>
        <v>Choclo tierno en mazorca</v>
      </c>
      <c r="D205" s="124">
        <v>29</v>
      </c>
      <c r="E205" s="91" t="str">
        <f>IFERROR(VLOOKUP(D205,'symmetric IOT 245 2012'!$C$6:$D$276,2,FALSE),"")</f>
        <v>Otros vegetales y melones n.c.p.</v>
      </c>
      <c r="H205" s="77">
        <f>INDEX('Dictionary Categories'!$A$2:$A$30,MATCH(I205,'Dictionary Categories'!$B$2:$B$30,0))</f>
        <v>1</v>
      </c>
      <c r="I205" s="2" t="s">
        <v>2470</v>
      </c>
      <c r="J205" s="2">
        <f>INDEX('Dictionary Subcategories'!$A$2:$A$70,MATCH(K205,'Dictionary Subcategories'!$B$2:$B$70,0))</f>
        <v>7</v>
      </c>
      <c r="K205" s="2" t="s">
        <v>1232</v>
      </c>
      <c r="L205" s="147"/>
      <c r="M205" s="77">
        <v>203</v>
      </c>
      <c r="O205" s="77">
        <f t="shared" si="3"/>
        <v>0</v>
      </c>
    </row>
    <row r="206" spans="1:15" x14ac:dyDescent="0.25">
      <c r="A206" s="83" t="str">
        <f>'ENIGHUR Consumption items'!H207</f>
        <v>01.1.7.017</v>
      </c>
      <c r="B206" s="116">
        <f>_xlfn.NUMBERVALUE(VLOOKUP(A206,'ENIGHUR Consumption items'!$H$2:$I$703,2,))</f>
        <v>117017</v>
      </c>
      <c r="C206" s="83" t="str">
        <f>'ENIGHUR Consumption items'!J207</f>
        <v>Col bruselas</v>
      </c>
      <c r="D206" s="124">
        <v>29</v>
      </c>
      <c r="E206" s="91" t="str">
        <f>IFERROR(VLOOKUP(D206,'symmetric IOT 245 2012'!$C$6:$D$276,2,FALSE),"")</f>
        <v>Otros vegetales y melones n.c.p.</v>
      </c>
      <c r="H206" s="77">
        <f>INDEX('Dictionary Categories'!$A$2:$A$30,MATCH(I206,'Dictionary Categories'!$B$2:$B$30,0))</f>
        <v>1</v>
      </c>
      <c r="I206" s="2" t="s">
        <v>2470</v>
      </c>
      <c r="J206" s="2">
        <f>INDEX('Dictionary Subcategories'!$A$2:$A$70,MATCH(K206,'Dictionary Subcategories'!$B$2:$B$70,0))</f>
        <v>7</v>
      </c>
      <c r="K206" s="2" t="s">
        <v>1232</v>
      </c>
      <c r="L206" s="147"/>
      <c r="M206" s="77">
        <v>204</v>
      </c>
      <c r="O206" s="77">
        <f t="shared" si="3"/>
        <v>0</v>
      </c>
    </row>
    <row r="207" spans="1:15" x14ac:dyDescent="0.25">
      <c r="A207" s="83" t="str">
        <f>'ENIGHUR Consumption items'!H208</f>
        <v>01.1.7.018</v>
      </c>
      <c r="B207" s="116">
        <f>_xlfn.NUMBERVALUE(VLOOKUP(A207,'ENIGHUR Consumption items'!$H$2:$I$703,2,))</f>
        <v>117018</v>
      </c>
      <c r="C207" s="83" t="str">
        <f>'ENIGHUR Consumption items'!J208</f>
        <v>Col de seda o col verde</v>
      </c>
      <c r="D207" s="124">
        <v>29</v>
      </c>
      <c r="E207" s="91" t="str">
        <f>IFERROR(VLOOKUP(D207,'symmetric IOT 245 2012'!$C$6:$D$276,2,FALSE),"")</f>
        <v>Otros vegetales y melones n.c.p.</v>
      </c>
      <c r="H207" s="77">
        <f>INDEX('Dictionary Categories'!$A$2:$A$30,MATCH(I207,'Dictionary Categories'!$B$2:$B$30,0))</f>
        <v>1</v>
      </c>
      <c r="I207" s="2" t="s">
        <v>2470</v>
      </c>
      <c r="J207" s="2">
        <f>INDEX('Dictionary Subcategories'!$A$2:$A$70,MATCH(K207,'Dictionary Subcategories'!$B$2:$B$70,0))</f>
        <v>7</v>
      </c>
      <c r="K207" s="2" t="s">
        <v>1232</v>
      </c>
      <c r="L207" s="147"/>
      <c r="M207" s="77">
        <v>205</v>
      </c>
      <c r="O207" s="77">
        <f t="shared" si="3"/>
        <v>0</v>
      </c>
    </row>
    <row r="208" spans="1:15" x14ac:dyDescent="0.25">
      <c r="A208" s="83" t="str">
        <f>'ENIGHUR Consumption items'!H209</f>
        <v>01.1.7.019</v>
      </c>
      <c r="B208" s="116">
        <f>_xlfn.NUMBERVALUE(VLOOKUP(A208,'ENIGHUR Consumption items'!$H$2:$I$703,2,))</f>
        <v>117019</v>
      </c>
      <c r="C208" s="83" t="str">
        <f>'ENIGHUR Consumption items'!J209</f>
        <v>Col morada</v>
      </c>
      <c r="D208" s="124">
        <v>29</v>
      </c>
      <c r="E208" s="91" t="str">
        <f>IFERROR(VLOOKUP(D208,'symmetric IOT 245 2012'!$C$6:$D$276,2,FALSE),"")</f>
        <v>Otros vegetales y melones n.c.p.</v>
      </c>
      <c r="H208" s="77">
        <f>INDEX('Dictionary Categories'!$A$2:$A$30,MATCH(I208,'Dictionary Categories'!$B$2:$B$30,0))</f>
        <v>1</v>
      </c>
      <c r="I208" s="2" t="s">
        <v>2470</v>
      </c>
      <c r="J208" s="2">
        <f>INDEX('Dictionary Subcategories'!$A$2:$A$70,MATCH(K208,'Dictionary Subcategories'!$B$2:$B$70,0))</f>
        <v>7</v>
      </c>
      <c r="K208" s="2" t="s">
        <v>1232</v>
      </c>
      <c r="L208" s="147"/>
      <c r="M208" s="77">
        <v>206</v>
      </c>
      <c r="O208" s="77">
        <f t="shared" si="3"/>
        <v>0</v>
      </c>
    </row>
    <row r="209" spans="1:15" x14ac:dyDescent="0.25">
      <c r="A209" s="83" t="str">
        <f>'ENIGHUR Consumption items'!H210</f>
        <v>01.1.7.020</v>
      </c>
      <c r="B209" s="116">
        <f>_xlfn.NUMBERVALUE(VLOOKUP(A209,'ENIGHUR Consumption items'!$H$2:$I$703,2,))</f>
        <v>117020</v>
      </c>
      <c r="C209" s="83" t="str">
        <f>'ENIGHUR Consumption items'!J210</f>
        <v>Coliflor</v>
      </c>
      <c r="D209" s="124">
        <v>29</v>
      </c>
      <c r="E209" s="91" t="str">
        <f>IFERROR(VLOOKUP(D209,'symmetric IOT 245 2012'!$C$6:$D$276,2,FALSE),"")</f>
        <v>Otros vegetales y melones n.c.p.</v>
      </c>
      <c r="H209" s="77">
        <f>INDEX('Dictionary Categories'!$A$2:$A$30,MATCH(I209,'Dictionary Categories'!$B$2:$B$30,0))</f>
        <v>1</v>
      </c>
      <c r="I209" s="2" t="s">
        <v>2470</v>
      </c>
      <c r="J209" s="2">
        <f>INDEX('Dictionary Subcategories'!$A$2:$A$70,MATCH(K209,'Dictionary Subcategories'!$B$2:$B$70,0))</f>
        <v>7</v>
      </c>
      <c r="K209" s="2" t="s">
        <v>1232</v>
      </c>
      <c r="L209" s="147"/>
      <c r="M209" s="77">
        <v>207</v>
      </c>
      <c r="O209" s="77">
        <f t="shared" si="3"/>
        <v>0</v>
      </c>
    </row>
    <row r="210" spans="1:15" x14ac:dyDescent="0.25">
      <c r="A210" s="83" t="str">
        <f>'ENIGHUR Consumption items'!H211</f>
        <v>01.1.7.021</v>
      </c>
      <c r="B210" s="116">
        <f>_xlfn.NUMBERVALUE(VLOOKUP(A210,'ENIGHUR Consumption items'!$H$2:$I$703,2,))</f>
        <v>117021</v>
      </c>
      <c r="C210" s="83" t="str">
        <f>'ENIGHUR Consumption items'!J211</f>
        <v>Endivia</v>
      </c>
      <c r="D210" s="124">
        <v>29</v>
      </c>
      <c r="E210" s="91" t="str">
        <f>IFERROR(VLOOKUP(D210,'symmetric IOT 245 2012'!$C$6:$D$276,2,FALSE),"")</f>
        <v>Otros vegetales y melones n.c.p.</v>
      </c>
      <c r="H210" s="77">
        <f>INDEX('Dictionary Categories'!$A$2:$A$30,MATCH(I210,'Dictionary Categories'!$B$2:$B$30,0))</f>
        <v>1</v>
      </c>
      <c r="I210" s="2" t="s">
        <v>2470</v>
      </c>
      <c r="J210" s="2">
        <f>INDEX('Dictionary Subcategories'!$A$2:$A$70,MATCH(K210,'Dictionary Subcategories'!$B$2:$B$70,0))</f>
        <v>7</v>
      </c>
      <c r="K210" s="2" t="s">
        <v>1232</v>
      </c>
      <c r="L210" s="147"/>
      <c r="M210" s="77">
        <v>208</v>
      </c>
      <c r="O210" s="77">
        <f t="shared" si="3"/>
        <v>0</v>
      </c>
    </row>
    <row r="211" spans="1:15" x14ac:dyDescent="0.25">
      <c r="A211" s="83" t="str">
        <f>'ENIGHUR Consumption items'!H212</f>
        <v>01.1.7.022</v>
      </c>
      <c r="B211" s="116">
        <f>_xlfn.NUMBERVALUE(VLOOKUP(A211,'ENIGHUR Consumption items'!$H$2:$I$703,2,))</f>
        <v>117022</v>
      </c>
      <c r="C211" s="83" t="str">
        <f>'ENIGHUR Consumption items'!J212</f>
        <v>Espárragos</v>
      </c>
      <c r="D211" s="124">
        <v>29</v>
      </c>
      <c r="E211" s="91" t="str">
        <f>IFERROR(VLOOKUP(D211,'symmetric IOT 245 2012'!$C$6:$D$276,2,FALSE),"")</f>
        <v>Otros vegetales y melones n.c.p.</v>
      </c>
      <c r="H211" s="77">
        <f>INDEX('Dictionary Categories'!$A$2:$A$30,MATCH(I211,'Dictionary Categories'!$B$2:$B$30,0))</f>
        <v>1</v>
      </c>
      <c r="I211" s="2" t="s">
        <v>2470</v>
      </c>
      <c r="J211" s="2">
        <f>INDEX('Dictionary Subcategories'!$A$2:$A$70,MATCH(K211,'Dictionary Subcategories'!$B$2:$B$70,0))</f>
        <v>7</v>
      </c>
      <c r="K211" s="2" t="s">
        <v>1232</v>
      </c>
      <c r="L211" s="147"/>
      <c r="M211" s="77">
        <v>209</v>
      </c>
      <c r="O211" s="77">
        <f t="shared" si="3"/>
        <v>0</v>
      </c>
    </row>
    <row r="212" spans="1:15" x14ac:dyDescent="0.25">
      <c r="A212" s="83" t="str">
        <f>'ENIGHUR Consumption items'!H213</f>
        <v>01.1.7.023</v>
      </c>
      <c r="B212" s="116">
        <f>_xlfn.NUMBERVALUE(VLOOKUP(A212,'ENIGHUR Consumption items'!$H$2:$I$703,2,))</f>
        <v>117023</v>
      </c>
      <c r="C212" s="83" t="str">
        <f>'ENIGHUR Consumption items'!J213</f>
        <v>Espinaca</v>
      </c>
      <c r="D212" s="124">
        <v>29</v>
      </c>
      <c r="E212" s="91" t="str">
        <f>IFERROR(VLOOKUP(D212,'symmetric IOT 245 2012'!$C$6:$D$276,2,FALSE),"")</f>
        <v>Otros vegetales y melones n.c.p.</v>
      </c>
      <c r="H212" s="77">
        <f>INDEX('Dictionary Categories'!$A$2:$A$30,MATCH(I212,'Dictionary Categories'!$B$2:$B$30,0))</f>
        <v>1</v>
      </c>
      <c r="I212" s="2" t="s">
        <v>2470</v>
      </c>
      <c r="J212" s="2">
        <f>INDEX('Dictionary Subcategories'!$A$2:$A$70,MATCH(K212,'Dictionary Subcategories'!$B$2:$B$70,0))</f>
        <v>7</v>
      </c>
      <c r="K212" s="2" t="s">
        <v>1232</v>
      </c>
      <c r="L212" s="147"/>
      <c r="M212" s="77">
        <v>210</v>
      </c>
      <c r="O212" s="77">
        <f t="shared" si="3"/>
        <v>0</v>
      </c>
    </row>
    <row r="213" spans="1:15" x14ac:dyDescent="0.25">
      <c r="A213" s="83" t="str">
        <f>'ENIGHUR Consumption items'!H214</f>
        <v>01.1.7.024</v>
      </c>
      <c r="B213" s="116">
        <f>_xlfn.NUMBERVALUE(VLOOKUP(A213,'ENIGHUR Consumption items'!$H$2:$I$703,2,))</f>
        <v>117024</v>
      </c>
      <c r="C213" s="83" t="str">
        <f>'ENIGHUR Consumption items'!J214</f>
        <v>Hinojo</v>
      </c>
      <c r="D213" s="124">
        <v>29</v>
      </c>
      <c r="E213" s="91" t="str">
        <f>IFERROR(VLOOKUP(D213,'symmetric IOT 245 2012'!$C$6:$D$276,2,FALSE),"")</f>
        <v>Otros vegetales y melones n.c.p.</v>
      </c>
      <c r="H213" s="77">
        <f>INDEX('Dictionary Categories'!$A$2:$A$30,MATCH(I213,'Dictionary Categories'!$B$2:$B$30,0))</f>
        <v>1</v>
      </c>
      <c r="I213" s="2" t="s">
        <v>2470</v>
      </c>
      <c r="J213" s="2">
        <f>INDEX('Dictionary Subcategories'!$A$2:$A$70,MATCH(K213,'Dictionary Subcategories'!$B$2:$B$70,0))</f>
        <v>7</v>
      </c>
      <c r="K213" s="2" t="s">
        <v>1232</v>
      </c>
      <c r="L213" s="147"/>
      <c r="M213" s="77">
        <v>211</v>
      </c>
      <c r="O213" s="77">
        <f t="shared" si="3"/>
        <v>0</v>
      </c>
    </row>
    <row r="214" spans="1:15" x14ac:dyDescent="0.25">
      <c r="A214" s="83" t="str">
        <f>'ENIGHUR Consumption items'!H215</f>
        <v>01.1.7.025</v>
      </c>
      <c r="B214" s="116">
        <f>_xlfn.NUMBERVALUE(VLOOKUP(A214,'ENIGHUR Consumption items'!$H$2:$I$703,2,))</f>
        <v>117025</v>
      </c>
      <c r="C214" s="83" t="str">
        <f>'ENIGHUR Consumption items'!J215</f>
        <v>Hongos comestibles (champiñones)</v>
      </c>
      <c r="D214" s="124">
        <v>29</v>
      </c>
      <c r="E214" s="91" t="str">
        <f>IFERROR(VLOOKUP(D214,'symmetric IOT 245 2012'!$C$6:$D$276,2,FALSE),"")</f>
        <v>Otros vegetales y melones n.c.p.</v>
      </c>
      <c r="H214" s="77">
        <f>INDEX('Dictionary Categories'!$A$2:$A$30,MATCH(I214,'Dictionary Categories'!$B$2:$B$30,0))</f>
        <v>1</v>
      </c>
      <c r="I214" s="2" t="s">
        <v>2470</v>
      </c>
      <c r="J214" s="2">
        <f>INDEX('Dictionary Subcategories'!$A$2:$A$70,MATCH(K214,'Dictionary Subcategories'!$B$2:$B$70,0))</f>
        <v>7</v>
      </c>
      <c r="K214" s="2" t="s">
        <v>1232</v>
      </c>
      <c r="L214" s="147"/>
      <c r="M214" s="77">
        <v>212</v>
      </c>
      <c r="O214" s="77">
        <f t="shared" si="3"/>
        <v>0</v>
      </c>
    </row>
    <row r="215" spans="1:15" x14ac:dyDescent="0.25">
      <c r="A215" s="83" t="str">
        <f>'ENIGHUR Consumption items'!H216</f>
        <v>01.1.7.026</v>
      </c>
      <c r="B215" s="116">
        <f>_xlfn.NUMBERVALUE(VLOOKUP(A215,'ENIGHUR Consumption items'!$H$2:$I$703,2,))</f>
        <v>117026</v>
      </c>
      <c r="C215" s="83" t="str">
        <f>'ENIGHUR Consumption items'!J216</f>
        <v>Hortalizas, verduras picadas</v>
      </c>
      <c r="D215" s="124">
        <v>29</v>
      </c>
      <c r="E215" s="91" t="str">
        <f>IFERROR(VLOOKUP(D215,'symmetric IOT 245 2012'!$C$6:$D$276,2,FALSE),"")</f>
        <v>Otros vegetales y melones n.c.p.</v>
      </c>
      <c r="H215" s="77">
        <f>INDEX('Dictionary Categories'!$A$2:$A$30,MATCH(I215,'Dictionary Categories'!$B$2:$B$30,0))</f>
        <v>1</v>
      </c>
      <c r="I215" s="2" t="s">
        <v>2470</v>
      </c>
      <c r="J215" s="2">
        <f>INDEX('Dictionary Subcategories'!$A$2:$A$70,MATCH(K215,'Dictionary Subcategories'!$B$2:$B$70,0))</f>
        <v>7</v>
      </c>
      <c r="K215" s="2" t="s">
        <v>1232</v>
      </c>
      <c r="L215" s="147"/>
      <c r="M215" s="77">
        <v>213</v>
      </c>
      <c r="O215" s="77">
        <f t="shared" si="3"/>
        <v>0</v>
      </c>
    </row>
    <row r="216" spans="1:15" x14ac:dyDescent="0.25">
      <c r="A216" s="83" t="str">
        <f>'ENIGHUR Consumption items'!H217</f>
        <v>01.1.7.027</v>
      </c>
      <c r="B216" s="116">
        <f>_xlfn.NUMBERVALUE(VLOOKUP(A216,'ENIGHUR Consumption items'!$H$2:$I$703,2,))</f>
        <v>117027</v>
      </c>
      <c r="C216" s="83" t="str">
        <f>'ENIGHUR Consumption items'!J217</f>
        <v>Lechuga corriente</v>
      </c>
      <c r="D216" s="124">
        <v>20</v>
      </c>
      <c r="E216" s="91" t="str">
        <f>IFERROR(VLOOKUP(D216,'symmetric IOT 245 2012'!$C$6:$D$276,2,FALSE),"")</f>
        <v>Lechuga</v>
      </c>
      <c r="H216" s="77">
        <f>INDEX('Dictionary Categories'!$A$2:$A$30,MATCH(I216,'Dictionary Categories'!$B$2:$B$30,0))</f>
        <v>1</v>
      </c>
      <c r="I216" s="2" t="s">
        <v>2470</v>
      </c>
      <c r="J216" s="2">
        <f>INDEX('Dictionary Subcategories'!$A$2:$A$70,MATCH(K216,'Dictionary Subcategories'!$B$2:$B$70,0))</f>
        <v>7</v>
      </c>
      <c r="K216" s="2" t="s">
        <v>1232</v>
      </c>
      <c r="L216" s="147"/>
      <c r="M216" s="77">
        <v>214</v>
      </c>
      <c r="O216" s="77">
        <f t="shared" si="3"/>
        <v>0</v>
      </c>
    </row>
    <row r="217" spans="1:15" x14ac:dyDescent="0.25">
      <c r="A217" s="83" t="str">
        <f>'ENIGHUR Consumption items'!H218</f>
        <v>01.1.7.028</v>
      </c>
      <c r="B217" s="116">
        <f>_xlfn.NUMBERVALUE(VLOOKUP(A217,'ENIGHUR Consumption items'!$H$2:$I$703,2,))</f>
        <v>117028</v>
      </c>
      <c r="C217" s="83" t="str">
        <f>'ENIGHUR Consumption items'!J218</f>
        <v>Lechuga crespa</v>
      </c>
      <c r="D217" s="124">
        <v>20</v>
      </c>
      <c r="E217" s="91" t="str">
        <f>IFERROR(VLOOKUP(D217,'symmetric IOT 245 2012'!$C$6:$D$276,2,FALSE),"")</f>
        <v>Lechuga</v>
      </c>
      <c r="H217" s="77">
        <f>INDEX('Dictionary Categories'!$A$2:$A$30,MATCH(I217,'Dictionary Categories'!$B$2:$B$30,0))</f>
        <v>1</v>
      </c>
      <c r="I217" s="2" t="s">
        <v>2470</v>
      </c>
      <c r="J217" s="2">
        <f>INDEX('Dictionary Subcategories'!$A$2:$A$70,MATCH(K217,'Dictionary Subcategories'!$B$2:$B$70,0))</f>
        <v>7</v>
      </c>
      <c r="K217" s="2" t="s">
        <v>1232</v>
      </c>
      <c r="L217" s="147"/>
      <c r="M217" s="77">
        <v>215</v>
      </c>
      <c r="O217" s="77">
        <f t="shared" si="3"/>
        <v>0</v>
      </c>
    </row>
    <row r="218" spans="1:15" x14ac:dyDescent="0.25">
      <c r="A218" s="83" t="str">
        <f>'ENIGHUR Consumption items'!H219</f>
        <v>01.1.7.029</v>
      </c>
      <c r="B218" s="116">
        <f>_xlfn.NUMBERVALUE(VLOOKUP(A218,'ENIGHUR Consumption items'!$H$2:$I$703,2,))</f>
        <v>117029</v>
      </c>
      <c r="C218" s="83" t="str">
        <f>'ENIGHUR Consumption items'!J219</f>
        <v>Melloco</v>
      </c>
      <c r="D218" s="124">
        <v>29</v>
      </c>
      <c r="E218" s="91" t="str">
        <f>IFERROR(VLOOKUP(D218,'symmetric IOT 245 2012'!$C$6:$D$276,2,FALSE),"")</f>
        <v>Otros vegetales y melones n.c.p.</v>
      </c>
      <c r="H218" s="77">
        <f>INDEX('Dictionary Categories'!$A$2:$A$30,MATCH(I218,'Dictionary Categories'!$B$2:$B$30,0))</f>
        <v>1</v>
      </c>
      <c r="I218" s="2" t="s">
        <v>2470</v>
      </c>
      <c r="J218" s="2">
        <f>INDEX('Dictionary Subcategories'!$A$2:$A$70,MATCH(K218,'Dictionary Subcategories'!$B$2:$B$70,0))</f>
        <v>7</v>
      </c>
      <c r="K218" s="2" t="s">
        <v>1232</v>
      </c>
      <c r="L218" s="147"/>
      <c r="M218" s="77">
        <v>216</v>
      </c>
      <c r="O218" s="77">
        <f t="shared" si="3"/>
        <v>0</v>
      </c>
    </row>
    <row r="219" spans="1:15" x14ac:dyDescent="0.25">
      <c r="A219" s="83" t="str">
        <f>'ENIGHUR Consumption items'!H220</f>
        <v>01.1.7.030</v>
      </c>
      <c r="B219" s="116">
        <f>_xlfn.NUMBERVALUE(VLOOKUP(A219,'ENIGHUR Consumption items'!$H$2:$I$703,2,))</f>
        <v>117030</v>
      </c>
      <c r="C219" s="83" t="str">
        <f>'ENIGHUR Consumption items'!J220</f>
        <v>Nabo</v>
      </c>
      <c r="D219" s="124">
        <v>29</v>
      </c>
      <c r="E219" s="91" t="str">
        <f>IFERROR(VLOOKUP(D219,'symmetric IOT 245 2012'!$C$6:$D$276,2,FALSE),"")</f>
        <v>Otros vegetales y melones n.c.p.</v>
      </c>
      <c r="H219" s="77">
        <f>INDEX('Dictionary Categories'!$A$2:$A$30,MATCH(I219,'Dictionary Categories'!$B$2:$B$30,0))</f>
        <v>1</v>
      </c>
      <c r="I219" s="2" t="s">
        <v>2470</v>
      </c>
      <c r="J219" s="2">
        <f>INDEX('Dictionary Subcategories'!$A$2:$A$70,MATCH(K219,'Dictionary Subcategories'!$B$2:$B$70,0))</f>
        <v>7</v>
      </c>
      <c r="K219" s="2" t="s">
        <v>1232</v>
      </c>
      <c r="L219" s="147"/>
      <c r="M219" s="77">
        <v>217</v>
      </c>
      <c r="O219" s="77">
        <f t="shared" si="3"/>
        <v>0</v>
      </c>
    </row>
    <row r="220" spans="1:15" x14ac:dyDescent="0.25">
      <c r="A220" s="83" t="str">
        <f>'ENIGHUR Consumption items'!H221</f>
        <v>01.1.7.031</v>
      </c>
      <c r="B220" s="116">
        <f>_xlfn.NUMBERVALUE(VLOOKUP(A220,'ENIGHUR Consumption items'!$H$2:$I$703,2,))</f>
        <v>117031</v>
      </c>
      <c r="C220" s="83" t="str">
        <f>'ENIGHUR Consumption items'!J221</f>
        <v>Palmito</v>
      </c>
      <c r="D220" s="124">
        <v>29</v>
      </c>
      <c r="E220" s="91" t="str">
        <f>IFERROR(VLOOKUP(D220,'symmetric IOT 245 2012'!$C$6:$D$276,2,FALSE),"")</f>
        <v>Otros vegetales y melones n.c.p.</v>
      </c>
      <c r="H220" s="77">
        <f>INDEX('Dictionary Categories'!$A$2:$A$30,MATCH(I220,'Dictionary Categories'!$B$2:$B$30,0))</f>
        <v>1</v>
      </c>
      <c r="I220" s="2" t="s">
        <v>2470</v>
      </c>
      <c r="J220" s="2">
        <f>INDEX('Dictionary Subcategories'!$A$2:$A$70,MATCH(K220,'Dictionary Subcategories'!$B$2:$B$70,0))</f>
        <v>7</v>
      </c>
      <c r="K220" s="2" t="s">
        <v>1232</v>
      </c>
      <c r="L220" s="147"/>
      <c r="M220" s="77">
        <v>218</v>
      </c>
      <c r="O220" s="77">
        <f t="shared" si="3"/>
        <v>0</v>
      </c>
    </row>
    <row r="221" spans="1:15" x14ac:dyDescent="0.25">
      <c r="A221" s="83" t="str">
        <f>'ENIGHUR Consumption items'!H222</f>
        <v>01.1.7.032</v>
      </c>
      <c r="B221" s="116">
        <f>_xlfn.NUMBERVALUE(VLOOKUP(A221,'ENIGHUR Consumption items'!$H$2:$I$703,2,))</f>
        <v>117032</v>
      </c>
      <c r="C221" s="83" t="str">
        <f>'ENIGHUR Consumption items'!J222</f>
        <v>Papanabo</v>
      </c>
      <c r="D221" s="124">
        <v>29</v>
      </c>
      <c r="E221" s="91" t="str">
        <f>IFERROR(VLOOKUP(D221,'symmetric IOT 245 2012'!$C$6:$D$276,2,FALSE),"")</f>
        <v>Otros vegetales y melones n.c.p.</v>
      </c>
      <c r="H221" s="77">
        <f>INDEX('Dictionary Categories'!$A$2:$A$30,MATCH(I221,'Dictionary Categories'!$B$2:$B$30,0))</f>
        <v>1</v>
      </c>
      <c r="I221" s="2" t="s">
        <v>2470</v>
      </c>
      <c r="J221" s="2">
        <f>INDEX('Dictionary Subcategories'!$A$2:$A$70,MATCH(K221,'Dictionary Subcategories'!$B$2:$B$70,0))</f>
        <v>7</v>
      </c>
      <c r="K221" s="2" t="s">
        <v>1232</v>
      </c>
      <c r="L221" s="147"/>
      <c r="M221" s="77">
        <v>219</v>
      </c>
      <c r="O221" s="77">
        <f t="shared" si="3"/>
        <v>0</v>
      </c>
    </row>
    <row r="222" spans="1:15" x14ac:dyDescent="0.25">
      <c r="A222" s="83" t="str">
        <f>'ENIGHUR Consumption items'!H223</f>
        <v>01.1.7.033</v>
      </c>
      <c r="B222" s="116">
        <f>_xlfn.NUMBERVALUE(VLOOKUP(A222,'ENIGHUR Consumption items'!$H$2:$I$703,2,))</f>
        <v>117033</v>
      </c>
      <c r="C222" s="83" t="str">
        <f>'ENIGHUR Consumption items'!J223</f>
        <v>Pepinillo (pepino de sal en la costa)</v>
      </c>
      <c r="D222" s="124">
        <v>29</v>
      </c>
      <c r="E222" s="91" t="str">
        <f>IFERROR(VLOOKUP(D222,'symmetric IOT 245 2012'!$C$6:$D$276,2,FALSE),"")</f>
        <v>Otros vegetales y melones n.c.p.</v>
      </c>
      <c r="H222" s="77">
        <f>INDEX('Dictionary Categories'!$A$2:$A$30,MATCH(I222,'Dictionary Categories'!$B$2:$B$30,0))</f>
        <v>1</v>
      </c>
      <c r="I222" s="2" t="s">
        <v>2470</v>
      </c>
      <c r="J222" s="2">
        <f>INDEX('Dictionary Subcategories'!$A$2:$A$70,MATCH(K222,'Dictionary Subcategories'!$B$2:$B$70,0))</f>
        <v>7</v>
      </c>
      <c r="K222" s="2" t="s">
        <v>1232</v>
      </c>
      <c r="L222" s="147"/>
      <c r="M222" s="77">
        <v>220</v>
      </c>
      <c r="O222" s="77">
        <f t="shared" si="3"/>
        <v>0</v>
      </c>
    </row>
    <row r="223" spans="1:15" x14ac:dyDescent="0.25">
      <c r="A223" s="83" t="str">
        <f>'ENIGHUR Consumption items'!H224</f>
        <v>01.1.7.034</v>
      </c>
      <c r="B223" s="116">
        <f>_xlfn.NUMBERVALUE(VLOOKUP(A223,'ENIGHUR Consumption items'!$H$2:$I$703,2,))</f>
        <v>117034</v>
      </c>
      <c r="C223" s="83" t="str">
        <f>'ENIGHUR Consumption items'!J224</f>
        <v>Pimiento</v>
      </c>
      <c r="D223" s="124">
        <v>28</v>
      </c>
      <c r="E223" s="91" t="str">
        <f>IFERROR(VLOOKUP(D223,'symmetric IOT 245 2012'!$C$6:$D$276,2,FALSE),"")</f>
        <v>Pimiento</v>
      </c>
      <c r="H223" s="77">
        <f>INDEX('Dictionary Categories'!$A$2:$A$30,MATCH(I223,'Dictionary Categories'!$B$2:$B$30,0))</f>
        <v>1</v>
      </c>
      <c r="I223" s="2" t="s">
        <v>2470</v>
      </c>
      <c r="J223" s="2">
        <f>INDEX('Dictionary Subcategories'!$A$2:$A$70,MATCH(K223,'Dictionary Subcategories'!$B$2:$B$70,0))</f>
        <v>7</v>
      </c>
      <c r="K223" s="2" t="s">
        <v>1232</v>
      </c>
      <c r="L223" s="147"/>
      <c r="M223" s="77">
        <v>221</v>
      </c>
      <c r="O223" s="77">
        <f t="shared" si="3"/>
        <v>0</v>
      </c>
    </row>
    <row r="224" spans="1:15" x14ac:dyDescent="0.25">
      <c r="A224" s="83" t="str">
        <f>'ENIGHUR Consumption items'!H225</f>
        <v>01.1.7.035</v>
      </c>
      <c r="B224" s="116">
        <f>_xlfn.NUMBERVALUE(VLOOKUP(A224,'ENIGHUR Consumption items'!$H$2:$I$703,2,))</f>
        <v>117035</v>
      </c>
      <c r="C224" s="83" t="str">
        <f>'ENIGHUR Consumption items'!J225</f>
        <v>Puerro</v>
      </c>
      <c r="D224" s="124">
        <v>29</v>
      </c>
      <c r="E224" s="91" t="str">
        <f>IFERROR(VLOOKUP(D224,'symmetric IOT 245 2012'!$C$6:$D$276,2,FALSE),"")</f>
        <v>Otros vegetales y melones n.c.p.</v>
      </c>
      <c r="H224" s="77">
        <f>INDEX('Dictionary Categories'!$A$2:$A$30,MATCH(I224,'Dictionary Categories'!$B$2:$B$30,0))</f>
        <v>1</v>
      </c>
      <c r="I224" s="2" t="s">
        <v>2470</v>
      </c>
      <c r="J224" s="2">
        <f>INDEX('Dictionary Subcategories'!$A$2:$A$70,MATCH(K224,'Dictionary Subcategories'!$B$2:$B$70,0))</f>
        <v>7</v>
      </c>
      <c r="K224" s="2" t="s">
        <v>1232</v>
      </c>
      <c r="L224" s="147"/>
      <c r="M224" s="77">
        <v>222</v>
      </c>
      <c r="O224" s="77">
        <f t="shared" si="3"/>
        <v>0</v>
      </c>
    </row>
    <row r="225" spans="1:15" x14ac:dyDescent="0.25">
      <c r="A225" s="83" t="str">
        <f>'ENIGHUR Consumption items'!H226</f>
        <v>01.1.7.036</v>
      </c>
      <c r="B225" s="116">
        <f>_xlfn.NUMBERVALUE(VLOOKUP(A225,'ENIGHUR Consumption items'!$H$2:$I$703,2,))</f>
        <v>117036</v>
      </c>
      <c r="C225" s="83" t="str">
        <f>'ENIGHUR Consumption items'!J226</f>
        <v>Rábano</v>
      </c>
      <c r="D225" s="124">
        <v>29</v>
      </c>
      <c r="E225" s="91" t="str">
        <f>IFERROR(VLOOKUP(D225,'symmetric IOT 245 2012'!$C$6:$D$276,2,FALSE),"")</f>
        <v>Otros vegetales y melones n.c.p.</v>
      </c>
      <c r="H225" s="77">
        <f>INDEX('Dictionary Categories'!$A$2:$A$30,MATCH(I225,'Dictionary Categories'!$B$2:$B$30,0))</f>
        <v>1</v>
      </c>
      <c r="I225" s="2" t="s">
        <v>2470</v>
      </c>
      <c r="J225" s="2">
        <f>INDEX('Dictionary Subcategories'!$A$2:$A$70,MATCH(K225,'Dictionary Subcategories'!$B$2:$B$70,0))</f>
        <v>7</v>
      </c>
      <c r="K225" s="2" t="s">
        <v>1232</v>
      </c>
      <c r="L225" s="147"/>
      <c r="M225" s="77">
        <v>223</v>
      </c>
      <c r="O225" s="77">
        <f t="shared" si="3"/>
        <v>0</v>
      </c>
    </row>
    <row r="226" spans="1:15" x14ac:dyDescent="0.25">
      <c r="A226" s="83" t="str">
        <f>'ENIGHUR Consumption items'!H227</f>
        <v>01.1.7.037</v>
      </c>
      <c r="B226" s="116">
        <f>_xlfn.NUMBERVALUE(VLOOKUP(A226,'ENIGHUR Consumption items'!$H$2:$I$703,2,))</f>
        <v>117037</v>
      </c>
      <c r="C226" s="83" t="str">
        <f>'ENIGHUR Consumption items'!J227</f>
        <v>Remolacha (veteraba)</v>
      </c>
      <c r="D226" s="124">
        <v>29</v>
      </c>
      <c r="E226" s="91" t="str">
        <f>IFERROR(VLOOKUP(D226,'symmetric IOT 245 2012'!$C$6:$D$276,2,FALSE),"")</f>
        <v>Otros vegetales y melones n.c.p.</v>
      </c>
      <c r="H226" s="77">
        <f>INDEX('Dictionary Categories'!$A$2:$A$30,MATCH(I226,'Dictionary Categories'!$B$2:$B$30,0))</f>
        <v>1</v>
      </c>
      <c r="I226" s="2" t="s">
        <v>2470</v>
      </c>
      <c r="J226" s="2">
        <f>INDEX('Dictionary Subcategories'!$A$2:$A$70,MATCH(K226,'Dictionary Subcategories'!$B$2:$B$70,0))</f>
        <v>7</v>
      </c>
      <c r="K226" s="2" t="s">
        <v>1232</v>
      </c>
      <c r="L226" s="147"/>
      <c r="M226" s="77">
        <v>224</v>
      </c>
      <c r="O226" s="77">
        <f t="shared" si="3"/>
        <v>0</v>
      </c>
    </row>
    <row r="227" spans="1:15" x14ac:dyDescent="0.25">
      <c r="A227" s="83" t="str">
        <f>'ENIGHUR Consumption items'!H228</f>
        <v>01.1.7.038</v>
      </c>
      <c r="B227" s="116">
        <f>_xlfn.NUMBERVALUE(VLOOKUP(A227,'ENIGHUR Consumption items'!$H$2:$I$703,2,))</f>
        <v>117038</v>
      </c>
      <c r="C227" s="83" t="str">
        <f>'ENIGHUR Consumption items'!J228</f>
        <v>Tomate riñón</v>
      </c>
      <c r="D227" s="124">
        <v>21</v>
      </c>
      <c r="E227" s="91" t="str">
        <f>IFERROR(VLOOKUP(D227,'symmetric IOT 245 2012'!$C$6:$D$276,2,FALSE),"")</f>
        <v>Tomate</v>
      </c>
      <c r="H227" s="77">
        <f>INDEX('Dictionary Categories'!$A$2:$A$30,MATCH(I227,'Dictionary Categories'!$B$2:$B$30,0))</f>
        <v>1</v>
      </c>
      <c r="I227" s="2" t="s">
        <v>2470</v>
      </c>
      <c r="J227" s="2">
        <f>INDEX('Dictionary Subcategories'!$A$2:$A$70,MATCH(K227,'Dictionary Subcategories'!$B$2:$B$70,0))</f>
        <v>7</v>
      </c>
      <c r="K227" s="2" t="s">
        <v>1232</v>
      </c>
      <c r="L227" s="147"/>
      <c r="M227" s="77">
        <v>225</v>
      </c>
      <c r="O227" s="77">
        <f t="shared" si="3"/>
        <v>0</v>
      </c>
    </row>
    <row r="228" spans="1:15" x14ac:dyDescent="0.25">
      <c r="A228" s="83" t="str">
        <f>'ENIGHUR Consumption items'!H229</f>
        <v>01.1.7.039</v>
      </c>
      <c r="B228" s="116">
        <f>_xlfn.NUMBERVALUE(VLOOKUP(A228,'ENIGHUR Consumption items'!$H$2:$I$703,2,))</f>
        <v>117039</v>
      </c>
      <c r="C228" s="83" t="str">
        <f>'ENIGHUR Consumption items'!J229</f>
        <v>Vainitas (llamada verdura en la costa)</v>
      </c>
      <c r="D228" s="124">
        <v>29</v>
      </c>
      <c r="E228" s="91" t="str">
        <f>IFERROR(VLOOKUP(D228,'symmetric IOT 245 2012'!$C$6:$D$276,2,FALSE),"")</f>
        <v>Otros vegetales y melones n.c.p.</v>
      </c>
      <c r="H228" s="77">
        <f>INDEX('Dictionary Categories'!$A$2:$A$30,MATCH(I228,'Dictionary Categories'!$B$2:$B$30,0))</f>
        <v>1</v>
      </c>
      <c r="I228" s="2" t="s">
        <v>2470</v>
      </c>
      <c r="J228" s="2">
        <f>INDEX('Dictionary Subcategories'!$A$2:$A$70,MATCH(K228,'Dictionary Subcategories'!$B$2:$B$70,0))</f>
        <v>7</v>
      </c>
      <c r="K228" s="2" t="s">
        <v>1232</v>
      </c>
      <c r="L228" s="147"/>
      <c r="M228" s="77">
        <v>226</v>
      </c>
      <c r="O228" s="77">
        <f t="shared" si="3"/>
        <v>0</v>
      </c>
    </row>
    <row r="229" spans="1:15" x14ac:dyDescent="0.25">
      <c r="A229" s="83" t="str">
        <f>'ENIGHUR Consumption items'!H230</f>
        <v>01.1.7.040</v>
      </c>
      <c r="B229" s="116">
        <f>_xlfn.NUMBERVALUE(VLOOKUP(A229,'ENIGHUR Consumption items'!$H$2:$I$703,2,))</f>
        <v>117040</v>
      </c>
      <c r="C229" s="83" t="str">
        <f>'ENIGHUR Consumption items'!J230</f>
        <v>Zambo</v>
      </c>
      <c r="D229" s="124">
        <v>29</v>
      </c>
      <c r="E229" s="91" t="str">
        <f>IFERROR(VLOOKUP(D229,'symmetric IOT 245 2012'!$C$6:$D$276,2,FALSE),"")</f>
        <v>Otros vegetales y melones n.c.p.</v>
      </c>
      <c r="H229" s="77">
        <f>INDEX('Dictionary Categories'!$A$2:$A$30,MATCH(I229,'Dictionary Categories'!$B$2:$B$30,0))</f>
        <v>1</v>
      </c>
      <c r="I229" s="2" t="s">
        <v>2470</v>
      </c>
      <c r="J229" s="2">
        <f>INDEX('Dictionary Subcategories'!$A$2:$A$70,MATCH(K229,'Dictionary Subcategories'!$B$2:$B$70,0))</f>
        <v>7</v>
      </c>
      <c r="K229" s="2" t="s">
        <v>1232</v>
      </c>
      <c r="L229" s="147"/>
      <c r="M229" s="77">
        <v>227</v>
      </c>
      <c r="O229" s="77">
        <f t="shared" si="3"/>
        <v>0</v>
      </c>
    </row>
    <row r="230" spans="1:15" x14ac:dyDescent="0.25">
      <c r="A230" s="83" t="str">
        <f>'ENIGHUR Consumption items'!H231</f>
        <v>01.1.7.041</v>
      </c>
      <c r="B230" s="116">
        <f>_xlfn.NUMBERVALUE(VLOOKUP(A230,'ENIGHUR Consumption items'!$H$2:$I$703,2,))</f>
        <v>117041</v>
      </c>
      <c r="C230" s="83" t="str">
        <f>'ENIGHUR Consumption items'!J231</f>
        <v>Zanahoria amarilla</v>
      </c>
      <c r="D230" s="124">
        <v>29</v>
      </c>
      <c r="E230" s="91" t="str">
        <f>IFERROR(VLOOKUP(D230,'symmetric IOT 245 2012'!$C$6:$D$276,2,FALSE),"")</f>
        <v>Otros vegetales y melones n.c.p.</v>
      </c>
      <c r="H230" s="77">
        <f>INDEX('Dictionary Categories'!$A$2:$A$30,MATCH(I230,'Dictionary Categories'!$B$2:$B$30,0))</f>
        <v>1</v>
      </c>
      <c r="I230" s="2" t="s">
        <v>2470</v>
      </c>
      <c r="J230" s="2">
        <f>INDEX('Dictionary Subcategories'!$A$2:$A$70,MATCH(K230,'Dictionary Subcategories'!$B$2:$B$70,0))</f>
        <v>7</v>
      </c>
      <c r="K230" s="2" t="s">
        <v>1232</v>
      </c>
      <c r="L230" s="147"/>
      <c r="M230" s="77">
        <v>228</v>
      </c>
      <c r="O230" s="77">
        <f t="shared" si="3"/>
        <v>0</v>
      </c>
    </row>
    <row r="231" spans="1:15" x14ac:dyDescent="0.25">
      <c r="A231" s="83" t="str">
        <f>'ENIGHUR Consumption items'!H232</f>
        <v>01.1.7.042</v>
      </c>
      <c r="B231" s="116">
        <f>_xlfn.NUMBERVALUE(VLOOKUP(A231,'ENIGHUR Consumption items'!$H$2:$I$703,2,))</f>
        <v>117042</v>
      </c>
      <c r="C231" s="83" t="str">
        <f>'ENIGHUR Consumption items'!J232</f>
        <v>Zanahoria blanca</v>
      </c>
      <c r="D231" s="124">
        <v>29</v>
      </c>
      <c r="E231" s="91" t="str">
        <f>IFERROR(VLOOKUP(D231,'symmetric IOT 245 2012'!$C$6:$D$276,2,FALSE),"")</f>
        <v>Otros vegetales y melones n.c.p.</v>
      </c>
      <c r="H231" s="77">
        <f>INDEX('Dictionary Categories'!$A$2:$A$30,MATCH(I231,'Dictionary Categories'!$B$2:$B$30,0))</f>
        <v>1</v>
      </c>
      <c r="I231" s="2" t="s">
        <v>2470</v>
      </c>
      <c r="J231" s="2">
        <f>INDEX('Dictionary Subcategories'!$A$2:$A$70,MATCH(K231,'Dictionary Subcategories'!$B$2:$B$70,0))</f>
        <v>7</v>
      </c>
      <c r="K231" s="2" t="s">
        <v>1232</v>
      </c>
      <c r="L231" s="147"/>
      <c r="M231" s="77">
        <v>229</v>
      </c>
      <c r="O231" s="77">
        <f t="shared" si="3"/>
        <v>0</v>
      </c>
    </row>
    <row r="232" spans="1:15" x14ac:dyDescent="0.25">
      <c r="A232" s="83" t="str">
        <f>'ENIGHUR Consumption items'!H233</f>
        <v>01.1.7.043</v>
      </c>
      <c r="B232" s="116">
        <f>_xlfn.NUMBERVALUE(VLOOKUP(A232,'ENIGHUR Consumption items'!$H$2:$I$703,2,))</f>
        <v>117043</v>
      </c>
      <c r="C232" s="83" t="str">
        <f>'ENIGHUR Consumption items'!J233</f>
        <v>Zapallo (calabaza)</v>
      </c>
      <c r="D232" s="124">
        <v>29</v>
      </c>
      <c r="E232" s="91" t="str">
        <f>IFERROR(VLOOKUP(D232,'symmetric IOT 245 2012'!$C$6:$D$276,2,FALSE),"")</f>
        <v>Otros vegetales y melones n.c.p.</v>
      </c>
      <c r="H232" s="77">
        <f>INDEX('Dictionary Categories'!$A$2:$A$30,MATCH(I232,'Dictionary Categories'!$B$2:$B$30,0))</f>
        <v>1</v>
      </c>
      <c r="I232" s="2" t="s">
        <v>2470</v>
      </c>
      <c r="J232" s="2">
        <f>INDEX('Dictionary Subcategories'!$A$2:$A$70,MATCH(K232,'Dictionary Subcategories'!$B$2:$B$70,0))</f>
        <v>7</v>
      </c>
      <c r="K232" s="2" t="s">
        <v>1232</v>
      </c>
      <c r="L232" s="147"/>
      <c r="M232" s="77">
        <v>230</v>
      </c>
      <c r="O232" s="77">
        <f t="shared" si="3"/>
        <v>0</v>
      </c>
    </row>
    <row r="233" spans="1:15" x14ac:dyDescent="0.25">
      <c r="A233" s="83" t="str">
        <f>'ENIGHUR Consumption items'!H234</f>
        <v>01.1.7.044</v>
      </c>
      <c r="B233" s="116">
        <f>_xlfn.NUMBERVALUE(VLOOKUP(A233,'ENIGHUR Consumption items'!$H$2:$I$703,2,))</f>
        <v>117044</v>
      </c>
      <c r="C233" s="83" t="str">
        <f>'ENIGHUR Consumption items'!J234</f>
        <v>Zuquini</v>
      </c>
      <c r="D233" s="124">
        <v>29</v>
      </c>
      <c r="E233" s="91" t="str">
        <f>IFERROR(VLOOKUP(D233,'symmetric IOT 245 2012'!$C$6:$D$276,2,FALSE),"")</f>
        <v>Otros vegetales y melones n.c.p.</v>
      </c>
      <c r="H233" s="77">
        <f>INDEX('Dictionary Categories'!$A$2:$A$30,MATCH(I233,'Dictionary Categories'!$B$2:$B$30,0))</f>
        <v>1</v>
      </c>
      <c r="I233" s="2" t="s">
        <v>2470</v>
      </c>
      <c r="J233" s="2">
        <f>INDEX('Dictionary Subcategories'!$A$2:$A$70,MATCH(K233,'Dictionary Subcategories'!$B$2:$B$70,0))</f>
        <v>7</v>
      </c>
      <c r="K233" s="2" t="s">
        <v>1232</v>
      </c>
      <c r="L233" s="147"/>
      <c r="M233" s="77">
        <v>231</v>
      </c>
      <c r="O233" s="77">
        <f t="shared" si="3"/>
        <v>0</v>
      </c>
    </row>
    <row r="234" spans="1:15" x14ac:dyDescent="0.25">
      <c r="A234" s="83" t="str">
        <f>'ENIGHUR Consumption items'!H235</f>
        <v>01.1.7.045</v>
      </c>
      <c r="B234" s="116">
        <f>_xlfn.NUMBERVALUE(VLOOKUP(A234,'ENIGHUR Consumption items'!$H$2:$I$703,2,))</f>
        <v>117045</v>
      </c>
      <c r="C234" s="83" t="str">
        <f>'ENIGHUR Consumption items'!J235</f>
        <v>Cebollín</v>
      </c>
      <c r="D234" s="124">
        <v>29</v>
      </c>
      <c r="E234" s="91" t="str">
        <f>IFERROR(VLOOKUP(D234,'symmetric IOT 245 2012'!$C$6:$D$276,2,FALSE),"")</f>
        <v>Otros vegetales y melones n.c.p.</v>
      </c>
      <c r="H234" s="77">
        <f>INDEX('Dictionary Categories'!$A$2:$A$30,MATCH(I234,'Dictionary Categories'!$B$2:$B$30,0))</f>
        <v>1</v>
      </c>
      <c r="I234" s="2" t="s">
        <v>2470</v>
      </c>
      <c r="J234" s="2">
        <f>INDEX('Dictionary Subcategories'!$A$2:$A$70,MATCH(K234,'Dictionary Subcategories'!$B$2:$B$70,0))</f>
        <v>7</v>
      </c>
      <c r="K234" s="2" t="s">
        <v>1232</v>
      </c>
      <c r="L234" s="147"/>
      <c r="M234" s="77">
        <v>232</v>
      </c>
      <c r="O234" s="77">
        <f t="shared" si="3"/>
        <v>0</v>
      </c>
    </row>
    <row r="235" spans="1:15" x14ac:dyDescent="0.25">
      <c r="A235" s="83" t="str">
        <f>'ENIGHUR Consumption items'!H236</f>
        <v>01.1.7.099</v>
      </c>
      <c r="B235" s="116">
        <f>_xlfn.NUMBERVALUE(VLOOKUP(A235,'ENIGHUR Consumption items'!$H$2:$I$703,2,))</f>
        <v>117099</v>
      </c>
      <c r="C235" s="83" t="str">
        <f>'ENIGHUR Consumption items'!J236</f>
        <v>Otras hortalizas verduras frescas</v>
      </c>
      <c r="D235" s="124">
        <v>29</v>
      </c>
      <c r="E235" s="91" t="str">
        <f>IFERROR(VLOOKUP(D235,'symmetric IOT 245 2012'!$C$6:$D$276,2,FALSE),"")</f>
        <v>Otros vegetales y melones n.c.p.</v>
      </c>
      <c r="H235" s="77">
        <f>INDEX('Dictionary Categories'!$A$2:$A$30,MATCH(I235,'Dictionary Categories'!$B$2:$B$30,0))</f>
        <v>1</v>
      </c>
      <c r="I235" s="2" t="s">
        <v>2470</v>
      </c>
      <c r="J235" s="2">
        <f>INDEX('Dictionary Subcategories'!$A$2:$A$70,MATCH(K235,'Dictionary Subcategories'!$B$2:$B$70,0))</f>
        <v>7</v>
      </c>
      <c r="K235" s="2" t="s">
        <v>1232</v>
      </c>
      <c r="L235" s="147"/>
      <c r="M235" s="77">
        <v>233</v>
      </c>
      <c r="O235" s="77">
        <f t="shared" si="3"/>
        <v>0</v>
      </c>
    </row>
    <row r="236" spans="1:15" x14ac:dyDescent="0.25">
      <c r="A236" s="83" t="str">
        <f>'ENIGHUR Consumption items'!H237</f>
        <v>01.1.7.100</v>
      </c>
      <c r="B236" s="116">
        <f>_xlfn.NUMBERVALUE(VLOOKUP(A236,'ENIGHUR Consumption items'!$H$2:$I$703,2,))</f>
        <v>117100</v>
      </c>
      <c r="C236" s="83" t="str">
        <f>'ENIGHUR Consumption items'!J237</f>
        <v>Leguminosas frescas, refrigeradas y congeladas</v>
      </c>
      <c r="D236" s="124">
        <v>23</v>
      </c>
      <c r="E236" s="91" t="str">
        <f>IFERROR(VLOOKUP(D236,'symmetric IOT 245 2012'!$C$6:$D$276,2,FALSE),"")</f>
        <v>Haba fresca o seca</v>
      </c>
      <c r="F236" s="80"/>
      <c r="H236" s="77">
        <f>INDEX('Dictionary Categories'!$A$2:$A$30,MATCH(I236,'Dictionary Categories'!$B$2:$B$30,0))</f>
        <v>1</v>
      </c>
      <c r="I236" s="2" t="s">
        <v>2470</v>
      </c>
      <c r="J236" s="2">
        <f>INDEX('Dictionary Subcategories'!$A$2:$A$70,MATCH(K236,'Dictionary Subcategories'!$B$2:$B$70,0))</f>
        <v>7</v>
      </c>
      <c r="K236" s="2" t="s">
        <v>1232</v>
      </c>
      <c r="L236" s="147"/>
      <c r="M236" s="77">
        <v>234</v>
      </c>
      <c r="O236" s="77">
        <f t="shared" si="3"/>
        <v>0</v>
      </c>
    </row>
    <row r="237" spans="1:15" x14ac:dyDescent="0.25">
      <c r="A237" s="83" t="str">
        <f>'ENIGHUR Consumption items'!H238</f>
        <v>01.1.7.101</v>
      </c>
      <c r="B237" s="116">
        <f>_xlfn.NUMBERVALUE(VLOOKUP(A237,'ENIGHUR Consumption items'!$H$2:$I$703,2,))</f>
        <v>117101</v>
      </c>
      <c r="C237" s="83" t="str">
        <f>'ENIGHUR Consumption items'!J238</f>
        <v>Arveja tierna (pelada o en vaina)</v>
      </c>
      <c r="D237" s="124">
        <v>24</v>
      </c>
      <c r="E237" s="91" t="str">
        <f>IFERROR(VLOOKUP(D237,'symmetric IOT 245 2012'!$C$6:$D$276,2,FALSE),"")</f>
        <v>Arveja fresca o seca</v>
      </c>
      <c r="H237" s="77">
        <f>INDEX('Dictionary Categories'!$A$2:$A$30,MATCH(I237,'Dictionary Categories'!$B$2:$B$30,0))</f>
        <v>1</v>
      </c>
      <c r="I237" s="2" t="s">
        <v>2470</v>
      </c>
      <c r="J237" s="2">
        <f>INDEX('Dictionary Subcategories'!$A$2:$A$70,MATCH(K237,'Dictionary Subcategories'!$B$2:$B$70,0))</f>
        <v>7</v>
      </c>
      <c r="K237" s="2" t="s">
        <v>1232</v>
      </c>
      <c r="L237" s="147"/>
      <c r="M237" s="77">
        <v>235</v>
      </c>
      <c r="O237" s="77">
        <f t="shared" si="3"/>
        <v>0</v>
      </c>
    </row>
    <row r="238" spans="1:15" x14ac:dyDescent="0.25">
      <c r="A238" s="83" t="str">
        <f>'ENIGHUR Consumption items'!H239</f>
        <v>01.1.7.102</v>
      </c>
      <c r="B238" s="116">
        <f>_xlfn.NUMBERVALUE(VLOOKUP(A238,'ENIGHUR Consumption items'!$H$2:$I$703,2,))</f>
        <v>117102</v>
      </c>
      <c r="C238" s="83" t="str">
        <f>'ENIGHUR Consumption items'!J239</f>
        <v>Chochos</v>
      </c>
      <c r="D238" s="124">
        <v>24</v>
      </c>
      <c r="E238" s="91" t="str">
        <f>IFERROR(VLOOKUP(D238,'symmetric IOT 245 2012'!$C$6:$D$276,2,FALSE),"")</f>
        <v>Arveja fresca o seca</v>
      </c>
      <c r="H238" s="77">
        <f>INDEX('Dictionary Categories'!$A$2:$A$30,MATCH(I238,'Dictionary Categories'!$B$2:$B$30,0))</f>
        <v>1</v>
      </c>
      <c r="I238" s="2" t="s">
        <v>2470</v>
      </c>
      <c r="J238" s="2">
        <f>INDEX('Dictionary Subcategories'!$A$2:$A$70,MATCH(K238,'Dictionary Subcategories'!$B$2:$B$70,0))</f>
        <v>7</v>
      </c>
      <c r="K238" s="2" t="s">
        <v>1232</v>
      </c>
      <c r="L238" s="147"/>
      <c r="M238" s="77">
        <v>236</v>
      </c>
      <c r="O238" s="77">
        <f t="shared" si="3"/>
        <v>0</v>
      </c>
    </row>
    <row r="239" spans="1:15" x14ac:dyDescent="0.25">
      <c r="A239" s="83" t="str">
        <f>'ENIGHUR Consumption items'!H240</f>
        <v>01.1.7.103</v>
      </c>
      <c r="B239" s="116">
        <f>_xlfn.NUMBERVALUE(VLOOKUP(A239,'ENIGHUR Consumption items'!$H$2:$I$703,2,))</f>
        <v>117103</v>
      </c>
      <c r="C239" s="83" t="str">
        <f>'ENIGHUR Consumption items'!J240</f>
        <v>Fréjol tierno (pelado o en vaina)</v>
      </c>
      <c r="D239" s="124">
        <v>22</v>
      </c>
      <c r="E239" s="91" t="str">
        <f>IFERROR(VLOOKUP(D239,'symmetric IOT 245 2012'!$C$6:$D$276,2,FALSE),"")</f>
        <v>Fréjol fresco o seco</v>
      </c>
      <c r="H239" s="77">
        <f>INDEX('Dictionary Categories'!$A$2:$A$30,MATCH(I239,'Dictionary Categories'!$B$2:$B$30,0))</f>
        <v>1</v>
      </c>
      <c r="I239" s="2" t="s">
        <v>2470</v>
      </c>
      <c r="J239" s="2">
        <f>INDEX('Dictionary Subcategories'!$A$2:$A$70,MATCH(K239,'Dictionary Subcategories'!$B$2:$B$70,0))</f>
        <v>7</v>
      </c>
      <c r="K239" s="2" t="s">
        <v>1232</v>
      </c>
      <c r="L239" s="147"/>
      <c r="M239" s="77">
        <v>237</v>
      </c>
      <c r="O239" s="77">
        <f t="shared" si="3"/>
        <v>0</v>
      </c>
    </row>
    <row r="240" spans="1:15" x14ac:dyDescent="0.25">
      <c r="A240" s="83" t="str">
        <f>'ENIGHUR Consumption items'!H241</f>
        <v>01.1.7.104</v>
      </c>
      <c r="B240" s="116">
        <f>_xlfn.NUMBERVALUE(VLOOKUP(A240,'ENIGHUR Consumption items'!$H$2:$I$703,2,))</f>
        <v>117104</v>
      </c>
      <c r="C240" s="83" t="str">
        <f>'ENIGHUR Consumption items'!J241</f>
        <v>Garbanzos</v>
      </c>
      <c r="D240" s="124">
        <v>22</v>
      </c>
      <c r="E240" s="91" t="str">
        <f>IFERROR(VLOOKUP(D240,'symmetric IOT 245 2012'!$C$6:$D$276,2,FALSE),"")</f>
        <v>Fréjol fresco o seco</v>
      </c>
      <c r="H240" s="77">
        <f>INDEX('Dictionary Categories'!$A$2:$A$30,MATCH(I240,'Dictionary Categories'!$B$2:$B$30,0))</f>
        <v>1</v>
      </c>
      <c r="I240" s="2" t="s">
        <v>2470</v>
      </c>
      <c r="J240" s="2">
        <f>INDEX('Dictionary Subcategories'!$A$2:$A$70,MATCH(K240,'Dictionary Subcategories'!$B$2:$B$70,0))</f>
        <v>7</v>
      </c>
      <c r="K240" s="2" t="s">
        <v>1232</v>
      </c>
      <c r="L240" s="147"/>
      <c r="M240" s="77">
        <v>238</v>
      </c>
      <c r="O240" s="77">
        <f t="shared" si="3"/>
        <v>0</v>
      </c>
    </row>
    <row r="241" spans="1:15" x14ac:dyDescent="0.25">
      <c r="A241" s="83" t="str">
        <f>'ENIGHUR Consumption items'!H242</f>
        <v>01.1.7.105</v>
      </c>
      <c r="B241" s="116">
        <f>_xlfn.NUMBERVALUE(VLOOKUP(A241,'ENIGHUR Consumption items'!$H$2:$I$703,2,))</f>
        <v>117105</v>
      </c>
      <c r="C241" s="83" t="str">
        <f>'ENIGHUR Consumption items'!J242</f>
        <v>Habas tiernas (pelada o en vaina)</v>
      </c>
      <c r="D241" s="124">
        <v>23</v>
      </c>
      <c r="E241" s="91" t="str">
        <f>IFERROR(VLOOKUP(D241,'symmetric IOT 245 2012'!$C$6:$D$276,2,FALSE),"")</f>
        <v>Haba fresca o seca</v>
      </c>
      <c r="H241" s="77">
        <f>INDEX('Dictionary Categories'!$A$2:$A$30,MATCH(I241,'Dictionary Categories'!$B$2:$B$30,0))</f>
        <v>1</v>
      </c>
      <c r="I241" s="2" t="s">
        <v>2470</v>
      </c>
      <c r="J241" s="2">
        <f>INDEX('Dictionary Subcategories'!$A$2:$A$70,MATCH(K241,'Dictionary Subcategories'!$B$2:$B$70,0))</f>
        <v>7</v>
      </c>
      <c r="K241" s="2" t="s">
        <v>1232</v>
      </c>
      <c r="L241" s="147"/>
      <c r="M241" s="77">
        <v>239</v>
      </c>
      <c r="O241" s="77">
        <f t="shared" si="3"/>
        <v>0</v>
      </c>
    </row>
    <row r="242" spans="1:15" x14ac:dyDescent="0.25">
      <c r="A242" s="83" t="str">
        <f>'ENIGHUR Consumption items'!H243</f>
        <v>01.1.7.106</v>
      </c>
      <c r="B242" s="116">
        <f>_xlfn.NUMBERVALUE(VLOOKUP(A242,'ENIGHUR Consumption items'!$H$2:$I$703,2,))</f>
        <v>117106</v>
      </c>
      <c r="C242" s="83" t="str">
        <f>'ENIGHUR Consumption items'!J243</f>
        <v>Habichuelas</v>
      </c>
      <c r="D242" s="124">
        <v>23</v>
      </c>
      <c r="E242" s="91" t="str">
        <f>IFERROR(VLOOKUP(D242,'symmetric IOT 245 2012'!$C$6:$D$276,2,FALSE),"")</f>
        <v>Haba fresca o seca</v>
      </c>
      <c r="H242" s="77">
        <f>INDEX('Dictionary Categories'!$A$2:$A$30,MATCH(I242,'Dictionary Categories'!$B$2:$B$30,0))</f>
        <v>1</v>
      </c>
      <c r="I242" s="2" t="s">
        <v>2470</v>
      </c>
      <c r="J242" s="2">
        <f>INDEX('Dictionary Subcategories'!$A$2:$A$70,MATCH(K242,'Dictionary Subcategories'!$B$2:$B$70,0))</f>
        <v>7</v>
      </c>
      <c r="K242" s="2" t="s">
        <v>1232</v>
      </c>
      <c r="L242" s="147"/>
      <c r="M242" s="77">
        <v>240</v>
      </c>
      <c r="O242" s="77">
        <f t="shared" si="3"/>
        <v>0</v>
      </c>
    </row>
    <row r="243" spans="1:15" x14ac:dyDescent="0.25">
      <c r="A243" s="83" t="str">
        <f>'ENIGHUR Consumption items'!H244</f>
        <v>01.1.7.107</v>
      </c>
      <c r="B243" s="116">
        <f>_xlfn.NUMBERVALUE(VLOOKUP(A243,'ENIGHUR Consumption items'!$H$2:$I$703,2,))</f>
        <v>117107</v>
      </c>
      <c r="C243" s="83" t="str">
        <f>'ENIGHUR Consumption items'!J244</f>
        <v>Maní con o sin cáscara (sin procesar)</v>
      </c>
      <c r="D243" s="124">
        <v>44</v>
      </c>
      <c r="E243" s="91" t="str">
        <f>IFERROR(VLOOKUP(D243,'symmetric IOT 245 2012'!$C$6:$D$276,2,FALSE),"")</f>
        <v>Maní</v>
      </c>
      <c r="H243" s="77">
        <f>INDEX('Dictionary Categories'!$A$2:$A$30,MATCH(I243,'Dictionary Categories'!$B$2:$B$30,0))</f>
        <v>1</v>
      </c>
      <c r="I243" s="2" t="s">
        <v>2470</v>
      </c>
      <c r="J243" s="2">
        <f>INDEX('Dictionary Subcategories'!$A$2:$A$70,MATCH(K243,'Dictionary Subcategories'!$B$2:$B$70,0))</f>
        <v>7</v>
      </c>
      <c r="K243" s="2" t="s">
        <v>1232</v>
      </c>
      <c r="L243" s="147"/>
      <c r="M243" s="77">
        <v>241</v>
      </c>
      <c r="O243" s="77">
        <f t="shared" si="3"/>
        <v>0</v>
      </c>
    </row>
    <row r="244" spans="1:15" x14ac:dyDescent="0.25">
      <c r="A244" s="83" t="str">
        <f>'ENIGHUR Consumption items'!H245</f>
        <v>01.1.7.199</v>
      </c>
      <c r="B244" s="116">
        <f>_xlfn.NUMBERVALUE(VLOOKUP(A244,'ENIGHUR Consumption items'!$H$2:$I$703,2,))</f>
        <v>117199</v>
      </c>
      <c r="C244" s="83" t="str">
        <f>'ENIGHUR Consumption items'!J245</f>
        <v>Otras leguminosas frescas, refrigeradas y congeladas</v>
      </c>
      <c r="D244" s="124">
        <v>23</v>
      </c>
      <c r="E244" s="91" t="str">
        <f>IFERROR(VLOOKUP(D244,'symmetric IOT 245 2012'!$C$6:$D$276,2,FALSE),"")</f>
        <v>Haba fresca o seca</v>
      </c>
      <c r="H244" s="77">
        <f>INDEX('Dictionary Categories'!$A$2:$A$30,MATCH(I244,'Dictionary Categories'!$B$2:$B$30,0))</f>
        <v>1</v>
      </c>
      <c r="I244" s="2" t="s">
        <v>2470</v>
      </c>
      <c r="J244" s="2">
        <f>INDEX('Dictionary Subcategories'!$A$2:$A$70,MATCH(K244,'Dictionary Subcategories'!$B$2:$B$70,0))</f>
        <v>7</v>
      </c>
      <c r="K244" s="2" t="s">
        <v>1232</v>
      </c>
      <c r="L244" s="147"/>
      <c r="M244" s="77">
        <v>242</v>
      </c>
      <c r="O244" s="77">
        <f t="shared" si="3"/>
        <v>0</v>
      </c>
    </row>
    <row r="245" spans="1:15" x14ac:dyDescent="0.25">
      <c r="A245" s="83" t="str">
        <f>'ENIGHUR Consumption items'!H246</f>
        <v>01.1.7.200</v>
      </c>
      <c r="B245" s="116">
        <f>_xlfn.NUMBERVALUE(VLOOKUP(A245,'ENIGHUR Consumption items'!$H$2:$I$703,2,))</f>
        <v>117200</v>
      </c>
      <c r="C245" s="83" t="str">
        <f>'ENIGHUR Consumption items'!J246</f>
        <v>Tubérculos</v>
      </c>
      <c r="D245" s="124">
        <v>18</v>
      </c>
      <c r="E245" s="91" t="str">
        <f>IFERROR(VLOOKUP(D245,'symmetric IOT 245 2012'!$C$6:$D$276,2,FALSE),"")</f>
        <v>Otros tubérculos y raíces</v>
      </c>
      <c r="F245" s="80"/>
      <c r="H245" s="77">
        <f>INDEX('Dictionary Categories'!$A$2:$A$30,MATCH(I245,'Dictionary Categories'!$B$2:$B$30,0))</f>
        <v>1</v>
      </c>
      <c r="I245" s="2" t="s">
        <v>2470</v>
      </c>
      <c r="J245" s="2">
        <f>INDEX('Dictionary Subcategories'!$A$2:$A$70,MATCH(K245,'Dictionary Subcategories'!$B$2:$B$70,0))</f>
        <v>7</v>
      </c>
      <c r="K245" s="2" t="s">
        <v>1232</v>
      </c>
      <c r="L245" s="147"/>
      <c r="M245" s="77">
        <v>243</v>
      </c>
      <c r="O245" s="77">
        <f t="shared" si="3"/>
        <v>0</v>
      </c>
    </row>
    <row r="246" spans="1:15" x14ac:dyDescent="0.25">
      <c r="A246" s="83" t="str">
        <f>'ENIGHUR Consumption items'!H247</f>
        <v>01.1.7.201</v>
      </c>
      <c r="B246" s="116">
        <f>_xlfn.NUMBERVALUE(VLOOKUP(A246,'ENIGHUR Consumption items'!$H$2:$I$703,2,))</f>
        <v>117201</v>
      </c>
      <c r="C246" s="83" t="str">
        <f>'ENIGHUR Consumption items'!J247</f>
        <v>Camote o batata</v>
      </c>
      <c r="D246" s="124">
        <v>18</v>
      </c>
      <c r="E246" s="91" t="str">
        <f>IFERROR(VLOOKUP(D246,'symmetric IOT 245 2012'!$C$6:$D$276,2,FALSE),"")</f>
        <v>Otros tubérculos y raíces</v>
      </c>
      <c r="F246" s="80"/>
      <c r="H246" s="77">
        <f>INDEX('Dictionary Categories'!$A$2:$A$30,MATCH(I246,'Dictionary Categories'!$B$2:$B$30,0))</f>
        <v>1</v>
      </c>
      <c r="I246" s="2" t="s">
        <v>2470</v>
      </c>
      <c r="J246" s="2">
        <f>INDEX('Dictionary Subcategories'!$A$2:$A$70,MATCH(K246,'Dictionary Subcategories'!$B$2:$B$70,0))</f>
        <v>7</v>
      </c>
      <c r="K246" s="2" t="s">
        <v>1232</v>
      </c>
      <c r="L246" s="147"/>
      <c r="M246" s="77">
        <v>244</v>
      </c>
      <c r="O246" s="77">
        <f t="shared" si="3"/>
        <v>0</v>
      </c>
    </row>
    <row r="247" spans="1:15" x14ac:dyDescent="0.25">
      <c r="A247" s="83" t="str">
        <f>'ENIGHUR Consumption items'!H248</f>
        <v>01.1.7.202</v>
      </c>
      <c r="B247" s="116">
        <f>_xlfn.NUMBERVALUE(VLOOKUP(A247,'ENIGHUR Consumption items'!$H$2:$I$703,2,))</f>
        <v>117202</v>
      </c>
      <c r="C247" s="83" t="str">
        <f>'ENIGHUR Consumption items'!J248</f>
        <v>Mashua</v>
      </c>
      <c r="D247" s="124">
        <v>18</v>
      </c>
      <c r="E247" s="91" t="str">
        <f>IFERROR(VLOOKUP(D247,'symmetric IOT 245 2012'!$C$6:$D$276,2,FALSE),"")</f>
        <v>Otros tubérculos y raíces</v>
      </c>
      <c r="H247" s="77">
        <f>INDEX('Dictionary Categories'!$A$2:$A$30,MATCH(I247,'Dictionary Categories'!$B$2:$B$30,0))</f>
        <v>1</v>
      </c>
      <c r="I247" s="2" t="s">
        <v>2470</v>
      </c>
      <c r="J247" s="2">
        <f>INDEX('Dictionary Subcategories'!$A$2:$A$70,MATCH(K247,'Dictionary Subcategories'!$B$2:$B$70,0))</f>
        <v>7</v>
      </c>
      <c r="K247" s="2" t="s">
        <v>1232</v>
      </c>
      <c r="L247" s="147"/>
      <c r="M247" s="77">
        <v>245</v>
      </c>
      <c r="O247" s="77">
        <f t="shared" si="3"/>
        <v>0</v>
      </c>
    </row>
    <row r="248" spans="1:15" x14ac:dyDescent="0.25">
      <c r="A248" s="83" t="str">
        <f>'ENIGHUR Consumption items'!H249</f>
        <v>01.1.7.203</v>
      </c>
      <c r="B248" s="116">
        <f>_xlfn.NUMBERVALUE(VLOOKUP(A248,'ENIGHUR Consumption items'!$H$2:$I$703,2,))</f>
        <v>117203</v>
      </c>
      <c r="C248" s="83" t="str">
        <f>'ENIGHUR Consumption items'!J249</f>
        <v>Oca</v>
      </c>
      <c r="D248" s="124">
        <v>18</v>
      </c>
      <c r="E248" s="91" t="str">
        <f>IFERROR(VLOOKUP(D248,'symmetric IOT 245 2012'!$C$6:$D$276,2,FALSE),"")</f>
        <v>Otros tubérculos y raíces</v>
      </c>
      <c r="H248" s="77">
        <f>INDEX('Dictionary Categories'!$A$2:$A$30,MATCH(I248,'Dictionary Categories'!$B$2:$B$30,0))</f>
        <v>1</v>
      </c>
      <c r="I248" s="2" t="s">
        <v>2470</v>
      </c>
      <c r="J248" s="2">
        <f>INDEX('Dictionary Subcategories'!$A$2:$A$70,MATCH(K248,'Dictionary Subcategories'!$B$2:$B$70,0))</f>
        <v>7</v>
      </c>
      <c r="K248" s="2" t="s">
        <v>1232</v>
      </c>
      <c r="L248" s="147"/>
      <c r="M248" s="77">
        <v>246</v>
      </c>
      <c r="O248" s="77">
        <f t="shared" si="3"/>
        <v>0</v>
      </c>
    </row>
    <row r="249" spans="1:15" x14ac:dyDescent="0.25">
      <c r="A249" s="83" t="str">
        <f>'ENIGHUR Consumption items'!H250</f>
        <v>01.1.7.204</v>
      </c>
      <c r="B249" s="116">
        <f>_xlfn.NUMBERVALUE(VLOOKUP(A249,'ENIGHUR Consumption items'!$H$2:$I$703,2,))</f>
        <v>117204</v>
      </c>
      <c r="C249" s="83" t="str">
        <f>'ENIGHUR Consumption items'!J250</f>
        <v>Papa catalina o blanca 1 2</v>
      </c>
      <c r="D249" s="124">
        <v>16</v>
      </c>
      <c r="E249" s="91" t="str">
        <f>IFERROR(VLOOKUP(D249,'symmetric IOT 245 2012'!$C$6:$D$276,2,FALSE),"")</f>
        <v>Papa</v>
      </c>
      <c r="H249" s="77">
        <f>INDEX('Dictionary Categories'!$A$2:$A$30,MATCH(I249,'Dictionary Categories'!$B$2:$B$30,0))</f>
        <v>1</v>
      </c>
      <c r="I249" s="2" t="s">
        <v>2470</v>
      </c>
      <c r="J249" s="2">
        <f>INDEX('Dictionary Subcategories'!$A$2:$A$70,MATCH(K249,'Dictionary Subcategories'!$B$2:$B$70,0))</f>
        <v>7</v>
      </c>
      <c r="K249" s="2" t="s">
        <v>1232</v>
      </c>
      <c r="L249" s="147"/>
      <c r="M249" s="77">
        <v>247</v>
      </c>
      <c r="O249" s="77">
        <f t="shared" si="3"/>
        <v>0</v>
      </c>
    </row>
    <row r="250" spans="1:15" x14ac:dyDescent="0.25">
      <c r="A250" s="83" t="str">
        <f>'ENIGHUR Consumption items'!H251</f>
        <v>01.1.7.205</v>
      </c>
      <c r="B250" s="116">
        <f>_xlfn.NUMBERVALUE(VLOOKUP(A250,'ENIGHUR Consumption items'!$H$2:$I$703,2,))</f>
        <v>117205</v>
      </c>
      <c r="C250" s="83" t="str">
        <f>'ENIGHUR Consumption items'!J251</f>
        <v>Papa cecilia 1 2</v>
      </c>
      <c r="D250" s="124">
        <v>16</v>
      </c>
      <c r="E250" s="91" t="str">
        <f>IFERROR(VLOOKUP(D250,'symmetric IOT 245 2012'!$C$6:$D$276,2,FALSE),"")</f>
        <v>Papa</v>
      </c>
      <c r="H250" s="77">
        <f>INDEX('Dictionary Categories'!$A$2:$A$30,MATCH(I250,'Dictionary Categories'!$B$2:$B$30,0))</f>
        <v>1</v>
      </c>
      <c r="I250" s="2" t="s">
        <v>2470</v>
      </c>
      <c r="J250" s="2">
        <f>INDEX('Dictionary Subcategories'!$A$2:$A$70,MATCH(K250,'Dictionary Subcategories'!$B$2:$B$70,0))</f>
        <v>7</v>
      </c>
      <c r="K250" s="2" t="s">
        <v>1232</v>
      </c>
      <c r="L250" s="147"/>
      <c r="M250" s="77">
        <v>248</v>
      </c>
      <c r="O250" s="77">
        <f t="shared" si="3"/>
        <v>0</v>
      </c>
    </row>
    <row r="251" spans="1:15" x14ac:dyDescent="0.25">
      <c r="A251" s="83" t="str">
        <f>'ENIGHUR Consumption items'!H252</f>
        <v>01.1.7.206</v>
      </c>
      <c r="B251" s="116">
        <f>_xlfn.NUMBERVALUE(VLOOKUP(A251,'ENIGHUR Consumption items'!$H$2:$I$703,2,))</f>
        <v>117206</v>
      </c>
      <c r="C251" s="83" t="str">
        <f>'ENIGHUR Consumption items'!J252</f>
        <v>Papa chaucha 1 2</v>
      </c>
      <c r="D251" s="124">
        <v>16</v>
      </c>
      <c r="E251" s="91" t="str">
        <f>IFERROR(VLOOKUP(D251,'symmetric IOT 245 2012'!$C$6:$D$276,2,FALSE),"")</f>
        <v>Papa</v>
      </c>
      <c r="H251" s="77">
        <f>INDEX('Dictionary Categories'!$A$2:$A$30,MATCH(I251,'Dictionary Categories'!$B$2:$B$30,0))</f>
        <v>1</v>
      </c>
      <c r="I251" s="2" t="s">
        <v>2470</v>
      </c>
      <c r="J251" s="2">
        <f>INDEX('Dictionary Subcategories'!$A$2:$A$70,MATCH(K251,'Dictionary Subcategories'!$B$2:$B$70,0))</f>
        <v>7</v>
      </c>
      <c r="K251" s="2" t="s">
        <v>1232</v>
      </c>
      <c r="L251" s="147"/>
      <c r="M251" s="77">
        <v>249</v>
      </c>
      <c r="O251" s="77">
        <f t="shared" si="3"/>
        <v>0</v>
      </c>
    </row>
    <row r="252" spans="1:15" x14ac:dyDescent="0.25">
      <c r="A252" s="83" t="str">
        <f>'ENIGHUR Consumption items'!H253</f>
        <v>01.1.7.207</v>
      </c>
      <c r="B252" s="116">
        <f>_xlfn.NUMBERVALUE(VLOOKUP(A252,'ENIGHUR Consumption items'!$H$2:$I$703,2,))</f>
        <v>117207</v>
      </c>
      <c r="C252" s="83" t="str">
        <f>'ENIGHUR Consumption items'!J253</f>
        <v>Papa china 1 2</v>
      </c>
      <c r="D252" s="124">
        <v>16</v>
      </c>
      <c r="E252" s="91" t="str">
        <f>IFERROR(VLOOKUP(D252,'symmetric IOT 245 2012'!$C$6:$D$276,2,FALSE),"")</f>
        <v>Papa</v>
      </c>
      <c r="H252" s="77">
        <f>INDEX('Dictionary Categories'!$A$2:$A$30,MATCH(I252,'Dictionary Categories'!$B$2:$B$30,0))</f>
        <v>1</v>
      </c>
      <c r="I252" s="2" t="s">
        <v>2470</v>
      </c>
      <c r="J252" s="2">
        <f>INDEX('Dictionary Subcategories'!$A$2:$A$70,MATCH(K252,'Dictionary Subcategories'!$B$2:$B$70,0))</f>
        <v>7</v>
      </c>
      <c r="K252" s="2" t="s">
        <v>1232</v>
      </c>
      <c r="L252" s="147"/>
      <c r="M252" s="77">
        <v>250</v>
      </c>
      <c r="O252" s="77">
        <f t="shared" si="3"/>
        <v>0</v>
      </c>
    </row>
    <row r="253" spans="1:15" x14ac:dyDescent="0.25">
      <c r="A253" s="83" t="str">
        <f>'ENIGHUR Consumption items'!H254</f>
        <v>01.1.7.208</v>
      </c>
      <c r="B253" s="116">
        <f>_xlfn.NUMBERVALUE(VLOOKUP(A253,'ENIGHUR Consumption items'!$H$2:$I$703,2,))</f>
        <v>117208</v>
      </c>
      <c r="C253" s="83" t="str">
        <f>'ENIGHUR Consumption items'!J254</f>
        <v>Papa chola 1 2</v>
      </c>
      <c r="D253" s="124">
        <v>16</v>
      </c>
      <c r="E253" s="91" t="str">
        <f>IFERROR(VLOOKUP(D253,'symmetric IOT 245 2012'!$C$6:$D$276,2,FALSE),"")</f>
        <v>Papa</v>
      </c>
      <c r="H253" s="77">
        <f>INDEX('Dictionary Categories'!$A$2:$A$30,MATCH(I253,'Dictionary Categories'!$B$2:$B$30,0))</f>
        <v>1</v>
      </c>
      <c r="I253" s="2" t="s">
        <v>2470</v>
      </c>
      <c r="J253" s="2">
        <f>INDEX('Dictionary Subcategories'!$A$2:$A$70,MATCH(K253,'Dictionary Subcategories'!$B$2:$B$70,0))</f>
        <v>7</v>
      </c>
      <c r="K253" s="2" t="s">
        <v>1232</v>
      </c>
      <c r="L253" s="147"/>
      <c r="M253" s="77">
        <v>251</v>
      </c>
      <c r="O253" s="77">
        <f t="shared" si="3"/>
        <v>0</v>
      </c>
    </row>
    <row r="254" spans="1:15" x14ac:dyDescent="0.25">
      <c r="A254" s="83" t="str">
        <f>'ENIGHUR Consumption items'!H255</f>
        <v>01.1.7.209</v>
      </c>
      <c r="B254" s="116">
        <f>_xlfn.NUMBERVALUE(VLOOKUP(A254,'ENIGHUR Consumption items'!$H$2:$I$703,2,))</f>
        <v>117209</v>
      </c>
      <c r="C254" s="83" t="str">
        <f>'ENIGHUR Consumption items'!J255</f>
        <v>Papa de otra variedad 1 2</v>
      </c>
      <c r="D254" s="124">
        <v>16</v>
      </c>
      <c r="E254" s="91" t="str">
        <f>IFERROR(VLOOKUP(D254,'symmetric IOT 245 2012'!$C$6:$D$276,2,FALSE),"")</f>
        <v>Papa</v>
      </c>
      <c r="H254" s="77">
        <f>INDEX('Dictionary Categories'!$A$2:$A$30,MATCH(I254,'Dictionary Categories'!$B$2:$B$30,0))</f>
        <v>1</v>
      </c>
      <c r="I254" s="2" t="s">
        <v>2470</v>
      </c>
      <c r="J254" s="2">
        <f>INDEX('Dictionary Subcategories'!$A$2:$A$70,MATCH(K254,'Dictionary Subcategories'!$B$2:$B$70,0))</f>
        <v>7</v>
      </c>
      <c r="K254" s="2" t="s">
        <v>1232</v>
      </c>
      <c r="L254" s="147"/>
      <c r="M254" s="77">
        <v>252</v>
      </c>
      <c r="O254" s="77">
        <f t="shared" si="3"/>
        <v>0</v>
      </c>
    </row>
    <row r="255" spans="1:15" x14ac:dyDescent="0.25">
      <c r="A255" s="83" t="str">
        <f>'ENIGHUR Consumption items'!H256</f>
        <v>01.1.7.210</v>
      </c>
      <c r="B255" s="116">
        <f>_xlfn.NUMBERVALUE(VLOOKUP(A255,'ENIGHUR Consumption items'!$H$2:$I$703,2,))</f>
        <v>117210</v>
      </c>
      <c r="C255" s="83" t="str">
        <f>'ENIGHUR Consumption items'!J256</f>
        <v>Papa gabriela 1 2</v>
      </c>
      <c r="D255" s="124">
        <v>16</v>
      </c>
      <c r="E255" s="91" t="str">
        <f>IFERROR(VLOOKUP(D255,'symmetric IOT 245 2012'!$C$6:$D$276,2,FALSE),"")</f>
        <v>Papa</v>
      </c>
      <c r="H255" s="77">
        <f>INDEX('Dictionary Categories'!$A$2:$A$30,MATCH(I255,'Dictionary Categories'!$B$2:$B$30,0))</f>
        <v>1</v>
      </c>
      <c r="I255" s="2" t="s">
        <v>2470</v>
      </c>
      <c r="J255" s="2">
        <f>INDEX('Dictionary Subcategories'!$A$2:$A$70,MATCH(K255,'Dictionary Subcategories'!$B$2:$B$70,0))</f>
        <v>7</v>
      </c>
      <c r="K255" s="2" t="s">
        <v>1232</v>
      </c>
      <c r="L255" s="147"/>
      <c r="M255" s="77">
        <v>253</v>
      </c>
      <c r="O255" s="77">
        <f t="shared" si="3"/>
        <v>0</v>
      </c>
    </row>
    <row r="256" spans="1:15" x14ac:dyDescent="0.25">
      <c r="A256" s="83" t="str">
        <f>'ENIGHUR Consumption items'!H257</f>
        <v>01.1.7.211</v>
      </c>
      <c r="B256" s="116">
        <f>_xlfn.NUMBERVALUE(VLOOKUP(A256,'ENIGHUR Consumption items'!$H$2:$I$703,2,))</f>
        <v>117211</v>
      </c>
      <c r="C256" s="83" t="str">
        <f>'ENIGHUR Consumption items'!J257</f>
        <v>Papa leona 1 2</v>
      </c>
      <c r="D256" s="124">
        <v>16</v>
      </c>
      <c r="E256" s="91" t="str">
        <f>IFERROR(VLOOKUP(D256,'symmetric IOT 245 2012'!$C$6:$D$276,2,FALSE),"")</f>
        <v>Papa</v>
      </c>
      <c r="H256" s="77">
        <f>INDEX('Dictionary Categories'!$A$2:$A$30,MATCH(I256,'Dictionary Categories'!$B$2:$B$30,0))</f>
        <v>1</v>
      </c>
      <c r="I256" s="2" t="s">
        <v>2470</v>
      </c>
      <c r="J256" s="2">
        <f>INDEX('Dictionary Subcategories'!$A$2:$A$70,MATCH(K256,'Dictionary Subcategories'!$B$2:$B$70,0))</f>
        <v>7</v>
      </c>
      <c r="K256" s="2" t="s">
        <v>1232</v>
      </c>
      <c r="L256" s="147"/>
      <c r="M256" s="77">
        <v>254</v>
      </c>
      <c r="O256" s="77">
        <f t="shared" si="3"/>
        <v>0</v>
      </c>
    </row>
    <row r="257" spans="1:15" x14ac:dyDescent="0.25">
      <c r="A257" s="83" t="str">
        <f>'ENIGHUR Consumption items'!H258</f>
        <v>01.1.7.212</v>
      </c>
      <c r="B257" s="116">
        <f>_xlfn.NUMBERVALUE(VLOOKUP(A257,'ENIGHUR Consumption items'!$H$2:$I$703,2,))</f>
        <v>117212</v>
      </c>
      <c r="C257" s="83" t="str">
        <f>'ENIGHUR Consumption items'!J258</f>
        <v>Papa semi chola 1 2</v>
      </c>
      <c r="D257" s="124">
        <v>16</v>
      </c>
      <c r="E257" s="91" t="str">
        <f>IFERROR(VLOOKUP(D257,'symmetric IOT 245 2012'!$C$6:$D$276,2,FALSE),"")</f>
        <v>Papa</v>
      </c>
      <c r="H257" s="77">
        <f>INDEX('Dictionary Categories'!$A$2:$A$30,MATCH(I257,'Dictionary Categories'!$B$2:$B$30,0))</f>
        <v>1</v>
      </c>
      <c r="I257" s="2" t="s">
        <v>2470</v>
      </c>
      <c r="J257" s="2">
        <f>INDEX('Dictionary Subcategories'!$A$2:$A$70,MATCH(K257,'Dictionary Subcategories'!$B$2:$B$70,0))</f>
        <v>7</v>
      </c>
      <c r="K257" s="2" t="s">
        <v>1232</v>
      </c>
      <c r="L257" s="147"/>
      <c r="M257" s="77">
        <v>255</v>
      </c>
      <c r="O257" s="77">
        <f t="shared" si="3"/>
        <v>0</v>
      </c>
    </row>
    <row r="258" spans="1:15" x14ac:dyDescent="0.25">
      <c r="A258" s="83" t="str">
        <f>'ENIGHUR Consumption items'!H259</f>
        <v>01.1.7.213</v>
      </c>
      <c r="B258" s="116">
        <f>_xlfn.NUMBERVALUE(VLOOKUP(A258,'ENIGHUR Consumption items'!$H$2:$I$703,2,))</f>
        <v>117213</v>
      </c>
      <c r="C258" s="83" t="str">
        <f>'ENIGHUR Consumption items'!J259</f>
        <v>Papa uvilla 1 2</v>
      </c>
      <c r="D258" s="124">
        <v>16</v>
      </c>
      <c r="E258" s="91" t="str">
        <f>IFERROR(VLOOKUP(D258,'symmetric IOT 245 2012'!$C$6:$D$276,2,FALSE),"")</f>
        <v>Papa</v>
      </c>
      <c r="H258" s="77">
        <f>INDEX('Dictionary Categories'!$A$2:$A$30,MATCH(I258,'Dictionary Categories'!$B$2:$B$30,0))</f>
        <v>1</v>
      </c>
      <c r="I258" s="2" t="s">
        <v>2470</v>
      </c>
      <c r="J258" s="2">
        <f>INDEX('Dictionary Subcategories'!$A$2:$A$70,MATCH(K258,'Dictionary Subcategories'!$B$2:$B$70,0))</f>
        <v>7</v>
      </c>
      <c r="K258" s="2" t="s">
        <v>1232</v>
      </c>
      <c r="L258" s="147"/>
      <c r="M258" s="77">
        <v>256</v>
      </c>
      <c r="O258" s="77">
        <f t="shared" si="3"/>
        <v>0</v>
      </c>
    </row>
    <row r="259" spans="1:15" x14ac:dyDescent="0.25">
      <c r="A259" s="83" t="str">
        <f>'ENIGHUR Consumption items'!H260</f>
        <v>01.1.7.214</v>
      </c>
      <c r="B259" s="116">
        <f>_xlfn.NUMBERVALUE(VLOOKUP(A259,'ENIGHUR Consumption items'!$H$2:$I$703,2,))</f>
        <v>117214</v>
      </c>
      <c r="C259" s="83" t="str">
        <f>'ENIGHUR Consumption items'!J260</f>
        <v>Yuca</v>
      </c>
      <c r="D259" s="124">
        <v>17</v>
      </c>
      <c r="E259" s="91" t="str">
        <f>IFERROR(VLOOKUP(D259,'symmetric IOT 245 2012'!$C$6:$D$276,2,FALSE),"")</f>
        <v>Yuca</v>
      </c>
      <c r="H259" s="77">
        <f>INDEX('Dictionary Categories'!$A$2:$A$30,MATCH(I259,'Dictionary Categories'!$B$2:$B$30,0))</f>
        <v>1</v>
      </c>
      <c r="I259" s="2" t="s">
        <v>2470</v>
      </c>
      <c r="J259" s="2">
        <f>INDEX('Dictionary Subcategories'!$A$2:$A$70,MATCH(K259,'Dictionary Subcategories'!$B$2:$B$70,0))</f>
        <v>7</v>
      </c>
      <c r="K259" s="2" t="s">
        <v>1232</v>
      </c>
      <c r="L259" s="147"/>
      <c r="M259" s="77">
        <v>257</v>
      </c>
      <c r="O259" s="77">
        <f t="shared" si="3"/>
        <v>0</v>
      </c>
    </row>
    <row r="260" spans="1:15" x14ac:dyDescent="0.25">
      <c r="A260" s="83" t="str">
        <f>'ENIGHUR Consumption items'!H261</f>
        <v>01.1.7.299</v>
      </c>
      <c r="B260" s="116">
        <f>_xlfn.NUMBERVALUE(VLOOKUP(A260,'ENIGHUR Consumption items'!$H$2:$I$703,2,))</f>
        <v>117299</v>
      </c>
      <c r="C260" s="83" t="str">
        <f>'ENIGHUR Consumption items'!J261</f>
        <v>Otras tubérculos</v>
      </c>
      <c r="D260" s="124">
        <v>18</v>
      </c>
      <c r="E260" s="91" t="str">
        <f>IFERROR(VLOOKUP(D260,'symmetric IOT 245 2012'!$C$6:$D$276,2,FALSE),"")</f>
        <v>Otros tubérculos y raíces</v>
      </c>
      <c r="H260" s="77">
        <f>INDEX('Dictionary Categories'!$A$2:$A$30,MATCH(I260,'Dictionary Categories'!$B$2:$B$30,0))</f>
        <v>1</v>
      </c>
      <c r="I260" s="2" t="s">
        <v>2470</v>
      </c>
      <c r="J260" s="2">
        <f>INDEX('Dictionary Subcategories'!$A$2:$A$70,MATCH(K260,'Dictionary Subcategories'!$B$2:$B$70,0))</f>
        <v>7</v>
      </c>
      <c r="K260" s="2" t="s">
        <v>1232</v>
      </c>
      <c r="L260" s="147"/>
      <c r="M260" s="77">
        <v>258</v>
      </c>
      <c r="O260" s="77">
        <f t="shared" ref="O260:O323" si="4">IF(LEFT(RIGHT(A260,2),1)=".",1,0)</f>
        <v>0</v>
      </c>
    </row>
    <row r="261" spans="1:15" x14ac:dyDescent="0.25">
      <c r="A261" s="83" t="str">
        <f>'ENIGHUR Consumption items'!H262</f>
        <v>01.1.7.300</v>
      </c>
      <c r="B261" s="116">
        <f>_xlfn.NUMBERVALUE(VLOOKUP(A261,'ENIGHUR Consumption items'!$H$2:$I$703,2,))</f>
        <v>117300</v>
      </c>
      <c r="C261" s="83" t="str">
        <f>'ENIGHUR Consumption items'!J262</f>
        <v xml:space="preserve">Hortalizas verduras / leguminosas secos y en conserva </v>
      </c>
      <c r="D261" s="124">
        <v>29</v>
      </c>
      <c r="E261" s="91" t="str">
        <f>IFERROR(VLOOKUP(D261,'symmetric IOT 245 2012'!$C$6:$D$276,2,FALSE),"")</f>
        <v>Otros vegetales y melones n.c.p.</v>
      </c>
      <c r="F261" s="80"/>
      <c r="H261" s="77">
        <f>INDEX('Dictionary Categories'!$A$2:$A$30,MATCH(I261,'Dictionary Categories'!$B$2:$B$30,0))</f>
        <v>1</v>
      </c>
      <c r="I261" s="2" t="s">
        <v>2470</v>
      </c>
      <c r="J261" s="2">
        <f>INDEX('Dictionary Subcategories'!$A$2:$A$70,MATCH(K261,'Dictionary Subcategories'!$B$2:$B$70,0))</f>
        <v>7</v>
      </c>
      <c r="K261" s="2" t="s">
        <v>1232</v>
      </c>
      <c r="L261" s="147"/>
      <c r="M261" s="77">
        <v>259</v>
      </c>
      <c r="O261" s="77">
        <f t="shared" si="4"/>
        <v>0</v>
      </c>
    </row>
    <row r="262" spans="1:15" x14ac:dyDescent="0.25">
      <c r="A262" s="83" t="str">
        <f>'ENIGHUR Consumption items'!H263</f>
        <v>01.1.7.301</v>
      </c>
      <c r="B262" s="116">
        <f>_xlfn.NUMBERVALUE(VLOOKUP(A262,'ENIGHUR Consumption items'!$H$2:$I$703,2,))</f>
        <v>117301</v>
      </c>
      <c r="C262" s="83" t="str">
        <f>'ENIGHUR Consumption items'!J263</f>
        <v>Aceitunas</v>
      </c>
      <c r="D262" s="124">
        <v>29</v>
      </c>
      <c r="E262" s="91" t="str">
        <f>IFERROR(VLOOKUP(D262,'symmetric IOT 245 2012'!$C$6:$D$276,2,FALSE),"")</f>
        <v>Otros vegetales y melones n.c.p.</v>
      </c>
      <c r="H262" s="77">
        <f>INDEX('Dictionary Categories'!$A$2:$A$30,MATCH(I262,'Dictionary Categories'!$B$2:$B$30,0))</f>
        <v>1</v>
      </c>
      <c r="I262" s="2" t="s">
        <v>2470</v>
      </c>
      <c r="J262" s="2">
        <f>INDEX('Dictionary Subcategories'!$A$2:$A$70,MATCH(K262,'Dictionary Subcategories'!$B$2:$B$70,0))</f>
        <v>7</v>
      </c>
      <c r="K262" s="2" t="s">
        <v>1232</v>
      </c>
      <c r="L262" s="147"/>
      <c r="M262" s="77">
        <v>260</v>
      </c>
      <c r="O262" s="77">
        <f t="shared" si="4"/>
        <v>0</v>
      </c>
    </row>
    <row r="263" spans="1:15" x14ac:dyDescent="0.25">
      <c r="A263" s="83" t="str">
        <f>'ENIGHUR Consumption items'!H264</f>
        <v>01.1.7.302</v>
      </c>
      <c r="B263" s="116">
        <f>_xlfn.NUMBERVALUE(VLOOKUP(A263,'ENIGHUR Consumption items'!$H$2:$I$703,2,))</f>
        <v>117302</v>
      </c>
      <c r="C263" s="83" t="str">
        <f>'ENIGHUR Consumption items'!J264</f>
        <v>Alcaparras</v>
      </c>
      <c r="D263" s="124">
        <v>29</v>
      </c>
      <c r="E263" s="91" t="str">
        <f>IFERROR(VLOOKUP(D263,'symmetric IOT 245 2012'!$C$6:$D$276,2,FALSE),"")</f>
        <v>Otros vegetales y melones n.c.p.</v>
      </c>
      <c r="H263" s="77">
        <f>INDEX('Dictionary Categories'!$A$2:$A$30,MATCH(I263,'Dictionary Categories'!$B$2:$B$30,0))</f>
        <v>1</v>
      </c>
      <c r="I263" s="2" t="s">
        <v>2470</v>
      </c>
      <c r="J263" s="2">
        <f>INDEX('Dictionary Subcategories'!$A$2:$A$70,MATCH(K263,'Dictionary Subcategories'!$B$2:$B$70,0))</f>
        <v>7</v>
      </c>
      <c r="K263" s="2" t="s">
        <v>1232</v>
      </c>
      <c r="L263" s="147"/>
      <c r="M263" s="77">
        <v>261</v>
      </c>
      <c r="O263" s="77">
        <f t="shared" si="4"/>
        <v>0</v>
      </c>
    </row>
    <row r="264" spans="1:15" x14ac:dyDescent="0.25">
      <c r="A264" s="83" t="str">
        <f>'ENIGHUR Consumption items'!H265</f>
        <v>01.1.7.303</v>
      </c>
      <c r="B264" s="116">
        <f>_xlfn.NUMBERVALUE(VLOOKUP(A264,'ENIGHUR Consumption items'!$H$2:$I$703,2,))</f>
        <v>117303</v>
      </c>
      <c r="C264" s="83" t="str">
        <f>'ENIGHUR Consumption items'!J265</f>
        <v>Arveja en conserva</v>
      </c>
      <c r="D264" s="124">
        <v>24</v>
      </c>
      <c r="E264" s="91" t="str">
        <f>IFERROR(VLOOKUP(D264,'symmetric IOT 245 2012'!$C$6:$D$276,2,FALSE),"")</f>
        <v>Arveja fresca o seca</v>
      </c>
      <c r="H264" s="77">
        <f>INDEX('Dictionary Categories'!$A$2:$A$30,MATCH(I264,'Dictionary Categories'!$B$2:$B$30,0))</f>
        <v>1</v>
      </c>
      <c r="I264" s="2" t="s">
        <v>2470</v>
      </c>
      <c r="J264" s="2">
        <f>INDEX('Dictionary Subcategories'!$A$2:$A$70,MATCH(K264,'Dictionary Subcategories'!$B$2:$B$70,0))</f>
        <v>7</v>
      </c>
      <c r="K264" s="2" t="s">
        <v>1232</v>
      </c>
      <c r="L264" s="147"/>
      <c r="M264" s="77">
        <v>262</v>
      </c>
      <c r="O264" s="77">
        <f t="shared" si="4"/>
        <v>0</v>
      </c>
    </row>
    <row r="265" spans="1:15" x14ac:dyDescent="0.25">
      <c r="A265" s="83" t="str">
        <f>'ENIGHUR Consumption items'!H266</f>
        <v>01.1.7.304</v>
      </c>
      <c r="B265" s="116">
        <f>_xlfn.NUMBERVALUE(VLOOKUP(A265,'ENIGHUR Consumption items'!$H$2:$I$703,2,))</f>
        <v>117304</v>
      </c>
      <c r="C265" s="83" t="str">
        <f>'ENIGHUR Consumption items'!J266</f>
        <v>Arvejas secas</v>
      </c>
      <c r="D265" s="124">
        <v>24</v>
      </c>
      <c r="E265" s="91" t="str">
        <f>IFERROR(VLOOKUP(D265,'symmetric IOT 245 2012'!$C$6:$D$276,2,FALSE),"")</f>
        <v>Arveja fresca o seca</v>
      </c>
      <c r="H265" s="77">
        <f>INDEX('Dictionary Categories'!$A$2:$A$30,MATCH(I265,'Dictionary Categories'!$B$2:$B$30,0))</f>
        <v>1</v>
      </c>
      <c r="I265" s="2" t="s">
        <v>2470</v>
      </c>
      <c r="J265" s="2">
        <f>INDEX('Dictionary Subcategories'!$A$2:$A$70,MATCH(K265,'Dictionary Subcategories'!$B$2:$B$70,0))</f>
        <v>7</v>
      </c>
      <c r="K265" s="2" t="s">
        <v>1232</v>
      </c>
      <c r="L265" s="147"/>
      <c r="M265" s="77">
        <v>263</v>
      </c>
      <c r="O265" s="77">
        <f t="shared" si="4"/>
        <v>0</v>
      </c>
    </row>
    <row r="266" spans="1:15" x14ac:dyDescent="0.25">
      <c r="A266" s="83" t="str">
        <f>'ENIGHUR Consumption items'!H267</f>
        <v>01.1.7.305</v>
      </c>
      <c r="B266" s="116">
        <f>_xlfn.NUMBERVALUE(VLOOKUP(A266,'ENIGHUR Consumption items'!$H$2:$I$703,2,))</f>
        <v>117305</v>
      </c>
      <c r="C266" s="83" t="str">
        <f>'ENIGHUR Consumption items'!J267</f>
        <v>Cebollitas encurtidas</v>
      </c>
      <c r="D266" s="124">
        <v>26</v>
      </c>
      <c r="E266" s="91" t="str">
        <f>IFERROR(VLOOKUP(D266,'symmetric IOT 245 2012'!$C$6:$D$276,2,FALSE),"")</f>
        <v>Cebolla blanca y colorada</v>
      </c>
      <c r="H266" s="77">
        <f>INDEX('Dictionary Categories'!$A$2:$A$30,MATCH(I266,'Dictionary Categories'!$B$2:$B$30,0))</f>
        <v>1</v>
      </c>
      <c r="I266" s="2" t="s">
        <v>2470</v>
      </c>
      <c r="J266" s="2">
        <f>INDEX('Dictionary Subcategories'!$A$2:$A$70,MATCH(K266,'Dictionary Subcategories'!$B$2:$B$70,0))</f>
        <v>7</v>
      </c>
      <c r="K266" s="2" t="s">
        <v>1232</v>
      </c>
      <c r="L266" s="147"/>
      <c r="M266" s="77">
        <v>264</v>
      </c>
      <c r="O266" s="77">
        <f t="shared" si="4"/>
        <v>0</v>
      </c>
    </row>
    <row r="267" spans="1:15" x14ac:dyDescent="0.25">
      <c r="A267" s="83" t="str">
        <f>'ENIGHUR Consumption items'!H268</f>
        <v>01.1.7.306</v>
      </c>
      <c r="B267" s="116">
        <f>_xlfn.NUMBERVALUE(VLOOKUP(A267,'ENIGHUR Consumption items'!$H$2:$I$703,2,))</f>
        <v>117306</v>
      </c>
      <c r="C267" s="83" t="str">
        <f>'ENIGHUR Consumption items'!J268</f>
        <v>Choclo enlatado</v>
      </c>
      <c r="D267" s="124">
        <v>29</v>
      </c>
      <c r="E267" s="91" t="str">
        <f>IFERROR(VLOOKUP(D267,'symmetric IOT 245 2012'!$C$6:$D$276,2,FALSE),"")</f>
        <v>Otros vegetales y melones n.c.p.</v>
      </c>
      <c r="H267" s="77">
        <f>INDEX('Dictionary Categories'!$A$2:$A$30,MATCH(I267,'Dictionary Categories'!$B$2:$B$30,0))</f>
        <v>1</v>
      </c>
      <c r="I267" s="2" t="s">
        <v>2470</v>
      </c>
      <c r="J267" s="2">
        <f>INDEX('Dictionary Subcategories'!$A$2:$A$70,MATCH(K267,'Dictionary Subcategories'!$B$2:$B$70,0))</f>
        <v>7</v>
      </c>
      <c r="K267" s="2" t="s">
        <v>1232</v>
      </c>
      <c r="L267" s="147"/>
      <c r="M267" s="77">
        <v>265</v>
      </c>
      <c r="O267" s="77">
        <f t="shared" si="4"/>
        <v>0</v>
      </c>
    </row>
    <row r="268" spans="1:15" x14ac:dyDescent="0.25">
      <c r="A268" s="83" t="str">
        <f>'ENIGHUR Consumption items'!H269</f>
        <v>01.1.7.307</v>
      </c>
      <c r="B268" s="116">
        <f>_xlfn.NUMBERVALUE(VLOOKUP(A268,'ENIGHUR Consumption items'!$H$2:$I$703,2,))</f>
        <v>117307</v>
      </c>
      <c r="C268" s="83" t="str">
        <f>'ENIGHUR Consumption items'!J269</f>
        <v>Encurtido (varios vegetales en vinagre)</v>
      </c>
      <c r="D268" s="124">
        <v>29</v>
      </c>
      <c r="E268" s="91" t="str">
        <f>IFERROR(VLOOKUP(D268,'symmetric IOT 245 2012'!$C$6:$D$276,2,FALSE),"")</f>
        <v>Otros vegetales y melones n.c.p.</v>
      </c>
      <c r="H268" s="77">
        <f>INDEX('Dictionary Categories'!$A$2:$A$30,MATCH(I268,'Dictionary Categories'!$B$2:$B$30,0))</f>
        <v>1</v>
      </c>
      <c r="I268" s="2" t="s">
        <v>2470</v>
      </c>
      <c r="J268" s="2">
        <f>INDEX('Dictionary Subcategories'!$A$2:$A$70,MATCH(K268,'Dictionary Subcategories'!$B$2:$B$70,0))</f>
        <v>7</v>
      </c>
      <c r="K268" s="2" t="s">
        <v>1232</v>
      </c>
      <c r="L268" s="147"/>
      <c r="M268" s="77">
        <v>266</v>
      </c>
      <c r="O268" s="77">
        <f t="shared" si="4"/>
        <v>0</v>
      </c>
    </row>
    <row r="269" spans="1:15" x14ac:dyDescent="0.25">
      <c r="A269" s="83" t="str">
        <f>'ENIGHUR Consumption items'!H270</f>
        <v>01.1.7.308</v>
      </c>
      <c r="B269" s="116">
        <f>_xlfn.NUMBERVALUE(VLOOKUP(A269,'ENIGHUR Consumption items'!$H$2:$I$703,2,))</f>
        <v>117308</v>
      </c>
      <c r="C269" s="83" t="str">
        <f>'ENIGHUR Consumption items'!J270</f>
        <v>Espárragos en conserva</v>
      </c>
      <c r="D269" s="124">
        <v>29</v>
      </c>
      <c r="E269" s="91" t="str">
        <f>IFERROR(VLOOKUP(D269,'symmetric IOT 245 2012'!$C$6:$D$276,2,FALSE),"")</f>
        <v>Otros vegetales y melones n.c.p.</v>
      </c>
      <c r="H269" s="77">
        <f>INDEX('Dictionary Categories'!$A$2:$A$30,MATCH(I269,'Dictionary Categories'!$B$2:$B$30,0))</f>
        <v>1</v>
      </c>
      <c r="I269" s="2" t="s">
        <v>2470</v>
      </c>
      <c r="J269" s="2">
        <f>INDEX('Dictionary Subcategories'!$A$2:$A$70,MATCH(K269,'Dictionary Subcategories'!$B$2:$B$70,0))</f>
        <v>7</v>
      </c>
      <c r="K269" s="2" t="s">
        <v>1232</v>
      </c>
      <c r="L269" s="147"/>
      <c r="M269" s="77">
        <v>267</v>
      </c>
      <c r="O269" s="77">
        <f t="shared" si="4"/>
        <v>0</v>
      </c>
    </row>
    <row r="270" spans="1:15" x14ac:dyDescent="0.25">
      <c r="A270" s="83" t="str">
        <f>'ENIGHUR Consumption items'!H271</f>
        <v>01.1.7.309</v>
      </c>
      <c r="B270" s="116">
        <f>_xlfn.NUMBERVALUE(VLOOKUP(A270,'ENIGHUR Consumption items'!$H$2:$I$703,2,))</f>
        <v>117309</v>
      </c>
      <c r="C270" s="83" t="str">
        <f>'ENIGHUR Consumption items'!J271</f>
        <v>Fréjol en conserva</v>
      </c>
      <c r="D270" s="124">
        <v>22</v>
      </c>
      <c r="E270" s="91" t="str">
        <f>IFERROR(VLOOKUP(D270,'symmetric IOT 245 2012'!$C$6:$D$276,2,FALSE),"")</f>
        <v>Fréjol fresco o seco</v>
      </c>
      <c r="H270" s="77">
        <f>INDEX('Dictionary Categories'!$A$2:$A$30,MATCH(I270,'Dictionary Categories'!$B$2:$B$30,0))</f>
        <v>1</v>
      </c>
      <c r="I270" s="2" t="s">
        <v>2470</v>
      </c>
      <c r="J270" s="2">
        <f>INDEX('Dictionary Subcategories'!$A$2:$A$70,MATCH(K270,'Dictionary Subcategories'!$B$2:$B$70,0))</f>
        <v>7</v>
      </c>
      <c r="K270" s="2" t="s">
        <v>1232</v>
      </c>
      <c r="L270" s="147"/>
      <c r="M270" s="77">
        <v>268</v>
      </c>
      <c r="O270" s="77">
        <f t="shared" si="4"/>
        <v>0</v>
      </c>
    </row>
    <row r="271" spans="1:15" x14ac:dyDescent="0.25">
      <c r="A271" s="83" t="str">
        <f>'ENIGHUR Consumption items'!H272</f>
        <v>01.1.7.310</v>
      </c>
      <c r="B271" s="116">
        <f>_xlfn.NUMBERVALUE(VLOOKUP(A271,'ENIGHUR Consumption items'!$H$2:$I$703,2,))</f>
        <v>117310</v>
      </c>
      <c r="C271" s="83" t="str">
        <f>'ENIGHUR Consumption items'!J272</f>
        <v>Fréjol seco (porotos)</v>
      </c>
      <c r="D271" s="124">
        <v>22</v>
      </c>
      <c r="E271" s="91" t="str">
        <f>IFERROR(VLOOKUP(D271,'symmetric IOT 245 2012'!$C$6:$D$276,2,FALSE),"")</f>
        <v>Fréjol fresco o seco</v>
      </c>
      <c r="H271" s="77">
        <f>INDEX('Dictionary Categories'!$A$2:$A$30,MATCH(I271,'Dictionary Categories'!$B$2:$B$30,0))</f>
        <v>1</v>
      </c>
      <c r="I271" s="2" t="s">
        <v>2470</v>
      </c>
      <c r="J271" s="2">
        <f>INDEX('Dictionary Subcategories'!$A$2:$A$70,MATCH(K271,'Dictionary Subcategories'!$B$2:$B$70,0))</f>
        <v>7</v>
      </c>
      <c r="K271" s="2" t="s">
        <v>1232</v>
      </c>
      <c r="L271" s="147"/>
      <c r="M271" s="77">
        <v>269</v>
      </c>
      <c r="O271" s="77">
        <f t="shared" si="4"/>
        <v>0</v>
      </c>
    </row>
    <row r="272" spans="1:15" x14ac:dyDescent="0.25">
      <c r="A272" s="83" t="str">
        <f>'ENIGHUR Consumption items'!H273</f>
        <v>01.1.7.311</v>
      </c>
      <c r="B272" s="116">
        <f>_xlfn.NUMBERVALUE(VLOOKUP(A272,'ENIGHUR Consumption items'!$H$2:$I$703,2,))</f>
        <v>117311</v>
      </c>
      <c r="C272" s="83" t="str">
        <f>'ENIGHUR Consumption items'!J273</f>
        <v>Garbanzo seco</v>
      </c>
      <c r="D272" s="124">
        <v>29</v>
      </c>
      <c r="E272" s="91" t="str">
        <f>IFERROR(VLOOKUP(D272,'symmetric IOT 245 2012'!$C$6:$D$276,2,FALSE),"")</f>
        <v>Otros vegetales y melones n.c.p.</v>
      </c>
      <c r="H272" s="77">
        <f>INDEX('Dictionary Categories'!$A$2:$A$30,MATCH(I272,'Dictionary Categories'!$B$2:$B$30,0))</f>
        <v>1</v>
      </c>
      <c r="I272" s="2" t="s">
        <v>2470</v>
      </c>
      <c r="J272" s="2">
        <f>INDEX('Dictionary Subcategories'!$A$2:$A$70,MATCH(K272,'Dictionary Subcategories'!$B$2:$B$70,0))</f>
        <v>7</v>
      </c>
      <c r="K272" s="2" t="s">
        <v>1232</v>
      </c>
      <c r="L272" s="147"/>
      <c r="M272" s="77">
        <v>270</v>
      </c>
      <c r="O272" s="77">
        <f t="shared" si="4"/>
        <v>0</v>
      </c>
    </row>
    <row r="273" spans="1:15" x14ac:dyDescent="0.25">
      <c r="A273" s="83" t="str">
        <f>'ENIGHUR Consumption items'!H274</f>
        <v>01.1.7.312</v>
      </c>
      <c r="B273" s="116">
        <f>_xlfn.NUMBERVALUE(VLOOKUP(A273,'ENIGHUR Consumption items'!$H$2:$I$703,2,))</f>
        <v>117312</v>
      </c>
      <c r="C273" s="83" t="str">
        <f>'ENIGHUR Consumption items'!J274</f>
        <v>Garbanzos enlatados</v>
      </c>
      <c r="D273" s="124">
        <v>29</v>
      </c>
      <c r="E273" s="91" t="str">
        <f>IFERROR(VLOOKUP(D273,'symmetric IOT 245 2012'!$C$6:$D$276,2,FALSE),"")</f>
        <v>Otros vegetales y melones n.c.p.</v>
      </c>
      <c r="H273" s="77">
        <f>INDEX('Dictionary Categories'!$A$2:$A$30,MATCH(I273,'Dictionary Categories'!$B$2:$B$30,0))</f>
        <v>1</v>
      </c>
      <c r="I273" s="2" t="s">
        <v>2470</v>
      </c>
      <c r="J273" s="2">
        <f>INDEX('Dictionary Subcategories'!$A$2:$A$70,MATCH(K273,'Dictionary Subcategories'!$B$2:$B$70,0))</f>
        <v>7</v>
      </c>
      <c r="K273" s="2" t="s">
        <v>1232</v>
      </c>
      <c r="L273" s="147"/>
      <c r="M273" s="77">
        <v>271</v>
      </c>
      <c r="O273" s="77">
        <f t="shared" si="4"/>
        <v>0</v>
      </c>
    </row>
    <row r="274" spans="1:15" x14ac:dyDescent="0.25">
      <c r="A274" s="83" t="str">
        <f>'ENIGHUR Consumption items'!H275</f>
        <v>01.1.7.313</v>
      </c>
      <c r="B274" s="116">
        <f>_xlfn.NUMBERVALUE(VLOOKUP(A274,'ENIGHUR Consumption items'!$H$2:$I$703,2,))</f>
        <v>117313</v>
      </c>
      <c r="C274" s="83" t="str">
        <f>'ENIGHUR Consumption items'!J275</f>
        <v>Habas enlatadas</v>
      </c>
      <c r="D274" s="124">
        <v>23</v>
      </c>
      <c r="E274" s="91" t="str">
        <f>IFERROR(VLOOKUP(D274,'symmetric IOT 245 2012'!$C$6:$D$276,2,FALSE),"")</f>
        <v>Haba fresca o seca</v>
      </c>
      <c r="H274" s="77">
        <f>INDEX('Dictionary Categories'!$A$2:$A$30,MATCH(I274,'Dictionary Categories'!$B$2:$B$30,0))</f>
        <v>1</v>
      </c>
      <c r="I274" s="2" t="s">
        <v>2470</v>
      </c>
      <c r="J274" s="2">
        <f>INDEX('Dictionary Subcategories'!$A$2:$A$70,MATCH(K274,'Dictionary Subcategories'!$B$2:$B$70,0))</f>
        <v>7</v>
      </c>
      <c r="K274" s="2" t="s">
        <v>1232</v>
      </c>
      <c r="L274" s="147"/>
      <c r="M274" s="77">
        <v>272</v>
      </c>
      <c r="O274" s="77">
        <f t="shared" si="4"/>
        <v>0</v>
      </c>
    </row>
    <row r="275" spans="1:15" x14ac:dyDescent="0.25">
      <c r="A275" s="83" t="str">
        <f>'ENIGHUR Consumption items'!H276</f>
        <v>01.1.7.314</v>
      </c>
      <c r="B275" s="116">
        <f>_xlfn.NUMBERVALUE(VLOOKUP(A275,'ENIGHUR Consumption items'!$H$2:$I$703,2,))</f>
        <v>117314</v>
      </c>
      <c r="C275" s="83" t="str">
        <f>'ENIGHUR Consumption items'!J276</f>
        <v>Habas secas</v>
      </c>
      <c r="D275" s="124">
        <v>23</v>
      </c>
      <c r="E275" s="91" t="str">
        <f>IFERROR(VLOOKUP(D275,'symmetric IOT 245 2012'!$C$6:$D$276,2,FALSE),"")</f>
        <v>Haba fresca o seca</v>
      </c>
      <c r="H275" s="77">
        <f>INDEX('Dictionary Categories'!$A$2:$A$30,MATCH(I275,'Dictionary Categories'!$B$2:$B$30,0))</f>
        <v>1</v>
      </c>
      <c r="I275" s="2" t="s">
        <v>2470</v>
      </c>
      <c r="J275" s="2">
        <f>INDEX('Dictionary Subcategories'!$A$2:$A$70,MATCH(K275,'Dictionary Subcategories'!$B$2:$B$70,0))</f>
        <v>7</v>
      </c>
      <c r="K275" s="2" t="s">
        <v>1232</v>
      </c>
      <c r="L275" s="147"/>
      <c r="M275" s="77">
        <v>273</v>
      </c>
      <c r="O275" s="77">
        <f t="shared" si="4"/>
        <v>0</v>
      </c>
    </row>
    <row r="276" spans="1:15" x14ac:dyDescent="0.25">
      <c r="A276" s="83" t="str">
        <f>'ENIGHUR Consumption items'!H277</f>
        <v>01.1.7.315</v>
      </c>
      <c r="B276" s="116">
        <f>_xlfn.NUMBERVALUE(VLOOKUP(A276,'ENIGHUR Consumption items'!$H$2:$I$703,2,))</f>
        <v>117315</v>
      </c>
      <c r="C276" s="83" t="str">
        <f>'ENIGHUR Consumption items'!J277</f>
        <v>Harina de arveja</v>
      </c>
      <c r="D276" s="124">
        <v>102</v>
      </c>
      <c r="E276" s="91" t="str">
        <f>IFERROR(VLOOKUP(D276,'symmetric IOT 245 2012'!$C$6:$D$276,2,FALSE),"")</f>
        <v>Otras harinas vegetales, sémolas y otros prod</v>
      </c>
      <c r="H276" s="77">
        <f>INDEX('Dictionary Categories'!$A$2:$A$30,MATCH(I276,'Dictionary Categories'!$B$2:$B$30,0))</f>
        <v>1</v>
      </c>
      <c r="I276" s="2" t="s">
        <v>2470</v>
      </c>
      <c r="J276" s="2">
        <f>INDEX('Dictionary Subcategories'!$A$2:$A$70,MATCH(K276,'Dictionary Subcategories'!$B$2:$B$70,0))</f>
        <v>7</v>
      </c>
      <c r="K276" s="2" t="s">
        <v>1232</v>
      </c>
      <c r="L276" s="147"/>
      <c r="M276" s="77">
        <v>274</v>
      </c>
      <c r="O276" s="77">
        <f t="shared" si="4"/>
        <v>0</v>
      </c>
    </row>
    <row r="277" spans="1:15" x14ac:dyDescent="0.25">
      <c r="A277" s="83" t="str">
        <f>'ENIGHUR Consumption items'!H278</f>
        <v>01.1.7.316</v>
      </c>
      <c r="B277" s="116">
        <f>_xlfn.NUMBERVALUE(VLOOKUP(A277,'ENIGHUR Consumption items'!$H$2:$I$703,2,))</f>
        <v>117316</v>
      </c>
      <c r="C277" s="83" t="str">
        <f>'ENIGHUR Consumption items'!J278</f>
        <v>Harina de haba</v>
      </c>
      <c r="D277" s="124">
        <v>102</v>
      </c>
      <c r="E277" s="91" t="str">
        <f>IFERROR(VLOOKUP(D277,'symmetric IOT 245 2012'!$C$6:$D$276,2,FALSE),"")</f>
        <v>Otras harinas vegetales, sémolas y otros prod</v>
      </c>
      <c r="H277" s="77">
        <f>INDEX('Dictionary Categories'!$A$2:$A$30,MATCH(I277,'Dictionary Categories'!$B$2:$B$30,0))</f>
        <v>1</v>
      </c>
      <c r="I277" s="2" t="s">
        <v>2470</v>
      </c>
      <c r="J277" s="2">
        <f>INDEX('Dictionary Subcategories'!$A$2:$A$70,MATCH(K277,'Dictionary Subcategories'!$B$2:$B$70,0))</f>
        <v>7</v>
      </c>
      <c r="K277" s="2" t="s">
        <v>1232</v>
      </c>
      <c r="L277" s="147"/>
      <c r="M277" s="77">
        <v>275</v>
      </c>
      <c r="O277" s="77">
        <f t="shared" si="4"/>
        <v>0</v>
      </c>
    </row>
    <row r="278" spans="1:15" x14ac:dyDescent="0.25">
      <c r="A278" s="83" t="str">
        <f>'ENIGHUR Consumption items'!H279</f>
        <v>01.1.7.317</v>
      </c>
      <c r="B278" s="116">
        <f>_xlfn.NUMBERVALUE(VLOOKUP(A278,'ENIGHUR Consumption items'!$H$2:$I$703,2,))</f>
        <v>117317</v>
      </c>
      <c r="C278" s="83" t="str">
        <f>'ENIGHUR Consumption items'!J279</f>
        <v>Harina de soya</v>
      </c>
      <c r="D278" s="124">
        <v>102</v>
      </c>
      <c r="E278" s="91" t="str">
        <f>IFERROR(VLOOKUP(D278,'symmetric IOT 245 2012'!$C$6:$D$276,2,FALSE),"")</f>
        <v>Otras harinas vegetales, sémolas y otros prod</v>
      </c>
      <c r="H278" s="77">
        <f>INDEX('Dictionary Categories'!$A$2:$A$30,MATCH(I278,'Dictionary Categories'!$B$2:$B$30,0))</f>
        <v>1</v>
      </c>
      <c r="I278" s="2" t="s">
        <v>2470</v>
      </c>
      <c r="J278" s="2">
        <f>INDEX('Dictionary Subcategories'!$A$2:$A$70,MATCH(K278,'Dictionary Subcategories'!$B$2:$B$70,0))</f>
        <v>7</v>
      </c>
      <c r="K278" s="2" t="s">
        <v>1232</v>
      </c>
      <c r="L278" s="147"/>
      <c r="M278" s="77">
        <v>276</v>
      </c>
      <c r="O278" s="77">
        <f t="shared" si="4"/>
        <v>0</v>
      </c>
    </row>
    <row r="279" spans="1:15" x14ac:dyDescent="0.25">
      <c r="A279" s="83" t="str">
        <f>'ENIGHUR Consumption items'!H280</f>
        <v>01.1.7.318</v>
      </c>
      <c r="B279" s="116">
        <f>_xlfn.NUMBERVALUE(VLOOKUP(A279,'ENIGHUR Consumption items'!$H$2:$I$703,2,))</f>
        <v>117318</v>
      </c>
      <c r="C279" s="83" t="str">
        <f>'ENIGHUR Consumption items'!J280</f>
        <v>Hongos en conserva (champiñones)</v>
      </c>
      <c r="D279" s="124">
        <v>29</v>
      </c>
      <c r="E279" s="91" t="str">
        <f>IFERROR(VLOOKUP(D279,'symmetric IOT 245 2012'!$C$6:$D$276,2,FALSE),"")</f>
        <v>Otros vegetales y melones n.c.p.</v>
      </c>
      <c r="H279" s="77">
        <f>INDEX('Dictionary Categories'!$A$2:$A$30,MATCH(I279,'Dictionary Categories'!$B$2:$B$30,0))</f>
        <v>1</v>
      </c>
      <c r="I279" s="2" t="s">
        <v>2470</v>
      </c>
      <c r="J279" s="2">
        <f>INDEX('Dictionary Subcategories'!$A$2:$A$70,MATCH(K279,'Dictionary Subcategories'!$B$2:$B$70,0))</f>
        <v>7</v>
      </c>
      <c r="K279" s="2" t="s">
        <v>1232</v>
      </c>
      <c r="L279" s="147"/>
      <c r="M279" s="77">
        <v>277</v>
      </c>
      <c r="O279" s="77">
        <f t="shared" si="4"/>
        <v>0</v>
      </c>
    </row>
    <row r="280" spans="1:15" x14ac:dyDescent="0.25">
      <c r="A280" s="83" t="str">
        <f>'ENIGHUR Consumption items'!H281</f>
        <v>01.1.7.319</v>
      </c>
      <c r="B280" s="116">
        <f>_xlfn.NUMBERVALUE(VLOOKUP(A280,'ENIGHUR Consumption items'!$H$2:$I$703,2,))</f>
        <v>117319</v>
      </c>
      <c r="C280" s="83" t="str">
        <f>'ENIGHUR Consumption items'!J281</f>
        <v>Hongos secos (champiñones)</v>
      </c>
      <c r="D280" s="124">
        <v>29</v>
      </c>
      <c r="E280" s="91" t="str">
        <f>IFERROR(VLOOKUP(D280,'symmetric IOT 245 2012'!$C$6:$D$276,2,FALSE),"")</f>
        <v>Otros vegetales y melones n.c.p.</v>
      </c>
      <c r="H280" s="77">
        <f>INDEX('Dictionary Categories'!$A$2:$A$30,MATCH(I280,'Dictionary Categories'!$B$2:$B$30,0))</f>
        <v>1</v>
      </c>
      <c r="I280" s="2" t="s">
        <v>2470</v>
      </c>
      <c r="J280" s="2">
        <f>INDEX('Dictionary Subcategories'!$A$2:$A$70,MATCH(K280,'Dictionary Subcategories'!$B$2:$B$70,0))</f>
        <v>7</v>
      </c>
      <c r="K280" s="2" t="s">
        <v>1232</v>
      </c>
      <c r="L280" s="147"/>
      <c r="M280" s="77">
        <v>278</v>
      </c>
      <c r="O280" s="77">
        <f t="shared" si="4"/>
        <v>0</v>
      </c>
    </row>
    <row r="281" spans="1:15" x14ac:dyDescent="0.25">
      <c r="A281" s="83" t="str">
        <f>'ENIGHUR Consumption items'!H282</f>
        <v>01.1.7.320</v>
      </c>
      <c r="B281" s="116">
        <f>_xlfn.NUMBERVALUE(VLOOKUP(A281,'ENIGHUR Consumption items'!$H$2:$I$703,2,))</f>
        <v>117320</v>
      </c>
      <c r="C281" s="83" t="str">
        <f>'ENIGHUR Consumption items'!J282</f>
        <v>Lenteja</v>
      </c>
      <c r="D281" s="124">
        <v>25</v>
      </c>
      <c r="E281" s="91" t="str">
        <f>IFERROR(VLOOKUP(D281,'symmetric IOT 245 2012'!$C$6:$D$276,2,FALSE),"")</f>
        <v>Lenteja</v>
      </c>
      <c r="H281" s="77">
        <f>INDEX('Dictionary Categories'!$A$2:$A$30,MATCH(I281,'Dictionary Categories'!$B$2:$B$30,0))</f>
        <v>1</v>
      </c>
      <c r="I281" s="2" t="s">
        <v>2470</v>
      </c>
      <c r="J281" s="2">
        <f>INDEX('Dictionary Subcategories'!$A$2:$A$70,MATCH(K281,'Dictionary Subcategories'!$B$2:$B$70,0))</f>
        <v>7</v>
      </c>
      <c r="K281" s="2" t="s">
        <v>1232</v>
      </c>
      <c r="L281" s="147"/>
      <c r="M281" s="77">
        <v>279</v>
      </c>
      <c r="O281" s="77">
        <f t="shared" si="4"/>
        <v>0</v>
      </c>
    </row>
    <row r="282" spans="1:15" x14ac:dyDescent="0.25">
      <c r="A282" s="83" t="str">
        <f>'ENIGHUR Consumption items'!H283</f>
        <v>01.1.7.321</v>
      </c>
      <c r="B282" s="116">
        <f>_xlfn.NUMBERVALUE(VLOOKUP(A282,'ENIGHUR Consumption items'!$H$2:$I$703,2,))</f>
        <v>117321</v>
      </c>
      <c r="C282" s="83" t="str">
        <f>'ENIGHUR Consumption items'!J283</f>
        <v>Lenteja en conserva</v>
      </c>
      <c r="D282" s="124">
        <v>29</v>
      </c>
      <c r="E282" s="91" t="str">
        <f>IFERROR(VLOOKUP(D282,'symmetric IOT 245 2012'!$C$6:$D$276,2,FALSE),"")</f>
        <v>Otros vegetales y melones n.c.p.</v>
      </c>
      <c r="H282" s="77">
        <f>INDEX('Dictionary Categories'!$A$2:$A$30,MATCH(I282,'Dictionary Categories'!$B$2:$B$30,0))</f>
        <v>1</v>
      </c>
      <c r="I282" s="2" t="s">
        <v>2470</v>
      </c>
      <c r="J282" s="2">
        <f>INDEX('Dictionary Subcategories'!$A$2:$A$70,MATCH(K282,'Dictionary Subcategories'!$B$2:$B$70,0))</f>
        <v>7</v>
      </c>
      <c r="K282" s="2" t="s">
        <v>1232</v>
      </c>
      <c r="L282" s="147"/>
      <c r="M282" s="77">
        <v>280</v>
      </c>
      <c r="O282" s="77">
        <f t="shared" si="4"/>
        <v>0</v>
      </c>
    </row>
    <row r="283" spans="1:15" x14ac:dyDescent="0.25">
      <c r="A283" s="83" t="str">
        <f>'ENIGHUR Consumption items'!H284</f>
        <v>01.1.7.322</v>
      </c>
      <c r="B283" s="116">
        <f>_xlfn.NUMBERVALUE(VLOOKUP(A283,'ENIGHUR Consumption items'!$H$2:$I$703,2,))</f>
        <v>117322</v>
      </c>
      <c r="C283" s="83" t="str">
        <f>'ENIGHUR Consumption items'!J284</f>
        <v>Menestra de fréjol</v>
      </c>
      <c r="D283" s="124">
        <v>22</v>
      </c>
      <c r="E283" s="91" t="str">
        <f>IFERROR(VLOOKUP(D283,'symmetric IOT 245 2012'!$C$6:$D$276,2,FALSE),"")</f>
        <v>Fréjol fresco o seco</v>
      </c>
      <c r="H283" s="77">
        <f>INDEX('Dictionary Categories'!$A$2:$A$30,MATCH(I283,'Dictionary Categories'!$B$2:$B$30,0))</f>
        <v>1</v>
      </c>
      <c r="I283" s="2" t="s">
        <v>2470</v>
      </c>
      <c r="J283" s="2">
        <f>INDEX('Dictionary Subcategories'!$A$2:$A$70,MATCH(K283,'Dictionary Subcategories'!$B$2:$B$70,0))</f>
        <v>7</v>
      </c>
      <c r="K283" s="2" t="s">
        <v>1232</v>
      </c>
      <c r="L283" s="147"/>
      <c r="M283" s="77">
        <v>281</v>
      </c>
      <c r="O283" s="77">
        <f t="shared" si="4"/>
        <v>0</v>
      </c>
    </row>
    <row r="284" spans="1:15" x14ac:dyDescent="0.25">
      <c r="A284" s="83" t="str">
        <f>'ENIGHUR Consumption items'!H285</f>
        <v>01.1.7.323</v>
      </c>
      <c r="B284" s="116">
        <f>_xlfn.NUMBERVALUE(VLOOKUP(A284,'ENIGHUR Consumption items'!$H$2:$I$703,2,))</f>
        <v>117323</v>
      </c>
      <c r="C284" s="83" t="str">
        <f>'ENIGHUR Consumption items'!J285</f>
        <v>Menestra de lenteja</v>
      </c>
      <c r="D284" s="124">
        <v>25</v>
      </c>
      <c r="E284" s="91" t="str">
        <f>IFERROR(VLOOKUP(D284,'symmetric IOT 245 2012'!$C$6:$D$276,2,FALSE),"")</f>
        <v>Lenteja</v>
      </c>
      <c r="H284" s="77">
        <f>INDEX('Dictionary Categories'!$A$2:$A$30,MATCH(I284,'Dictionary Categories'!$B$2:$B$30,0))</f>
        <v>1</v>
      </c>
      <c r="I284" s="2" t="s">
        <v>2470</v>
      </c>
      <c r="J284" s="2">
        <f>INDEX('Dictionary Subcategories'!$A$2:$A$70,MATCH(K284,'Dictionary Subcategories'!$B$2:$B$70,0))</f>
        <v>7</v>
      </c>
      <c r="K284" s="2" t="s">
        <v>1232</v>
      </c>
      <c r="L284" s="147"/>
      <c r="M284" s="77">
        <v>282</v>
      </c>
      <c r="O284" s="77">
        <f t="shared" si="4"/>
        <v>0</v>
      </c>
    </row>
    <row r="285" spans="1:15" x14ac:dyDescent="0.25">
      <c r="A285" s="83" t="str">
        <f>'ENIGHUR Consumption items'!H286</f>
        <v>01.1.7.324</v>
      </c>
      <c r="B285" s="116">
        <f>_xlfn.NUMBERVALUE(VLOOKUP(A285,'ENIGHUR Consumption items'!$H$2:$I$703,2,))</f>
        <v>117324</v>
      </c>
      <c r="C285" s="83" t="str">
        <f>'ENIGHUR Consumption items'!J286</f>
        <v>Mote cocinado</v>
      </c>
      <c r="D285" s="124">
        <v>29</v>
      </c>
      <c r="E285" s="91" t="str">
        <f>IFERROR(VLOOKUP(D285,'symmetric IOT 245 2012'!$C$6:$D$276,2,FALSE),"")</f>
        <v>Otros vegetales y melones n.c.p.</v>
      </c>
      <c r="H285" s="77">
        <f>INDEX('Dictionary Categories'!$A$2:$A$30,MATCH(I285,'Dictionary Categories'!$B$2:$B$30,0))</f>
        <v>1</v>
      </c>
      <c r="I285" s="2" t="s">
        <v>2470</v>
      </c>
      <c r="J285" s="2">
        <f>INDEX('Dictionary Subcategories'!$A$2:$A$70,MATCH(K285,'Dictionary Subcategories'!$B$2:$B$70,0))</f>
        <v>7</v>
      </c>
      <c r="K285" s="2" t="s">
        <v>1232</v>
      </c>
      <c r="L285" s="147"/>
      <c r="M285" s="77">
        <v>283</v>
      </c>
      <c r="O285" s="77">
        <f t="shared" si="4"/>
        <v>0</v>
      </c>
    </row>
    <row r="286" spans="1:15" x14ac:dyDescent="0.25">
      <c r="A286" s="83" t="str">
        <f>'ENIGHUR Consumption items'!H287</f>
        <v>01.1.7.325</v>
      </c>
      <c r="B286" s="116">
        <f>_xlfn.NUMBERVALUE(VLOOKUP(A286,'ENIGHUR Consumption items'!$H$2:$I$703,2,))</f>
        <v>117325</v>
      </c>
      <c r="C286" s="83" t="str">
        <f>'ENIGHUR Consumption items'!J287</f>
        <v>Pepinillo agridulce</v>
      </c>
      <c r="D286" s="124">
        <v>29</v>
      </c>
      <c r="E286" s="91" t="str">
        <f>IFERROR(VLOOKUP(D286,'symmetric IOT 245 2012'!$C$6:$D$276,2,FALSE),"")</f>
        <v>Otros vegetales y melones n.c.p.</v>
      </c>
      <c r="H286" s="77">
        <f>INDEX('Dictionary Categories'!$A$2:$A$30,MATCH(I286,'Dictionary Categories'!$B$2:$B$30,0))</f>
        <v>1</v>
      </c>
      <c r="I286" s="2" t="s">
        <v>2470</v>
      </c>
      <c r="J286" s="2">
        <f>INDEX('Dictionary Subcategories'!$A$2:$A$70,MATCH(K286,'Dictionary Subcategories'!$B$2:$B$70,0))</f>
        <v>7</v>
      </c>
      <c r="K286" s="2" t="s">
        <v>1232</v>
      </c>
      <c r="L286" s="147"/>
      <c r="M286" s="77">
        <v>284</v>
      </c>
      <c r="O286" s="77">
        <f t="shared" si="4"/>
        <v>0</v>
      </c>
    </row>
    <row r="287" spans="1:15" x14ac:dyDescent="0.25">
      <c r="A287" s="83" t="str">
        <f>'ENIGHUR Consumption items'!H288</f>
        <v>01.1.7.326</v>
      </c>
      <c r="B287" s="116">
        <f>_xlfn.NUMBERVALUE(VLOOKUP(A287,'ENIGHUR Consumption items'!$H$2:$I$703,2,))</f>
        <v>117326</v>
      </c>
      <c r="C287" s="83" t="str">
        <f>'ENIGHUR Consumption items'!J288</f>
        <v>Soya</v>
      </c>
      <c r="D287" s="124">
        <v>43</v>
      </c>
      <c r="E287" s="91" t="str">
        <f>IFERROR(VLOOKUP(D287,'symmetric IOT 245 2012'!$C$6:$D$276,2,FALSE),"")</f>
        <v>Soya</v>
      </c>
      <c r="H287" s="77">
        <f>INDEX('Dictionary Categories'!$A$2:$A$30,MATCH(I287,'Dictionary Categories'!$B$2:$B$30,0))</f>
        <v>1</v>
      </c>
      <c r="I287" s="2" t="s">
        <v>2470</v>
      </c>
      <c r="J287" s="2">
        <f>INDEX('Dictionary Subcategories'!$A$2:$A$70,MATCH(K287,'Dictionary Subcategories'!$B$2:$B$70,0))</f>
        <v>7</v>
      </c>
      <c r="K287" s="2" t="s">
        <v>1232</v>
      </c>
      <c r="L287" s="147"/>
      <c r="M287" s="77">
        <v>285</v>
      </c>
      <c r="O287" s="77">
        <f t="shared" si="4"/>
        <v>0</v>
      </c>
    </row>
    <row r="288" spans="1:15" x14ac:dyDescent="0.25">
      <c r="A288" s="83" t="str">
        <f>'ENIGHUR Consumption items'!H289</f>
        <v>01.1.7.327</v>
      </c>
      <c r="B288" s="116">
        <f>_xlfn.NUMBERVALUE(VLOOKUP(A288,'ENIGHUR Consumption items'!$H$2:$I$703,2,))</f>
        <v>117327</v>
      </c>
      <c r="C288" s="83" t="str">
        <f>'ENIGHUR Consumption items'!J289</f>
        <v>Tomate natural en conserva</v>
      </c>
      <c r="D288" s="124">
        <v>29</v>
      </c>
      <c r="E288" s="91" t="str">
        <f>IFERROR(VLOOKUP(D288,'symmetric IOT 245 2012'!$C$6:$D$276,2,FALSE),"")</f>
        <v>Otros vegetales y melones n.c.p.</v>
      </c>
      <c r="H288" s="77">
        <f>INDEX('Dictionary Categories'!$A$2:$A$30,MATCH(I288,'Dictionary Categories'!$B$2:$B$30,0))</f>
        <v>1</v>
      </c>
      <c r="I288" s="2" t="s">
        <v>2470</v>
      </c>
      <c r="J288" s="2">
        <f>INDEX('Dictionary Subcategories'!$A$2:$A$70,MATCH(K288,'Dictionary Subcategories'!$B$2:$B$70,0))</f>
        <v>7</v>
      </c>
      <c r="K288" s="2" t="s">
        <v>1232</v>
      </c>
      <c r="L288" s="147"/>
      <c r="M288" s="77">
        <v>286</v>
      </c>
      <c r="O288" s="77">
        <f t="shared" si="4"/>
        <v>0</v>
      </c>
    </row>
    <row r="289" spans="1:15" x14ac:dyDescent="0.25">
      <c r="A289" s="83" t="str">
        <f>'ENIGHUR Consumption items'!H290</f>
        <v>01.1.7.328</v>
      </c>
      <c r="B289" s="116">
        <f>_xlfn.NUMBERVALUE(VLOOKUP(A289,'ENIGHUR Consumption items'!$H$2:$I$703,2,))</f>
        <v>117328</v>
      </c>
      <c r="C289" s="83" t="str">
        <f>'ENIGHUR Consumption items'!J290</f>
        <v>Vainitas en conserva</v>
      </c>
      <c r="D289" s="124">
        <v>29</v>
      </c>
      <c r="E289" s="91" t="str">
        <f>IFERROR(VLOOKUP(D289,'symmetric IOT 245 2012'!$C$6:$D$276,2,FALSE),"")</f>
        <v>Otros vegetales y melones n.c.p.</v>
      </c>
      <c r="H289" s="77">
        <f>INDEX('Dictionary Categories'!$A$2:$A$30,MATCH(I289,'Dictionary Categories'!$B$2:$B$30,0))</f>
        <v>1</v>
      </c>
      <c r="I289" s="2" t="s">
        <v>2470</v>
      </c>
      <c r="J289" s="2">
        <f>INDEX('Dictionary Subcategories'!$A$2:$A$70,MATCH(K289,'Dictionary Subcategories'!$B$2:$B$70,0))</f>
        <v>7</v>
      </c>
      <c r="K289" s="2" t="s">
        <v>1232</v>
      </c>
      <c r="L289" s="147"/>
      <c r="M289" s="77">
        <v>287</v>
      </c>
      <c r="O289" s="77">
        <f t="shared" si="4"/>
        <v>0</v>
      </c>
    </row>
    <row r="290" spans="1:15" x14ac:dyDescent="0.25">
      <c r="A290" s="83" t="str">
        <f>'ENIGHUR Consumption items'!H291</f>
        <v>01.1.7.329</v>
      </c>
      <c r="B290" s="116">
        <f>_xlfn.NUMBERVALUE(VLOOKUP(A290,'ENIGHUR Consumption items'!$H$2:$I$703,2,))</f>
        <v>117329</v>
      </c>
      <c r="C290" s="83" t="str">
        <f>'ENIGHUR Consumption items'!J291</f>
        <v>Vegetales mixtos en conserva</v>
      </c>
      <c r="D290" s="124">
        <v>29</v>
      </c>
      <c r="E290" s="91" t="str">
        <f>IFERROR(VLOOKUP(D290,'symmetric IOT 245 2012'!$C$6:$D$276,2,FALSE),"")</f>
        <v>Otros vegetales y melones n.c.p.</v>
      </c>
      <c r="H290" s="77">
        <f>INDEX('Dictionary Categories'!$A$2:$A$30,MATCH(I290,'Dictionary Categories'!$B$2:$B$30,0))</f>
        <v>1</v>
      </c>
      <c r="I290" s="2" t="s">
        <v>2470</v>
      </c>
      <c r="J290" s="2">
        <f>INDEX('Dictionary Subcategories'!$A$2:$A$70,MATCH(K290,'Dictionary Subcategories'!$B$2:$B$70,0))</f>
        <v>7</v>
      </c>
      <c r="K290" s="2" t="s">
        <v>1232</v>
      </c>
      <c r="L290" s="147"/>
      <c r="M290" s="77">
        <v>288</v>
      </c>
      <c r="O290" s="77">
        <f t="shared" si="4"/>
        <v>0</v>
      </c>
    </row>
    <row r="291" spans="1:15" x14ac:dyDescent="0.25">
      <c r="A291" s="83" t="str">
        <f>'ENIGHUR Consumption items'!H292</f>
        <v>01.1.7.330</v>
      </c>
      <c r="B291" s="116">
        <f>_xlfn.NUMBERVALUE(VLOOKUP(A291,'ENIGHUR Consumption items'!$H$2:$I$703,2,))</f>
        <v>117330</v>
      </c>
      <c r="C291" s="83" t="str">
        <f>'ENIGHUR Consumption items'!J292</f>
        <v>Verduras, hortalizas, leguminosas, cocinadas</v>
      </c>
      <c r="D291" s="124">
        <v>29</v>
      </c>
      <c r="E291" s="91" t="str">
        <f>IFERROR(VLOOKUP(D291,'symmetric IOT 245 2012'!$C$6:$D$276,2,FALSE),"")</f>
        <v>Otros vegetales y melones n.c.p.</v>
      </c>
      <c r="H291" s="77">
        <f>INDEX('Dictionary Categories'!$A$2:$A$30,MATCH(I291,'Dictionary Categories'!$B$2:$B$30,0))</f>
        <v>1</v>
      </c>
      <c r="I291" s="2" t="s">
        <v>2470</v>
      </c>
      <c r="J291" s="2">
        <f>INDEX('Dictionary Subcategories'!$A$2:$A$70,MATCH(K291,'Dictionary Subcategories'!$B$2:$B$70,0))</f>
        <v>7</v>
      </c>
      <c r="K291" s="2" t="s">
        <v>1232</v>
      </c>
      <c r="L291" s="147"/>
      <c r="M291" s="77">
        <v>289</v>
      </c>
      <c r="O291" s="77">
        <f t="shared" si="4"/>
        <v>0</v>
      </c>
    </row>
    <row r="292" spans="1:15" x14ac:dyDescent="0.25">
      <c r="A292" s="83" t="str">
        <f>'ENIGHUR Consumption items'!H293</f>
        <v>01.1.7.331</v>
      </c>
      <c r="B292" s="116">
        <f>_xlfn.NUMBERVALUE(VLOOKUP(A292,'ENIGHUR Consumption items'!$H$2:$I$703,2,))</f>
        <v>117331</v>
      </c>
      <c r="C292" s="83" t="str">
        <f>'ENIGHUR Consumption items'!J293</f>
        <v>Zanahorias en conserva</v>
      </c>
      <c r="D292" s="124">
        <v>29</v>
      </c>
      <c r="E292" s="91" t="str">
        <f>IFERROR(VLOOKUP(D292,'symmetric IOT 245 2012'!$C$6:$D$276,2,FALSE),"")</f>
        <v>Otros vegetales y melones n.c.p.</v>
      </c>
      <c r="H292" s="77">
        <f>INDEX('Dictionary Categories'!$A$2:$A$30,MATCH(I292,'Dictionary Categories'!$B$2:$B$30,0))</f>
        <v>1</v>
      </c>
      <c r="I292" s="2" t="s">
        <v>2470</v>
      </c>
      <c r="J292" s="2">
        <f>INDEX('Dictionary Subcategories'!$A$2:$A$70,MATCH(K292,'Dictionary Subcategories'!$B$2:$B$70,0))</f>
        <v>7</v>
      </c>
      <c r="K292" s="2" t="s">
        <v>1232</v>
      </c>
      <c r="L292" s="147"/>
      <c r="M292" s="77">
        <v>290</v>
      </c>
      <c r="O292" s="77">
        <f t="shared" si="4"/>
        <v>0</v>
      </c>
    </row>
    <row r="293" spans="1:15" x14ac:dyDescent="0.25">
      <c r="A293" s="83" t="str">
        <f>'ENIGHUR Consumption items'!H294</f>
        <v>01.1.7.397</v>
      </c>
      <c r="B293" s="116">
        <f>_xlfn.NUMBERVALUE(VLOOKUP(A293,'ENIGHUR Consumption items'!$H$2:$I$703,2,))</f>
        <v>117397</v>
      </c>
      <c r="C293" s="83" t="str">
        <f>'ENIGHUR Consumption items'!J294</f>
        <v>Otras harinas de leguminosas</v>
      </c>
      <c r="D293" s="124">
        <v>29</v>
      </c>
      <c r="E293" s="91" t="str">
        <f>IFERROR(VLOOKUP(D293,'symmetric IOT 245 2012'!$C$6:$D$276,2,FALSE),"")</f>
        <v>Otros vegetales y melones n.c.p.</v>
      </c>
      <c r="H293" s="77">
        <f>INDEX('Dictionary Categories'!$A$2:$A$30,MATCH(I293,'Dictionary Categories'!$B$2:$B$30,0))</f>
        <v>1</v>
      </c>
      <c r="I293" s="2" t="s">
        <v>2470</v>
      </c>
      <c r="J293" s="2">
        <f>INDEX('Dictionary Subcategories'!$A$2:$A$70,MATCH(K293,'Dictionary Subcategories'!$B$2:$B$70,0))</f>
        <v>7</v>
      </c>
      <c r="K293" s="2" t="s">
        <v>1232</v>
      </c>
      <c r="L293" s="147"/>
      <c r="M293" s="77">
        <v>291</v>
      </c>
      <c r="O293" s="77">
        <f t="shared" si="4"/>
        <v>0</v>
      </c>
    </row>
    <row r="294" spans="1:15" x14ac:dyDescent="0.25">
      <c r="A294" s="83" t="str">
        <f>'ENIGHUR Consumption items'!H295</f>
        <v>01.1.7.398</v>
      </c>
      <c r="B294" s="116">
        <f>_xlfn.NUMBERVALUE(VLOOKUP(A294,'ENIGHUR Consumption items'!$H$2:$I$703,2,))</f>
        <v>117398</v>
      </c>
      <c r="C294" s="83" t="str">
        <f>'ENIGHUR Consumption items'!J295</f>
        <v>Otras hortalizas y verduras en conserva</v>
      </c>
      <c r="D294" s="124">
        <v>29</v>
      </c>
      <c r="E294" s="91" t="str">
        <f>IFERROR(VLOOKUP(D294,'symmetric IOT 245 2012'!$C$6:$D$276,2,FALSE),"")</f>
        <v>Otros vegetales y melones n.c.p.</v>
      </c>
      <c r="H294" s="77">
        <f>INDEX('Dictionary Categories'!$A$2:$A$30,MATCH(I294,'Dictionary Categories'!$B$2:$B$30,0))</f>
        <v>1</v>
      </c>
      <c r="I294" s="2" t="s">
        <v>2470</v>
      </c>
      <c r="J294" s="2">
        <f>INDEX('Dictionary Subcategories'!$A$2:$A$70,MATCH(K294,'Dictionary Subcategories'!$B$2:$B$70,0))</f>
        <v>7</v>
      </c>
      <c r="K294" s="2" t="s">
        <v>1232</v>
      </c>
      <c r="L294" s="147"/>
      <c r="M294" s="77">
        <v>292</v>
      </c>
      <c r="O294" s="77">
        <f t="shared" si="4"/>
        <v>0</v>
      </c>
    </row>
    <row r="295" spans="1:15" x14ac:dyDescent="0.25">
      <c r="A295" s="83" t="str">
        <f>'ENIGHUR Consumption items'!H296</f>
        <v>01.1.7.399</v>
      </c>
      <c r="B295" s="116">
        <f>_xlfn.NUMBERVALUE(VLOOKUP(A295,'ENIGHUR Consumption items'!$H$2:$I$703,2,))</f>
        <v>117399</v>
      </c>
      <c r="C295" s="83" t="str">
        <f>'ENIGHUR Consumption items'!J296</f>
        <v>Otras leguminosas secas y en conserva</v>
      </c>
      <c r="D295" s="124">
        <v>29</v>
      </c>
      <c r="E295" s="91" t="str">
        <f>IFERROR(VLOOKUP(D295,'symmetric IOT 245 2012'!$C$6:$D$276,2,FALSE),"")</f>
        <v>Otros vegetales y melones n.c.p.</v>
      </c>
      <c r="H295" s="77">
        <f>INDEX('Dictionary Categories'!$A$2:$A$30,MATCH(I295,'Dictionary Categories'!$B$2:$B$30,0))</f>
        <v>1</v>
      </c>
      <c r="I295" s="2" t="s">
        <v>2470</v>
      </c>
      <c r="J295" s="2">
        <f>INDEX('Dictionary Subcategories'!$A$2:$A$70,MATCH(K295,'Dictionary Subcategories'!$B$2:$B$70,0))</f>
        <v>7</v>
      </c>
      <c r="K295" s="2" t="s">
        <v>1232</v>
      </c>
      <c r="L295" s="147"/>
      <c r="M295" s="77">
        <v>293</v>
      </c>
      <c r="O295" s="77">
        <f t="shared" si="4"/>
        <v>0</v>
      </c>
    </row>
    <row r="296" spans="1:15" x14ac:dyDescent="0.25">
      <c r="A296" s="83" t="str">
        <f>'ENIGHUR Consumption items'!H297</f>
        <v>01.1.8</v>
      </c>
      <c r="B296" s="116">
        <f>_xlfn.NUMBERVALUE(VLOOKUP(A296,'ENIGHUR Consumption items'!$H$2:$I$703,2,))</f>
        <v>118</v>
      </c>
      <c r="C296" s="83" t="str">
        <f>'ENIGHUR Consumption items'!J297</f>
        <v>AZÚCAR, MERMELADA, MIEL, CHOCOLATE Y DULCES DE AZÚCAR</v>
      </c>
      <c r="D296" s="125" t="s">
        <v>2389</v>
      </c>
      <c r="E296" s="91" t="str">
        <f>IFERROR(VLOOKUP(D296,'symmetric IOT 245 2012'!$C$6:$D$276,2,FALSE),"")</f>
        <v>matched on SC/SSC level</v>
      </c>
      <c r="F296" s="80"/>
      <c r="H296" s="77">
        <f>INDEX('Dictionary Categories'!$A$2:$A$30,MATCH(I296,'Dictionary Categories'!$B$2:$B$30,0))</f>
        <v>1</v>
      </c>
      <c r="I296" s="2" t="s">
        <v>2470</v>
      </c>
      <c r="J296" s="2">
        <f>INDEX('Dictionary Subcategories'!$A$2:$A$70,MATCH(K296,'Dictionary Subcategories'!$B$2:$B$70,0))</f>
        <v>8</v>
      </c>
      <c r="K296" s="2" t="s">
        <v>1233</v>
      </c>
      <c r="L296" s="147"/>
      <c r="M296" s="77">
        <v>294</v>
      </c>
      <c r="O296" s="77">
        <f t="shared" si="4"/>
        <v>1</v>
      </c>
    </row>
    <row r="297" spans="1:15" x14ac:dyDescent="0.25">
      <c r="A297" s="83" t="str">
        <f>'ENIGHUR Consumption items'!H298</f>
        <v>01.1.8.000</v>
      </c>
      <c r="B297" s="116">
        <f>_xlfn.NUMBERVALUE(VLOOKUP(A297,'ENIGHUR Consumption items'!$H$2:$I$703,2,))</f>
        <v>118000</v>
      </c>
      <c r="C297" s="83" t="str">
        <f>'ENIGHUR Consumption items'!J298</f>
        <v>Azúcar</v>
      </c>
      <c r="D297" s="124">
        <v>106</v>
      </c>
      <c r="E297" s="91" t="str">
        <f>IFERROR(VLOOKUP(D297,'symmetric IOT 245 2012'!$C$6:$D$276,2,FALSE),"")</f>
        <v>Azúcar sin refinar, refinada y sacarosa y melaza</v>
      </c>
      <c r="H297" s="77">
        <f>INDEX('Dictionary Categories'!$A$2:$A$30,MATCH(I297,'Dictionary Categories'!$B$2:$B$30,0))</f>
        <v>1</v>
      </c>
      <c r="I297" s="2" t="s">
        <v>2470</v>
      </c>
      <c r="J297" s="2">
        <f>INDEX('Dictionary Subcategories'!$A$2:$A$70,MATCH(K297,'Dictionary Subcategories'!$B$2:$B$70,0))</f>
        <v>8</v>
      </c>
      <c r="K297" s="2" t="s">
        <v>1233</v>
      </c>
      <c r="L297" s="147"/>
      <c r="M297" s="77">
        <v>295</v>
      </c>
      <c r="O297" s="77">
        <f t="shared" si="4"/>
        <v>0</v>
      </c>
    </row>
    <row r="298" spans="1:15" x14ac:dyDescent="0.25">
      <c r="A298" s="83" t="str">
        <f>'ENIGHUR Consumption items'!H299</f>
        <v>01.1.8.100</v>
      </c>
      <c r="B298" s="116">
        <f>_xlfn.NUMBERVALUE(VLOOKUP(A298,'ENIGHUR Consumption items'!$H$2:$I$703,2,))</f>
        <v>118100</v>
      </c>
      <c r="C298" s="83" t="str">
        <f>'ENIGHUR Consumption items'!J299</f>
        <v>Dulces, mermeladas, miel y jarabes</v>
      </c>
      <c r="D298" s="124">
        <v>106</v>
      </c>
      <c r="E298" s="91" t="str">
        <f>IFERROR(VLOOKUP(D298,'symmetric IOT 245 2012'!$C$6:$D$276,2,FALSE),"")</f>
        <v>Azúcar sin refinar, refinada y sacarosa y melaza</v>
      </c>
      <c r="G298" s="80" t="s">
        <v>2399</v>
      </c>
      <c r="H298" s="77">
        <f>INDEX('Dictionary Categories'!$A$2:$A$30,MATCH(I298,'Dictionary Categories'!$B$2:$B$30,0))</f>
        <v>1</v>
      </c>
      <c r="I298" s="2" t="s">
        <v>2470</v>
      </c>
      <c r="J298" s="2">
        <f>INDEX('Dictionary Subcategories'!$A$2:$A$70,MATCH(K298,'Dictionary Subcategories'!$B$2:$B$70,0))</f>
        <v>8</v>
      </c>
      <c r="K298" s="2" t="s">
        <v>1233</v>
      </c>
      <c r="L298" s="147"/>
      <c r="M298" s="77">
        <v>296</v>
      </c>
      <c r="O298" s="77">
        <f t="shared" si="4"/>
        <v>0</v>
      </c>
    </row>
    <row r="299" spans="1:15" x14ac:dyDescent="0.25">
      <c r="A299" s="83" t="str">
        <f>'ENIGHUR Consumption items'!H300</f>
        <v>01.1.8.200</v>
      </c>
      <c r="B299" s="116">
        <f>_xlfn.NUMBERVALUE(VLOOKUP(A299,'ENIGHUR Consumption items'!$H$2:$I$703,2,))</f>
        <v>118200</v>
      </c>
      <c r="C299" s="83" t="str">
        <f>'ENIGHUR Consumption items'!J300</f>
        <v>Helados</v>
      </c>
      <c r="D299" s="124">
        <v>106</v>
      </c>
      <c r="E299" s="91" t="str">
        <f>IFERROR(VLOOKUP(D299,'symmetric IOT 245 2012'!$C$6:$D$276,2,FALSE),"")</f>
        <v>Azúcar sin refinar, refinada y sacarosa y melaza</v>
      </c>
      <c r="G299" s="80" t="s">
        <v>2399</v>
      </c>
      <c r="H299" s="77">
        <f>INDEX('Dictionary Categories'!$A$2:$A$30,MATCH(I299,'Dictionary Categories'!$B$2:$B$30,0))</f>
        <v>1</v>
      </c>
      <c r="I299" s="2" t="s">
        <v>2470</v>
      </c>
      <c r="J299" s="2">
        <f>INDEX('Dictionary Subcategories'!$A$2:$A$70,MATCH(K299,'Dictionary Subcategories'!$B$2:$B$70,0))</f>
        <v>8</v>
      </c>
      <c r="K299" s="2" t="s">
        <v>1233</v>
      </c>
      <c r="L299" s="147"/>
      <c r="M299" s="77">
        <v>297</v>
      </c>
      <c r="O299" s="77">
        <f t="shared" si="4"/>
        <v>0</v>
      </c>
    </row>
    <row r="300" spans="1:15" x14ac:dyDescent="0.25">
      <c r="A300" s="83" t="str">
        <f>'ENIGHUR Consumption items'!H301</f>
        <v>01.1.8.300</v>
      </c>
      <c r="B300" s="116">
        <f>_xlfn.NUMBERVALUE(VLOOKUP(A300,'ENIGHUR Consumption items'!$H$2:$I$703,2,))</f>
        <v>118300</v>
      </c>
      <c r="C300" s="83" t="str">
        <f>'ENIGHUR Consumption items'!J301</f>
        <v>Chocolates y dulces de azúcar</v>
      </c>
      <c r="D300" s="124">
        <v>109</v>
      </c>
      <c r="E300" s="91" t="str">
        <f>IFERROR(VLOOKUP(D300,'symmetric IOT 245 2012'!$C$6:$D$276,2,FALSE),"")</f>
        <v>Productos de confitería</v>
      </c>
      <c r="F300" s="80"/>
      <c r="H300" s="77">
        <f>INDEX('Dictionary Categories'!$A$2:$A$30,MATCH(I300,'Dictionary Categories'!$B$2:$B$30,0))</f>
        <v>1</v>
      </c>
      <c r="I300" s="2" t="s">
        <v>2470</v>
      </c>
      <c r="J300" s="2">
        <f>INDEX('Dictionary Subcategories'!$A$2:$A$70,MATCH(K300,'Dictionary Subcategories'!$B$2:$B$70,0))</f>
        <v>8</v>
      </c>
      <c r="K300" s="2" t="s">
        <v>1233</v>
      </c>
      <c r="L300" s="147"/>
      <c r="M300" s="77">
        <v>298</v>
      </c>
      <c r="O300" s="77">
        <f t="shared" si="4"/>
        <v>0</v>
      </c>
    </row>
    <row r="301" spans="1:15" x14ac:dyDescent="0.25">
      <c r="A301" s="83" t="str">
        <f>'ENIGHUR Consumption items'!H302</f>
        <v>01.1.8.301</v>
      </c>
      <c r="B301" s="116">
        <f>_xlfn.NUMBERVALUE(VLOOKUP(A301,'ENIGHUR Consumption items'!$H$2:$I$703,2,))</f>
        <v>118301</v>
      </c>
      <c r="C301" s="83" t="str">
        <f>'ENIGHUR Consumption items'!J302</f>
        <v>Barras de maní enconfitadas</v>
      </c>
      <c r="D301" s="124">
        <v>109</v>
      </c>
      <c r="E301" s="91" t="str">
        <f>IFERROR(VLOOKUP(D301,'symmetric IOT 245 2012'!$C$6:$D$276,2,FALSE),"")</f>
        <v>Productos de confitería</v>
      </c>
      <c r="H301" s="77">
        <f>INDEX('Dictionary Categories'!$A$2:$A$30,MATCH(I301,'Dictionary Categories'!$B$2:$B$30,0))</f>
        <v>1</v>
      </c>
      <c r="I301" s="2" t="s">
        <v>2470</v>
      </c>
      <c r="J301" s="2">
        <f>INDEX('Dictionary Subcategories'!$A$2:$A$70,MATCH(K301,'Dictionary Subcategories'!$B$2:$B$70,0))</f>
        <v>8</v>
      </c>
      <c r="K301" s="2" t="s">
        <v>1233</v>
      </c>
      <c r="L301" s="147"/>
      <c r="M301" s="77">
        <v>299</v>
      </c>
      <c r="O301" s="77">
        <f t="shared" si="4"/>
        <v>0</v>
      </c>
    </row>
    <row r="302" spans="1:15" x14ac:dyDescent="0.25">
      <c r="A302" s="83" t="str">
        <f>'ENIGHUR Consumption items'!H303</f>
        <v>01.1.8.302</v>
      </c>
      <c r="B302" s="116">
        <f>_xlfn.NUMBERVALUE(VLOOKUP(A302,'ENIGHUR Consumption items'!$H$2:$I$703,2,))</f>
        <v>118302</v>
      </c>
      <c r="C302" s="83" t="str">
        <f>'ENIGHUR Consumption items'!J303</f>
        <v>Bolitas de coco</v>
      </c>
      <c r="D302" s="124">
        <v>109</v>
      </c>
      <c r="E302" s="91" t="str">
        <f>IFERROR(VLOOKUP(D302,'symmetric IOT 245 2012'!$C$6:$D$276,2,FALSE),"")</f>
        <v>Productos de confitería</v>
      </c>
      <c r="H302" s="77">
        <f>INDEX('Dictionary Categories'!$A$2:$A$30,MATCH(I302,'Dictionary Categories'!$B$2:$B$30,0))</f>
        <v>1</v>
      </c>
      <c r="I302" s="2" t="s">
        <v>2470</v>
      </c>
      <c r="J302" s="2">
        <f>INDEX('Dictionary Subcategories'!$A$2:$A$70,MATCH(K302,'Dictionary Subcategories'!$B$2:$B$70,0))</f>
        <v>8</v>
      </c>
      <c r="K302" s="2" t="s">
        <v>1233</v>
      </c>
      <c r="L302" s="147"/>
      <c r="M302" s="77">
        <v>300</v>
      </c>
      <c r="O302" s="77">
        <f t="shared" si="4"/>
        <v>0</v>
      </c>
    </row>
    <row r="303" spans="1:15" x14ac:dyDescent="0.25">
      <c r="A303" s="83" t="str">
        <f>'ENIGHUR Consumption items'!H304</f>
        <v>01.1.8.303</v>
      </c>
      <c r="B303" s="116">
        <f>_xlfn.NUMBERVALUE(VLOOKUP(A303,'ENIGHUR Consumption items'!$H$2:$I$703,2,))</f>
        <v>118303</v>
      </c>
      <c r="C303" s="83" t="str">
        <f>'ENIGHUR Consumption items'!J304</f>
        <v>Bombones o chocolates</v>
      </c>
      <c r="D303" s="124">
        <v>108</v>
      </c>
      <c r="E303" s="91" t="str">
        <f>IFERROR(VLOOKUP(D303,'symmetric IOT 245 2012'!$C$6:$D$276,2,FALSE),"")</f>
        <v>Chocolate y bombones (incluye polvo de cacao con edulcorante)</v>
      </c>
      <c r="H303" s="77">
        <f>INDEX('Dictionary Categories'!$A$2:$A$30,MATCH(I303,'Dictionary Categories'!$B$2:$B$30,0))</f>
        <v>1</v>
      </c>
      <c r="I303" s="2" t="s">
        <v>2470</v>
      </c>
      <c r="J303" s="2">
        <f>INDEX('Dictionary Subcategories'!$A$2:$A$70,MATCH(K303,'Dictionary Subcategories'!$B$2:$B$70,0))</f>
        <v>8</v>
      </c>
      <c r="K303" s="2" t="s">
        <v>1233</v>
      </c>
      <c r="L303" s="147"/>
      <c r="M303" s="77">
        <v>301</v>
      </c>
      <c r="O303" s="77">
        <f t="shared" si="4"/>
        <v>0</v>
      </c>
    </row>
    <row r="304" spans="1:15" x14ac:dyDescent="0.25">
      <c r="A304" s="83" t="str">
        <f>'ENIGHUR Consumption items'!H305</f>
        <v>01.1.8.304</v>
      </c>
      <c r="B304" s="116">
        <f>_xlfn.NUMBERVALUE(VLOOKUP(A304,'ENIGHUR Consumption items'!$H$2:$I$703,2,))</f>
        <v>118304</v>
      </c>
      <c r="C304" s="83" t="str">
        <f>'ENIGHUR Consumption items'!J305</f>
        <v>Caramelos (para flanes y otros postres)</v>
      </c>
      <c r="D304" s="124">
        <v>109</v>
      </c>
      <c r="E304" s="91" t="str">
        <f>IFERROR(VLOOKUP(D304,'symmetric IOT 245 2012'!$C$6:$D$276,2,FALSE),"")</f>
        <v>Productos de confitería</v>
      </c>
      <c r="H304" s="77">
        <f>INDEX('Dictionary Categories'!$A$2:$A$30,MATCH(I304,'Dictionary Categories'!$B$2:$B$30,0))</f>
        <v>1</v>
      </c>
      <c r="I304" s="2" t="s">
        <v>2470</v>
      </c>
      <c r="J304" s="2">
        <f>INDEX('Dictionary Subcategories'!$A$2:$A$70,MATCH(K304,'Dictionary Subcategories'!$B$2:$B$70,0))</f>
        <v>8</v>
      </c>
      <c r="K304" s="2" t="s">
        <v>1233</v>
      </c>
      <c r="L304" s="147"/>
      <c r="M304" s="77">
        <v>302</v>
      </c>
      <c r="O304" s="77">
        <f t="shared" si="4"/>
        <v>0</v>
      </c>
    </row>
    <row r="305" spans="1:15" x14ac:dyDescent="0.25">
      <c r="A305" s="83" t="str">
        <f>'ENIGHUR Consumption items'!H306</f>
        <v>01.1.8.305</v>
      </c>
      <c r="B305" s="116">
        <f>_xlfn.NUMBERVALUE(VLOOKUP(A305,'ENIGHUR Consumption items'!$H$2:$I$703,2,))</f>
        <v>118305</v>
      </c>
      <c r="C305" s="83" t="str">
        <f>'ENIGHUR Consumption items'!J306</f>
        <v>Caramelos surtidos</v>
      </c>
      <c r="D305" s="124">
        <v>109</v>
      </c>
      <c r="E305" s="91" t="str">
        <f>IFERROR(VLOOKUP(D305,'symmetric IOT 245 2012'!$C$6:$D$276,2,FALSE),"")</f>
        <v>Productos de confitería</v>
      </c>
      <c r="H305" s="77">
        <f>INDEX('Dictionary Categories'!$A$2:$A$30,MATCH(I305,'Dictionary Categories'!$B$2:$B$30,0))</f>
        <v>1</v>
      </c>
      <c r="I305" s="2" t="s">
        <v>2470</v>
      </c>
      <c r="J305" s="2">
        <f>INDEX('Dictionary Subcategories'!$A$2:$A$70,MATCH(K305,'Dictionary Subcategories'!$B$2:$B$70,0))</f>
        <v>8</v>
      </c>
      <c r="K305" s="2" t="s">
        <v>1233</v>
      </c>
      <c r="L305" s="147"/>
      <c r="M305" s="77">
        <v>303</v>
      </c>
      <c r="O305" s="77">
        <f t="shared" si="4"/>
        <v>0</v>
      </c>
    </row>
    <row r="306" spans="1:15" x14ac:dyDescent="0.25">
      <c r="A306" s="83" t="str">
        <f>'ENIGHUR Consumption items'!H307</f>
        <v>01.1.8.306</v>
      </c>
      <c r="B306" s="116">
        <f>_xlfn.NUMBERVALUE(VLOOKUP(A306,'ENIGHUR Consumption items'!$H$2:$I$703,2,))</f>
        <v>118306</v>
      </c>
      <c r="C306" s="83" t="str">
        <f>'ENIGHUR Consumption items'!J307</f>
        <v>Chicles (goma de mascar)</v>
      </c>
      <c r="D306" s="124">
        <v>109</v>
      </c>
      <c r="E306" s="91" t="str">
        <f>IFERROR(VLOOKUP(D306,'symmetric IOT 245 2012'!$C$6:$D$276,2,FALSE),"")</f>
        <v>Productos de confitería</v>
      </c>
      <c r="H306" s="77">
        <f>INDEX('Dictionary Categories'!$A$2:$A$30,MATCH(I306,'Dictionary Categories'!$B$2:$B$30,0))</f>
        <v>1</v>
      </c>
      <c r="I306" s="2" t="s">
        <v>2470</v>
      </c>
      <c r="J306" s="2">
        <f>INDEX('Dictionary Subcategories'!$A$2:$A$70,MATCH(K306,'Dictionary Subcategories'!$B$2:$B$70,0))</f>
        <v>8</v>
      </c>
      <c r="K306" s="2" t="s">
        <v>1233</v>
      </c>
      <c r="L306" s="147"/>
      <c r="M306" s="77">
        <v>304</v>
      </c>
      <c r="O306" s="77">
        <f t="shared" si="4"/>
        <v>0</v>
      </c>
    </row>
    <row r="307" spans="1:15" x14ac:dyDescent="0.25">
      <c r="A307" s="83" t="str">
        <f>'ENIGHUR Consumption items'!H308</f>
        <v>01.1.8.307</v>
      </c>
      <c r="B307" s="116">
        <f>_xlfn.NUMBERVALUE(VLOOKUP(A307,'ENIGHUR Consumption items'!$H$2:$I$703,2,))</f>
        <v>118307</v>
      </c>
      <c r="C307" s="83" t="str">
        <f>'ENIGHUR Consumption items'!J308</f>
        <v>Chocolate en barra y otras formas (incluido el amargo)</v>
      </c>
      <c r="D307" s="124">
        <v>108</v>
      </c>
      <c r="E307" s="91" t="str">
        <f>IFERROR(VLOOKUP(D307,'symmetric IOT 245 2012'!$C$6:$D$276,2,FALSE),"")</f>
        <v>Chocolate y bombones (incluye polvo de cacao con edulcorante)</v>
      </c>
      <c r="H307" s="77">
        <f>INDEX('Dictionary Categories'!$A$2:$A$30,MATCH(I307,'Dictionary Categories'!$B$2:$B$30,0))</f>
        <v>1</v>
      </c>
      <c r="I307" s="2" t="s">
        <v>2470</v>
      </c>
      <c r="J307" s="2">
        <f>INDEX('Dictionary Subcategories'!$A$2:$A$70,MATCH(K307,'Dictionary Subcategories'!$B$2:$B$70,0))</f>
        <v>8</v>
      </c>
      <c r="K307" s="2" t="s">
        <v>1233</v>
      </c>
      <c r="L307" s="147"/>
      <c r="M307" s="77">
        <v>305</v>
      </c>
      <c r="O307" s="77">
        <f t="shared" si="4"/>
        <v>0</v>
      </c>
    </row>
    <row r="308" spans="1:15" x14ac:dyDescent="0.25">
      <c r="A308" s="83" t="str">
        <f>'ENIGHUR Consumption items'!H309</f>
        <v>01.1.8.308</v>
      </c>
      <c r="B308" s="116">
        <f>_xlfn.NUMBERVALUE(VLOOKUP(A308,'ENIGHUR Consumption items'!$H$2:$I$703,2,))</f>
        <v>118308</v>
      </c>
      <c r="C308" s="83" t="str">
        <f>'ENIGHUR Consumption items'!J309</f>
        <v>Chupetes</v>
      </c>
      <c r="D308" s="124">
        <v>109</v>
      </c>
      <c r="E308" s="91" t="str">
        <f>IFERROR(VLOOKUP(D308,'symmetric IOT 245 2012'!$C$6:$D$276,2,FALSE),"")</f>
        <v>Productos de confitería</v>
      </c>
      <c r="H308" s="77">
        <f>INDEX('Dictionary Categories'!$A$2:$A$30,MATCH(I308,'Dictionary Categories'!$B$2:$B$30,0))</f>
        <v>1</v>
      </c>
      <c r="I308" s="2" t="s">
        <v>2470</v>
      </c>
      <c r="J308" s="2">
        <f>INDEX('Dictionary Subcategories'!$A$2:$A$70,MATCH(K308,'Dictionary Subcategories'!$B$2:$B$70,0))</f>
        <v>8</v>
      </c>
      <c r="K308" s="2" t="s">
        <v>1233</v>
      </c>
      <c r="L308" s="147"/>
      <c r="M308" s="77">
        <v>306</v>
      </c>
      <c r="O308" s="77">
        <f t="shared" si="4"/>
        <v>0</v>
      </c>
    </row>
    <row r="309" spans="1:15" x14ac:dyDescent="0.25">
      <c r="A309" s="83" t="str">
        <f>'ENIGHUR Consumption items'!H310</f>
        <v>01.1.8.309</v>
      </c>
      <c r="B309" s="116">
        <f>_xlfn.NUMBERVALUE(VLOOKUP(A309,'ENIGHUR Consumption items'!$H$2:$I$703,2,))</f>
        <v>118309</v>
      </c>
      <c r="C309" s="83" t="str">
        <f>'ENIGHUR Consumption items'!J310</f>
        <v>Colaciones</v>
      </c>
      <c r="D309" s="124">
        <v>109</v>
      </c>
      <c r="E309" s="91" t="str">
        <f>IFERROR(VLOOKUP(D309,'symmetric IOT 245 2012'!$C$6:$D$276,2,FALSE),"")</f>
        <v>Productos de confitería</v>
      </c>
      <c r="H309" s="77">
        <f>INDEX('Dictionary Categories'!$A$2:$A$30,MATCH(I309,'Dictionary Categories'!$B$2:$B$30,0))</f>
        <v>1</v>
      </c>
      <c r="I309" s="2" t="s">
        <v>2470</v>
      </c>
      <c r="J309" s="2">
        <f>INDEX('Dictionary Subcategories'!$A$2:$A$70,MATCH(K309,'Dictionary Subcategories'!$B$2:$B$70,0))</f>
        <v>8</v>
      </c>
      <c r="K309" s="2" t="s">
        <v>1233</v>
      </c>
      <c r="L309" s="147"/>
      <c r="M309" s="77">
        <v>307</v>
      </c>
      <c r="O309" s="77">
        <f t="shared" si="4"/>
        <v>0</v>
      </c>
    </row>
    <row r="310" spans="1:15" x14ac:dyDescent="0.25">
      <c r="A310" s="83" t="str">
        <f>'ENIGHUR Consumption items'!H311</f>
        <v>01.1.8.310</v>
      </c>
      <c r="B310" s="116">
        <f>_xlfn.NUMBERVALUE(VLOOKUP(A310,'ENIGHUR Consumption items'!$H$2:$I$703,2,))</f>
        <v>118310</v>
      </c>
      <c r="C310" s="83" t="str">
        <f>'ENIGHUR Consumption items'!J311</f>
        <v>Confites</v>
      </c>
      <c r="D310" s="124">
        <v>109</v>
      </c>
      <c r="E310" s="91" t="str">
        <f>IFERROR(VLOOKUP(D310,'symmetric IOT 245 2012'!$C$6:$D$276,2,FALSE),"")</f>
        <v>Productos de confitería</v>
      </c>
      <c r="H310" s="77">
        <f>INDEX('Dictionary Categories'!$A$2:$A$30,MATCH(I310,'Dictionary Categories'!$B$2:$B$30,0))</f>
        <v>1</v>
      </c>
      <c r="I310" s="2" t="s">
        <v>2470</v>
      </c>
      <c r="J310" s="2">
        <f>INDEX('Dictionary Subcategories'!$A$2:$A$70,MATCH(K310,'Dictionary Subcategories'!$B$2:$B$70,0))</f>
        <v>8</v>
      </c>
      <c r="K310" s="2" t="s">
        <v>1233</v>
      </c>
      <c r="L310" s="147"/>
      <c r="M310" s="77">
        <v>308</v>
      </c>
      <c r="O310" s="77">
        <f t="shared" si="4"/>
        <v>0</v>
      </c>
    </row>
    <row r="311" spans="1:15" x14ac:dyDescent="0.25">
      <c r="A311" s="83" t="str">
        <f>'ENIGHUR Consumption items'!H312</f>
        <v>01.1.8.311</v>
      </c>
      <c r="B311" s="116">
        <f>_xlfn.NUMBERVALUE(VLOOKUP(A311,'ENIGHUR Consumption items'!$H$2:$I$703,2,))</f>
        <v>118311</v>
      </c>
      <c r="C311" s="83" t="str">
        <f>'ENIGHUR Consumption items'!J312</f>
        <v>Dulces de ajonjolí</v>
      </c>
      <c r="D311" s="124">
        <v>109</v>
      </c>
      <c r="E311" s="91" t="str">
        <f>IFERROR(VLOOKUP(D311,'symmetric IOT 245 2012'!$C$6:$D$276,2,FALSE),"")</f>
        <v>Productos de confitería</v>
      </c>
      <c r="H311" s="77">
        <f>INDEX('Dictionary Categories'!$A$2:$A$30,MATCH(I311,'Dictionary Categories'!$B$2:$B$30,0))</f>
        <v>1</v>
      </c>
      <c r="I311" s="2" t="s">
        <v>2470</v>
      </c>
      <c r="J311" s="2">
        <f>INDEX('Dictionary Subcategories'!$A$2:$A$70,MATCH(K311,'Dictionary Subcategories'!$B$2:$B$70,0))</f>
        <v>8</v>
      </c>
      <c r="K311" s="2" t="s">
        <v>1233</v>
      </c>
      <c r="L311" s="147"/>
      <c r="M311" s="77">
        <v>309</v>
      </c>
      <c r="O311" s="77">
        <f t="shared" si="4"/>
        <v>0</v>
      </c>
    </row>
    <row r="312" spans="1:15" x14ac:dyDescent="0.25">
      <c r="A312" s="83" t="str">
        <f>'ENIGHUR Consumption items'!H313</f>
        <v>01.1.8.312</v>
      </c>
      <c r="B312" s="116">
        <f>_xlfn.NUMBERVALUE(VLOOKUP(A312,'ENIGHUR Consumption items'!$H$2:$I$703,2,))</f>
        <v>118312</v>
      </c>
      <c r="C312" s="83" t="str">
        <f>'ENIGHUR Consumption items'!J313</f>
        <v>Dulces de frutas</v>
      </c>
      <c r="D312" s="124">
        <v>109</v>
      </c>
      <c r="E312" s="91" t="str">
        <f>IFERROR(VLOOKUP(D312,'symmetric IOT 245 2012'!$C$6:$D$276,2,FALSE),"")</f>
        <v>Productos de confitería</v>
      </c>
      <c r="H312" s="77">
        <f>INDEX('Dictionary Categories'!$A$2:$A$30,MATCH(I312,'Dictionary Categories'!$B$2:$B$30,0))</f>
        <v>1</v>
      </c>
      <c r="I312" s="2" t="s">
        <v>2470</v>
      </c>
      <c r="J312" s="2">
        <f>INDEX('Dictionary Subcategories'!$A$2:$A$70,MATCH(K312,'Dictionary Subcategories'!$B$2:$B$70,0))</f>
        <v>8</v>
      </c>
      <c r="K312" s="2" t="s">
        <v>1233</v>
      </c>
      <c r="L312" s="147"/>
      <c r="M312" s="77">
        <v>310</v>
      </c>
      <c r="O312" s="77">
        <f t="shared" si="4"/>
        <v>0</v>
      </c>
    </row>
    <row r="313" spans="1:15" x14ac:dyDescent="0.25">
      <c r="A313" s="83" t="str">
        <f>'ENIGHUR Consumption items'!H314</f>
        <v>01.1.8.313</v>
      </c>
      <c r="B313" s="116">
        <f>_xlfn.NUMBERVALUE(VLOOKUP(A313,'ENIGHUR Consumption items'!$H$2:$I$703,2,))</f>
        <v>118313</v>
      </c>
      <c r="C313" s="83" t="str">
        <f>'ENIGHUR Consumption items'!J314</f>
        <v>Gomitas</v>
      </c>
      <c r="D313" s="124">
        <v>109</v>
      </c>
      <c r="E313" s="91" t="str">
        <f>IFERROR(VLOOKUP(D313,'symmetric IOT 245 2012'!$C$6:$D$276,2,FALSE),"")</f>
        <v>Productos de confitería</v>
      </c>
      <c r="H313" s="77">
        <f>INDEX('Dictionary Categories'!$A$2:$A$30,MATCH(I313,'Dictionary Categories'!$B$2:$B$30,0))</f>
        <v>1</v>
      </c>
      <c r="I313" s="2" t="s">
        <v>2470</v>
      </c>
      <c r="J313" s="2">
        <f>INDEX('Dictionary Subcategories'!$A$2:$A$70,MATCH(K313,'Dictionary Subcategories'!$B$2:$B$70,0))</f>
        <v>8</v>
      </c>
      <c r="K313" s="2" t="s">
        <v>1233</v>
      </c>
      <c r="L313" s="147"/>
      <c r="M313" s="77">
        <v>311</v>
      </c>
      <c r="O313" s="77">
        <f t="shared" si="4"/>
        <v>0</v>
      </c>
    </row>
    <row r="314" spans="1:15" x14ac:dyDescent="0.25">
      <c r="A314" s="83" t="str">
        <f>'ENIGHUR Consumption items'!H315</f>
        <v>01.1.8.314</v>
      </c>
      <c r="B314" s="116">
        <f>_xlfn.NUMBERVALUE(VLOOKUP(A314,'ENIGHUR Consumption items'!$H$2:$I$703,2,))</f>
        <v>118314</v>
      </c>
      <c r="C314" s="83" t="str">
        <f>'ENIGHUR Consumption items'!J315</f>
        <v>Grageas</v>
      </c>
      <c r="D314" s="124">
        <v>109</v>
      </c>
      <c r="E314" s="91" t="str">
        <f>IFERROR(VLOOKUP(D314,'symmetric IOT 245 2012'!$C$6:$D$276,2,FALSE),"")</f>
        <v>Productos de confitería</v>
      </c>
      <c r="H314" s="77">
        <f>INDEX('Dictionary Categories'!$A$2:$A$30,MATCH(I314,'Dictionary Categories'!$B$2:$B$30,0))</f>
        <v>1</v>
      </c>
      <c r="I314" s="2" t="s">
        <v>2470</v>
      </c>
      <c r="J314" s="2">
        <f>INDEX('Dictionary Subcategories'!$A$2:$A$70,MATCH(K314,'Dictionary Subcategories'!$B$2:$B$70,0))</f>
        <v>8</v>
      </c>
      <c r="K314" s="2" t="s">
        <v>1233</v>
      </c>
      <c r="L314" s="147"/>
      <c r="M314" s="77">
        <v>312</v>
      </c>
      <c r="O314" s="77">
        <f t="shared" si="4"/>
        <v>0</v>
      </c>
    </row>
    <row r="315" spans="1:15" x14ac:dyDescent="0.25">
      <c r="A315" s="83" t="str">
        <f>'ENIGHUR Consumption items'!H316</f>
        <v>01.1.8.315</v>
      </c>
      <c r="B315" s="116">
        <f>_xlfn.NUMBERVALUE(VLOOKUP(A315,'ENIGHUR Consumption items'!$H$2:$I$703,2,))</f>
        <v>118315</v>
      </c>
      <c r="C315" s="83" t="str">
        <f>'ENIGHUR Consumption items'!J316</f>
        <v>Habas enconfitadas</v>
      </c>
      <c r="D315" s="124">
        <v>109</v>
      </c>
      <c r="E315" s="91" t="str">
        <f>IFERROR(VLOOKUP(D315,'symmetric IOT 245 2012'!$C$6:$D$276,2,FALSE),"")</f>
        <v>Productos de confitería</v>
      </c>
      <c r="H315" s="77">
        <f>INDEX('Dictionary Categories'!$A$2:$A$30,MATCH(I315,'Dictionary Categories'!$B$2:$B$30,0))</f>
        <v>1</v>
      </c>
      <c r="I315" s="2" t="s">
        <v>2470</v>
      </c>
      <c r="J315" s="2">
        <f>INDEX('Dictionary Subcategories'!$A$2:$A$70,MATCH(K315,'Dictionary Subcategories'!$B$2:$B$70,0))</f>
        <v>8</v>
      </c>
      <c r="K315" s="2" t="s">
        <v>1233</v>
      </c>
      <c r="L315" s="147"/>
      <c r="M315" s="77">
        <v>313</v>
      </c>
      <c r="O315" s="77">
        <f t="shared" si="4"/>
        <v>0</v>
      </c>
    </row>
    <row r="316" spans="1:15" x14ac:dyDescent="0.25">
      <c r="A316" s="83" t="str">
        <f>'ENIGHUR Consumption items'!H317</f>
        <v>01.1.8.316</v>
      </c>
      <c r="B316" s="116">
        <f>_xlfn.NUMBERVALUE(VLOOKUP(A316,'ENIGHUR Consumption items'!$H$2:$I$703,2,))</f>
        <v>118316</v>
      </c>
      <c r="C316" s="83" t="str">
        <f>'ENIGHUR Consumption items'!J317</f>
        <v>Maíz con dulce</v>
      </c>
      <c r="D316" s="124">
        <v>109</v>
      </c>
      <c r="E316" s="91" t="str">
        <f>IFERROR(VLOOKUP(D316,'symmetric IOT 245 2012'!$C$6:$D$276,2,FALSE),"")</f>
        <v>Productos de confitería</v>
      </c>
      <c r="H316" s="77">
        <f>INDEX('Dictionary Categories'!$A$2:$A$30,MATCH(I316,'Dictionary Categories'!$B$2:$B$30,0))</f>
        <v>1</v>
      </c>
      <c r="I316" s="2" t="s">
        <v>2470</v>
      </c>
      <c r="J316" s="2">
        <f>INDEX('Dictionary Subcategories'!$A$2:$A$70,MATCH(K316,'Dictionary Subcategories'!$B$2:$B$70,0))</f>
        <v>8</v>
      </c>
      <c r="K316" s="2" t="s">
        <v>1233</v>
      </c>
      <c r="L316" s="147"/>
      <c r="M316" s="77">
        <v>314</v>
      </c>
      <c r="O316" s="77">
        <f t="shared" si="4"/>
        <v>0</v>
      </c>
    </row>
    <row r="317" spans="1:15" x14ac:dyDescent="0.25">
      <c r="A317" s="83" t="str">
        <f>'ENIGHUR Consumption items'!H318</f>
        <v>01.1.8.317</v>
      </c>
      <c r="B317" s="116">
        <f>_xlfn.NUMBERVALUE(VLOOKUP(A317,'ENIGHUR Consumption items'!$H$2:$I$703,2,))</f>
        <v>118317</v>
      </c>
      <c r="C317" s="83" t="str">
        <f>'ENIGHUR Consumption items'!J318</f>
        <v>Maní con dulce</v>
      </c>
      <c r="D317" s="124">
        <v>109</v>
      </c>
      <c r="E317" s="91" t="str">
        <f>IFERROR(VLOOKUP(D317,'symmetric IOT 245 2012'!$C$6:$D$276,2,FALSE),"")</f>
        <v>Productos de confitería</v>
      </c>
      <c r="H317" s="77">
        <f>INDEX('Dictionary Categories'!$A$2:$A$30,MATCH(I317,'Dictionary Categories'!$B$2:$B$30,0))</f>
        <v>1</v>
      </c>
      <c r="I317" s="2" t="s">
        <v>2470</v>
      </c>
      <c r="J317" s="2">
        <f>INDEX('Dictionary Subcategories'!$A$2:$A$70,MATCH(K317,'Dictionary Subcategories'!$B$2:$B$70,0))</f>
        <v>8</v>
      </c>
      <c r="K317" s="2" t="s">
        <v>1233</v>
      </c>
      <c r="L317" s="147"/>
      <c r="M317" s="77">
        <v>315</v>
      </c>
      <c r="O317" s="77">
        <f t="shared" si="4"/>
        <v>0</v>
      </c>
    </row>
    <row r="318" spans="1:15" x14ac:dyDescent="0.25">
      <c r="A318" s="83" t="str">
        <f>'ENIGHUR Consumption items'!H319</f>
        <v>01.1.8.318</v>
      </c>
      <c r="B318" s="116">
        <f>_xlfn.NUMBERVALUE(VLOOKUP(A318,'ENIGHUR Consumption items'!$H$2:$I$703,2,))</f>
        <v>118318</v>
      </c>
      <c r="C318" s="83" t="str">
        <f>'ENIGHUR Consumption items'!J319</f>
        <v>Masmelos</v>
      </c>
      <c r="D318" s="124">
        <v>109</v>
      </c>
      <c r="E318" s="91" t="str">
        <f>IFERROR(VLOOKUP(D318,'symmetric IOT 245 2012'!$C$6:$D$276,2,FALSE),"")</f>
        <v>Productos de confitería</v>
      </c>
      <c r="H318" s="77">
        <f>INDEX('Dictionary Categories'!$A$2:$A$30,MATCH(I318,'Dictionary Categories'!$B$2:$B$30,0))</f>
        <v>1</v>
      </c>
      <c r="I318" s="2" t="s">
        <v>2470</v>
      </c>
      <c r="J318" s="2">
        <f>INDEX('Dictionary Subcategories'!$A$2:$A$70,MATCH(K318,'Dictionary Subcategories'!$B$2:$B$70,0))</f>
        <v>8</v>
      </c>
      <c r="K318" s="2" t="s">
        <v>1233</v>
      </c>
      <c r="L318" s="147"/>
      <c r="M318" s="77">
        <v>316</v>
      </c>
      <c r="O318" s="77">
        <f t="shared" si="4"/>
        <v>0</v>
      </c>
    </row>
    <row r="319" spans="1:15" x14ac:dyDescent="0.25">
      <c r="A319" s="83" t="str">
        <f>'ENIGHUR Consumption items'!H320</f>
        <v>01.1.8.319</v>
      </c>
      <c r="B319" s="116">
        <f>_xlfn.NUMBERVALUE(VLOOKUP(A319,'ENIGHUR Consumption items'!$H$2:$I$703,2,))</f>
        <v>118319</v>
      </c>
      <c r="C319" s="83" t="str">
        <f>'ENIGHUR Consumption items'!J320</f>
        <v>Nogadas</v>
      </c>
      <c r="D319" s="124">
        <v>108</v>
      </c>
      <c r="E319" s="91" t="str">
        <f>IFERROR(VLOOKUP(D319,'symmetric IOT 245 2012'!$C$6:$D$276,2,FALSE),"")</f>
        <v>Chocolate y bombones (incluye polvo de cacao con edulcorante)</v>
      </c>
      <c r="H319" s="77">
        <f>INDEX('Dictionary Categories'!$A$2:$A$30,MATCH(I319,'Dictionary Categories'!$B$2:$B$30,0))</f>
        <v>1</v>
      </c>
      <c r="I319" s="2" t="s">
        <v>2470</v>
      </c>
      <c r="J319" s="2">
        <f>INDEX('Dictionary Subcategories'!$A$2:$A$70,MATCH(K319,'Dictionary Subcategories'!$B$2:$B$70,0))</f>
        <v>8</v>
      </c>
      <c r="K319" s="2" t="s">
        <v>1233</v>
      </c>
      <c r="L319" s="147"/>
      <c r="M319" s="77">
        <v>317</v>
      </c>
      <c r="O319" s="77">
        <f t="shared" si="4"/>
        <v>0</v>
      </c>
    </row>
    <row r="320" spans="1:15" x14ac:dyDescent="0.25">
      <c r="A320" s="83" t="str">
        <f>'ENIGHUR Consumption items'!H321</f>
        <v>01.1.8.320</v>
      </c>
      <c r="B320" s="116">
        <f>_xlfn.NUMBERVALUE(VLOOKUP(A320,'ENIGHUR Consumption items'!$H$2:$I$703,2,))</f>
        <v>118320</v>
      </c>
      <c r="C320" s="83" t="str">
        <f>'ENIGHUR Consumption items'!J321</f>
        <v>Turrones</v>
      </c>
      <c r="D320" s="124">
        <v>108</v>
      </c>
      <c r="E320" s="91" t="str">
        <f>IFERROR(VLOOKUP(D320,'symmetric IOT 245 2012'!$C$6:$D$276,2,FALSE),"")</f>
        <v>Chocolate y bombones (incluye polvo de cacao con edulcorante)</v>
      </c>
      <c r="H320" s="77">
        <f>INDEX('Dictionary Categories'!$A$2:$A$30,MATCH(I320,'Dictionary Categories'!$B$2:$B$30,0))</f>
        <v>1</v>
      </c>
      <c r="I320" s="2" t="s">
        <v>2470</v>
      </c>
      <c r="J320" s="2">
        <f>INDEX('Dictionary Subcategories'!$A$2:$A$70,MATCH(K320,'Dictionary Subcategories'!$B$2:$B$70,0))</f>
        <v>8</v>
      </c>
      <c r="K320" s="2" t="s">
        <v>1233</v>
      </c>
      <c r="L320" s="147"/>
      <c r="M320" s="77">
        <v>318</v>
      </c>
      <c r="O320" s="77">
        <f t="shared" si="4"/>
        <v>0</v>
      </c>
    </row>
    <row r="321" spans="1:15" x14ac:dyDescent="0.25">
      <c r="A321" s="83" t="str">
        <f>'ENIGHUR Consumption items'!H322</f>
        <v>01.1.8.321</v>
      </c>
      <c r="B321" s="116">
        <f>_xlfn.NUMBERVALUE(VLOOKUP(A321,'ENIGHUR Consumption items'!$H$2:$I$703,2,))</f>
        <v>118321</v>
      </c>
      <c r="C321" s="83" t="str">
        <f>'ENIGHUR Consumption items'!J322</f>
        <v>Otros chocolates y dulces de azúcar</v>
      </c>
      <c r="D321" s="124">
        <v>108</v>
      </c>
      <c r="E321" s="91" t="str">
        <f>IFERROR(VLOOKUP(D321,'symmetric IOT 245 2012'!$C$6:$D$276,2,FALSE),"")</f>
        <v>Chocolate y bombones (incluye polvo de cacao con edulcorante)</v>
      </c>
      <c r="H321" s="77">
        <f>INDEX('Dictionary Categories'!$A$2:$A$30,MATCH(I321,'Dictionary Categories'!$B$2:$B$30,0))</f>
        <v>1</v>
      </c>
      <c r="I321" s="2" t="s">
        <v>2470</v>
      </c>
      <c r="J321" s="2">
        <f>INDEX('Dictionary Subcategories'!$A$2:$A$70,MATCH(K321,'Dictionary Subcategories'!$B$2:$B$70,0))</f>
        <v>8</v>
      </c>
      <c r="K321" s="2" t="s">
        <v>1233</v>
      </c>
      <c r="L321" s="147"/>
      <c r="M321" s="77">
        <v>319</v>
      </c>
      <c r="O321" s="77">
        <f t="shared" si="4"/>
        <v>0</v>
      </c>
    </row>
    <row r="322" spans="1:15" x14ac:dyDescent="0.25">
      <c r="A322" s="83" t="str">
        <f>'ENIGHUR Consumption items'!H323</f>
        <v>01.1.9</v>
      </c>
      <c r="B322" s="116">
        <f>_xlfn.NUMBERVALUE(VLOOKUP(A322,'ENIGHUR Consumption items'!$H$2:$I$703,2,))</f>
        <v>119</v>
      </c>
      <c r="C322" s="83" t="str">
        <f>'ENIGHUR Consumption items'!J323</f>
        <v>PRODUCTOS ALIMENTICIOS (N.E.P.)</v>
      </c>
      <c r="D322" s="124">
        <v>112</v>
      </c>
      <c r="E322" s="91" t="str">
        <f>IFERROR(VLOOKUP(D322,'symmetric IOT 245 2012'!$C$6:$D$276,2,FALSE),"")</f>
        <v>Otros productos alimenticios n.c.p.</v>
      </c>
      <c r="H322" s="77">
        <f>INDEX('Dictionary Categories'!$A$2:$A$30,MATCH(I322,'Dictionary Categories'!$B$2:$B$30,0))</f>
        <v>1</v>
      </c>
      <c r="I322" s="2" t="s">
        <v>2470</v>
      </c>
      <c r="J322" s="2">
        <f>INDEX('Dictionary Subcategories'!$A$2:$A$70,MATCH(K322,'Dictionary Subcategories'!$B$2:$B$70,0))</f>
        <v>9</v>
      </c>
      <c r="K322" s="2" t="s">
        <v>1235</v>
      </c>
      <c r="L322" s="147"/>
      <c r="M322" s="77">
        <v>320</v>
      </c>
      <c r="O322" s="77">
        <f t="shared" si="4"/>
        <v>1</v>
      </c>
    </row>
    <row r="323" spans="1:15" x14ac:dyDescent="0.25">
      <c r="A323" s="83" t="str">
        <f>'ENIGHUR Consumption items'!H328</f>
        <v>01.2.1</v>
      </c>
      <c r="B323" s="116">
        <f>_xlfn.NUMBERVALUE(VLOOKUP(A323,'ENIGHUR Consumption items'!$H$2:$I$703,2,))</f>
        <v>121</v>
      </c>
      <c r="C323" s="83" t="str">
        <f>'ENIGHUR Consumption items'!J328</f>
        <v xml:space="preserve">CAFÉ, TE, CACAO, Y HIERBAS AROMATICAS </v>
      </c>
      <c r="D323" s="124">
        <v>111</v>
      </c>
      <c r="E323" s="91" t="str">
        <f>IFERROR(VLOOKUP(D323,'symmetric IOT 245 2012'!$C$6:$D$276,2,FALSE),"")</f>
        <v>Café tostado, molido, soluble y otros n.c.p.</v>
      </c>
      <c r="H323" s="77">
        <f>INDEX('Dictionary Categories'!$A$2:$A$30,MATCH(I323,'Dictionary Categories'!$B$2:$B$30,0))</f>
        <v>2</v>
      </c>
      <c r="I323" s="2" t="s">
        <v>2471</v>
      </c>
      <c r="J323" s="2">
        <f>INDEX('Dictionary Subcategories'!$A$2:$A$70,MATCH(K323,'Dictionary Subcategories'!$B$2:$B$70,0))</f>
        <v>10</v>
      </c>
      <c r="K323" s="2" t="s">
        <v>1236</v>
      </c>
      <c r="L323" s="147"/>
      <c r="M323" s="77">
        <v>321</v>
      </c>
      <c r="O323" s="77">
        <f t="shared" si="4"/>
        <v>1</v>
      </c>
    </row>
    <row r="324" spans="1:15" x14ac:dyDescent="0.25">
      <c r="A324" s="83" t="str">
        <f>'ENIGHUR Consumption items'!H330</f>
        <v>01.2.2</v>
      </c>
      <c r="B324" s="116">
        <f>_xlfn.NUMBERVALUE(VLOOKUP(A324,'ENIGHUR Consumption items'!$H$2:$I$703,2,))</f>
        <v>122</v>
      </c>
      <c r="C324" s="83" t="str">
        <f>'ENIGHUR Consumption items'!J330</f>
        <v>AGUAS MINERALES, REFRESCOS, JUGOS DE FRUTAS Y DE LEGUMBRES</v>
      </c>
      <c r="D324" s="124">
        <v>114</v>
      </c>
      <c r="E324" s="91" t="str">
        <f>IFERROR(VLOOKUP(D324,'symmetric IOT 245 2012'!$C$6:$D$276,2,FALSE),"")</f>
        <v>Bebidas no alcohólicas</v>
      </c>
      <c r="H324" s="77">
        <f>INDEX('Dictionary Categories'!$A$2:$A$30,MATCH(I324,'Dictionary Categories'!$B$2:$B$30,0))</f>
        <v>2</v>
      </c>
      <c r="I324" s="2" t="s">
        <v>2471</v>
      </c>
      <c r="J324" s="2">
        <f>INDEX('Dictionary Subcategories'!$A$2:$A$70,MATCH(K324,'Dictionary Subcategories'!$B$2:$B$70,0))</f>
        <v>11</v>
      </c>
      <c r="K324" s="2" t="s">
        <v>1237</v>
      </c>
      <c r="L324" s="147"/>
      <c r="M324" s="77">
        <v>322</v>
      </c>
      <c r="O324" s="77">
        <f t="shared" ref="O324:O387" si="5">IF(LEFT(RIGHT(A324,2),1)=".",1,0)</f>
        <v>1</v>
      </c>
    </row>
    <row r="325" spans="1:15" x14ac:dyDescent="0.25">
      <c r="A325" s="84" t="str">
        <f>'ENIGHUR Consumption items'!H335</f>
        <v>02.1.1</v>
      </c>
      <c r="B325" s="116">
        <f>_xlfn.NUMBERVALUE(VLOOKUP(A325,'ENIGHUR Consumption items'!$H$2:$I$703,2,))</f>
        <v>211</v>
      </c>
      <c r="C325" s="84" t="str">
        <f>'ENIGHUR Consumption items'!J335</f>
        <v xml:space="preserve">BEBIDAS DESTILADAS </v>
      </c>
      <c r="D325" s="124">
        <v>113</v>
      </c>
      <c r="E325" s="91" t="str">
        <f>IFERROR(VLOOKUP(D325,'symmetric IOT 245 2012'!$C$6:$D$276,2,FALSE),"")</f>
        <v xml:space="preserve">Alcohol etílico y bebidas alcohólicas;  Cerveza y malta </v>
      </c>
      <c r="H325" s="77">
        <f>INDEX('Dictionary Categories'!$A$2:$A$30,MATCH(I325,'Dictionary Categories'!$B$2:$B$30,0))</f>
        <v>2</v>
      </c>
      <c r="I325" s="2" t="s">
        <v>2471</v>
      </c>
      <c r="J325" s="2">
        <f>INDEX('Dictionary Subcategories'!$A$2:$A$70,MATCH(K325,'Dictionary Subcategories'!$B$2:$B$70,0))</f>
        <v>12</v>
      </c>
      <c r="K325" s="2" t="s">
        <v>1238</v>
      </c>
      <c r="L325" s="147"/>
      <c r="M325" s="77">
        <v>323</v>
      </c>
      <c r="O325" s="77">
        <f t="shared" si="5"/>
        <v>1</v>
      </c>
    </row>
    <row r="326" spans="1:15" x14ac:dyDescent="0.25">
      <c r="A326" s="84" t="str">
        <f>'ENIGHUR Consumption items'!H337</f>
        <v>02.1.2</v>
      </c>
      <c r="B326" s="116">
        <f>_xlfn.NUMBERVALUE(VLOOKUP(A326,'ENIGHUR Consumption items'!$H$2:$I$703,2,))</f>
        <v>212</v>
      </c>
      <c r="C326" s="84" t="str">
        <f>'ENIGHUR Consumption items'!J337</f>
        <v xml:space="preserve">VINO </v>
      </c>
      <c r="D326" s="124">
        <v>113</v>
      </c>
      <c r="E326" s="91" t="str">
        <f>IFERROR(VLOOKUP(D326,'symmetric IOT 245 2012'!$C$6:$D$276,2,FALSE),"")</f>
        <v xml:space="preserve">Alcohol etílico y bebidas alcohólicas;  Cerveza y malta </v>
      </c>
      <c r="H326" s="77">
        <f>INDEX('Dictionary Categories'!$A$2:$A$30,MATCH(I326,'Dictionary Categories'!$B$2:$B$30,0))</f>
        <v>2</v>
      </c>
      <c r="I326" s="2" t="s">
        <v>2471</v>
      </c>
      <c r="J326" s="2">
        <f>INDEX('Dictionary Subcategories'!$A$2:$A$70,MATCH(K326,'Dictionary Subcategories'!$B$2:$B$70,0))</f>
        <v>13</v>
      </c>
      <c r="K326" s="2" t="s">
        <v>1239</v>
      </c>
      <c r="L326" s="147"/>
      <c r="M326" s="77">
        <v>324</v>
      </c>
      <c r="O326" s="77">
        <f t="shared" si="5"/>
        <v>1</v>
      </c>
    </row>
    <row r="327" spans="1:15" x14ac:dyDescent="0.25">
      <c r="A327" s="84" t="str">
        <f>'ENIGHUR Consumption items'!H339</f>
        <v>02.1.3</v>
      </c>
      <c r="B327" s="116">
        <f>_xlfn.NUMBERVALUE(VLOOKUP(A327,'ENIGHUR Consumption items'!$H$2:$I$703,2,))</f>
        <v>213</v>
      </c>
      <c r="C327" s="84" t="str">
        <f>'ENIGHUR Consumption items'!J339</f>
        <v xml:space="preserve">CERVEZA </v>
      </c>
      <c r="D327" s="124">
        <v>113</v>
      </c>
      <c r="E327" s="91" t="str">
        <f>IFERROR(VLOOKUP(D327,'symmetric IOT 245 2012'!$C$6:$D$276,2,FALSE),"")</f>
        <v xml:space="preserve">Alcohol etílico y bebidas alcohólicas;  Cerveza y malta </v>
      </c>
      <c r="H327" s="77">
        <f>INDEX('Dictionary Categories'!$A$2:$A$30,MATCH(I327,'Dictionary Categories'!$B$2:$B$30,0))</f>
        <v>2</v>
      </c>
      <c r="I327" s="2" t="s">
        <v>2471</v>
      </c>
      <c r="J327" s="2">
        <f>INDEX('Dictionary Subcategories'!$A$2:$A$70,MATCH(K327,'Dictionary Subcategories'!$B$2:$B$70,0))</f>
        <v>14</v>
      </c>
      <c r="K327" s="3" t="s">
        <v>1240</v>
      </c>
      <c r="L327" s="147"/>
      <c r="M327" s="77">
        <v>325</v>
      </c>
      <c r="O327" s="77">
        <f t="shared" si="5"/>
        <v>1</v>
      </c>
    </row>
    <row r="328" spans="1:15" x14ac:dyDescent="0.25">
      <c r="A328" s="88" t="str">
        <f>'ENIGHUR Consumption items'!H371</f>
        <v>04.1.1</v>
      </c>
      <c r="B328" s="116">
        <f>_xlfn.NUMBERVALUE(VLOOKUP(A328,'ENIGHUR Consumption items'!$H$2:$I$703,2,))</f>
        <v>411</v>
      </c>
      <c r="C328" s="88" t="str">
        <f>'ENIGHUR Consumption items'!J371</f>
        <v>ALQUILERES EFECTIVOS PAGADOS POR LOS INQUILINOS</v>
      </c>
      <c r="D328" s="126">
        <v>206</v>
      </c>
      <c r="E328" s="91" t="str">
        <f>IFERROR(VLOOKUP(D328,'symmetric IOT 245 2012'!$C$6:$D$276,2,FALSE),"")</f>
        <v>Alquiler de vivienda</v>
      </c>
      <c r="F328" s="117"/>
      <c r="H328" s="77">
        <f>INDEX('Dictionary Categories'!$A$2:$A$30,MATCH(I328,'Dictionary Categories'!$B$2:$B$30,0))</f>
        <v>3</v>
      </c>
      <c r="I328" s="2" t="s">
        <v>1242</v>
      </c>
      <c r="J328" s="2">
        <f>INDEX('Dictionary Subcategories'!$A$2:$A$70,MATCH(K328,'Dictionary Subcategories'!$B$2:$B$70,0))</f>
        <v>15</v>
      </c>
      <c r="K328" s="2" t="s">
        <v>1245</v>
      </c>
      <c r="L328" s="147"/>
      <c r="M328" s="77">
        <v>326</v>
      </c>
      <c r="O328" s="77">
        <f t="shared" si="5"/>
        <v>1</v>
      </c>
    </row>
    <row r="329" spans="1:15" x14ac:dyDescent="0.25">
      <c r="A329" s="88" t="str">
        <f>'ENIGHUR Consumption items'!H373</f>
        <v>04.1.2</v>
      </c>
      <c r="B329" s="116">
        <f>_xlfn.NUMBERVALUE(VLOOKUP(A329,'ENIGHUR Consumption items'!$H$2:$I$703,2,))</f>
        <v>412</v>
      </c>
      <c r="C329" s="88" t="str">
        <f>'ENIGHUR Consumption items'!J373</f>
        <v xml:space="preserve">OTROS ALQUILERES EFECTIVOS </v>
      </c>
      <c r="D329" s="126">
        <v>206</v>
      </c>
      <c r="E329" s="91" t="str">
        <f>IFERROR(VLOOKUP(D329,'symmetric IOT 245 2012'!$C$6:$D$276,2,FALSE),"")</f>
        <v>Alquiler de vivienda</v>
      </c>
      <c r="F329" s="117"/>
      <c r="H329" s="77">
        <f>INDEX('Dictionary Categories'!$A$2:$A$30,MATCH(I329,'Dictionary Categories'!$B$2:$B$30,0))</f>
        <v>3</v>
      </c>
      <c r="I329" s="2" t="s">
        <v>1242</v>
      </c>
      <c r="J329" s="2">
        <f>INDEX('Dictionary Subcategories'!$A$2:$A$70,MATCH(K329,'Dictionary Subcategories'!$B$2:$B$70,0))</f>
        <v>15</v>
      </c>
      <c r="K329" s="2" t="s">
        <v>1245</v>
      </c>
      <c r="L329" s="147"/>
      <c r="M329" s="77">
        <v>327</v>
      </c>
      <c r="O329" s="77">
        <f t="shared" si="5"/>
        <v>1</v>
      </c>
    </row>
    <row r="330" spans="1:15" x14ac:dyDescent="0.25">
      <c r="A330" s="88" t="str">
        <f>'ENIGHUR Consumption items'!H376</f>
        <v>04.2.1</v>
      </c>
      <c r="B330" s="116">
        <f>_xlfn.NUMBERVALUE(VLOOKUP(A330,'ENIGHUR Consumption items'!$H$2:$I$703,2,))</f>
        <v>421</v>
      </c>
      <c r="C330" s="88" t="str">
        <f>'ENIGHUR Consumption items'!J376</f>
        <v>ALQUILERES IMPUTADOS DE LOS PROPIETARIOS-OCUPANTES</v>
      </c>
      <c r="D330" s="126">
        <v>207</v>
      </c>
      <c r="E330" s="91" t="str">
        <f>IFERROR(VLOOKUP(D330,'symmetric IOT 245 2012'!$C$6:$D$276,2,FALSE),"")</f>
        <v>Alquiler imputado de vivienda</v>
      </c>
      <c r="F330" s="117"/>
      <c r="H330" s="77">
        <f>INDEX('Dictionary Categories'!$A$2:$A$30,MATCH(I330,'Dictionary Categories'!$B$2:$B$30,0))</f>
        <v>4</v>
      </c>
      <c r="I330" s="2" t="s">
        <v>586</v>
      </c>
      <c r="J330" s="2">
        <f>INDEX('Dictionary Subcategories'!$A$2:$A$70,MATCH(K330,'Dictionary Subcategories'!$B$2:$B$70,0))</f>
        <v>16</v>
      </c>
      <c r="K330" s="2" t="s">
        <v>2357</v>
      </c>
      <c r="L330" s="147">
        <v>0</v>
      </c>
      <c r="M330" s="77">
        <v>328</v>
      </c>
      <c r="O330" s="77">
        <f t="shared" si="5"/>
        <v>1</v>
      </c>
    </row>
    <row r="331" spans="1:15" x14ac:dyDescent="0.25">
      <c r="A331" s="88" t="str">
        <f>'ENIGHUR Consumption items'!H378</f>
        <v>04.2.2</v>
      </c>
      <c r="B331" s="116">
        <f>_xlfn.NUMBERVALUE(VLOOKUP(A331,'ENIGHUR Consumption items'!$H$2:$I$703,2,))</f>
        <v>422</v>
      </c>
      <c r="C331" s="88" t="str">
        <f>'ENIGHUR Consumption items'!J378</f>
        <v xml:space="preserve">OTROS ALQUILERES IMPUTADOS </v>
      </c>
      <c r="D331" s="126">
        <v>207</v>
      </c>
      <c r="E331" s="91" t="str">
        <f>IFERROR(VLOOKUP(D331,'symmetric IOT 245 2012'!$C$6:$D$276,2,FALSE),"")</f>
        <v>Alquiler imputado de vivienda</v>
      </c>
      <c r="F331" s="117"/>
      <c r="H331" s="77">
        <f>INDEX('Dictionary Categories'!$A$2:$A$30,MATCH(I331,'Dictionary Categories'!$B$2:$B$30,0))</f>
        <v>4</v>
      </c>
      <c r="I331" s="2" t="s">
        <v>586</v>
      </c>
      <c r="J331" s="2">
        <f>INDEX('Dictionary Subcategories'!$A$2:$A$70,MATCH(K331,'Dictionary Subcategories'!$B$2:$B$70,0))</f>
        <v>16</v>
      </c>
      <c r="K331" s="2" t="s">
        <v>2357</v>
      </c>
      <c r="L331" s="147">
        <v>0</v>
      </c>
      <c r="M331" s="77">
        <v>329</v>
      </c>
      <c r="O331" s="77">
        <f t="shared" si="5"/>
        <v>1</v>
      </c>
    </row>
    <row r="332" spans="1:15" x14ac:dyDescent="0.25">
      <c r="A332" s="88" t="str">
        <f>'ENIGHUR Consumption items'!H380</f>
        <v>04.2.3</v>
      </c>
      <c r="B332" s="116">
        <f>_xlfn.NUMBERVALUE(VLOOKUP(A332,'ENIGHUR Consumption items'!$H$2:$I$703,2,))</f>
        <v>423</v>
      </c>
      <c r="C332" s="88" t="str">
        <f>'ENIGHUR Consumption items'!J380</f>
        <v>VIVIENDA PROPIA PAGADA A PLAZOS</v>
      </c>
      <c r="D332" s="126">
        <v>207</v>
      </c>
      <c r="E332" s="91" t="str">
        <f>IFERROR(VLOOKUP(D332,'symmetric IOT 245 2012'!$C$6:$D$276,2,FALSE),"")</f>
        <v>Alquiler imputado de vivienda</v>
      </c>
      <c r="F332" s="117"/>
      <c r="H332" s="77">
        <f>INDEX('Dictionary Categories'!$A$2:$A$30,MATCH(I332,'Dictionary Categories'!$B$2:$B$30,0))</f>
        <v>4</v>
      </c>
      <c r="I332" s="2" t="s">
        <v>586</v>
      </c>
      <c r="J332" s="2">
        <f>INDEX('Dictionary Subcategories'!$A$2:$A$70,MATCH(K332,'Dictionary Subcategories'!$B$2:$B$70,0))</f>
        <v>16</v>
      </c>
      <c r="K332" s="2" t="s">
        <v>2357</v>
      </c>
      <c r="L332" s="147">
        <v>0</v>
      </c>
      <c r="M332" s="77">
        <v>330</v>
      </c>
      <c r="O332" s="77">
        <f t="shared" si="5"/>
        <v>1</v>
      </c>
    </row>
    <row r="333" spans="1:15" x14ac:dyDescent="0.25">
      <c r="A333" s="88" t="str">
        <f>'ENIGHUR Consumption items'!H383</f>
        <v>04.3.1</v>
      </c>
      <c r="B333" s="116">
        <f>_xlfn.NUMBERVALUE(VLOOKUP(A333,'ENIGHUR Consumption items'!$H$2:$I$703,2,))</f>
        <v>431</v>
      </c>
      <c r="C333" s="88" t="str">
        <f>'ENIGHUR Consumption items'!J383</f>
        <v>MATERIALES PARA LA CONSEVACION Y LA REPARACIÓN DE LA VIVIENDA</v>
      </c>
      <c r="D333" s="126">
        <v>124</v>
      </c>
      <c r="E333" s="91" t="str">
        <f>IFERROR(VLOOKUP(D333,'symmetric IOT 245 2012'!$C$6:$D$276,2,FALSE),"")</f>
        <v>Tableros, paneles y hojas de madera</v>
      </c>
      <c r="F333" s="80" t="s">
        <v>2400</v>
      </c>
      <c r="H333" s="77">
        <f>INDEX('Dictionary Categories'!$A$2:$A$30,MATCH(I333,'Dictionary Categories'!$B$2:$B$30,0))</f>
        <v>3</v>
      </c>
      <c r="I333" s="2" t="s">
        <v>1242</v>
      </c>
      <c r="J333" s="2">
        <f>INDEX('Dictionary Subcategories'!$A$2:$A$70,MATCH(K333,'Dictionary Subcategories'!$B$2:$B$70,0))</f>
        <v>17</v>
      </c>
      <c r="K333" s="80" t="s">
        <v>2130</v>
      </c>
      <c r="L333" s="147"/>
      <c r="M333" s="77">
        <v>331</v>
      </c>
      <c r="O333" s="77">
        <f t="shared" si="5"/>
        <v>1</v>
      </c>
    </row>
    <row r="334" spans="1:15" x14ac:dyDescent="0.25">
      <c r="A334" s="88" t="str">
        <f>'ENIGHUR Consumption items'!H385</f>
        <v>04.3.2</v>
      </c>
      <c r="B334" s="116">
        <f>_xlfn.NUMBERVALUE(VLOOKUP(A334,'ENIGHUR Consumption items'!$H$2:$I$703,2,))</f>
        <v>432</v>
      </c>
      <c r="C334" s="88" t="str">
        <f>'ENIGHUR Consumption items'!J385</f>
        <v>SERVICIOS PARA LA CONSERVACION Y REPARACION DE LA VIVIENDA</v>
      </c>
      <c r="D334" s="126">
        <v>217</v>
      </c>
      <c r="E334" s="91" t="str">
        <f>IFERROR(VLOOKUP(D334,'symmetric IOT 245 2012'!$C$6:$D$276,2,FALSE),"")</f>
        <v>Otros servicios profesionales y técnicos</v>
      </c>
      <c r="H334" s="77">
        <f>INDEX('Dictionary Categories'!$A$2:$A$30,MATCH(I334,'Dictionary Categories'!$B$2:$B$30,0))</f>
        <v>3</v>
      </c>
      <c r="I334" s="2" t="s">
        <v>1242</v>
      </c>
      <c r="J334" s="2">
        <f>INDEX('Dictionary Subcategories'!$A$2:$A$70,MATCH(K334,'Dictionary Subcategories'!$B$2:$B$70,0))</f>
        <v>17</v>
      </c>
      <c r="K334" s="80" t="s">
        <v>2130</v>
      </c>
      <c r="L334" s="147"/>
      <c r="M334" s="77">
        <v>332</v>
      </c>
      <c r="O334" s="77">
        <f t="shared" si="5"/>
        <v>1</v>
      </c>
    </row>
    <row r="335" spans="1:15" x14ac:dyDescent="0.25">
      <c r="A335" s="88" t="str">
        <f>'ENIGHUR Consumption items'!H388</f>
        <v>04.4.1</v>
      </c>
      <c r="B335" s="116">
        <f>_xlfn.NUMBERVALUE(VLOOKUP(A335,'ENIGHUR Consumption items'!$H$2:$I$703,2,))</f>
        <v>441</v>
      </c>
      <c r="C335" s="88" t="str">
        <f>'ENIGHUR Consumption items'!J388</f>
        <v xml:space="preserve">SUMINISTRO DE AGUA </v>
      </c>
      <c r="D335" s="124">
        <v>177</v>
      </c>
      <c r="E335" s="91" t="str">
        <f>IFERROR(VLOOKUP(D335,'symmetric IOT 245 2012'!$C$6:$D$276,2,FALSE),"")</f>
        <v>Agua</v>
      </c>
      <c r="H335" s="77">
        <f>INDEX('Dictionary Categories'!$A$2:$A$30,MATCH(I335,'Dictionary Categories'!$B$2:$B$30,0))</f>
        <v>3</v>
      </c>
      <c r="I335" s="2" t="s">
        <v>1242</v>
      </c>
      <c r="J335" s="2">
        <f>INDEX('Dictionary Subcategories'!$A$2:$A$70,MATCH(K335,'Dictionary Subcategories'!$B$2:$B$70,0))</f>
        <v>18</v>
      </c>
      <c r="K335" s="80" t="s">
        <v>2129</v>
      </c>
      <c r="L335" s="147"/>
      <c r="M335" s="77">
        <v>333</v>
      </c>
      <c r="O335" s="77">
        <f t="shared" si="5"/>
        <v>1</v>
      </c>
    </row>
    <row r="336" spans="1:15" x14ac:dyDescent="0.25">
      <c r="A336" s="88" t="str">
        <f>'ENIGHUR Consumption items'!H389</f>
        <v>04.4.2</v>
      </c>
      <c r="B336" s="116">
        <f>_xlfn.NUMBERVALUE(VLOOKUP(A336,'ENIGHUR Consumption items'!$H$2:$I$703,2,))</f>
        <v>442</v>
      </c>
      <c r="C336" s="88" t="str">
        <f>'ENIGHUR Consumption items'!J389</f>
        <v xml:space="preserve">RECOGIDA DE BASURA </v>
      </c>
      <c r="D336" s="126">
        <v>245</v>
      </c>
      <c r="E336" s="91" t="str">
        <f>IFERROR(VLOOKUP(D336,'symmetric IOT 245 2012'!$C$6:$D$276,2,FALSE),"")</f>
        <v>Servicio doméstico</v>
      </c>
      <c r="H336" s="77">
        <f>INDEX('Dictionary Categories'!$A$2:$A$30,MATCH(I336,'Dictionary Categories'!$B$2:$B$30,0))</f>
        <v>3</v>
      </c>
      <c r="I336" s="2" t="s">
        <v>1242</v>
      </c>
      <c r="J336" s="2">
        <f>INDEX('Dictionary Subcategories'!$A$2:$A$70,MATCH(K336,'Dictionary Subcategories'!$B$2:$B$70,0))</f>
        <v>18</v>
      </c>
      <c r="K336" s="80" t="s">
        <v>2129</v>
      </c>
      <c r="L336" s="147"/>
      <c r="M336" s="77">
        <v>334</v>
      </c>
      <c r="O336" s="77">
        <f t="shared" si="5"/>
        <v>1</v>
      </c>
    </row>
    <row r="337" spans="1:15" x14ac:dyDescent="0.25">
      <c r="A337" s="88" t="str">
        <f>'ENIGHUR Consumption items'!H390</f>
        <v>04.4.3</v>
      </c>
      <c r="B337" s="116">
        <f>_xlfn.NUMBERVALUE(VLOOKUP(A337,'ENIGHUR Consumption items'!$H$2:$I$703,2,))</f>
        <v>443</v>
      </c>
      <c r="C337" s="88" t="str">
        <f>'ENIGHUR Consumption items'!J390</f>
        <v xml:space="preserve">ALCANTARILLADO </v>
      </c>
      <c r="D337" s="128">
        <v>245</v>
      </c>
      <c r="E337" s="91" t="str">
        <f>IFERROR(VLOOKUP(D337,'symmetric IOT 245 2012'!$C$6:$D$276,2,FALSE),"")</f>
        <v>Servicio doméstico</v>
      </c>
      <c r="H337" s="77">
        <f>INDEX('Dictionary Categories'!$A$2:$A$30,MATCH(I337,'Dictionary Categories'!$B$2:$B$30,0))</f>
        <v>3</v>
      </c>
      <c r="I337" s="2" t="s">
        <v>1242</v>
      </c>
      <c r="J337" s="2">
        <f>INDEX('Dictionary Subcategories'!$A$2:$A$70,MATCH(K337,'Dictionary Subcategories'!$B$2:$B$70,0))</f>
        <v>18</v>
      </c>
      <c r="K337" s="80" t="s">
        <v>2129</v>
      </c>
      <c r="L337" s="147"/>
      <c r="M337" s="77">
        <v>335</v>
      </c>
      <c r="O337" s="77">
        <f t="shared" si="5"/>
        <v>1</v>
      </c>
    </row>
    <row r="338" spans="1:15" x14ac:dyDescent="0.25">
      <c r="A338" s="88" t="str">
        <f>'ENIGHUR Consumption items'!H391</f>
        <v>04.4.4</v>
      </c>
      <c r="B338" s="116">
        <f>_xlfn.NUMBERVALUE(VLOOKUP(A338,'ENIGHUR Consumption items'!$H$2:$I$703,2,))</f>
        <v>444</v>
      </c>
      <c r="C338" s="88" t="str">
        <f>'ENIGHUR Consumption items'!J391</f>
        <v>OTROS SERVICIOS RELACIONADOS CON LA VIVIENDA N.E.P.</v>
      </c>
      <c r="D338" s="128">
        <v>245</v>
      </c>
      <c r="E338" s="91" t="str">
        <f>IFERROR(VLOOKUP(D338,'symmetric IOT 245 2012'!$C$6:$D$276,2,FALSE),"")</f>
        <v>Servicio doméstico</v>
      </c>
      <c r="H338" s="77">
        <f>INDEX('Dictionary Categories'!$A$2:$A$30,MATCH(I338,'Dictionary Categories'!$B$2:$B$30,0))</f>
        <v>3</v>
      </c>
      <c r="I338" s="2" t="s">
        <v>1242</v>
      </c>
      <c r="J338" s="2">
        <f>INDEX('Dictionary Subcategories'!$A$2:$A$70,MATCH(K338,'Dictionary Subcategories'!$B$2:$B$70,0))</f>
        <v>18</v>
      </c>
      <c r="K338" s="80" t="s">
        <v>2129</v>
      </c>
      <c r="L338" s="147"/>
      <c r="M338" s="77">
        <v>336</v>
      </c>
      <c r="O338" s="77">
        <f t="shared" si="5"/>
        <v>1</v>
      </c>
    </row>
    <row r="339" spans="1:15" x14ac:dyDescent="0.25">
      <c r="A339" s="83" t="str">
        <f>'ENIGHUR Consumption items'!H349</f>
        <v>03.1.1</v>
      </c>
      <c r="B339" s="116">
        <f>_xlfn.NUMBERVALUE(VLOOKUP(A339,'ENIGHUR Consumption items'!$H$2:$I$703,2,))</f>
        <v>311</v>
      </c>
      <c r="C339" s="83" t="str">
        <f>'ENIGHUR Consumption items'!J349</f>
        <v xml:space="preserve">MATERIALES PARA PRENDAS DE VESTIR </v>
      </c>
      <c r="D339" s="124">
        <v>117</v>
      </c>
      <c r="E339" s="91" t="str">
        <f>IFERROR(VLOOKUP(D339,'symmetric IOT 245 2012'!$C$6:$D$276,2,FALSE),"")</f>
        <v>Tejidos y telas de fibras textiles</v>
      </c>
      <c r="H339" s="77">
        <f>INDEX('Dictionary Categories'!$A$2:$A$30,MATCH(I339,'Dictionary Categories'!$B$2:$B$30,0))</f>
        <v>5</v>
      </c>
      <c r="I339" s="2" t="s">
        <v>1243</v>
      </c>
      <c r="J339" s="2">
        <f>INDEX('Dictionary Subcategories'!$A$2:$A$70,MATCH(K339,'Dictionary Subcategories'!$B$2:$B$70,0))</f>
        <v>19</v>
      </c>
      <c r="K339" s="2" t="s">
        <v>1243</v>
      </c>
      <c r="L339" s="147"/>
      <c r="M339" s="77">
        <v>337</v>
      </c>
      <c r="O339" s="77">
        <f t="shared" si="5"/>
        <v>1</v>
      </c>
    </row>
    <row r="340" spans="1:15" x14ac:dyDescent="0.25">
      <c r="A340" s="83" t="str">
        <f>'ENIGHUR Consumption items'!H351</f>
        <v>03.1.2</v>
      </c>
      <c r="B340" s="116">
        <f>_xlfn.NUMBERVALUE(VLOOKUP(A340,'ENIGHUR Consumption items'!$H$2:$I$703,2,))</f>
        <v>312</v>
      </c>
      <c r="C340" s="83" t="str">
        <f>'ENIGHUR Consumption items'!J351</f>
        <v xml:space="preserve">PRENDAS DE VESTIR </v>
      </c>
      <c r="D340" s="124">
        <v>119</v>
      </c>
      <c r="E340" s="91" t="str">
        <f>IFERROR(VLOOKUP(D340,'symmetric IOT 245 2012'!$C$6:$D$276,2,FALSE),"")</f>
        <v>Prendas de vestir (inclusive de cuero y piel)</v>
      </c>
      <c r="H340" s="77">
        <f>INDEX('Dictionary Categories'!$A$2:$A$30,MATCH(I340,'Dictionary Categories'!$B$2:$B$30,0))</f>
        <v>5</v>
      </c>
      <c r="I340" s="2" t="s">
        <v>1243</v>
      </c>
      <c r="J340" s="2">
        <f>INDEX('Dictionary Subcategories'!$A$2:$A$70,MATCH(K340,'Dictionary Subcategories'!$B$2:$B$70,0))</f>
        <v>19</v>
      </c>
      <c r="K340" s="2" t="s">
        <v>1243</v>
      </c>
      <c r="L340" s="147"/>
      <c r="M340" s="77">
        <v>338</v>
      </c>
      <c r="O340" s="77">
        <f t="shared" si="5"/>
        <v>1</v>
      </c>
    </row>
    <row r="341" spans="1:15" x14ac:dyDescent="0.25">
      <c r="A341" s="83" t="str">
        <f>'ENIGHUR Consumption items'!H356</f>
        <v>03.1.3</v>
      </c>
      <c r="B341" s="116">
        <f>_xlfn.NUMBERVALUE(VLOOKUP(A341,'ENIGHUR Consumption items'!$H$2:$I$703,2,))</f>
        <v>313</v>
      </c>
      <c r="C341" s="83" t="str">
        <f>'ENIGHUR Consumption items'!J356</f>
        <v xml:space="preserve">OTROS ARTÍCULOS Y ACCESORIOS DE VESTIR </v>
      </c>
      <c r="D341" s="124">
        <v>119</v>
      </c>
      <c r="E341" s="91" t="str">
        <f>IFERROR(VLOOKUP(D341,'symmetric IOT 245 2012'!$C$6:$D$276,2,FALSE),"")</f>
        <v>Prendas de vestir (inclusive de cuero y piel)</v>
      </c>
      <c r="H341" s="77">
        <f>INDEX('Dictionary Categories'!$A$2:$A$30,MATCH(I341,'Dictionary Categories'!$B$2:$B$30,0))</f>
        <v>5</v>
      </c>
      <c r="I341" s="2" t="s">
        <v>1243</v>
      </c>
      <c r="J341" s="2">
        <f>INDEX('Dictionary Subcategories'!$A$2:$A$70,MATCH(K341,'Dictionary Subcategories'!$B$2:$B$70,0))</f>
        <v>19</v>
      </c>
      <c r="K341" s="2" t="s">
        <v>1243</v>
      </c>
      <c r="L341" s="147"/>
      <c r="M341" s="77">
        <v>339</v>
      </c>
      <c r="O341" s="77">
        <f t="shared" si="5"/>
        <v>1</v>
      </c>
    </row>
    <row r="342" spans="1:15" x14ac:dyDescent="0.25">
      <c r="A342" s="83" t="str">
        <f>'ENIGHUR Consumption items'!H358</f>
        <v>03.1.4</v>
      </c>
      <c r="B342" s="116">
        <f>_xlfn.NUMBERVALUE(VLOOKUP(A342,'ENIGHUR Consumption items'!$H$2:$I$703,2,))</f>
        <v>314</v>
      </c>
      <c r="C342" s="83" t="str">
        <f>'ENIGHUR Consumption items'!J358</f>
        <v>LIMPIEZA, REPARACIÓN Y ALQUILER DE PRENDAS DE VESTIR</v>
      </c>
      <c r="D342" s="124">
        <v>217</v>
      </c>
      <c r="E342" s="91" t="str">
        <f>IFERROR(VLOOKUP(D342,'symmetric IOT 245 2012'!$C$6:$D$276,2,FALSE),"")</f>
        <v>Otros servicios profesionales y técnicos</v>
      </c>
      <c r="H342" s="77">
        <f>INDEX('Dictionary Categories'!$A$2:$A$30,MATCH(I342,'Dictionary Categories'!$B$2:$B$30,0))</f>
        <v>5</v>
      </c>
      <c r="I342" s="2" t="s">
        <v>1243</v>
      </c>
      <c r="J342" s="2">
        <f>INDEX('Dictionary Subcategories'!$A$2:$A$70,MATCH(K342,'Dictionary Subcategories'!$B$2:$B$70,0))</f>
        <v>19</v>
      </c>
      <c r="K342" s="2" t="s">
        <v>1243</v>
      </c>
      <c r="L342" s="147"/>
      <c r="M342" s="77">
        <v>340</v>
      </c>
      <c r="O342" s="77">
        <f t="shared" si="5"/>
        <v>1</v>
      </c>
    </row>
    <row r="343" spans="1:15" x14ac:dyDescent="0.25">
      <c r="A343" s="83" t="str">
        <f>'ENIGHUR Consumption items'!H360</f>
        <v>03.1.5</v>
      </c>
      <c r="B343" s="116">
        <f>_xlfn.NUMBERVALUE(VLOOKUP(A343,'ENIGHUR Consumption items'!$H$2:$I$703,2,))</f>
        <v>315</v>
      </c>
      <c r="C343" s="83" t="str">
        <f>'ENIGHUR Consumption items'!J360</f>
        <v>CONFECCIÓN DE PRENDAS DE VESTIR - PARA TODOS LOS MIEMBROS DEL HOGAR</v>
      </c>
      <c r="D343" s="124">
        <v>119</v>
      </c>
      <c r="E343" s="91" t="str">
        <f>IFERROR(VLOOKUP(D343,'symmetric IOT 245 2012'!$C$6:$D$276,2,FALSE),"")</f>
        <v>Prendas de vestir (inclusive de cuero y piel)</v>
      </c>
      <c r="H343" s="77">
        <f>INDEX('Dictionary Categories'!$A$2:$A$30,MATCH(I343,'Dictionary Categories'!$B$2:$B$30,0))</f>
        <v>5</v>
      </c>
      <c r="I343" s="2" t="s">
        <v>1243</v>
      </c>
      <c r="J343" s="2">
        <f>INDEX('Dictionary Subcategories'!$A$2:$A$70,MATCH(K343,'Dictionary Subcategories'!$B$2:$B$70,0))</f>
        <v>19</v>
      </c>
      <c r="K343" s="2" t="s">
        <v>1243</v>
      </c>
      <c r="L343" s="147"/>
      <c r="M343" s="77">
        <v>341</v>
      </c>
      <c r="O343" s="77">
        <f t="shared" si="5"/>
        <v>1</v>
      </c>
    </row>
    <row r="344" spans="1:15" x14ac:dyDescent="0.25">
      <c r="A344" s="88" t="str">
        <f>'ENIGHUR Consumption items'!H363</f>
        <v>03.2.1</v>
      </c>
      <c r="B344" s="116">
        <f>_xlfn.NUMBERVALUE(VLOOKUP(A344,'ENIGHUR Consumption items'!$H$2:$I$703,2,))</f>
        <v>321</v>
      </c>
      <c r="C344" s="88" t="str">
        <f>'ENIGHUR Consumption items'!J363</f>
        <v xml:space="preserve">ZAPATOS Y OTROS CALZADOS </v>
      </c>
      <c r="D344" s="124">
        <v>122</v>
      </c>
      <c r="E344" s="91" t="str">
        <f>IFERROR(VLOOKUP(D344,'symmetric IOT 245 2012'!$C$6:$D$276,2,FALSE),"")</f>
        <v>Calzado de cualquier material</v>
      </c>
      <c r="H344" s="77">
        <f>INDEX('Dictionary Categories'!$A$2:$A$30,MATCH(I344,'Dictionary Categories'!$B$2:$B$30,0))</f>
        <v>5</v>
      </c>
      <c r="I344" s="2" t="s">
        <v>1243</v>
      </c>
      <c r="J344" s="2">
        <f>INDEX('Dictionary Subcategories'!$A$2:$A$70,MATCH(K344,'Dictionary Subcategories'!$B$2:$B$70,0))</f>
        <v>19</v>
      </c>
      <c r="K344" s="2" t="s">
        <v>1243</v>
      </c>
      <c r="L344" s="147"/>
      <c r="M344" s="77">
        <v>342</v>
      </c>
      <c r="O344" s="77">
        <f t="shared" si="5"/>
        <v>1</v>
      </c>
    </row>
    <row r="345" spans="1:15" x14ac:dyDescent="0.25">
      <c r="A345" s="88" t="str">
        <f>'ENIGHUR Consumption items'!H368</f>
        <v>03.2.2</v>
      </c>
      <c r="B345" s="116">
        <f>_xlfn.NUMBERVALUE(VLOOKUP(A345,'ENIGHUR Consumption items'!$H$2:$I$703,2,))</f>
        <v>322</v>
      </c>
      <c r="C345" s="88" t="str">
        <f>'ENIGHUR Consumption items'!J368</f>
        <v>REPARACIÓN Y ALQUILER DE CALZADO</v>
      </c>
      <c r="D345" s="124">
        <v>217</v>
      </c>
      <c r="E345" s="91" t="str">
        <f>IFERROR(VLOOKUP(D345,'symmetric IOT 245 2012'!$C$6:$D$276,2,FALSE),"")</f>
        <v>Otros servicios profesionales y técnicos</v>
      </c>
      <c r="H345" s="77">
        <f>INDEX('Dictionary Categories'!$A$2:$A$30,MATCH(I345,'Dictionary Categories'!$B$2:$B$30,0))</f>
        <v>5</v>
      </c>
      <c r="I345" s="2" t="s">
        <v>1243</v>
      </c>
      <c r="J345" s="2">
        <f>INDEX('Dictionary Subcategories'!$A$2:$A$70,MATCH(K345,'Dictionary Subcategories'!$B$2:$B$70,0))</f>
        <v>19</v>
      </c>
      <c r="K345" s="2" t="s">
        <v>1243</v>
      </c>
      <c r="L345" s="147"/>
      <c r="M345" s="77">
        <v>343</v>
      </c>
      <c r="O345" s="77">
        <f t="shared" si="5"/>
        <v>1</v>
      </c>
    </row>
    <row r="346" spans="1:15" x14ac:dyDescent="0.25">
      <c r="A346" s="88" t="str">
        <f>'ENIGHUR Consumption items'!H425</f>
        <v>05.1.1</v>
      </c>
      <c r="B346" s="116">
        <f>_xlfn.NUMBERVALUE(VLOOKUP(A346,'ENIGHUR Consumption items'!$H$2:$I$703,2,))</f>
        <v>511</v>
      </c>
      <c r="C346" s="88" t="str">
        <f>'ENIGHUR Consumption items'!J425</f>
        <v xml:space="preserve">MUEBLES Y ACCESORIOS </v>
      </c>
      <c r="D346" s="128">
        <v>170</v>
      </c>
      <c r="E346" s="91" t="str">
        <f>IFERROR(VLOOKUP(D346,'symmetric IOT 245 2012'!$C$6:$D$276,2,FALSE),"")</f>
        <v>Muebles de cualquier material</v>
      </c>
      <c r="H346" s="77">
        <f>INDEX('Dictionary Categories'!$A$2:$A$30,MATCH(I346,'Dictionary Categories'!$B$2:$B$30,0))</f>
        <v>6</v>
      </c>
      <c r="I346" s="80" t="s">
        <v>2482</v>
      </c>
      <c r="J346" s="2">
        <f>INDEX('Dictionary Subcategories'!$A$2:$A$70,MATCH(K346,'Dictionary Subcategories'!$B$2:$B$70,0))</f>
        <v>20</v>
      </c>
      <c r="K346" s="80" t="s">
        <v>2479</v>
      </c>
      <c r="L346" s="147"/>
      <c r="M346" s="77">
        <v>344</v>
      </c>
      <c r="O346" s="77">
        <f t="shared" si="5"/>
        <v>1</v>
      </c>
    </row>
    <row r="347" spans="1:15" x14ac:dyDescent="0.25">
      <c r="A347" s="88" t="str">
        <f>'ENIGHUR Consumption items'!H433</f>
        <v>05.1.2</v>
      </c>
      <c r="B347" s="116">
        <f>_xlfn.NUMBERVALUE(VLOOKUP(A347,'ENIGHUR Consumption items'!$H$2:$I$703,2,))</f>
        <v>512</v>
      </c>
      <c r="C347" s="88" t="str">
        <f>'ENIGHUR Consumption items'!J433</f>
        <v xml:space="preserve">ALFOMBRAS Y OTROS MATERIALES PARA PISOS </v>
      </c>
      <c r="D347" s="128">
        <v>117</v>
      </c>
      <c r="E347" s="91" t="str">
        <f>IFERROR(VLOOKUP(D347,'symmetric IOT 245 2012'!$C$6:$D$276,2,FALSE),"")</f>
        <v>Tejidos y telas de fibras textiles</v>
      </c>
      <c r="H347" s="77">
        <f>INDEX('Dictionary Categories'!$A$2:$A$30,MATCH(I347,'Dictionary Categories'!$B$2:$B$30,0))</f>
        <v>6</v>
      </c>
      <c r="I347" s="80" t="s">
        <v>2482</v>
      </c>
      <c r="J347" s="2">
        <f>INDEX('Dictionary Subcategories'!$A$2:$A$70,MATCH(K347,'Dictionary Subcategories'!$B$2:$B$70,0))</f>
        <v>20</v>
      </c>
      <c r="K347" s="80" t="s">
        <v>2479</v>
      </c>
      <c r="L347" s="147"/>
      <c r="M347" s="77">
        <v>345</v>
      </c>
      <c r="O347" s="77">
        <f t="shared" si="5"/>
        <v>1</v>
      </c>
    </row>
    <row r="348" spans="1:15" x14ac:dyDescent="0.25">
      <c r="A348" s="88" t="str">
        <f>'ENIGHUR Consumption items'!H435</f>
        <v>05.1.3</v>
      </c>
      <c r="B348" s="116">
        <f>_xlfn.NUMBERVALUE(VLOOKUP(A348,'ENIGHUR Consumption items'!$H$2:$I$703,2,))</f>
        <v>513</v>
      </c>
      <c r="C348" s="88" t="str">
        <f>'ENIGHUR Consumption items'!J435</f>
        <v>REPARACIÓN DE MUEBLES, ACCESORIOS Y MATERIALES PARA PISOS</v>
      </c>
      <c r="D348" s="128">
        <v>224</v>
      </c>
      <c r="E348" s="91" t="str">
        <f>IFERROR(VLOOKUP(D348,'symmetric IOT 245 2012'!$C$6:$D$276,2,FALSE),"")</f>
        <v>Servicios de reparación de computadoras y otros enseres domésticos</v>
      </c>
      <c r="H348" s="77">
        <f>INDEX('Dictionary Categories'!$A$2:$A$30,MATCH(I348,'Dictionary Categories'!$B$2:$B$30,0))</f>
        <v>6</v>
      </c>
      <c r="I348" s="80" t="s">
        <v>2482</v>
      </c>
      <c r="J348" s="2">
        <f>INDEX('Dictionary Subcategories'!$A$2:$A$70,MATCH(K348,'Dictionary Subcategories'!$B$2:$B$70,0))</f>
        <v>20</v>
      </c>
      <c r="K348" s="80" t="s">
        <v>2479</v>
      </c>
      <c r="L348" s="147"/>
      <c r="M348" s="77">
        <v>346</v>
      </c>
      <c r="O348" s="77">
        <f t="shared" si="5"/>
        <v>1</v>
      </c>
    </row>
    <row r="349" spans="1:15" x14ac:dyDescent="0.25">
      <c r="A349" s="88" t="str">
        <f>'ENIGHUR Consumption items'!H437</f>
        <v>05.1.4</v>
      </c>
      <c r="B349" s="116">
        <f>_xlfn.NUMBERVALUE(VLOOKUP(A349,'ENIGHUR Consumption items'!$H$2:$I$703,2,))</f>
        <v>514</v>
      </c>
      <c r="C349" s="88" t="str">
        <f>'ENIGHUR Consumption items'!J437</f>
        <v>ELABORACIÓN O FABRICACIÓN DE MUEBLES Y ACCESORIOS BAJO PEDIDO</v>
      </c>
      <c r="D349" s="128">
        <v>213</v>
      </c>
      <c r="E349" s="91" t="str">
        <f>IFERROR(VLOOKUP(D349,'symmetric IOT 245 2012'!$C$6:$D$276,2,FALSE),"")</f>
        <v>Servicios de arquitectura, ingeniería y análogos</v>
      </c>
      <c r="H349" s="77">
        <f>INDEX('Dictionary Categories'!$A$2:$A$30,MATCH(I349,'Dictionary Categories'!$B$2:$B$30,0))</f>
        <v>6</v>
      </c>
      <c r="I349" s="80" t="s">
        <v>2482</v>
      </c>
      <c r="J349" s="2">
        <f>INDEX('Dictionary Subcategories'!$A$2:$A$70,MATCH(K349,'Dictionary Subcategories'!$B$2:$B$70,0))</f>
        <v>20</v>
      </c>
      <c r="K349" s="80" t="s">
        <v>2479</v>
      </c>
      <c r="L349" s="147"/>
      <c r="M349" s="77">
        <v>347</v>
      </c>
      <c r="O349" s="77">
        <f t="shared" si="5"/>
        <v>1</v>
      </c>
    </row>
    <row r="350" spans="1:15" x14ac:dyDescent="0.25">
      <c r="A350" s="88" t="str">
        <f>'ENIGHUR Consumption items'!H440</f>
        <v>05.2.1</v>
      </c>
      <c r="B350" s="116">
        <f>_xlfn.NUMBERVALUE(VLOOKUP(A350,'ENIGHUR Consumption items'!$H$2:$I$703,2,))</f>
        <v>521</v>
      </c>
      <c r="C350" s="88" t="str">
        <f>'ENIGHUR Consumption items'!J440</f>
        <v>PRODUCTOS TEXTILES PARA EL HOGAR</v>
      </c>
      <c r="D350" s="128">
        <v>117</v>
      </c>
      <c r="E350" s="91" t="str">
        <f>IFERROR(VLOOKUP(D350,'symmetric IOT 245 2012'!$C$6:$D$276,2,FALSE),"")</f>
        <v>Tejidos y telas de fibras textiles</v>
      </c>
      <c r="H350" s="77">
        <f>INDEX('Dictionary Categories'!$A$2:$A$30,MATCH(I350,'Dictionary Categories'!$B$2:$B$30,0))</f>
        <v>6</v>
      </c>
      <c r="I350" s="80" t="s">
        <v>2482</v>
      </c>
      <c r="J350" s="2">
        <f>INDEX('Dictionary Subcategories'!$A$2:$A$70,MATCH(K350,'Dictionary Subcategories'!$B$2:$B$70,0))</f>
        <v>20</v>
      </c>
      <c r="K350" s="80" t="s">
        <v>2479</v>
      </c>
      <c r="L350" s="147"/>
      <c r="M350" s="77">
        <v>348</v>
      </c>
      <c r="O350" s="77">
        <f t="shared" si="5"/>
        <v>1</v>
      </c>
    </row>
    <row r="351" spans="1:15" x14ac:dyDescent="0.25">
      <c r="A351" s="88" t="str">
        <f>'ENIGHUR Consumption items'!H443</f>
        <v>05.3.1</v>
      </c>
      <c r="B351" s="116">
        <f>_xlfn.NUMBERVALUE(VLOOKUP(A351,'ENIGHUR Consumption items'!$H$2:$I$703,2,))</f>
        <v>531</v>
      </c>
      <c r="C351" s="88" t="str">
        <f>'ENIGHUR Consumption items'!J443</f>
        <v>ARTEFACTOS PARA EL HOGAR GRANDES ELECTRICOS O NO</v>
      </c>
      <c r="D351" s="128">
        <v>162</v>
      </c>
      <c r="E351" s="91" t="str">
        <f>IFERROR(VLOOKUP(D351,'symmetric IOT 245 2012'!$C$6:$D$276,2,FALSE),"")</f>
        <v>Aparatos de uso doméstico, partes y piezas</v>
      </c>
      <c r="H351" s="77">
        <f>INDEX('Dictionary Categories'!$A$2:$A$30,MATCH(I351,'Dictionary Categories'!$B$2:$B$30,0))</f>
        <v>6</v>
      </c>
      <c r="I351" s="80" t="s">
        <v>2482</v>
      </c>
      <c r="J351" s="2">
        <f>INDEX('Dictionary Subcategories'!$A$2:$A$70,MATCH(K351,'Dictionary Subcategories'!$B$2:$B$70,0))</f>
        <v>20</v>
      </c>
      <c r="K351" s="80" t="s">
        <v>2479</v>
      </c>
      <c r="L351" s="147"/>
      <c r="M351" s="77">
        <v>349</v>
      </c>
      <c r="O351" s="77">
        <f t="shared" si="5"/>
        <v>1</v>
      </c>
    </row>
    <row r="352" spans="1:15" x14ac:dyDescent="0.25">
      <c r="A352" s="88" t="str">
        <f>'ENIGHUR Consumption items'!H445</f>
        <v>05.3.2</v>
      </c>
      <c r="B352" s="116">
        <f>_xlfn.NUMBERVALUE(VLOOKUP(A352,'ENIGHUR Consumption items'!$H$2:$I$703,2,))</f>
        <v>532</v>
      </c>
      <c r="C352" s="88" t="str">
        <f>'ENIGHUR Consumption items'!J445</f>
        <v>ARTEFACTOS ELÉCTRICOS PEQUEÑOS PARA EL HOGAR</v>
      </c>
      <c r="D352" s="128">
        <v>162</v>
      </c>
      <c r="E352" s="91" t="str">
        <f>IFERROR(VLOOKUP(D352,'symmetric IOT 245 2012'!$C$6:$D$276,2,FALSE),"")</f>
        <v>Aparatos de uso doméstico, partes y piezas</v>
      </c>
      <c r="H352" s="77">
        <f>INDEX('Dictionary Categories'!$A$2:$A$30,MATCH(I352,'Dictionary Categories'!$B$2:$B$30,0))</f>
        <v>6</v>
      </c>
      <c r="I352" s="80" t="s">
        <v>2482</v>
      </c>
      <c r="J352" s="2">
        <f>INDEX('Dictionary Subcategories'!$A$2:$A$70,MATCH(K352,'Dictionary Subcategories'!$B$2:$B$70,0))</f>
        <v>20</v>
      </c>
      <c r="K352" s="80" t="s">
        <v>2479</v>
      </c>
      <c r="L352" s="147"/>
      <c r="M352" s="77">
        <v>350</v>
      </c>
      <c r="O352" s="77">
        <f t="shared" si="5"/>
        <v>1</v>
      </c>
    </row>
    <row r="353" spans="1:15" x14ac:dyDescent="0.25">
      <c r="A353" s="88" t="str">
        <f>'ENIGHUR Consumption items'!H447</f>
        <v>05.3.3</v>
      </c>
      <c r="B353" s="116">
        <f>_xlfn.NUMBERVALUE(VLOOKUP(A353,'ENIGHUR Consumption items'!$H$2:$I$703,2,))</f>
        <v>533</v>
      </c>
      <c r="C353" s="88" t="str">
        <f>'ENIGHUR Consumption items'!J447</f>
        <v xml:space="preserve">REPARACIÓN DE ARTEFACTOS PARA EL HOGAR </v>
      </c>
      <c r="D353" s="128">
        <v>224</v>
      </c>
      <c r="E353" s="91" t="str">
        <f>IFERROR(VLOOKUP(D353,'symmetric IOT 245 2012'!$C$6:$D$276,2,FALSE),"")</f>
        <v>Servicios de reparación de computadoras y otros enseres domésticos</v>
      </c>
      <c r="H353" s="77">
        <f>INDEX('Dictionary Categories'!$A$2:$A$30,MATCH(I353,'Dictionary Categories'!$B$2:$B$30,0))</f>
        <v>6</v>
      </c>
      <c r="I353" s="80" t="s">
        <v>2482</v>
      </c>
      <c r="J353" s="2">
        <f>INDEX('Dictionary Subcategories'!$A$2:$A$70,MATCH(K353,'Dictionary Subcategories'!$B$2:$B$70,0))</f>
        <v>20</v>
      </c>
      <c r="K353" s="80" t="s">
        <v>2479</v>
      </c>
      <c r="L353" s="147"/>
      <c r="M353" s="77">
        <v>351</v>
      </c>
      <c r="O353" s="77">
        <f t="shared" si="5"/>
        <v>1</v>
      </c>
    </row>
    <row r="354" spans="1:15" x14ac:dyDescent="0.25">
      <c r="A354" s="88" t="str">
        <f>'ENIGHUR Consumption items'!H450</f>
        <v>05.4.1</v>
      </c>
      <c r="B354" s="116">
        <f>_xlfn.NUMBERVALUE(VLOOKUP(A354,'ENIGHUR Consumption items'!$H$2:$I$703,2,))</f>
        <v>541</v>
      </c>
      <c r="C354" s="88" t="str">
        <f>'ENIGHUR Consumption items'!J450</f>
        <v>ARTÍCULOS DE VIDRIO Y CRISTAL, VAJILLA Y  UTENSILIOS PARA EL HOGAR</v>
      </c>
      <c r="D354" s="128">
        <v>148</v>
      </c>
      <c r="E354" s="91" t="str">
        <f>IFERROR(VLOOKUP(D354,'symmetric IOT 245 2012'!$C$6:$D$276,2,FALSE),"")</f>
        <v>Productos de cerámica no estructurales</v>
      </c>
      <c r="F354" s="80" t="s">
        <v>2132</v>
      </c>
      <c r="H354" s="77">
        <f>INDEX('Dictionary Categories'!$A$2:$A$30,MATCH(I354,'Dictionary Categories'!$B$2:$B$30,0))</f>
        <v>6</v>
      </c>
      <c r="I354" s="80" t="s">
        <v>2482</v>
      </c>
      <c r="J354" s="2">
        <f>INDEX('Dictionary Subcategories'!$A$2:$A$70,MATCH(K354,'Dictionary Subcategories'!$B$2:$B$70,0))</f>
        <v>20</v>
      </c>
      <c r="K354" s="80" t="s">
        <v>2479</v>
      </c>
      <c r="L354" s="147"/>
      <c r="M354" s="77">
        <v>352</v>
      </c>
      <c r="O354" s="77">
        <f t="shared" si="5"/>
        <v>1</v>
      </c>
    </row>
    <row r="355" spans="1:15" x14ac:dyDescent="0.25">
      <c r="A355" s="88" t="str">
        <f>'ENIGHUR Consumption items'!H455</f>
        <v>05.5.1</v>
      </c>
      <c r="B355" s="116">
        <f>_xlfn.NUMBERVALUE(VLOOKUP(A355,'ENIGHUR Consumption items'!$H$2:$I$703,2,))</f>
        <v>551</v>
      </c>
      <c r="C355" s="88" t="str">
        <f>'ENIGHUR Consumption items'!J455</f>
        <v xml:space="preserve">HERRAMIENTAS Y EQUIPO GRANDES </v>
      </c>
      <c r="D355" s="128">
        <v>157</v>
      </c>
      <c r="E355" s="91" t="str">
        <f>IFERROR(VLOOKUP(D355,'symmetric IOT 245 2012'!$C$6:$D$276,2,FALSE),"")</f>
        <v>Productos metálicos de uso doméstico</v>
      </c>
      <c r="F355" s="97"/>
      <c r="H355" s="77">
        <f>INDEX('Dictionary Categories'!$A$2:$A$30,MATCH(I355,'Dictionary Categories'!$B$2:$B$30,0))</f>
        <v>6</v>
      </c>
      <c r="I355" s="80" t="s">
        <v>2482</v>
      </c>
      <c r="J355" s="2">
        <f>INDEX('Dictionary Subcategories'!$A$2:$A$70,MATCH(K355,'Dictionary Subcategories'!$B$2:$B$70,0))</f>
        <v>20</v>
      </c>
      <c r="K355" s="80" t="s">
        <v>2479</v>
      </c>
      <c r="L355" s="147"/>
      <c r="M355" s="77">
        <v>353</v>
      </c>
      <c r="O355" s="77">
        <f t="shared" si="5"/>
        <v>1</v>
      </c>
    </row>
    <row r="356" spans="1:15" x14ac:dyDescent="0.25">
      <c r="A356" s="88" t="str">
        <f>'ENIGHUR Consumption items'!H457</f>
        <v>05.5.2</v>
      </c>
      <c r="B356" s="116">
        <f>_xlfn.NUMBERVALUE(VLOOKUP(A356,'ENIGHUR Consumption items'!$H$2:$I$703,2,))</f>
        <v>552</v>
      </c>
      <c r="C356" s="88" t="str">
        <f>'ENIGHUR Consumption items'!J457</f>
        <v xml:space="preserve">HERRAMIENTAS PEQUEÑAS Y ACCESORIOS DIVERSOS </v>
      </c>
      <c r="D356" s="128">
        <v>157</v>
      </c>
      <c r="E356" s="91" t="str">
        <f>IFERROR(VLOOKUP(D356,'symmetric IOT 245 2012'!$C$6:$D$276,2,FALSE),"")</f>
        <v>Productos metálicos de uso doméstico</v>
      </c>
      <c r="H356" s="77">
        <f>INDEX('Dictionary Categories'!$A$2:$A$30,MATCH(I356,'Dictionary Categories'!$B$2:$B$30,0))</f>
        <v>6</v>
      </c>
      <c r="I356" s="80" t="s">
        <v>2482</v>
      </c>
      <c r="J356" s="2">
        <f>INDEX('Dictionary Subcategories'!$A$2:$A$70,MATCH(K356,'Dictionary Subcategories'!$B$2:$B$70,0))</f>
        <v>20</v>
      </c>
      <c r="K356" s="80" t="s">
        <v>2479</v>
      </c>
      <c r="L356" s="147"/>
      <c r="M356" s="77">
        <v>354</v>
      </c>
      <c r="O356" s="77">
        <f t="shared" si="5"/>
        <v>1</v>
      </c>
    </row>
    <row r="357" spans="1:15" x14ac:dyDescent="0.25">
      <c r="A357" s="88" t="str">
        <f>'ENIGHUR Consumption items'!H460</f>
        <v>05.6.1</v>
      </c>
      <c r="B357" s="116">
        <f>_xlfn.NUMBERVALUE(VLOOKUP(A357,'ENIGHUR Consumption items'!$H$2:$I$703,2,))</f>
        <v>561</v>
      </c>
      <c r="C357" s="88" t="str">
        <f>'ENIGHUR Consumption items'!J460</f>
        <v xml:space="preserve">BIENES PARA EL HOGAR NO DURADEROS </v>
      </c>
      <c r="D357" s="127" t="s">
        <v>2389</v>
      </c>
      <c r="E357" s="91" t="str">
        <f>IFERROR(VLOOKUP(D357,'symmetric IOT 245 2012'!$C$6:$D$276,2,FALSE),"")</f>
        <v>matched on SC/SSC level</v>
      </c>
      <c r="F357" s="80"/>
      <c r="H357" s="77">
        <f>INDEX('Dictionary Categories'!$A$2:$A$30,MATCH(I357,'Dictionary Categories'!$B$2:$B$30,0))</f>
        <v>7</v>
      </c>
      <c r="I357" s="80" t="s">
        <v>2480</v>
      </c>
      <c r="J357" s="2">
        <f>INDEX('Dictionary Subcategories'!$A$2:$A$70,MATCH(K357,'Dictionary Subcategories'!$B$2:$B$70,0))</f>
        <v>21</v>
      </c>
      <c r="K357" s="87" t="s">
        <v>2350</v>
      </c>
      <c r="L357" s="147"/>
      <c r="M357" s="77">
        <v>355</v>
      </c>
      <c r="O357" s="77">
        <f t="shared" si="5"/>
        <v>1</v>
      </c>
    </row>
    <row r="358" spans="1:15" x14ac:dyDescent="0.25">
      <c r="A358" s="88" t="str">
        <f>'ENIGHUR Consumption items'!H461</f>
        <v>05.6.1.000</v>
      </c>
      <c r="B358" s="116">
        <f>_xlfn.NUMBERVALUE(VLOOKUP(A358,'ENIGHUR Consumption items'!$H$2:$I$703,2,))</f>
        <v>561000</v>
      </c>
      <c r="C358" s="88" t="str">
        <f>'ENIGHUR Consumption items'!J461</f>
        <v>Productos de limpieza y mantenimiento</v>
      </c>
      <c r="D358" s="128">
        <v>142</v>
      </c>
      <c r="E358" s="91" t="str">
        <f>IFERROR(VLOOKUP(D358,'symmetric IOT 245 2012'!$C$6:$D$276,2,FALSE),"")</f>
        <v>Preparados para limpiar y pulir</v>
      </c>
      <c r="F358" s="80"/>
      <c r="H358" s="77">
        <f>INDEX('Dictionary Categories'!$A$2:$A$30,MATCH(I358,'Dictionary Categories'!$B$2:$B$30,0))</f>
        <v>7</v>
      </c>
      <c r="I358" s="80" t="s">
        <v>2480</v>
      </c>
      <c r="J358" s="2">
        <f>INDEX('Dictionary Subcategories'!$A$2:$A$70,MATCH(K358,'Dictionary Subcategories'!$B$2:$B$70,0))</f>
        <v>21</v>
      </c>
      <c r="K358" s="87" t="s">
        <v>2350</v>
      </c>
      <c r="L358" s="147"/>
      <c r="M358" s="77">
        <v>356</v>
      </c>
      <c r="O358" s="77">
        <f t="shared" si="5"/>
        <v>0</v>
      </c>
    </row>
    <row r="359" spans="1:15" x14ac:dyDescent="0.25">
      <c r="A359" s="88" t="str">
        <f>'ENIGHUR Consumption items'!H462</f>
        <v>05.6.1.001</v>
      </c>
      <c r="B359" s="116">
        <f>_xlfn.NUMBERVALUE(VLOOKUP(A359,'ENIGHUR Consumption items'!$H$2:$I$703,2,))</f>
        <v>561001</v>
      </c>
      <c r="C359" s="88" t="str">
        <f>'ENIGHUR Consumption items'!J462</f>
        <v>Aceite de máquina de cocer (aceite 3 en 1)</v>
      </c>
      <c r="D359" s="128">
        <v>142</v>
      </c>
      <c r="E359" s="91" t="str">
        <f>IFERROR(VLOOKUP(D359,'symmetric IOT 245 2012'!$C$6:$D$276,2,FALSE),"")</f>
        <v>Preparados para limpiar y pulir</v>
      </c>
      <c r="H359" s="77">
        <f>INDEX('Dictionary Categories'!$A$2:$A$30,MATCH(I359,'Dictionary Categories'!$B$2:$B$30,0))</f>
        <v>7</v>
      </c>
      <c r="I359" s="80" t="s">
        <v>2480</v>
      </c>
      <c r="J359" s="2">
        <f>INDEX('Dictionary Subcategories'!$A$2:$A$70,MATCH(K359,'Dictionary Subcategories'!$B$2:$B$70,0))</f>
        <v>21</v>
      </c>
      <c r="K359" s="87" t="s">
        <v>2350</v>
      </c>
      <c r="L359" s="147"/>
      <c r="M359" s="77">
        <v>357</v>
      </c>
      <c r="O359" s="77">
        <f t="shared" si="5"/>
        <v>0</v>
      </c>
    </row>
    <row r="360" spans="1:15" x14ac:dyDescent="0.25">
      <c r="A360" s="88" t="str">
        <f>'ENIGHUR Consumption items'!H463</f>
        <v>05.6.1.002</v>
      </c>
      <c r="B360" s="116">
        <f>_xlfn.NUMBERVALUE(VLOOKUP(A360,'ENIGHUR Consumption items'!$H$2:$I$703,2,))</f>
        <v>561002</v>
      </c>
      <c r="C360" s="88" t="str">
        <f>'ENIGHUR Consumption items'!J463</f>
        <v>Agua destilada</v>
      </c>
      <c r="D360" s="128">
        <v>142</v>
      </c>
      <c r="E360" s="91" t="str">
        <f>IFERROR(VLOOKUP(D360,'symmetric IOT 245 2012'!$C$6:$D$276,2,FALSE),"")</f>
        <v>Preparados para limpiar y pulir</v>
      </c>
      <c r="H360" s="77">
        <f>INDEX('Dictionary Categories'!$A$2:$A$30,MATCH(I360,'Dictionary Categories'!$B$2:$B$30,0))</f>
        <v>7</v>
      </c>
      <c r="I360" s="80" t="s">
        <v>2480</v>
      </c>
      <c r="J360" s="2">
        <f>INDEX('Dictionary Subcategories'!$A$2:$A$70,MATCH(K360,'Dictionary Subcategories'!$B$2:$B$70,0))</f>
        <v>21</v>
      </c>
      <c r="K360" s="87" t="s">
        <v>2350</v>
      </c>
      <c r="L360" s="147"/>
      <c r="M360" s="77">
        <v>358</v>
      </c>
      <c r="O360" s="77">
        <f t="shared" si="5"/>
        <v>0</v>
      </c>
    </row>
    <row r="361" spans="1:15" x14ac:dyDescent="0.25">
      <c r="A361" s="88" t="str">
        <f>'ENIGHUR Consumption items'!H464</f>
        <v>05.6.1.003</v>
      </c>
      <c r="B361" s="116">
        <f>_xlfn.NUMBERVALUE(VLOOKUP(A361,'ENIGHUR Consumption items'!$H$2:$I$703,2,))</f>
        <v>561003</v>
      </c>
      <c r="C361" s="88" t="str">
        <f>'ENIGHUR Consumption items'!J464</f>
        <v>Almidón para tela</v>
      </c>
      <c r="D361" s="128">
        <v>142</v>
      </c>
      <c r="E361" s="91" t="str">
        <f>IFERROR(VLOOKUP(D361,'symmetric IOT 245 2012'!$C$6:$D$276,2,FALSE),"")</f>
        <v>Preparados para limpiar y pulir</v>
      </c>
      <c r="H361" s="77">
        <f>INDEX('Dictionary Categories'!$A$2:$A$30,MATCH(I361,'Dictionary Categories'!$B$2:$B$30,0))</f>
        <v>7</v>
      </c>
      <c r="I361" s="80" t="s">
        <v>2480</v>
      </c>
      <c r="J361" s="2">
        <f>INDEX('Dictionary Subcategories'!$A$2:$A$70,MATCH(K361,'Dictionary Subcategories'!$B$2:$B$70,0))</f>
        <v>21</v>
      </c>
      <c r="K361" s="87" t="s">
        <v>2350</v>
      </c>
      <c r="L361" s="147"/>
      <c r="M361" s="77">
        <v>359</v>
      </c>
      <c r="O361" s="77">
        <f t="shared" si="5"/>
        <v>0</v>
      </c>
    </row>
    <row r="362" spans="1:15" x14ac:dyDescent="0.25">
      <c r="A362" s="88" t="str">
        <f>'ENIGHUR Consumption items'!H465</f>
        <v>05.6.1.004</v>
      </c>
      <c r="B362" s="116">
        <f>_xlfn.NUMBERVALUE(VLOOKUP(A362,'ENIGHUR Consumption items'!$H$2:$I$703,2,))</f>
        <v>561004</v>
      </c>
      <c r="C362" s="88" t="str">
        <f>'ENIGHUR Consumption items'!J465</f>
        <v xml:space="preserve">Amoniaco (producto de limpieza) </v>
      </c>
      <c r="D362" s="128">
        <v>142</v>
      </c>
      <c r="E362" s="91" t="str">
        <f>IFERROR(VLOOKUP(D362,'symmetric IOT 245 2012'!$C$6:$D$276,2,FALSE),"")</f>
        <v>Preparados para limpiar y pulir</v>
      </c>
      <c r="H362" s="77">
        <f>INDEX('Dictionary Categories'!$A$2:$A$30,MATCH(I362,'Dictionary Categories'!$B$2:$B$30,0))</f>
        <v>7</v>
      </c>
      <c r="I362" s="80" t="s">
        <v>2480</v>
      </c>
      <c r="J362" s="2">
        <f>INDEX('Dictionary Subcategories'!$A$2:$A$70,MATCH(K362,'Dictionary Subcategories'!$B$2:$B$70,0))</f>
        <v>21</v>
      </c>
      <c r="K362" s="87" t="s">
        <v>2350</v>
      </c>
      <c r="L362" s="147"/>
      <c r="M362" s="77">
        <v>360</v>
      </c>
      <c r="O362" s="77">
        <f t="shared" si="5"/>
        <v>0</v>
      </c>
    </row>
    <row r="363" spans="1:15" x14ac:dyDescent="0.25">
      <c r="A363" s="88" t="str">
        <f>'ENIGHUR Consumption items'!H466</f>
        <v>05.6.1.005</v>
      </c>
      <c r="B363" s="116">
        <f>_xlfn.NUMBERVALUE(VLOOKUP(A363,'ENIGHUR Consumption items'!$H$2:$I$703,2,))</f>
        <v>561005</v>
      </c>
      <c r="C363" s="88" t="str">
        <f>'ENIGHUR Consumption items'!J466</f>
        <v>Anilinas</v>
      </c>
      <c r="D363" s="128">
        <v>142</v>
      </c>
      <c r="E363" s="91" t="str">
        <f>IFERROR(VLOOKUP(D363,'symmetric IOT 245 2012'!$C$6:$D$276,2,FALSE),"")</f>
        <v>Preparados para limpiar y pulir</v>
      </c>
      <c r="H363" s="77">
        <f>INDEX('Dictionary Categories'!$A$2:$A$30,MATCH(I363,'Dictionary Categories'!$B$2:$B$30,0))</f>
        <v>7</v>
      </c>
      <c r="I363" s="80" t="s">
        <v>2480</v>
      </c>
      <c r="J363" s="2">
        <f>INDEX('Dictionary Subcategories'!$A$2:$A$70,MATCH(K363,'Dictionary Subcategories'!$B$2:$B$70,0))</f>
        <v>21</v>
      </c>
      <c r="K363" s="87" t="s">
        <v>2350</v>
      </c>
      <c r="L363" s="147"/>
      <c r="M363" s="77">
        <v>361</v>
      </c>
      <c r="O363" s="77">
        <f t="shared" si="5"/>
        <v>0</v>
      </c>
    </row>
    <row r="364" spans="1:15" x14ac:dyDescent="0.25">
      <c r="A364" s="88" t="str">
        <f>'ENIGHUR Consumption items'!H467</f>
        <v>05.6.1.006</v>
      </c>
      <c r="B364" s="116">
        <f>_xlfn.NUMBERVALUE(VLOOKUP(A364,'ENIGHUR Consumption items'!$H$2:$I$703,2,))</f>
        <v>561006</v>
      </c>
      <c r="C364" s="88" t="str">
        <f>'ENIGHUR Consumption items'!J467</f>
        <v>Azul para ropa</v>
      </c>
      <c r="D364" s="128">
        <v>142</v>
      </c>
      <c r="E364" s="91" t="str">
        <f>IFERROR(VLOOKUP(D364,'symmetric IOT 245 2012'!$C$6:$D$276,2,FALSE),"")</f>
        <v>Preparados para limpiar y pulir</v>
      </c>
      <c r="H364" s="77">
        <f>INDEX('Dictionary Categories'!$A$2:$A$30,MATCH(I364,'Dictionary Categories'!$B$2:$B$30,0))</f>
        <v>7</v>
      </c>
      <c r="I364" s="80" t="s">
        <v>2480</v>
      </c>
      <c r="J364" s="2">
        <f>INDEX('Dictionary Subcategories'!$A$2:$A$70,MATCH(K364,'Dictionary Subcategories'!$B$2:$B$70,0))</f>
        <v>21</v>
      </c>
      <c r="K364" s="87" t="s">
        <v>2350</v>
      </c>
      <c r="L364" s="147"/>
      <c r="M364" s="77">
        <v>362</v>
      </c>
      <c r="O364" s="77">
        <f t="shared" si="5"/>
        <v>0</v>
      </c>
    </row>
    <row r="365" spans="1:15" x14ac:dyDescent="0.25">
      <c r="A365" s="88" t="str">
        <f>'ENIGHUR Consumption items'!H468</f>
        <v>05.6.1.007</v>
      </c>
      <c r="B365" s="116">
        <f>_xlfn.NUMBERVALUE(VLOOKUP(A365,'ENIGHUR Consumption items'!$H$2:$I$703,2,))</f>
        <v>561007</v>
      </c>
      <c r="C365" s="88" t="str">
        <f>'ENIGHUR Consumption items'!J468</f>
        <v>Betún en tubo o pasta</v>
      </c>
      <c r="D365" s="128">
        <v>142</v>
      </c>
      <c r="E365" s="91" t="str">
        <f>IFERROR(VLOOKUP(D365,'symmetric IOT 245 2012'!$C$6:$D$276,2,FALSE),"")</f>
        <v>Preparados para limpiar y pulir</v>
      </c>
      <c r="H365" s="77">
        <f>INDEX('Dictionary Categories'!$A$2:$A$30,MATCH(I365,'Dictionary Categories'!$B$2:$B$30,0))</f>
        <v>7</v>
      </c>
      <c r="I365" s="80" t="s">
        <v>2480</v>
      </c>
      <c r="J365" s="2">
        <f>INDEX('Dictionary Subcategories'!$A$2:$A$70,MATCH(K365,'Dictionary Subcategories'!$B$2:$B$70,0))</f>
        <v>21</v>
      </c>
      <c r="K365" s="87" t="s">
        <v>2350</v>
      </c>
      <c r="L365" s="147"/>
      <c r="M365" s="77">
        <v>363</v>
      </c>
      <c r="O365" s="77">
        <f t="shared" si="5"/>
        <v>0</v>
      </c>
    </row>
    <row r="366" spans="1:15" x14ac:dyDescent="0.25">
      <c r="A366" s="88" t="str">
        <f>'ENIGHUR Consumption items'!H469</f>
        <v>05.6.1.008</v>
      </c>
      <c r="B366" s="116">
        <f>_xlfn.NUMBERVALUE(VLOOKUP(A366,'ENIGHUR Consumption items'!$H$2:$I$703,2,))</f>
        <v>561008</v>
      </c>
      <c r="C366" s="88" t="str">
        <f>'ENIGHUR Consumption items'!J469</f>
        <v>Betún liqui</v>
      </c>
      <c r="D366" s="128">
        <v>142</v>
      </c>
      <c r="E366" s="91" t="str">
        <f>IFERROR(VLOOKUP(D366,'symmetric IOT 245 2012'!$C$6:$D$276,2,FALSE),"")</f>
        <v>Preparados para limpiar y pulir</v>
      </c>
      <c r="H366" s="77">
        <f>INDEX('Dictionary Categories'!$A$2:$A$30,MATCH(I366,'Dictionary Categories'!$B$2:$B$30,0))</f>
        <v>7</v>
      </c>
      <c r="I366" s="80" t="s">
        <v>2480</v>
      </c>
      <c r="J366" s="2">
        <f>INDEX('Dictionary Subcategories'!$A$2:$A$70,MATCH(K366,'Dictionary Subcategories'!$B$2:$B$70,0))</f>
        <v>21</v>
      </c>
      <c r="K366" s="87" t="s">
        <v>2350</v>
      </c>
      <c r="L366" s="147"/>
      <c r="M366" s="77">
        <v>364</v>
      </c>
      <c r="O366" s="77">
        <f t="shared" si="5"/>
        <v>0</v>
      </c>
    </row>
    <row r="367" spans="1:15" x14ac:dyDescent="0.25">
      <c r="A367" s="88" t="str">
        <f>'ENIGHUR Consumption items'!H470</f>
        <v>05.6.1.009</v>
      </c>
      <c r="B367" s="116">
        <f>_xlfn.NUMBERVALUE(VLOOKUP(A367,'ENIGHUR Consumption items'!$H$2:$I$703,2,))</f>
        <v>561009</v>
      </c>
      <c r="C367" s="88" t="str">
        <f>'ENIGHUR Consumption items'!J470</f>
        <v>Betún sólido</v>
      </c>
      <c r="D367" s="128">
        <v>142</v>
      </c>
      <c r="E367" s="91" t="str">
        <f>IFERROR(VLOOKUP(D367,'symmetric IOT 245 2012'!$C$6:$D$276,2,FALSE),"")</f>
        <v>Preparados para limpiar y pulir</v>
      </c>
      <c r="H367" s="77">
        <f>INDEX('Dictionary Categories'!$A$2:$A$30,MATCH(I367,'Dictionary Categories'!$B$2:$B$30,0))</f>
        <v>7</v>
      </c>
      <c r="I367" s="80" t="s">
        <v>2480</v>
      </c>
      <c r="J367" s="2">
        <f>INDEX('Dictionary Subcategories'!$A$2:$A$70,MATCH(K367,'Dictionary Subcategories'!$B$2:$B$70,0))</f>
        <v>21</v>
      </c>
      <c r="K367" s="87" t="s">
        <v>2350</v>
      </c>
      <c r="L367" s="147"/>
      <c r="M367" s="77">
        <v>365</v>
      </c>
      <c r="O367" s="77">
        <f t="shared" si="5"/>
        <v>0</v>
      </c>
    </row>
    <row r="368" spans="1:15" x14ac:dyDescent="0.25">
      <c r="A368" s="88" t="str">
        <f>'ENIGHUR Consumption items'!H471</f>
        <v>05.6.1.010</v>
      </c>
      <c r="B368" s="116">
        <f>_xlfn.NUMBERVALUE(VLOOKUP(A368,'ENIGHUR Consumption items'!$H$2:$I$703,2,))</f>
        <v>561010</v>
      </c>
      <c r="C368" s="88" t="str">
        <f>'ENIGHUR Consumption items'!J471</f>
        <v xml:space="preserve">Cera líquida para pisos </v>
      </c>
      <c r="D368" s="128">
        <v>142</v>
      </c>
      <c r="E368" s="91" t="str">
        <f>IFERROR(VLOOKUP(D368,'symmetric IOT 245 2012'!$C$6:$D$276,2,FALSE),"")</f>
        <v>Preparados para limpiar y pulir</v>
      </c>
      <c r="H368" s="77">
        <f>INDEX('Dictionary Categories'!$A$2:$A$30,MATCH(I368,'Dictionary Categories'!$B$2:$B$30,0))</f>
        <v>7</v>
      </c>
      <c r="I368" s="80" t="s">
        <v>2480</v>
      </c>
      <c r="J368" s="2">
        <f>INDEX('Dictionary Subcategories'!$A$2:$A$70,MATCH(K368,'Dictionary Subcategories'!$B$2:$B$70,0))</f>
        <v>21</v>
      </c>
      <c r="K368" s="87" t="s">
        <v>2350</v>
      </c>
      <c r="L368" s="147"/>
      <c r="M368" s="77">
        <v>366</v>
      </c>
      <c r="O368" s="77">
        <f t="shared" si="5"/>
        <v>0</v>
      </c>
    </row>
    <row r="369" spans="1:15" x14ac:dyDescent="0.25">
      <c r="A369" s="88" t="str">
        <f>'ENIGHUR Consumption items'!H472</f>
        <v>05.6.1.011</v>
      </c>
      <c r="B369" s="116">
        <f>_xlfn.NUMBERVALUE(VLOOKUP(A369,'ENIGHUR Consumption items'!$H$2:$I$703,2,))</f>
        <v>561011</v>
      </c>
      <c r="C369" s="88" t="str">
        <f>'ENIGHUR Consumption items'!J472</f>
        <v>Cera sólida para pisos</v>
      </c>
      <c r="D369" s="128">
        <v>142</v>
      </c>
      <c r="E369" s="91" t="str">
        <f>IFERROR(VLOOKUP(D369,'symmetric IOT 245 2012'!$C$6:$D$276,2,FALSE),"")</f>
        <v>Preparados para limpiar y pulir</v>
      </c>
      <c r="H369" s="77">
        <f>INDEX('Dictionary Categories'!$A$2:$A$30,MATCH(I369,'Dictionary Categories'!$B$2:$B$30,0))</f>
        <v>7</v>
      </c>
      <c r="I369" s="80" t="s">
        <v>2480</v>
      </c>
      <c r="J369" s="2">
        <f>INDEX('Dictionary Subcategories'!$A$2:$A$70,MATCH(K369,'Dictionary Subcategories'!$B$2:$B$70,0))</f>
        <v>21</v>
      </c>
      <c r="K369" s="87" t="s">
        <v>2350</v>
      </c>
      <c r="L369" s="147"/>
      <c r="M369" s="77">
        <v>367</v>
      </c>
      <c r="O369" s="77">
        <f t="shared" si="5"/>
        <v>0</v>
      </c>
    </row>
    <row r="370" spans="1:15" x14ac:dyDescent="0.25">
      <c r="A370" s="88" t="str">
        <f>'ENIGHUR Consumption items'!H473</f>
        <v>05.6.1.012</v>
      </c>
      <c r="B370" s="116">
        <f>_xlfn.NUMBERVALUE(VLOOKUP(A370,'ENIGHUR Consumption items'!$H$2:$I$703,2,))</f>
        <v>561012</v>
      </c>
      <c r="C370" s="88" t="str">
        <f>'ENIGHUR Consumption items'!J473</f>
        <v>Cloro (Blanqueador de ropa, desinfectante puro)</v>
      </c>
      <c r="D370" s="128">
        <v>142</v>
      </c>
      <c r="E370" s="91" t="str">
        <f>IFERROR(VLOOKUP(D370,'symmetric IOT 245 2012'!$C$6:$D$276,2,FALSE),"")</f>
        <v>Preparados para limpiar y pulir</v>
      </c>
      <c r="H370" s="77">
        <f>INDEX('Dictionary Categories'!$A$2:$A$30,MATCH(I370,'Dictionary Categories'!$B$2:$B$30,0))</f>
        <v>7</v>
      </c>
      <c r="I370" s="80" t="s">
        <v>2480</v>
      </c>
      <c r="J370" s="2">
        <f>INDEX('Dictionary Subcategories'!$A$2:$A$70,MATCH(K370,'Dictionary Subcategories'!$B$2:$B$70,0))</f>
        <v>21</v>
      </c>
      <c r="K370" s="87" t="s">
        <v>2350</v>
      </c>
      <c r="L370" s="147"/>
      <c r="M370" s="77">
        <v>368</v>
      </c>
      <c r="O370" s="77">
        <f t="shared" si="5"/>
        <v>0</v>
      </c>
    </row>
    <row r="371" spans="1:15" x14ac:dyDescent="0.25">
      <c r="A371" s="88" t="str">
        <f>'ENIGHUR Consumption items'!H474</f>
        <v>05.6.1.013</v>
      </c>
      <c r="B371" s="116">
        <f>_xlfn.NUMBERVALUE(VLOOKUP(A371,'ENIGHUR Consumption items'!$H$2:$I$703,2,))</f>
        <v>561013</v>
      </c>
      <c r="C371" s="88" t="str">
        <f>'ENIGHUR Consumption items'!J474</f>
        <v xml:space="preserve">Desengrasantes o quita grasas </v>
      </c>
      <c r="D371" s="128">
        <v>142</v>
      </c>
      <c r="E371" s="91" t="str">
        <f>IFERROR(VLOOKUP(D371,'symmetric IOT 245 2012'!$C$6:$D$276,2,FALSE),"")</f>
        <v>Preparados para limpiar y pulir</v>
      </c>
      <c r="H371" s="77">
        <f>INDEX('Dictionary Categories'!$A$2:$A$30,MATCH(I371,'Dictionary Categories'!$B$2:$B$30,0))</f>
        <v>7</v>
      </c>
      <c r="I371" s="80" t="s">
        <v>2480</v>
      </c>
      <c r="J371" s="2">
        <f>INDEX('Dictionary Subcategories'!$A$2:$A$70,MATCH(K371,'Dictionary Subcategories'!$B$2:$B$70,0))</f>
        <v>21</v>
      </c>
      <c r="K371" s="87" t="s">
        <v>2350</v>
      </c>
      <c r="L371" s="147"/>
      <c r="M371" s="77">
        <v>369</v>
      </c>
      <c r="O371" s="77">
        <f t="shared" si="5"/>
        <v>0</v>
      </c>
    </row>
    <row r="372" spans="1:15" x14ac:dyDescent="0.25">
      <c r="A372" s="88" t="str">
        <f>'ENIGHUR Consumption items'!H475</f>
        <v>05.6.1.014</v>
      </c>
      <c r="B372" s="116">
        <f>_xlfn.NUMBERVALUE(VLOOKUP(A372,'ENIGHUR Consumption items'!$H$2:$I$703,2,))</f>
        <v>561014</v>
      </c>
      <c r="C372" s="88" t="str">
        <f>'ENIGHUR Consumption items'!J475</f>
        <v xml:space="preserve">Desinfectante para uso domestico (Lavaklin, fresklin, Kalipto, etc.) </v>
      </c>
      <c r="D372" s="128">
        <v>142</v>
      </c>
      <c r="E372" s="91" t="str">
        <f>IFERROR(VLOOKUP(D372,'symmetric IOT 245 2012'!$C$6:$D$276,2,FALSE),"")</f>
        <v>Preparados para limpiar y pulir</v>
      </c>
      <c r="H372" s="77">
        <f>INDEX('Dictionary Categories'!$A$2:$A$30,MATCH(I372,'Dictionary Categories'!$B$2:$B$30,0))</f>
        <v>7</v>
      </c>
      <c r="I372" s="80" t="s">
        <v>2480</v>
      </c>
      <c r="J372" s="2">
        <f>INDEX('Dictionary Subcategories'!$A$2:$A$70,MATCH(K372,'Dictionary Subcategories'!$B$2:$B$70,0))</f>
        <v>21</v>
      </c>
      <c r="K372" s="87" t="s">
        <v>2350</v>
      </c>
      <c r="L372" s="147"/>
      <c r="M372" s="77">
        <v>370</v>
      </c>
      <c r="O372" s="77">
        <f t="shared" si="5"/>
        <v>0</v>
      </c>
    </row>
    <row r="373" spans="1:15" x14ac:dyDescent="0.25">
      <c r="A373" s="88" t="str">
        <f>'ENIGHUR Consumption items'!H476</f>
        <v>05.6.1.015</v>
      </c>
      <c r="B373" s="116">
        <f>_xlfn.NUMBERVALUE(VLOOKUP(A373,'ENIGHUR Consumption items'!$H$2:$I$703,2,))</f>
        <v>561015</v>
      </c>
      <c r="C373" s="88" t="str">
        <f>'ENIGHUR Consumption items'!J476</f>
        <v>Desodorante ambientales (Líquidos o sólidos)</v>
      </c>
      <c r="D373" s="128">
        <v>142</v>
      </c>
      <c r="E373" s="91" t="str">
        <f>IFERROR(VLOOKUP(D373,'symmetric IOT 245 2012'!$C$6:$D$276,2,FALSE),"")</f>
        <v>Preparados para limpiar y pulir</v>
      </c>
      <c r="H373" s="77">
        <f>INDEX('Dictionary Categories'!$A$2:$A$30,MATCH(I373,'Dictionary Categories'!$B$2:$B$30,0))</f>
        <v>7</v>
      </c>
      <c r="I373" s="80" t="s">
        <v>2480</v>
      </c>
      <c r="J373" s="2">
        <f>INDEX('Dictionary Subcategories'!$A$2:$A$70,MATCH(K373,'Dictionary Subcategories'!$B$2:$B$70,0))</f>
        <v>21</v>
      </c>
      <c r="K373" s="87" t="s">
        <v>2350</v>
      </c>
      <c r="L373" s="147"/>
      <c r="M373" s="77">
        <v>371</v>
      </c>
      <c r="O373" s="77">
        <f t="shared" si="5"/>
        <v>0</v>
      </c>
    </row>
    <row r="374" spans="1:15" x14ac:dyDescent="0.25">
      <c r="A374" s="88" t="str">
        <f>'ENIGHUR Consumption items'!H477</f>
        <v>05.6.1.016</v>
      </c>
      <c r="B374" s="116">
        <f>_xlfn.NUMBERVALUE(VLOOKUP(A374,'ENIGHUR Consumption items'!$H$2:$I$703,2,))</f>
        <v>561016</v>
      </c>
      <c r="C374" s="88" t="str">
        <f>'ENIGHUR Consumption items'!J477</f>
        <v>Destapadores de tuberías (sello rojo, asea, lejías, etc.)</v>
      </c>
      <c r="D374" s="128">
        <v>142</v>
      </c>
      <c r="E374" s="91" t="str">
        <f>IFERROR(VLOOKUP(D374,'symmetric IOT 245 2012'!$C$6:$D$276,2,FALSE),"")</f>
        <v>Preparados para limpiar y pulir</v>
      </c>
      <c r="H374" s="77">
        <f>INDEX('Dictionary Categories'!$A$2:$A$30,MATCH(I374,'Dictionary Categories'!$B$2:$B$30,0))</f>
        <v>7</v>
      </c>
      <c r="I374" s="80" t="s">
        <v>2480</v>
      </c>
      <c r="J374" s="2">
        <f>INDEX('Dictionary Subcategories'!$A$2:$A$70,MATCH(K374,'Dictionary Subcategories'!$B$2:$B$70,0))</f>
        <v>21</v>
      </c>
      <c r="K374" s="87" t="s">
        <v>2350</v>
      </c>
      <c r="L374" s="147"/>
      <c r="M374" s="77">
        <v>372</v>
      </c>
      <c r="O374" s="77">
        <f t="shared" si="5"/>
        <v>0</v>
      </c>
    </row>
    <row r="375" spans="1:15" x14ac:dyDescent="0.25">
      <c r="A375" s="88" t="str">
        <f>'ENIGHUR Consumption items'!H478</f>
        <v>05.6.1.017</v>
      </c>
      <c r="B375" s="116">
        <f>_xlfn.NUMBERVALUE(VLOOKUP(A375,'ENIGHUR Consumption items'!$H$2:$I$703,2,))</f>
        <v>561017</v>
      </c>
      <c r="C375" s="88" t="str">
        <f>'ENIGHUR Consumption items'!J478</f>
        <v>Detergente en polvo</v>
      </c>
      <c r="D375" s="128">
        <v>140</v>
      </c>
      <c r="E375" s="91" t="str">
        <f>IFERROR(VLOOKUP(D375,'symmetric IOT 245 2012'!$C$6:$D$276,2,FALSE),"")</f>
        <v>Jabón y detergentes</v>
      </c>
      <c r="H375" s="77">
        <f>INDEX('Dictionary Categories'!$A$2:$A$30,MATCH(I375,'Dictionary Categories'!$B$2:$B$30,0))</f>
        <v>7</v>
      </c>
      <c r="I375" s="80" t="s">
        <v>2480</v>
      </c>
      <c r="J375" s="2">
        <f>INDEX('Dictionary Subcategories'!$A$2:$A$70,MATCH(K375,'Dictionary Subcategories'!$B$2:$B$70,0))</f>
        <v>21</v>
      </c>
      <c r="K375" s="87" t="s">
        <v>2350</v>
      </c>
      <c r="L375" s="147"/>
      <c r="M375" s="77">
        <v>373</v>
      </c>
      <c r="O375" s="77">
        <f t="shared" si="5"/>
        <v>0</v>
      </c>
    </row>
    <row r="376" spans="1:15" x14ac:dyDescent="0.25">
      <c r="A376" s="88" t="str">
        <f>'ENIGHUR Consumption items'!H479</f>
        <v>05.6.1.018</v>
      </c>
      <c r="B376" s="116">
        <f>_xlfn.NUMBERVALUE(VLOOKUP(A376,'ENIGHUR Consumption items'!$H$2:$I$703,2,))</f>
        <v>561018</v>
      </c>
      <c r="C376" s="88" t="str">
        <f>'ENIGHUR Consumption items'!J479</f>
        <v xml:space="preserve">Detergente líquido </v>
      </c>
      <c r="D376" s="128">
        <v>140</v>
      </c>
      <c r="E376" s="91" t="str">
        <f>IFERROR(VLOOKUP(D376,'symmetric IOT 245 2012'!$C$6:$D$276,2,FALSE),"")</f>
        <v>Jabón y detergentes</v>
      </c>
      <c r="H376" s="77">
        <f>INDEX('Dictionary Categories'!$A$2:$A$30,MATCH(I376,'Dictionary Categories'!$B$2:$B$30,0))</f>
        <v>7</v>
      </c>
      <c r="I376" s="80" t="s">
        <v>2480</v>
      </c>
      <c r="J376" s="2">
        <f>INDEX('Dictionary Subcategories'!$A$2:$A$70,MATCH(K376,'Dictionary Subcategories'!$B$2:$B$70,0))</f>
        <v>21</v>
      </c>
      <c r="K376" s="87" t="s">
        <v>2350</v>
      </c>
      <c r="L376" s="147"/>
      <c r="M376" s="77">
        <v>374</v>
      </c>
      <c r="O376" s="77">
        <f t="shared" si="5"/>
        <v>0</v>
      </c>
    </row>
    <row r="377" spans="1:15" x14ac:dyDescent="0.25">
      <c r="A377" s="88" t="str">
        <f>'ENIGHUR Consumption items'!H480</f>
        <v>05.6.1.019</v>
      </c>
      <c r="B377" s="116">
        <f>_xlfn.NUMBERVALUE(VLOOKUP(A377,'ENIGHUR Consumption items'!$H$2:$I$703,2,))</f>
        <v>561019</v>
      </c>
      <c r="C377" s="88" t="str">
        <f>'ENIGHUR Consumption items'!J480</f>
        <v xml:space="preserve">Fungicida líquido </v>
      </c>
      <c r="D377" s="128">
        <v>142</v>
      </c>
      <c r="E377" s="91" t="str">
        <f>IFERROR(VLOOKUP(D377,'symmetric IOT 245 2012'!$C$6:$D$276,2,FALSE),"")</f>
        <v>Preparados para limpiar y pulir</v>
      </c>
      <c r="H377" s="77">
        <f>INDEX('Dictionary Categories'!$A$2:$A$30,MATCH(I377,'Dictionary Categories'!$B$2:$B$30,0))</f>
        <v>7</v>
      </c>
      <c r="I377" s="80" t="s">
        <v>2480</v>
      </c>
      <c r="J377" s="2">
        <f>INDEX('Dictionary Subcategories'!$A$2:$A$70,MATCH(K377,'Dictionary Subcategories'!$B$2:$B$70,0))</f>
        <v>21</v>
      </c>
      <c r="K377" s="87" t="s">
        <v>2350</v>
      </c>
      <c r="L377" s="147"/>
      <c r="M377" s="77">
        <v>375</v>
      </c>
      <c r="O377" s="77">
        <f t="shared" si="5"/>
        <v>0</v>
      </c>
    </row>
    <row r="378" spans="1:15" x14ac:dyDescent="0.25">
      <c r="A378" s="88" t="str">
        <f>'ENIGHUR Consumption items'!H481</f>
        <v>05.6.1.020</v>
      </c>
      <c r="B378" s="116">
        <f>_xlfn.NUMBERVALUE(VLOOKUP(A378,'ENIGHUR Consumption items'!$H$2:$I$703,2,))</f>
        <v>561020</v>
      </c>
      <c r="C378" s="88" t="str">
        <f>'ENIGHUR Consumption items'!J481</f>
        <v>Fungicida sólido</v>
      </c>
      <c r="D378" s="128">
        <v>142</v>
      </c>
      <c r="E378" s="91" t="str">
        <f>IFERROR(VLOOKUP(D378,'symmetric IOT 245 2012'!$C$6:$D$276,2,FALSE),"")</f>
        <v>Preparados para limpiar y pulir</v>
      </c>
      <c r="H378" s="77">
        <f>INDEX('Dictionary Categories'!$A$2:$A$30,MATCH(I378,'Dictionary Categories'!$B$2:$B$30,0))</f>
        <v>7</v>
      </c>
      <c r="I378" s="80" t="s">
        <v>2480</v>
      </c>
      <c r="J378" s="2">
        <f>INDEX('Dictionary Subcategories'!$A$2:$A$70,MATCH(K378,'Dictionary Subcategories'!$B$2:$B$70,0))</f>
        <v>21</v>
      </c>
      <c r="K378" s="87" t="s">
        <v>2350</v>
      </c>
      <c r="L378" s="147"/>
      <c r="M378" s="77">
        <v>376</v>
      </c>
      <c r="O378" s="77">
        <f t="shared" si="5"/>
        <v>0</v>
      </c>
    </row>
    <row r="379" spans="1:15" x14ac:dyDescent="0.25">
      <c r="A379" s="88" t="str">
        <f>'ENIGHUR Consumption items'!H482</f>
        <v>05.6.1.021</v>
      </c>
      <c r="B379" s="116">
        <f>_xlfn.NUMBERVALUE(VLOOKUP(A379,'ENIGHUR Consumption items'!$H$2:$I$703,2,))</f>
        <v>561021</v>
      </c>
      <c r="C379" s="88" t="str">
        <f>'ENIGHUR Consumption items'!J482</f>
        <v xml:space="preserve">Insecticida </v>
      </c>
      <c r="D379" s="128">
        <v>142</v>
      </c>
      <c r="E379" s="91" t="str">
        <f>IFERROR(VLOOKUP(D379,'symmetric IOT 245 2012'!$C$6:$D$276,2,FALSE),"")</f>
        <v>Preparados para limpiar y pulir</v>
      </c>
      <c r="H379" s="77">
        <f>INDEX('Dictionary Categories'!$A$2:$A$30,MATCH(I379,'Dictionary Categories'!$B$2:$B$30,0))</f>
        <v>7</v>
      </c>
      <c r="I379" s="80" t="s">
        <v>2480</v>
      </c>
      <c r="J379" s="2">
        <f>INDEX('Dictionary Subcategories'!$A$2:$A$70,MATCH(K379,'Dictionary Subcategories'!$B$2:$B$70,0))</f>
        <v>21</v>
      </c>
      <c r="K379" s="87" t="s">
        <v>2350</v>
      </c>
      <c r="L379" s="147"/>
      <c r="M379" s="77">
        <v>377</v>
      </c>
      <c r="O379" s="77">
        <f t="shared" si="5"/>
        <v>0</v>
      </c>
    </row>
    <row r="380" spans="1:15" x14ac:dyDescent="0.25">
      <c r="A380" s="88" t="str">
        <f>'ENIGHUR Consumption items'!H483</f>
        <v>05.6.1.022</v>
      </c>
      <c r="B380" s="116">
        <f>_xlfn.NUMBERVALUE(VLOOKUP(A380,'ENIGHUR Consumption items'!$H$2:$I$703,2,))</f>
        <v>561022</v>
      </c>
      <c r="C380" s="88" t="str">
        <f>'ENIGHUR Consumption items'!J483</f>
        <v>Jabón en barra para lavar ropa</v>
      </c>
      <c r="D380" s="128">
        <v>140</v>
      </c>
      <c r="E380" s="91" t="str">
        <f>IFERROR(VLOOKUP(D380,'symmetric IOT 245 2012'!$C$6:$D$276,2,FALSE),"")</f>
        <v>Jabón y detergentes</v>
      </c>
      <c r="H380" s="77">
        <f>INDEX('Dictionary Categories'!$A$2:$A$30,MATCH(I380,'Dictionary Categories'!$B$2:$B$30,0))</f>
        <v>7</v>
      </c>
      <c r="I380" s="80" t="s">
        <v>2480</v>
      </c>
      <c r="J380" s="2">
        <f>INDEX('Dictionary Subcategories'!$A$2:$A$70,MATCH(K380,'Dictionary Subcategories'!$B$2:$B$70,0))</f>
        <v>21</v>
      </c>
      <c r="K380" s="87" t="s">
        <v>2350</v>
      </c>
      <c r="L380" s="147"/>
      <c r="M380" s="77">
        <v>378</v>
      </c>
      <c r="O380" s="77">
        <f t="shared" si="5"/>
        <v>0</v>
      </c>
    </row>
    <row r="381" spans="1:15" x14ac:dyDescent="0.25">
      <c r="A381" s="88" t="str">
        <f>'ENIGHUR Consumption items'!H484</f>
        <v>05.6.1.023</v>
      </c>
      <c r="B381" s="116">
        <f>_xlfn.NUMBERVALUE(VLOOKUP(A381,'ENIGHUR Consumption items'!$H$2:$I$703,2,))</f>
        <v>561023</v>
      </c>
      <c r="C381" s="88" t="str">
        <f>'ENIGHUR Consumption items'!J484</f>
        <v>Jabón en barra para lavar vajilla</v>
      </c>
      <c r="D381" s="128">
        <v>140</v>
      </c>
      <c r="E381" s="91" t="str">
        <f>IFERROR(VLOOKUP(D381,'symmetric IOT 245 2012'!$C$6:$D$276,2,FALSE),"")</f>
        <v>Jabón y detergentes</v>
      </c>
      <c r="H381" s="77">
        <f>INDEX('Dictionary Categories'!$A$2:$A$30,MATCH(I381,'Dictionary Categories'!$B$2:$B$30,0))</f>
        <v>7</v>
      </c>
      <c r="I381" s="80" t="s">
        <v>2480</v>
      </c>
      <c r="J381" s="2">
        <f>INDEX('Dictionary Subcategories'!$A$2:$A$70,MATCH(K381,'Dictionary Subcategories'!$B$2:$B$70,0))</f>
        <v>21</v>
      </c>
      <c r="K381" s="87" t="s">
        <v>2350</v>
      </c>
      <c r="L381" s="147"/>
      <c r="M381" s="77">
        <v>379</v>
      </c>
      <c r="O381" s="77">
        <f t="shared" si="5"/>
        <v>0</v>
      </c>
    </row>
    <row r="382" spans="1:15" x14ac:dyDescent="0.25">
      <c r="A382" s="88" t="str">
        <f>'ENIGHUR Consumption items'!H485</f>
        <v>05.6.1.024</v>
      </c>
      <c r="B382" s="116">
        <f>_xlfn.NUMBERVALUE(VLOOKUP(A382,'ENIGHUR Consumption items'!$H$2:$I$703,2,))</f>
        <v>561024</v>
      </c>
      <c r="C382" s="88" t="str">
        <f>'ENIGHUR Consumption items'!J485</f>
        <v>Jabón en crema para lavar vajilla</v>
      </c>
      <c r="D382" s="128">
        <v>140</v>
      </c>
      <c r="E382" s="91" t="str">
        <f>IFERROR(VLOOKUP(D382,'symmetric IOT 245 2012'!$C$6:$D$276,2,FALSE),"")</f>
        <v>Jabón y detergentes</v>
      </c>
      <c r="H382" s="77">
        <f>INDEX('Dictionary Categories'!$A$2:$A$30,MATCH(I382,'Dictionary Categories'!$B$2:$B$30,0))</f>
        <v>7</v>
      </c>
      <c r="I382" s="80" t="s">
        <v>2480</v>
      </c>
      <c r="J382" s="2">
        <f>INDEX('Dictionary Subcategories'!$A$2:$A$70,MATCH(K382,'Dictionary Subcategories'!$B$2:$B$70,0))</f>
        <v>21</v>
      </c>
      <c r="K382" s="87" t="s">
        <v>2350</v>
      </c>
      <c r="L382" s="147"/>
      <c r="M382" s="77">
        <v>380</v>
      </c>
      <c r="O382" s="77">
        <f t="shared" si="5"/>
        <v>0</v>
      </c>
    </row>
    <row r="383" spans="1:15" x14ac:dyDescent="0.25">
      <c r="A383" s="88" t="str">
        <f>'ENIGHUR Consumption items'!H486</f>
        <v>05.6.1.025</v>
      </c>
      <c r="B383" s="116">
        <f>_xlfn.NUMBERVALUE(VLOOKUP(A383,'ENIGHUR Consumption items'!$H$2:$I$703,2,))</f>
        <v>561025</v>
      </c>
      <c r="C383" s="88" t="str">
        <f>'ENIGHUR Consumption items'!J486</f>
        <v xml:space="preserve">Jabón líquido para lavar ropa </v>
      </c>
      <c r="D383" s="128">
        <v>140</v>
      </c>
      <c r="E383" s="91" t="str">
        <f>IFERROR(VLOOKUP(D383,'symmetric IOT 245 2012'!$C$6:$D$276,2,FALSE),"")</f>
        <v>Jabón y detergentes</v>
      </c>
      <c r="H383" s="77">
        <f>INDEX('Dictionary Categories'!$A$2:$A$30,MATCH(I383,'Dictionary Categories'!$B$2:$B$30,0))</f>
        <v>7</v>
      </c>
      <c r="I383" s="80" t="s">
        <v>2480</v>
      </c>
      <c r="J383" s="2">
        <f>INDEX('Dictionary Subcategories'!$A$2:$A$70,MATCH(K383,'Dictionary Subcategories'!$B$2:$B$70,0))</f>
        <v>21</v>
      </c>
      <c r="K383" s="87" t="s">
        <v>2350</v>
      </c>
      <c r="L383" s="147"/>
      <c r="M383" s="77">
        <v>381</v>
      </c>
      <c r="O383" s="77">
        <f t="shared" si="5"/>
        <v>0</v>
      </c>
    </row>
    <row r="384" spans="1:15" x14ac:dyDescent="0.25">
      <c r="A384" s="88" t="str">
        <f>'ENIGHUR Consumption items'!H487</f>
        <v>05.6.1.026</v>
      </c>
      <c r="B384" s="116">
        <f>_xlfn.NUMBERVALUE(VLOOKUP(A384,'ENIGHUR Consumption items'!$H$2:$I$703,2,))</f>
        <v>561026</v>
      </c>
      <c r="C384" s="88" t="str">
        <f>'ENIGHUR Consumption items'!J487</f>
        <v xml:space="preserve">Jabón líquido para lavar vajilla </v>
      </c>
      <c r="D384" s="128">
        <v>140</v>
      </c>
      <c r="E384" s="91" t="str">
        <f>IFERROR(VLOOKUP(D384,'symmetric IOT 245 2012'!$C$6:$D$276,2,FALSE),"")</f>
        <v>Jabón y detergentes</v>
      </c>
      <c r="H384" s="77">
        <f>INDEX('Dictionary Categories'!$A$2:$A$30,MATCH(I384,'Dictionary Categories'!$B$2:$B$30,0))</f>
        <v>7</v>
      </c>
      <c r="I384" s="80" t="s">
        <v>2480</v>
      </c>
      <c r="J384" s="2">
        <f>INDEX('Dictionary Subcategories'!$A$2:$A$70,MATCH(K384,'Dictionary Subcategories'!$B$2:$B$70,0))</f>
        <v>21</v>
      </c>
      <c r="K384" s="87" t="s">
        <v>2350</v>
      </c>
      <c r="L384" s="147"/>
      <c r="M384" s="77">
        <v>382</v>
      </c>
      <c r="O384" s="77">
        <f t="shared" si="5"/>
        <v>0</v>
      </c>
    </row>
    <row r="385" spans="1:15" x14ac:dyDescent="0.25">
      <c r="A385" s="88" t="str">
        <f>'ENIGHUR Consumption items'!H488</f>
        <v>05.6.1.027</v>
      </c>
      <c r="B385" s="116">
        <f>_xlfn.NUMBERVALUE(VLOOKUP(A385,'ENIGHUR Consumption items'!$H$2:$I$703,2,))</f>
        <v>561027</v>
      </c>
      <c r="C385" s="88" t="str">
        <f>'ENIGHUR Consumption items'!J488</f>
        <v xml:space="preserve">Líquido para limpiar vidrios </v>
      </c>
      <c r="D385" s="128">
        <v>142</v>
      </c>
      <c r="E385" s="91" t="str">
        <f>IFERROR(VLOOKUP(D385,'symmetric IOT 245 2012'!$C$6:$D$276,2,FALSE),"")</f>
        <v>Preparados para limpiar y pulir</v>
      </c>
      <c r="H385" s="77">
        <f>INDEX('Dictionary Categories'!$A$2:$A$30,MATCH(I385,'Dictionary Categories'!$B$2:$B$30,0))</f>
        <v>7</v>
      </c>
      <c r="I385" s="80" t="s">
        <v>2480</v>
      </c>
      <c r="J385" s="2">
        <f>INDEX('Dictionary Subcategories'!$A$2:$A$70,MATCH(K385,'Dictionary Subcategories'!$B$2:$B$70,0))</f>
        <v>21</v>
      </c>
      <c r="K385" s="87" t="s">
        <v>2350</v>
      </c>
      <c r="L385" s="147"/>
      <c r="M385" s="77">
        <v>383</v>
      </c>
      <c r="O385" s="77">
        <f t="shared" si="5"/>
        <v>0</v>
      </c>
    </row>
    <row r="386" spans="1:15" x14ac:dyDescent="0.25">
      <c r="A386" s="88" t="str">
        <f>'ENIGHUR Consumption items'!H489</f>
        <v>05.6.1.028</v>
      </c>
      <c r="B386" s="116">
        <f>_xlfn.NUMBERVALUE(VLOOKUP(A386,'ENIGHUR Consumption items'!$H$2:$I$703,2,))</f>
        <v>561028</v>
      </c>
      <c r="C386" s="88" t="str">
        <f>'ENIGHUR Consumption items'!J489</f>
        <v>Naftalina</v>
      </c>
      <c r="D386" s="128">
        <v>142</v>
      </c>
      <c r="E386" s="91" t="str">
        <f>IFERROR(VLOOKUP(D386,'symmetric IOT 245 2012'!$C$6:$D$276,2,FALSE),"")</f>
        <v>Preparados para limpiar y pulir</v>
      </c>
      <c r="H386" s="77">
        <f>INDEX('Dictionary Categories'!$A$2:$A$30,MATCH(I386,'Dictionary Categories'!$B$2:$B$30,0))</f>
        <v>7</v>
      </c>
      <c r="I386" s="80" t="s">
        <v>2480</v>
      </c>
      <c r="J386" s="2">
        <f>INDEX('Dictionary Subcategories'!$A$2:$A$70,MATCH(K386,'Dictionary Subcategories'!$B$2:$B$70,0))</f>
        <v>21</v>
      </c>
      <c r="K386" s="87" t="s">
        <v>2350</v>
      </c>
      <c r="L386" s="147"/>
      <c r="M386" s="77">
        <v>384</v>
      </c>
      <c r="O386" s="77">
        <f t="shared" si="5"/>
        <v>0</v>
      </c>
    </row>
    <row r="387" spans="1:15" x14ac:dyDescent="0.25">
      <c r="A387" s="88" t="str">
        <f>'ENIGHUR Consumption items'!H490</f>
        <v>05.6.1.029</v>
      </c>
      <c r="B387" s="116">
        <f>_xlfn.NUMBERVALUE(VLOOKUP(A387,'ENIGHUR Consumption items'!$H$2:$I$703,2,))</f>
        <v>561029</v>
      </c>
      <c r="C387" s="88" t="str">
        <f>'ENIGHUR Consumption items'!J490</f>
        <v>Pastilla tanque, (limpia y desinfecta el tanque del inodoro)</v>
      </c>
      <c r="D387" s="128">
        <v>142</v>
      </c>
      <c r="E387" s="91" t="str">
        <f>IFERROR(VLOOKUP(D387,'symmetric IOT 245 2012'!$C$6:$D$276,2,FALSE),"")</f>
        <v>Preparados para limpiar y pulir</v>
      </c>
      <c r="H387" s="77">
        <f>INDEX('Dictionary Categories'!$A$2:$A$30,MATCH(I387,'Dictionary Categories'!$B$2:$B$30,0))</f>
        <v>7</v>
      </c>
      <c r="I387" s="80" t="s">
        <v>2480</v>
      </c>
      <c r="J387" s="2">
        <f>INDEX('Dictionary Subcategories'!$A$2:$A$70,MATCH(K387,'Dictionary Subcategories'!$B$2:$B$70,0))</f>
        <v>21</v>
      </c>
      <c r="K387" s="87" t="s">
        <v>2350</v>
      </c>
      <c r="L387" s="147"/>
      <c r="M387" s="77">
        <v>385</v>
      </c>
      <c r="O387" s="77">
        <f t="shared" si="5"/>
        <v>0</v>
      </c>
    </row>
    <row r="388" spans="1:15" x14ac:dyDescent="0.25">
      <c r="A388" s="88" t="str">
        <f>'ENIGHUR Consumption items'!H491</f>
        <v>05.6.1.030</v>
      </c>
      <c r="B388" s="116">
        <f>_xlfn.NUMBERVALUE(VLOOKUP(A388,'ENIGHUR Consumption items'!$H$2:$I$703,2,))</f>
        <v>561030</v>
      </c>
      <c r="C388" s="88" t="str">
        <f>'ENIGHUR Consumption items'!J491</f>
        <v xml:space="preserve">Productos para el mantenimiento y limpieza de la madera </v>
      </c>
      <c r="D388" s="128">
        <v>142</v>
      </c>
      <c r="E388" s="91" t="str">
        <f>IFERROR(VLOOKUP(D388,'symmetric IOT 245 2012'!$C$6:$D$276,2,FALSE),"")</f>
        <v>Preparados para limpiar y pulir</v>
      </c>
      <c r="H388" s="77">
        <f>INDEX('Dictionary Categories'!$A$2:$A$30,MATCH(I388,'Dictionary Categories'!$B$2:$B$30,0))</f>
        <v>7</v>
      </c>
      <c r="I388" s="80" t="s">
        <v>2480</v>
      </c>
      <c r="J388" s="2">
        <f>INDEX('Dictionary Subcategories'!$A$2:$A$70,MATCH(K388,'Dictionary Subcategories'!$B$2:$B$70,0))</f>
        <v>21</v>
      </c>
      <c r="K388" s="87" t="s">
        <v>2350</v>
      </c>
      <c r="L388" s="147"/>
      <c r="M388" s="77">
        <v>386</v>
      </c>
      <c r="O388" s="77">
        <f t="shared" ref="O388:O451" si="6">IF(LEFT(RIGHT(A388,2),1)=".",1,0)</f>
        <v>0</v>
      </c>
    </row>
    <row r="389" spans="1:15" x14ac:dyDescent="0.25">
      <c r="A389" s="88" t="str">
        <f>'ENIGHUR Consumption items'!H492</f>
        <v>05.6.1.031</v>
      </c>
      <c r="B389" s="116">
        <f>_xlfn.NUMBERVALUE(VLOOKUP(A389,'ENIGHUR Consumption items'!$H$2:$I$703,2,))</f>
        <v>561031</v>
      </c>
      <c r="C389" s="88" t="str">
        <f>'ENIGHUR Consumption items'!J492</f>
        <v>Productos para pulir y limpiar metales</v>
      </c>
      <c r="D389" s="128">
        <v>142</v>
      </c>
      <c r="E389" s="91" t="str">
        <f>IFERROR(VLOOKUP(D389,'symmetric IOT 245 2012'!$C$6:$D$276,2,FALSE),"")</f>
        <v>Preparados para limpiar y pulir</v>
      </c>
      <c r="H389" s="77">
        <f>INDEX('Dictionary Categories'!$A$2:$A$30,MATCH(I389,'Dictionary Categories'!$B$2:$B$30,0))</f>
        <v>7</v>
      </c>
      <c r="I389" s="80" t="s">
        <v>2480</v>
      </c>
      <c r="J389" s="2">
        <f>INDEX('Dictionary Subcategories'!$A$2:$A$70,MATCH(K389,'Dictionary Subcategories'!$B$2:$B$70,0))</f>
        <v>21</v>
      </c>
      <c r="K389" s="87" t="s">
        <v>2350</v>
      </c>
      <c r="L389" s="147"/>
      <c r="M389" s="77">
        <v>387</v>
      </c>
      <c r="O389" s="77">
        <f t="shared" si="6"/>
        <v>0</v>
      </c>
    </row>
    <row r="390" spans="1:15" x14ac:dyDescent="0.25">
      <c r="A390" s="88" t="str">
        <f>'ENIGHUR Consumption items'!H493</f>
        <v>05.6.1.032</v>
      </c>
      <c r="B390" s="116">
        <f>_xlfn.NUMBERVALUE(VLOOKUP(A390,'ENIGHUR Consumption items'!$H$2:$I$703,2,))</f>
        <v>561032</v>
      </c>
      <c r="C390" s="88" t="str">
        <f>'ENIGHUR Consumption items'!J493</f>
        <v xml:space="preserve">Productos químicos para la limpieza de alfombras </v>
      </c>
      <c r="D390" s="128">
        <v>142</v>
      </c>
      <c r="E390" s="91" t="str">
        <f>IFERROR(VLOOKUP(D390,'symmetric IOT 245 2012'!$C$6:$D$276,2,FALSE),"")</f>
        <v>Preparados para limpiar y pulir</v>
      </c>
      <c r="H390" s="77">
        <f>INDEX('Dictionary Categories'!$A$2:$A$30,MATCH(I390,'Dictionary Categories'!$B$2:$B$30,0))</f>
        <v>7</v>
      </c>
      <c r="I390" s="80" t="s">
        <v>2480</v>
      </c>
      <c r="J390" s="2">
        <f>INDEX('Dictionary Subcategories'!$A$2:$A$70,MATCH(K390,'Dictionary Subcategories'!$B$2:$B$70,0))</f>
        <v>21</v>
      </c>
      <c r="K390" s="87" t="s">
        <v>2350</v>
      </c>
      <c r="L390" s="147"/>
      <c r="M390" s="77">
        <v>388</v>
      </c>
      <c r="O390" s="77">
        <f t="shared" si="6"/>
        <v>0</v>
      </c>
    </row>
    <row r="391" spans="1:15" x14ac:dyDescent="0.25">
      <c r="A391" s="88" t="str">
        <f>'ENIGHUR Consumption items'!H494</f>
        <v>05.6.1.033</v>
      </c>
      <c r="B391" s="116">
        <f>_xlfn.NUMBERVALUE(VLOOKUP(A391,'ENIGHUR Consumption items'!$H$2:$I$703,2,))</f>
        <v>561033</v>
      </c>
      <c r="C391" s="88" t="str">
        <f>'ENIGHUR Consumption items'!J494</f>
        <v xml:space="preserve">Quita manchas (alfombras, muebles…etc.) </v>
      </c>
      <c r="D391" s="128">
        <v>142</v>
      </c>
      <c r="E391" s="91" t="str">
        <f>IFERROR(VLOOKUP(D391,'symmetric IOT 245 2012'!$C$6:$D$276,2,FALSE),"")</f>
        <v>Preparados para limpiar y pulir</v>
      </c>
      <c r="H391" s="77">
        <f>INDEX('Dictionary Categories'!$A$2:$A$30,MATCH(I391,'Dictionary Categories'!$B$2:$B$30,0))</f>
        <v>7</v>
      </c>
      <c r="I391" s="80" t="s">
        <v>2480</v>
      </c>
      <c r="J391" s="2">
        <f>INDEX('Dictionary Subcategories'!$A$2:$A$70,MATCH(K391,'Dictionary Subcategories'!$B$2:$B$70,0))</f>
        <v>21</v>
      </c>
      <c r="K391" s="87" t="s">
        <v>2350</v>
      </c>
      <c r="L391" s="147"/>
      <c r="M391" s="77">
        <v>389</v>
      </c>
      <c r="O391" s="77">
        <f t="shared" si="6"/>
        <v>0</v>
      </c>
    </row>
    <row r="392" spans="1:15" x14ac:dyDescent="0.25">
      <c r="A392" s="88" t="str">
        <f>'ENIGHUR Consumption items'!H495</f>
        <v>05.6.1.034</v>
      </c>
      <c r="B392" s="116">
        <f>_xlfn.NUMBERVALUE(VLOOKUP(A392,'ENIGHUR Consumption items'!$H$2:$I$703,2,))</f>
        <v>561034</v>
      </c>
      <c r="C392" s="88" t="str">
        <f>'ENIGHUR Consumption items'!J495</f>
        <v>Sosa cáustica</v>
      </c>
      <c r="D392" s="128">
        <v>142</v>
      </c>
      <c r="E392" s="91" t="str">
        <f>IFERROR(VLOOKUP(D392,'symmetric IOT 245 2012'!$C$6:$D$276,2,FALSE),"")</f>
        <v>Preparados para limpiar y pulir</v>
      </c>
      <c r="H392" s="77">
        <f>INDEX('Dictionary Categories'!$A$2:$A$30,MATCH(I392,'Dictionary Categories'!$B$2:$B$30,0))</f>
        <v>7</v>
      </c>
      <c r="I392" s="80" t="s">
        <v>2480</v>
      </c>
      <c r="J392" s="2">
        <f>INDEX('Dictionary Subcategories'!$A$2:$A$70,MATCH(K392,'Dictionary Subcategories'!$B$2:$B$70,0))</f>
        <v>21</v>
      </c>
      <c r="K392" s="87" t="s">
        <v>2350</v>
      </c>
      <c r="L392" s="147"/>
      <c r="M392" s="77">
        <v>390</v>
      </c>
      <c r="O392" s="77">
        <f t="shared" si="6"/>
        <v>0</v>
      </c>
    </row>
    <row r="393" spans="1:15" x14ac:dyDescent="0.25">
      <c r="A393" s="88" t="str">
        <f>'ENIGHUR Consumption items'!H496</f>
        <v>05.6.1.035</v>
      </c>
      <c r="B393" s="116">
        <f>_xlfn.NUMBERVALUE(VLOOKUP(A393,'ENIGHUR Consumption items'!$H$2:$I$703,2,))</f>
        <v>561035</v>
      </c>
      <c r="C393" s="88" t="str">
        <f>'ENIGHUR Consumption items'!J496</f>
        <v xml:space="preserve">Suavizantes de ropa (acondicionador) </v>
      </c>
      <c r="D393" s="128">
        <v>140</v>
      </c>
      <c r="E393" s="91" t="str">
        <f>IFERROR(VLOOKUP(D393,'symmetric IOT 245 2012'!$C$6:$D$276,2,FALSE),"")</f>
        <v>Jabón y detergentes</v>
      </c>
      <c r="H393" s="77">
        <f>INDEX('Dictionary Categories'!$A$2:$A$30,MATCH(I393,'Dictionary Categories'!$B$2:$B$30,0))</f>
        <v>7</v>
      </c>
      <c r="I393" s="80" t="s">
        <v>2480</v>
      </c>
      <c r="J393" s="2">
        <f>INDEX('Dictionary Subcategories'!$A$2:$A$70,MATCH(K393,'Dictionary Subcategories'!$B$2:$B$70,0))</f>
        <v>21</v>
      </c>
      <c r="K393" s="87" t="s">
        <v>2350</v>
      </c>
      <c r="L393" s="147"/>
      <c r="M393" s="77">
        <v>391</v>
      </c>
      <c r="O393" s="77">
        <f t="shared" si="6"/>
        <v>0</v>
      </c>
    </row>
    <row r="394" spans="1:15" x14ac:dyDescent="0.25">
      <c r="A394" s="88" t="str">
        <f>'ENIGHUR Consumption items'!H497</f>
        <v>05.6.1.036</v>
      </c>
      <c r="B394" s="116">
        <f>_xlfn.NUMBERVALUE(VLOOKUP(A394,'ENIGHUR Consumption items'!$H$2:$I$703,2,))</f>
        <v>561036</v>
      </c>
      <c r="C394" s="88" t="str">
        <f>'ENIGHUR Consumption items'!J497</f>
        <v>Tinta para ropa y otros tejidos</v>
      </c>
      <c r="D394" s="128">
        <v>142</v>
      </c>
      <c r="E394" s="91" t="str">
        <f>IFERROR(VLOOKUP(D394,'symmetric IOT 245 2012'!$C$6:$D$276,2,FALSE),"")</f>
        <v>Preparados para limpiar y pulir</v>
      </c>
      <c r="H394" s="77">
        <f>INDEX('Dictionary Categories'!$A$2:$A$30,MATCH(I394,'Dictionary Categories'!$B$2:$B$30,0))</f>
        <v>7</v>
      </c>
      <c r="I394" s="80" t="s">
        <v>2480</v>
      </c>
      <c r="J394" s="2">
        <f>INDEX('Dictionary Subcategories'!$A$2:$A$70,MATCH(K394,'Dictionary Subcategories'!$B$2:$B$70,0))</f>
        <v>21</v>
      </c>
      <c r="K394" s="87" t="s">
        <v>2350</v>
      </c>
      <c r="L394" s="147"/>
      <c r="M394" s="77">
        <v>392</v>
      </c>
      <c r="O394" s="77">
        <f t="shared" si="6"/>
        <v>0</v>
      </c>
    </row>
    <row r="395" spans="1:15" x14ac:dyDescent="0.25">
      <c r="A395" s="88" t="str">
        <f>'ENIGHUR Consumption items'!H498</f>
        <v>05.6.1.037</v>
      </c>
      <c r="B395" s="116">
        <f>_xlfn.NUMBERVALUE(VLOOKUP(A395,'ENIGHUR Consumption items'!$H$2:$I$703,2,))</f>
        <v>561037</v>
      </c>
      <c r="C395" s="88" t="str">
        <f>'ENIGHUR Consumption items'!J498</f>
        <v>Veneno para ratas</v>
      </c>
      <c r="D395" s="128">
        <v>142</v>
      </c>
      <c r="E395" s="91" t="str">
        <f>IFERROR(VLOOKUP(D395,'symmetric IOT 245 2012'!$C$6:$D$276,2,FALSE),"")</f>
        <v>Preparados para limpiar y pulir</v>
      </c>
      <c r="H395" s="77">
        <f>INDEX('Dictionary Categories'!$A$2:$A$30,MATCH(I395,'Dictionary Categories'!$B$2:$B$30,0))</f>
        <v>7</v>
      </c>
      <c r="I395" s="80" t="s">
        <v>2480</v>
      </c>
      <c r="J395" s="2">
        <f>INDEX('Dictionary Subcategories'!$A$2:$A$70,MATCH(K395,'Dictionary Subcategories'!$B$2:$B$70,0))</f>
        <v>21</v>
      </c>
      <c r="K395" s="87" t="s">
        <v>2350</v>
      </c>
      <c r="L395" s="147"/>
      <c r="M395" s="77">
        <v>393</v>
      </c>
      <c r="O395" s="77">
        <f t="shared" si="6"/>
        <v>0</v>
      </c>
    </row>
    <row r="396" spans="1:15" x14ac:dyDescent="0.25">
      <c r="A396" s="88" t="str">
        <f>'ENIGHUR Consumption items'!H499</f>
        <v>05.6.1.038</v>
      </c>
      <c r="B396" s="116">
        <f>_xlfn.NUMBERVALUE(VLOOKUP(A396,'ENIGHUR Consumption items'!$H$2:$I$703,2,))</f>
        <v>561038</v>
      </c>
      <c r="C396" s="88" t="str">
        <f>'ENIGHUR Consumption items'!J499</f>
        <v>Otro tipo de desinfectantes (creso)</v>
      </c>
      <c r="D396" s="128">
        <v>142</v>
      </c>
      <c r="E396" s="91" t="str">
        <f>IFERROR(VLOOKUP(D396,'symmetric IOT 245 2012'!$C$6:$D$276,2,FALSE),"")</f>
        <v>Preparados para limpiar y pulir</v>
      </c>
      <c r="H396" s="77">
        <f>INDEX('Dictionary Categories'!$A$2:$A$30,MATCH(I396,'Dictionary Categories'!$B$2:$B$30,0))</f>
        <v>7</v>
      </c>
      <c r="I396" s="80" t="s">
        <v>2480</v>
      </c>
      <c r="J396" s="2">
        <f>INDEX('Dictionary Subcategories'!$A$2:$A$70,MATCH(K396,'Dictionary Subcategories'!$B$2:$B$70,0))</f>
        <v>21</v>
      </c>
      <c r="K396" s="87" t="s">
        <v>2350</v>
      </c>
      <c r="L396" s="147"/>
      <c r="M396" s="77">
        <v>394</v>
      </c>
      <c r="O396" s="77">
        <f t="shared" si="6"/>
        <v>0</v>
      </c>
    </row>
    <row r="397" spans="1:15" x14ac:dyDescent="0.25">
      <c r="A397" s="88" t="str">
        <f>'ENIGHUR Consumption items'!H500</f>
        <v>05.6.1.099</v>
      </c>
      <c r="B397" s="116">
        <f>_xlfn.NUMBERVALUE(VLOOKUP(A397,'ENIGHUR Consumption items'!$H$2:$I$703,2,))</f>
        <v>561099</v>
      </c>
      <c r="C397" s="88" t="str">
        <f>'ENIGHUR Consumption items'!J500</f>
        <v>Otros productos de limpieza y mantenimiento</v>
      </c>
      <c r="D397" s="128">
        <v>142</v>
      </c>
      <c r="E397" s="91" t="str">
        <f>IFERROR(VLOOKUP(D397,'symmetric IOT 245 2012'!$C$6:$D$276,2,FALSE),"")</f>
        <v>Preparados para limpiar y pulir</v>
      </c>
      <c r="H397" s="77">
        <f>INDEX('Dictionary Categories'!$A$2:$A$30,MATCH(I397,'Dictionary Categories'!$B$2:$B$30,0))</f>
        <v>7</v>
      </c>
      <c r="I397" s="80" t="s">
        <v>2480</v>
      </c>
      <c r="J397" s="2">
        <f>INDEX('Dictionary Subcategories'!$A$2:$A$70,MATCH(K397,'Dictionary Subcategories'!$B$2:$B$70,0))</f>
        <v>21</v>
      </c>
      <c r="K397" s="87" t="s">
        <v>2350</v>
      </c>
      <c r="L397" s="147"/>
      <c r="M397" s="77">
        <v>395</v>
      </c>
      <c r="O397" s="77">
        <f t="shared" si="6"/>
        <v>0</v>
      </c>
    </row>
    <row r="398" spans="1:15" x14ac:dyDescent="0.25">
      <c r="A398" s="88" t="str">
        <f>'ENIGHUR Consumption items'!H501</f>
        <v>05.6.1.100</v>
      </c>
      <c r="B398" s="116">
        <f>_xlfn.NUMBERVALUE(VLOOKUP(A398,'ENIGHUR Consumption items'!$H$2:$I$703,2,))</f>
        <v>561100</v>
      </c>
      <c r="C398" s="88" t="str">
        <f>'ENIGHUR Consumption items'!J501</f>
        <v>Otros productos no duraderos para el hogar</v>
      </c>
      <c r="D398" s="128">
        <v>142</v>
      </c>
      <c r="E398" s="91" t="str">
        <f>IFERROR(VLOOKUP(D398,'symmetric IOT 245 2012'!$C$6:$D$276,2,FALSE),"")</f>
        <v>Preparados para limpiar y pulir</v>
      </c>
      <c r="H398" s="77">
        <f>INDEX('Dictionary Categories'!$A$2:$A$30,MATCH(I398,'Dictionary Categories'!$B$2:$B$30,0))</f>
        <v>7</v>
      </c>
      <c r="I398" s="80" t="s">
        <v>2480</v>
      </c>
      <c r="J398" s="2">
        <f>INDEX('Dictionary Subcategories'!$A$2:$A$70,MATCH(K398,'Dictionary Subcategories'!$B$2:$B$70,0))</f>
        <v>21</v>
      </c>
      <c r="K398" s="87" t="s">
        <v>2350</v>
      </c>
      <c r="L398" s="147"/>
      <c r="M398" s="77">
        <v>396</v>
      </c>
      <c r="O398" s="77">
        <f t="shared" si="6"/>
        <v>0</v>
      </c>
    </row>
    <row r="399" spans="1:15" x14ac:dyDescent="0.25">
      <c r="A399" s="88" t="str">
        <f>'ENIGHUR Consumption items'!H502</f>
        <v>05.6.1.101</v>
      </c>
      <c r="B399" s="116">
        <f>_xlfn.NUMBERVALUE(VLOOKUP(A399,'ENIGHUR Consumption items'!$H$2:$I$703,2,))</f>
        <v>561101</v>
      </c>
      <c r="C399" s="88" t="str">
        <f>'ENIGHUR Consumption items'!J502</f>
        <v>Adhesivos y cintas adhesivas de uso domestico</v>
      </c>
      <c r="D399" s="128">
        <v>143</v>
      </c>
      <c r="E399" s="91" t="str">
        <f>IFERROR(VLOOKUP(D399,'symmetric IOT 245 2012'!$C$6:$D$276,2,FALSE),"")</f>
        <v>Fibras sintéticas (textiles manufacturadas) y Otros productos químicos n.c.p.</v>
      </c>
      <c r="H399" s="77">
        <f>INDEX('Dictionary Categories'!$A$2:$A$30,MATCH(I399,'Dictionary Categories'!$B$2:$B$30,0))</f>
        <v>7</v>
      </c>
      <c r="I399" s="80" t="s">
        <v>2480</v>
      </c>
      <c r="J399" s="2">
        <f>INDEX('Dictionary Subcategories'!$A$2:$A$70,MATCH(K399,'Dictionary Subcategories'!$B$2:$B$70,0))</f>
        <v>21</v>
      </c>
      <c r="K399" s="87" t="s">
        <v>2350</v>
      </c>
      <c r="L399" s="147"/>
      <c r="M399" s="77">
        <v>397</v>
      </c>
      <c r="O399" s="77">
        <f t="shared" si="6"/>
        <v>0</v>
      </c>
    </row>
    <row r="400" spans="1:15" x14ac:dyDescent="0.25">
      <c r="A400" s="88" t="str">
        <f>'ENIGHUR Consumption items'!H503</f>
        <v>05.6.1.102</v>
      </c>
      <c r="B400" s="116">
        <f>_xlfn.NUMBERVALUE(VLOOKUP(A400,'ENIGHUR Consumption items'!$H$2:$I$703,2,))</f>
        <v>561102</v>
      </c>
      <c r="C400" s="88" t="str">
        <f>'ENIGHUR Consumption items'!J503</f>
        <v>Agujas de coser</v>
      </c>
      <c r="D400" s="128">
        <v>157</v>
      </c>
      <c r="E400" s="91" t="str">
        <f>IFERROR(VLOOKUP(D400,'symmetric IOT 245 2012'!$C$6:$D$276,2,FALSE),"")</f>
        <v>Productos metálicos de uso doméstico</v>
      </c>
      <c r="H400" s="77">
        <f>INDEX('Dictionary Categories'!$A$2:$A$30,MATCH(I400,'Dictionary Categories'!$B$2:$B$30,0))</f>
        <v>7</v>
      </c>
      <c r="I400" s="80" t="s">
        <v>2480</v>
      </c>
      <c r="J400" s="2">
        <f>INDEX('Dictionary Subcategories'!$A$2:$A$70,MATCH(K400,'Dictionary Subcategories'!$B$2:$B$70,0))</f>
        <v>21</v>
      </c>
      <c r="K400" s="87" t="s">
        <v>2350</v>
      </c>
      <c r="L400" s="147"/>
      <c r="M400" s="77">
        <v>398</v>
      </c>
      <c r="O400" s="77">
        <f t="shared" si="6"/>
        <v>0</v>
      </c>
    </row>
    <row r="401" spans="1:15" x14ac:dyDescent="0.25">
      <c r="A401" s="88" t="str">
        <f>'ENIGHUR Consumption items'!H504</f>
        <v>05.6.1.103</v>
      </c>
      <c r="B401" s="116">
        <f>_xlfn.NUMBERVALUE(VLOOKUP(A401,'ENIGHUR Consumption items'!$H$2:$I$703,2,))</f>
        <v>561103</v>
      </c>
      <c r="C401" s="88" t="str">
        <f>'ENIGHUR Consumption items'!J504</f>
        <v>Agujas de tejer, crochet</v>
      </c>
      <c r="D401" s="128">
        <v>146</v>
      </c>
      <c r="E401" s="91" t="str">
        <f>IFERROR(VLOOKUP(D401,'symmetric IOT 245 2012'!$C$6:$D$276,2,FALSE),"")</f>
        <v>Productos de plástico</v>
      </c>
      <c r="H401" s="77">
        <f>INDEX('Dictionary Categories'!$A$2:$A$30,MATCH(I401,'Dictionary Categories'!$B$2:$B$30,0))</f>
        <v>7</v>
      </c>
      <c r="I401" s="80" t="s">
        <v>2480</v>
      </c>
      <c r="J401" s="2">
        <f>INDEX('Dictionary Subcategories'!$A$2:$A$70,MATCH(K401,'Dictionary Subcategories'!$B$2:$B$70,0))</f>
        <v>21</v>
      </c>
      <c r="K401" s="87" t="s">
        <v>2350</v>
      </c>
      <c r="L401" s="147"/>
      <c r="M401" s="77">
        <v>399</v>
      </c>
      <c r="O401" s="77">
        <f t="shared" si="6"/>
        <v>0</v>
      </c>
    </row>
    <row r="402" spans="1:15" x14ac:dyDescent="0.25">
      <c r="A402" s="88" t="str">
        <f>'ENIGHUR Consumption items'!H505</f>
        <v>05.6.1.104</v>
      </c>
      <c r="B402" s="116">
        <f>_xlfn.NUMBERVALUE(VLOOKUP(A402,'ENIGHUR Consumption items'!$H$2:$I$703,2,))</f>
        <v>561104</v>
      </c>
      <c r="C402" s="88" t="str">
        <f>'ENIGHUR Consumption items'!J505</f>
        <v>Alcoholes desnaturalizados</v>
      </c>
      <c r="D402" s="128">
        <v>142</v>
      </c>
      <c r="E402" s="91" t="str">
        <f>IFERROR(VLOOKUP(D402,'symmetric IOT 245 2012'!$C$6:$D$276,2,FALSE),"")</f>
        <v>Preparados para limpiar y pulir</v>
      </c>
      <c r="H402" s="77">
        <f>INDEX('Dictionary Categories'!$A$2:$A$30,MATCH(I402,'Dictionary Categories'!$B$2:$B$30,0))</f>
        <v>7</v>
      </c>
      <c r="I402" s="80" t="s">
        <v>2480</v>
      </c>
      <c r="J402" s="2">
        <f>INDEX('Dictionary Subcategories'!$A$2:$A$70,MATCH(K402,'Dictionary Subcategories'!$B$2:$B$70,0))</f>
        <v>21</v>
      </c>
      <c r="K402" s="87" t="s">
        <v>2350</v>
      </c>
      <c r="L402" s="147"/>
      <c r="M402" s="77">
        <v>400</v>
      </c>
      <c r="O402" s="77">
        <f t="shared" si="6"/>
        <v>0</v>
      </c>
    </row>
    <row r="403" spans="1:15" x14ac:dyDescent="0.25">
      <c r="A403" s="88" t="str">
        <f>'ENIGHUR Consumption items'!H506</f>
        <v>05.6.1.105</v>
      </c>
      <c r="B403" s="116">
        <f>_xlfn.NUMBERVALUE(VLOOKUP(A403,'ENIGHUR Consumption items'!$H$2:$I$703,2,))</f>
        <v>561105</v>
      </c>
      <c r="C403" s="88" t="str">
        <f>'ENIGHUR Consumption items'!J506</f>
        <v>Alfileres</v>
      </c>
      <c r="D403" s="128">
        <v>157</v>
      </c>
      <c r="E403" s="91" t="str">
        <f>IFERROR(VLOOKUP(D403,'symmetric IOT 245 2012'!$C$6:$D$276,2,FALSE),"")</f>
        <v>Productos metálicos de uso doméstico</v>
      </c>
      <c r="H403" s="77">
        <f>INDEX('Dictionary Categories'!$A$2:$A$30,MATCH(I403,'Dictionary Categories'!$B$2:$B$30,0))</f>
        <v>7</v>
      </c>
      <c r="I403" s="80" t="s">
        <v>2480</v>
      </c>
      <c r="J403" s="2">
        <f>INDEX('Dictionary Subcategories'!$A$2:$A$70,MATCH(K403,'Dictionary Subcategories'!$B$2:$B$70,0))</f>
        <v>21</v>
      </c>
      <c r="K403" s="87" t="s">
        <v>2350</v>
      </c>
      <c r="L403" s="147"/>
      <c r="M403" s="77">
        <v>401</v>
      </c>
      <c r="O403" s="77">
        <f t="shared" si="6"/>
        <v>0</v>
      </c>
    </row>
    <row r="404" spans="1:15" x14ac:dyDescent="0.25">
      <c r="A404" s="88" t="str">
        <f>'ENIGHUR Consumption items'!H507</f>
        <v>05.6.1.106</v>
      </c>
      <c r="B404" s="116">
        <f>_xlfn.NUMBERVALUE(VLOOKUP(A404,'ENIGHUR Consumption items'!$H$2:$I$703,2,))</f>
        <v>561106</v>
      </c>
      <c r="C404" s="88" t="str">
        <f>'ENIGHUR Consumption items'!J507</f>
        <v>Bolsa para aspiradora</v>
      </c>
      <c r="D404" s="128">
        <v>142</v>
      </c>
      <c r="E404" s="91" t="str">
        <f>IFERROR(VLOOKUP(D404,'symmetric IOT 245 2012'!$C$6:$D$276,2,FALSE),"")</f>
        <v>Preparados para limpiar y pulir</v>
      </c>
      <c r="H404" s="77">
        <f>INDEX('Dictionary Categories'!$A$2:$A$30,MATCH(I404,'Dictionary Categories'!$B$2:$B$30,0))</f>
        <v>7</v>
      </c>
      <c r="I404" s="80" t="s">
        <v>2480</v>
      </c>
      <c r="J404" s="2">
        <f>INDEX('Dictionary Subcategories'!$A$2:$A$70,MATCH(K404,'Dictionary Subcategories'!$B$2:$B$70,0))</f>
        <v>21</v>
      </c>
      <c r="K404" s="87" t="s">
        <v>2350</v>
      </c>
      <c r="L404" s="147"/>
      <c r="M404" s="77">
        <v>402</v>
      </c>
      <c r="O404" s="77">
        <f t="shared" si="6"/>
        <v>0</v>
      </c>
    </row>
    <row r="405" spans="1:15" x14ac:dyDescent="0.25">
      <c r="A405" s="88" t="str">
        <f>'ENIGHUR Consumption items'!H508</f>
        <v>05.6.1.107</v>
      </c>
      <c r="B405" s="116">
        <f>_xlfn.NUMBERVALUE(VLOOKUP(A405,'ENIGHUR Consumption items'!$H$2:$I$703,2,))</f>
        <v>561107</v>
      </c>
      <c r="C405" s="88" t="str">
        <f>'ENIGHUR Consumption items'!J508</f>
        <v>Cepillo para lavar botellas</v>
      </c>
      <c r="D405" s="128">
        <v>142</v>
      </c>
      <c r="E405" s="91" t="str">
        <f>IFERROR(VLOOKUP(D405,'symmetric IOT 245 2012'!$C$6:$D$276,2,FALSE),"")</f>
        <v>Preparados para limpiar y pulir</v>
      </c>
      <c r="H405" s="77">
        <f>INDEX('Dictionary Categories'!$A$2:$A$30,MATCH(I405,'Dictionary Categories'!$B$2:$B$30,0))</f>
        <v>7</v>
      </c>
      <c r="I405" s="80" t="s">
        <v>2480</v>
      </c>
      <c r="J405" s="2">
        <f>INDEX('Dictionary Subcategories'!$A$2:$A$70,MATCH(K405,'Dictionary Subcategories'!$B$2:$B$70,0))</f>
        <v>21</v>
      </c>
      <c r="K405" s="87" t="s">
        <v>2350</v>
      </c>
      <c r="L405" s="147"/>
      <c r="M405" s="77">
        <v>403</v>
      </c>
      <c r="O405" s="77">
        <f t="shared" si="6"/>
        <v>0</v>
      </c>
    </row>
    <row r="406" spans="1:15" x14ac:dyDescent="0.25">
      <c r="A406" s="88" t="str">
        <f>'ENIGHUR Consumption items'!H509</f>
        <v>05.6.1.108</v>
      </c>
      <c r="B406" s="116">
        <f>_xlfn.NUMBERVALUE(VLOOKUP(A406,'ENIGHUR Consumption items'!$H$2:$I$703,2,))</f>
        <v>561108</v>
      </c>
      <c r="C406" s="88" t="str">
        <f>'ENIGHUR Consumption items'!J509</f>
        <v>Cepillo para limpiar la ropa</v>
      </c>
      <c r="D406" s="128">
        <v>142</v>
      </c>
      <c r="E406" s="91" t="str">
        <f>IFERROR(VLOOKUP(D406,'symmetric IOT 245 2012'!$C$6:$D$276,2,FALSE),"")</f>
        <v>Preparados para limpiar y pulir</v>
      </c>
      <c r="H406" s="77">
        <f>INDEX('Dictionary Categories'!$A$2:$A$30,MATCH(I406,'Dictionary Categories'!$B$2:$B$30,0))</f>
        <v>7</v>
      </c>
      <c r="I406" s="80" t="s">
        <v>2480</v>
      </c>
      <c r="J406" s="2">
        <f>INDEX('Dictionary Subcategories'!$A$2:$A$70,MATCH(K406,'Dictionary Subcategories'!$B$2:$B$70,0))</f>
        <v>21</v>
      </c>
      <c r="K406" s="87" t="s">
        <v>2350</v>
      </c>
      <c r="L406" s="147"/>
      <c r="M406" s="77">
        <v>404</v>
      </c>
      <c r="O406" s="77">
        <f t="shared" si="6"/>
        <v>0</v>
      </c>
    </row>
    <row r="407" spans="1:15" x14ac:dyDescent="0.25">
      <c r="A407" s="88" t="str">
        <f>'ENIGHUR Consumption items'!H510</f>
        <v>05.6.1.109</v>
      </c>
      <c r="B407" s="116">
        <f>_xlfn.NUMBERVALUE(VLOOKUP(A407,'ENIGHUR Consumption items'!$H$2:$I$703,2,))</f>
        <v>561109</v>
      </c>
      <c r="C407" s="88" t="str">
        <f>'ENIGHUR Consumption items'!J510</f>
        <v>Cepillo para restregar la ropa</v>
      </c>
      <c r="D407" s="128">
        <v>142</v>
      </c>
      <c r="E407" s="91" t="str">
        <f>IFERROR(VLOOKUP(D407,'symmetric IOT 245 2012'!$C$6:$D$276,2,FALSE),"")</f>
        <v>Preparados para limpiar y pulir</v>
      </c>
      <c r="H407" s="77">
        <f>INDEX('Dictionary Categories'!$A$2:$A$30,MATCH(I407,'Dictionary Categories'!$B$2:$B$30,0))</f>
        <v>7</v>
      </c>
      <c r="I407" s="80" t="s">
        <v>2480</v>
      </c>
      <c r="J407" s="2">
        <f>INDEX('Dictionary Subcategories'!$A$2:$A$70,MATCH(K407,'Dictionary Subcategories'!$B$2:$B$70,0))</f>
        <v>21</v>
      </c>
      <c r="K407" s="87" t="s">
        <v>2350</v>
      </c>
      <c r="L407" s="147"/>
      <c r="M407" s="77">
        <v>405</v>
      </c>
      <c r="O407" s="77">
        <f t="shared" si="6"/>
        <v>0</v>
      </c>
    </row>
    <row r="408" spans="1:15" x14ac:dyDescent="0.25">
      <c r="A408" s="88" t="str">
        <f>'ENIGHUR Consumption items'!H511</f>
        <v>05.6.1.110</v>
      </c>
      <c r="B408" s="116">
        <f>_xlfn.NUMBERVALUE(VLOOKUP(A408,'ENIGHUR Consumption items'!$H$2:$I$703,2,))</f>
        <v>561110</v>
      </c>
      <c r="C408" s="88" t="str">
        <f>'ENIGHUR Consumption items'!J511</f>
        <v>Clavos, tornillos</v>
      </c>
      <c r="D408" s="128">
        <v>157</v>
      </c>
      <c r="E408" s="91" t="str">
        <f>IFERROR(VLOOKUP(D408,'symmetric IOT 245 2012'!$C$6:$D$276,2,FALSE),"")</f>
        <v>Productos metálicos de uso doméstico</v>
      </c>
      <c r="H408" s="77">
        <f>INDEX('Dictionary Categories'!$A$2:$A$30,MATCH(I408,'Dictionary Categories'!$B$2:$B$30,0))</f>
        <v>7</v>
      </c>
      <c r="I408" s="80" t="s">
        <v>2480</v>
      </c>
      <c r="J408" s="2">
        <f>INDEX('Dictionary Subcategories'!$A$2:$A$70,MATCH(K408,'Dictionary Subcategories'!$B$2:$B$70,0))</f>
        <v>21</v>
      </c>
      <c r="K408" s="87" t="s">
        <v>2350</v>
      </c>
      <c r="L408" s="147"/>
      <c r="M408" s="77">
        <v>406</v>
      </c>
      <c r="O408" s="77">
        <f t="shared" si="6"/>
        <v>0</v>
      </c>
    </row>
    <row r="409" spans="1:15" x14ac:dyDescent="0.25">
      <c r="A409" s="88" t="str">
        <f>'ENIGHUR Consumption items'!H512</f>
        <v>05.6.1.111</v>
      </c>
      <c r="B409" s="116">
        <f>_xlfn.NUMBERVALUE(VLOOKUP(A409,'ENIGHUR Consumption items'!$H$2:$I$703,2,))</f>
        <v>561111</v>
      </c>
      <c r="C409" s="88" t="str">
        <f>'ENIGHUR Consumption items'!J512</f>
        <v>Colgadores</v>
      </c>
      <c r="D409" s="128">
        <v>146</v>
      </c>
      <c r="E409" s="91" t="str">
        <f>IFERROR(VLOOKUP(D409,'symmetric IOT 245 2012'!$C$6:$D$276,2,FALSE),"")</f>
        <v>Productos de plástico</v>
      </c>
      <c r="H409" s="77">
        <f>INDEX('Dictionary Categories'!$A$2:$A$30,MATCH(I409,'Dictionary Categories'!$B$2:$B$30,0))</f>
        <v>7</v>
      </c>
      <c r="I409" s="80" t="s">
        <v>2480</v>
      </c>
      <c r="J409" s="2">
        <f>INDEX('Dictionary Subcategories'!$A$2:$A$70,MATCH(K409,'Dictionary Subcategories'!$B$2:$B$70,0))</f>
        <v>21</v>
      </c>
      <c r="K409" s="87" t="s">
        <v>2350</v>
      </c>
      <c r="L409" s="147"/>
      <c r="M409" s="77">
        <v>407</v>
      </c>
      <c r="O409" s="77">
        <f t="shared" si="6"/>
        <v>0</v>
      </c>
    </row>
    <row r="410" spans="1:15" x14ac:dyDescent="0.25">
      <c r="A410" s="88" t="str">
        <f>'ENIGHUR Consumption items'!H513</f>
        <v>05.6.1.112</v>
      </c>
      <c r="B410" s="116">
        <f>_xlfn.NUMBERVALUE(VLOOKUP(A410,'ENIGHUR Consumption items'!$H$2:$I$703,2,))</f>
        <v>561112</v>
      </c>
      <c r="C410" s="88" t="str">
        <f>'ENIGHUR Consumption items'!J513</f>
        <v>Cuerdas y cordeles</v>
      </c>
      <c r="D410" s="128">
        <v>116</v>
      </c>
      <c r="E410" s="91" t="str">
        <f>IFERROR(VLOOKUP(D410,'symmetric IOT 245 2012'!$C$6:$D$276,2,FALSE),"")</f>
        <v>Hilos e hilados de fibras textiles</v>
      </c>
      <c r="H410" s="77">
        <f>INDEX('Dictionary Categories'!$A$2:$A$30,MATCH(I410,'Dictionary Categories'!$B$2:$B$30,0))</f>
        <v>7</v>
      </c>
      <c r="I410" s="80" t="s">
        <v>2480</v>
      </c>
      <c r="J410" s="2">
        <f>INDEX('Dictionary Subcategories'!$A$2:$A$70,MATCH(K410,'Dictionary Subcategories'!$B$2:$B$70,0))</f>
        <v>21</v>
      </c>
      <c r="K410" s="87" t="s">
        <v>2350</v>
      </c>
      <c r="L410" s="147"/>
      <c r="M410" s="77">
        <v>408</v>
      </c>
      <c r="O410" s="77">
        <f t="shared" si="6"/>
        <v>0</v>
      </c>
    </row>
    <row r="411" spans="1:15" x14ac:dyDescent="0.25">
      <c r="A411" s="88" t="str">
        <f>'ENIGHUR Consumption items'!H514</f>
        <v>05.6.1.113</v>
      </c>
      <c r="B411" s="116">
        <f>_xlfn.NUMBERVALUE(VLOOKUP(A411,'ENIGHUR Consumption items'!$H$2:$I$703,2,))</f>
        <v>561113</v>
      </c>
      <c r="C411" s="88" t="str">
        <f>'ENIGHUR Consumption items'!J514</f>
        <v>Dedal</v>
      </c>
      <c r="D411" s="128">
        <v>157</v>
      </c>
      <c r="E411" s="91" t="str">
        <f>IFERROR(VLOOKUP(D411,'symmetric IOT 245 2012'!$C$6:$D$276,2,FALSE),"")</f>
        <v>Productos metálicos de uso doméstico</v>
      </c>
      <c r="H411" s="77">
        <f>INDEX('Dictionary Categories'!$A$2:$A$30,MATCH(I411,'Dictionary Categories'!$B$2:$B$30,0))</f>
        <v>7</v>
      </c>
      <c r="I411" s="80" t="s">
        <v>2480</v>
      </c>
      <c r="J411" s="2">
        <f>INDEX('Dictionary Subcategories'!$A$2:$A$70,MATCH(K411,'Dictionary Subcategories'!$B$2:$B$70,0))</f>
        <v>21</v>
      </c>
      <c r="K411" s="87" t="s">
        <v>2350</v>
      </c>
      <c r="L411" s="147"/>
      <c r="M411" s="77">
        <v>409</v>
      </c>
      <c r="O411" s="77">
        <f t="shared" si="6"/>
        <v>0</v>
      </c>
    </row>
    <row r="412" spans="1:15" x14ac:dyDescent="0.25">
      <c r="A412" s="88" t="str">
        <f>'ENIGHUR Consumption items'!H515</f>
        <v>05.6.1.114</v>
      </c>
      <c r="B412" s="116">
        <f>_xlfn.NUMBERVALUE(VLOOKUP(A412,'ENIGHUR Consumption items'!$H$2:$I$703,2,))</f>
        <v>561114</v>
      </c>
      <c r="C412" s="88" t="str">
        <f>'ENIGHUR Consumption items'!J515</f>
        <v>Escoba</v>
      </c>
      <c r="D412" s="128">
        <v>146</v>
      </c>
      <c r="E412" s="91" t="str">
        <f>IFERROR(VLOOKUP(D412,'symmetric IOT 245 2012'!$C$6:$D$276,2,FALSE),"")</f>
        <v>Productos de plástico</v>
      </c>
      <c r="H412" s="77">
        <f>INDEX('Dictionary Categories'!$A$2:$A$30,MATCH(I412,'Dictionary Categories'!$B$2:$B$30,0))</f>
        <v>7</v>
      </c>
      <c r="I412" s="80" t="s">
        <v>2480</v>
      </c>
      <c r="J412" s="2">
        <f>INDEX('Dictionary Subcategories'!$A$2:$A$70,MATCH(K412,'Dictionary Subcategories'!$B$2:$B$70,0))</f>
        <v>21</v>
      </c>
      <c r="K412" s="87" t="s">
        <v>2350</v>
      </c>
      <c r="L412" s="147"/>
      <c r="M412" s="77">
        <v>410</v>
      </c>
      <c r="O412" s="77">
        <f t="shared" si="6"/>
        <v>0</v>
      </c>
    </row>
    <row r="413" spans="1:15" x14ac:dyDescent="0.25">
      <c r="A413" s="88" t="str">
        <f>'ENIGHUR Consumption items'!H516</f>
        <v>05.6.1.115</v>
      </c>
      <c r="B413" s="116">
        <f>_xlfn.NUMBERVALUE(VLOOKUP(A413,'ENIGHUR Consumption items'!$H$2:$I$703,2,))</f>
        <v>561115</v>
      </c>
      <c r="C413" s="88" t="str">
        <f>'ENIGHUR Consumption items'!J516</f>
        <v>Esponjas para el hogar (excepto del baño)</v>
      </c>
      <c r="D413" s="128">
        <v>143</v>
      </c>
      <c r="E413" s="91" t="str">
        <f>IFERROR(VLOOKUP(D413,'symmetric IOT 245 2012'!$C$6:$D$276,2,FALSE),"")</f>
        <v>Fibras sintéticas (textiles manufacturadas) y Otros productos químicos n.c.p.</v>
      </c>
      <c r="H413" s="77">
        <f>INDEX('Dictionary Categories'!$A$2:$A$30,MATCH(I413,'Dictionary Categories'!$B$2:$B$30,0))</f>
        <v>7</v>
      </c>
      <c r="I413" s="80" t="s">
        <v>2480</v>
      </c>
      <c r="J413" s="2">
        <f>INDEX('Dictionary Subcategories'!$A$2:$A$70,MATCH(K413,'Dictionary Subcategories'!$B$2:$B$70,0))</f>
        <v>21</v>
      </c>
      <c r="K413" s="87" t="s">
        <v>2350</v>
      </c>
      <c r="L413" s="147"/>
      <c r="M413" s="77">
        <v>411</v>
      </c>
      <c r="O413" s="77">
        <f t="shared" si="6"/>
        <v>0</v>
      </c>
    </row>
    <row r="414" spans="1:15" x14ac:dyDescent="0.25">
      <c r="A414" s="88" t="str">
        <f>'ENIGHUR Consumption items'!H517</f>
        <v>05.6.1.116</v>
      </c>
      <c r="B414" s="116">
        <f>_xlfn.NUMBERVALUE(VLOOKUP(A414,'ENIGHUR Consumption items'!$H$2:$I$703,2,))</f>
        <v>561116</v>
      </c>
      <c r="C414" s="88" t="str">
        <f>'ENIGHUR Consumption items'!J517</f>
        <v>Estropajos de fibra o acero (rasqueteador de pisos)</v>
      </c>
      <c r="D414" s="128">
        <v>142</v>
      </c>
      <c r="E414" s="91" t="str">
        <f>IFERROR(VLOOKUP(D414,'symmetric IOT 245 2012'!$C$6:$D$276,2,FALSE),"")</f>
        <v>Preparados para limpiar y pulir</v>
      </c>
      <c r="H414" s="77">
        <f>INDEX('Dictionary Categories'!$A$2:$A$30,MATCH(I414,'Dictionary Categories'!$B$2:$B$30,0))</f>
        <v>7</v>
      </c>
      <c r="I414" s="80" t="s">
        <v>2480</v>
      </c>
      <c r="J414" s="2">
        <f>INDEX('Dictionary Subcategories'!$A$2:$A$70,MATCH(K414,'Dictionary Subcategories'!$B$2:$B$70,0))</f>
        <v>21</v>
      </c>
      <c r="K414" s="87" t="s">
        <v>2350</v>
      </c>
      <c r="L414" s="147"/>
      <c r="M414" s="77">
        <v>412</v>
      </c>
      <c r="O414" s="77">
        <f t="shared" si="6"/>
        <v>0</v>
      </c>
    </row>
    <row r="415" spans="1:15" x14ac:dyDescent="0.25">
      <c r="A415" s="88" t="str">
        <f>'ENIGHUR Consumption items'!H518</f>
        <v>05.6.1.117</v>
      </c>
      <c r="B415" s="116">
        <f>_xlfn.NUMBERVALUE(VLOOKUP(A415,'ENIGHUR Consumption items'!$H$2:$I$703,2,))</f>
        <v>561117</v>
      </c>
      <c r="C415" s="88" t="str">
        <f>'ENIGHUR Consumption items'!J518</f>
        <v>Estropajos de fibra o acero de cocina color verde con esponja</v>
      </c>
      <c r="D415" s="128">
        <v>142</v>
      </c>
      <c r="E415" s="91" t="str">
        <f>IFERROR(VLOOKUP(D415,'symmetric IOT 245 2012'!$C$6:$D$276,2,FALSE),"")</f>
        <v>Preparados para limpiar y pulir</v>
      </c>
      <c r="H415" s="77">
        <f>INDEX('Dictionary Categories'!$A$2:$A$30,MATCH(I415,'Dictionary Categories'!$B$2:$B$30,0))</f>
        <v>7</v>
      </c>
      <c r="I415" s="80" t="s">
        <v>2480</v>
      </c>
      <c r="J415" s="2">
        <f>INDEX('Dictionary Subcategories'!$A$2:$A$70,MATCH(K415,'Dictionary Subcategories'!$B$2:$B$70,0))</f>
        <v>21</v>
      </c>
      <c r="K415" s="87" t="s">
        <v>2350</v>
      </c>
      <c r="L415" s="147"/>
      <c r="M415" s="77">
        <v>413</v>
      </c>
      <c r="O415" s="77">
        <f t="shared" si="6"/>
        <v>0</v>
      </c>
    </row>
    <row r="416" spans="1:15" x14ac:dyDescent="0.25">
      <c r="A416" s="88" t="str">
        <f>'ENIGHUR Consumption items'!H519</f>
        <v>05.6.1.118</v>
      </c>
      <c r="B416" s="116">
        <f>_xlfn.NUMBERVALUE(VLOOKUP(A416,'ENIGHUR Consumption items'!$H$2:$I$703,2,))</f>
        <v>561118</v>
      </c>
      <c r="C416" s="88" t="str">
        <f>'ENIGHUR Consumption items'!J519</f>
        <v>Estropajos de fibra o acero de cocina color verde cortado</v>
      </c>
      <c r="D416" s="128">
        <v>142</v>
      </c>
      <c r="E416" s="91" t="str">
        <f>IFERROR(VLOOKUP(D416,'symmetric IOT 245 2012'!$C$6:$D$276,2,FALSE),"")</f>
        <v>Preparados para limpiar y pulir</v>
      </c>
      <c r="H416" s="77">
        <f>INDEX('Dictionary Categories'!$A$2:$A$30,MATCH(I416,'Dictionary Categories'!$B$2:$B$30,0))</f>
        <v>7</v>
      </c>
      <c r="I416" s="80" t="s">
        <v>2480</v>
      </c>
      <c r="J416" s="2">
        <f>INDEX('Dictionary Subcategories'!$A$2:$A$70,MATCH(K416,'Dictionary Subcategories'!$B$2:$B$70,0))</f>
        <v>21</v>
      </c>
      <c r="K416" s="87" t="s">
        <v>2350</v>
      </c>
      <c r="L416" s="147"/>
      <c r="M416" s="77">
        <v>414</v>
      </c>
      <c r="O416" s="77">
        <f t="shared" si="6"/>
        <v>0</v>
      </c>
    </row>
    <row r="417" spans="1:15" x14ac:dyDescent="0.25">
      <c r="A417" s="88" t="str">
        <f>'ENIGHUR Consumption items'!H520</f>
        <v>05.6.1.119</v>
      </c>
      <c r="B417" s="116">
        <f>_xlfn.NUMBERVALUE(VLOOKUP(A417,'ENIGHUR Consumption items'!$H$2:$I$703,2,))</f>
        <v>561119</v>
      </c>
      <c r="C417" s="88" t="str">
        <f>'ENIGHUR Consumption items'!J520</f>
        <v>Extintores de incendios para los hogares</v>
      </c>
      <c r="D417" s="128">
        <v>157</v>
      </c>
      <c r="E417" s="91" t="str">
        <f>IFERROR(VLOOKUP(D417,'symmetric IOT 245 2012'!$C$6:$D$276,2,FALSE),"")</f>
        <v>Productos metálicos de uso doméstico</v>
      </c>
      <c r="H417" s="77">
        <f>INDEX('Dictionary Categories'!$A$2:$A$30,MATCH(I417,'Dictionary Categories'!$B$2:$B$30,0))</f>
        <v>7</v>
      </c>
      <c r="I417" s="80" t="s">
        <v>2480</v>
      </c>
      <c r="J417" s="2">
        <f>INDEX('Dictionary Subcategories'!$A$2:$A$70,MATCH(K417,'Dictionary Subcategories'!$B$2:$B$70,0))</f>
        <v>21</v>
      </c>
      <c r="K417" s="87" t="s">
        <v>2350</v>
      </c>
      <c r="L417" s="147"/>
      <c r="M417" s="77">
        <v>415</v>
      </c>
      <c r="O417" s="77">
        <f t="shared" si="6"/>
        <v>0</v>
      </c>
    </row>
    <row r="418" spans="1:15" x14ac:dyDescent="0.25">
      <c r="A418" s="88" t="str">
        <f>'ENIGHUR Consumption items'!H521</f>
        <v>05.6.1.120</v>
      </c>
      <c r="B418" s="116">
        <f>_xlfn.NUMBERVALUE(VLOOKUP(A418,'ENIGHUR Consumption items'!$H$2:$I$703,2,))</f>
        <v>561120</v>
      </c>
      <c r="C418" s="88" t="str">
        <f>'ENIGHUR Consumption items'!J521</f>
        <v>Filtros de papel</v>
      </c>
      <c r="D418" s="128">
        <v>127</v>
      </c>
      <c r="E418" s="91" t="str">
        <f>IFERROR(VLOOKUP(D418,'symmetric IOT 245 2012'!$C$6:$D$276,2,FALSE),"")</f>
        <v xml:space="preserve">Pasta de papel y Papel y cartón </v>
      </c>
      <c r="H418" s="77">
        <f>INDEX('Dictionary Categories'!$A$2:$A$30,MATCH(I418,'Dictionary Categories'!$B$2:$B$30,0))</f>
        <v>7</v>
      </c>
      <c r="I418" s="80" t="s">
        <v>2480</v>
      </c>
      <c r="J418" s="2">
        <f>INDEX('Dictionary Subcategories'!$A$2:$A$70,MATCH(K418,'Dictionary Subcategories'!$B$2:$B$70,0))</f>
        <v>21</v>
      </c>
      <c r="K418" s="87" t="s">
        <v>2350</v>
      </c>
      <c r="L418" s="147"/>
      <c r="M418" s="77">
        <v>416</v>
      </c>
      <c r="O418" s="77">
        <f t="shared" si="6"/>
        <v>0</v>
      </c>
    </row>
    <row r="419" spans="1:15" x14ac:dyDescent="0.25">
      <c r="A419" s="88" t="str">
        <f>'ENIGHUR Consumption items'!H522</f>
        <v>05.6.1.121</v>
      </c>
      <c r="B419" s="116">
        <f>_xlfn.NUMBERVALUE(VLOOKUP(A419,'ENIGHUR Consumption items'!$H$2:$I$703,2,))</f>
        <v>561121</v>
      </c>
      <c r="C419" s="88" t="str">
        <f>'ENIGHUR Consumption items'!J522</f>
        <v>Fósforos</v>
      </c>
      <c r="D419" s="128">
        <v>129</v>
      </c>
      <c r="E419" s="91" t="str">
        <f>IFERROR(VLOOKUP(D419,'symmetric IOT 245 2012'!$C$6:$D$276,2,FALSE),"")</f>
        <v>Productos editoriales imprentas y otros productos n.c.p.</v>
      </c>
      <c r="H419" s="77">
        <f>INDEX('Dictionary Categories'!$A$2:$A$30,MATCH(I419,'Dictionary Categories'!$B$2:$B$30,0))</f>
        <v>7</v>
      </c>
      <c r="I419" s="80" t="s">
        <v>2480</v>
      </c>
      <c r="J419" s="2">
        <f>INDEX('Dictionary Subcategories'!$A$2:$A$70,MATCH(K419,'Dictionary Subcategories'!$B$2:$B$70,0))</f>
        <v>21</v>
      </c>
      <c r="K419" s="87" t="s">
        <v>2350</v>
      </c>
      <c r="L419" s="147"/>
      <c r="M419" s="77">
        <v>417</v>
      </c>
      <c r="O419" s="77">
        <f t="shared" si="6"/>
        <v>0</v>
      </c>
    </row>
    <row r="420" spans="1:15" x14ac:dyDescent="0.25">
      <c r="A420" s="88" t="str">
        <f>'ENIGHUR Consumption items'!H523</f>
        <v>05.6.1.122</v>
      </c>
      <c r="B420" s="116">
        <f>_xlfn.NUMBERVALUE(VLOOKUP(A420,'ENIGHUR Consumption items'!$H$2:$I$703,2,))</f>
        <v>561122</v>
      </c>
      <c r="C420" s="88" t="str">
        <f>'ENIGHUR Consumption items'!J523</f>
        <v>Fundas para la basura</v>
      </c>
      <c r="D420" s="128">
        <v>146</v>
      </c>
      <c r="E420" s="91" t="str">
        <f>IFERROR(VLOOKUP(D420,'symmetric IOT 245 2012'!$C$6:$D$276,2,FALSE),"")</f>
        <v>Productos de plástico</v>
      </c>
      <c r="H420" s="77">
        <f>INDEX('Dictionary Categories'!$A$2:$A$30,MATCH(I420,'Dictionary Categories'!$B$2:$B$30,0))</f>
        <v>7</v>
      </c>
      <c r="I420" s="80" t="s">
        <v>2480</v>
      </c>
      <c r="J420" s="2">
        <f>INDEX('Dictionary Subcategories'!$A$2:$A$70,MATCH(K420,'Dictionary Subcategories'!$B$2:$B$70,0))</f>
        <v>21</v>
      </c>
      <c r="K420" s="87" t="s">
        <v>2350</v>
      </c>
      <c r="L420" s="147"/>
      <c r="M420" s="77">
        <v>418</v>
      </c>
      <c r="O420" s="77">
        <f t="shared" si="6"/>
        <v>0</v>
      </c>
    </row>
    <row r="421" spans="1:15" x14ac:dyDescent="0.25">
      <c r="A421" s="88" t="str">
        <f>'ENIGHUR Consumption items'!H524</f>
        <v>05.6.1.123</v>
      </c>
      <c r="B421" s="116">
        <f>_xlfn.NUMBERVALUE(VLOOKUP(A421,'ENIGHUR Consumption items'!$H$2:$I$703,2,))</f>
        <v>561123</v>
      </c>
      <c r="C421" s="88" t="str">
        <f>'ENIGHUR Consumption items'!J524</f>
        <v>Gamuzas quita polvo</v>
      </c>
      <c r="D421" s="128">
        <v>143</v>
      </c>
      <c r="E421" s="91" t="str">
        <f>IFERROR(VLOOKUP(D421,'symmetric IOT 245 2012'!$C$6:$D$276,2,FALSE),"")</f>
        <v>Fibras sintéticas (textiles manufacturadas) y Otros productos químicos n.c.p.</v>
      </c>
      <c r="H421" s="77">
        <f>INDEX('Dictionary Categories'!$A$2:$A$30,MATCH(I421,'Dictionary Categories'!$B$2:$B$30,0))</f>
        <v>7</v>
      </c>
      <c r="I421" s="80" t="s">
        <v>2480</v>
      </c>
      <c r="J421" s="2">
        <f>INDEX('Dictionary Subcategories'!$A$2:$A$70,MATCH(K421,'Dictionary Subcategories'!$B$2:$B$70,0))</f>
        <v>21</v>
      </c>
      <c r="K421" s="87" t="s">
        <v>2350</v>
      </c>
      <c r="L421" s="147"/>
      <c r="M421" s="77">
        <v>419</v>
      </c>
      <c r="O421" s="77">
        <f t="shared" si="6"/>
        <v>0</v>
      </c>
    </row>
    <row r="422" spans="1:15" x14ac:dyDescent="0.25">
      <c r="A422" s="88" t="str">
        <f>'ENIGHUR Consumption items'!H525</f>
        <v>05.6.1.124</v>
      </c>
      <c r="B422" s="116">
        <f>_xlfn.NUMBERVALUE(VLOOKUP(A422,'ENIGHUR Consumption items'!$H$2:$I$703,2,))</f>
        <v>561124</v>
      </c>
      <c r="C422" s="88" t="str">
        <f>'ENIGHUR Consumption items'!J525</f>
        <v>Guantes de goma para uso doméstico</v>
      </c>
      <c r="D422" s="128">
        <v>143</v>
      </c>
      <c r="E422" s="91" t="str">
        <f>IFERROR(VLOOKUP(D422,'symmetric IOT 245 2012'!$C$6:$D$276,2,FALSE),"")</f>
        <v>Fibras sintéticas (textiles manufacturadas) y Otros productos químicos n.c.p.</v>
      </c>
      <c r="H422" s="77">
        <f>INDEX('Dictionary Categories'!$A$2:$A$30,MATCH(I422,'Dictionary Categories'!$B$2:$B$30,0))</f>
        <v>7</v>
      </c>
      <c r="I422" s="80" t="s">
        <v>2480</v>
      </c>
      <c r="J422" s="2">
        <f>INDEX('Dictionary Subcategories'!$A$2:$A$70,MATCH(K422,'Dictionary Subcategories'!$B$2:$B$70,0))</f>
        <v>21</v>
      </c>
      <c r="K422" s="87" t="s">
        <v>2350</v>
      </c>
      <c r="L422" s="147"/>
      <c r="M422" s="77">
        <v>420</v>
      </c>
      <c r="O422" s="77">
        <f t="shared" si="6"/>
        <v>0</v>
      </c>
    </row>
    <row r="423" spans="1:15" x14ac:dyDescent="0.25">
      <c r="A423" s="88" t="str">
        <f>'ENIGHUR Consumption items'!H526</f>
        <v>05.6.1.125</v>
      </c>
      <c r="B423" s="116">
        <f>_xlfn.NUMBERVALUE(VLOOKUP(A423,'ENIGHUR Consumption items'!$H$2:$I$703,2,))</f>
        <v>561125</v>
      </c>
      <c r="C423" s="88" t="str">
        <f>'ENIGHUR Consumption items'!J526</f>
        <v>Imperdibles</v>
      </c>
      <c r="D423" s="128">
        <v>157</v>
      </c>
      <c r="E423" s="91" t="str">
        <f>IFERROR(VLOOKUP(D423,'symmetric IOT 245 2012'!$C$6:$D$276,2,FALSE),"")</f>
        <v>Productos metálicos de uso doméstico</v>
      </c>
      <c r="H423" s="77">
        <f>INDEX('Dictionary Categories'!$A$2:$A$30,MATCH(I423,'Dictionary Categories'!$B$2:$B$30,0))</f>
        <v>7</v>
      </c>
      <c r="I423" s="80" t="s">
        <v>2480</v>
      </c>
      <c r="J423" s="2">
        <f>INDEX('Dictionary Subcategories'!$A$2:$A$70,MATCH(K423,'Dictionary Subcategories'!$B$2:$B$70,0))</f>
        <v>21</v>
      </c>
      <c r="K423" s="87" t="s">
        <v>2350</v>
      </c>
      <c r="L423" s="147"/>
      <c r="M423" s="77">
        <v>421</v>
      </c>
      <c r="O423" s="77">
        <f t="shared" si="6"/>
        <v>0</v>
      </c>
    </row>
    <row r="424" spans="1:15" x14ac:dyDescent="0.25">
      <c r="A424" s="88" t="str">
        <f>'ENIGHUR Consumption items'!H527</f>
        <v>05.6.1.126</v>
      </c>
      <c r="B424" s="116">
        <f>_xlfn.NUMBERVALUE(VLOOKUP(A424,'ENIGHUR Consumption items'!$H$2:$I$703,2,))</f>
        <v>561126</v>
      </c>
      <c r="C424" s="88" t="str">
        <f>'ENIGHUR Consumption items'!J527</f>
        <v>Mantel de plástico</v>
      </c>
      <c r="D424" s="128">
        <v>146</v>
      </c>
      <c r="E424" s="91" t="str">
        <f>IFERROR(VLOOKUP(D424,'symmetric IOT 245 2012'!$C$6:$D$276,2,FALSE),"")</f>
        <v>Productos de plástico</v>
      </c>
      <c r="H424" s="77">
        <f>INDEX('Dictionary Categories'!$A$2:$A$30,MATCH(I424,'Dictionary Categories'!$B$2:$B$30,0))</f>
        <v>7</v>
      </c>
      <c r="I424" s="80" t="s">
        <v>2480</v>
      </c>
      <c r="J424" s="2">
        <f>INDEX('Dictionary Subcategories'!$A$2:$A$70,MATCH(K424,'Dictionary Subcategories'!$B$2:$B$70,0))</f>
        <v>21</v>
      </c>
      <c r="K424" s="87" t="s">
        <v>2350</v>
      </c>
      <c r="L424" s="147"/>
      <c r="M424" s="77">
        <v>422</v>
      </c>
      <c r="O424" s="77">
        <f t="shared" si="6"/>
        <v>0</v>
      </c>
    </row>
    <row r="425" spans="1:15" x14ac:dyDescent="0.25">
      <c r="A425" s="88" t="str">
        <f>'ENIGHUR Consumption items'!H528</f>
        <v>05.6.1.127</v>
      </c>
      <c r="B425" s="116">
        <f>_xlfn.NUMBERVALUE(VLOOKUP(A425,'ENIGHUR Consumption items'!$H$2:$I$703,2,))</f>
        <v>561127</v>
      </c>
      <c r="C425" s="88" t="str">
        <f>'ENIGHUR Consumption items'!J528</f>
        <v>Mechas para lámparas</v>
      </c>
      <c r="D425" s="128">
        <v>116</v>
      </c>
      <c r="E425" s="91" t="str">
        <f>IFERROR(VLOOKUP(D425,'symmetric IOT 245 2012'!$C$6:$D$276,2,FALSE),"")</f>
        <v>Hilos e hilados de fibras textiles</v>
      </c>
      <c r="H425" s="77">
        <f>INDEX('Dictionary Categories'!$A$2:$A$30,MATCH(I425,'Dictionary Categories'!$B$2:$B$30,0))</f>
        <v>7</v>
      </c>
      <c r="I425" s="80" t="s">
        <v>2480</v>
      </c>
      <c r="J425" s="2">
        <f>INDEX('Dictionary Subcategories'!$A$2:$A$70,MATCH(K425,'Dictionary Subcategories'!$B$2:$B$70,0))</f>
        <v>21</v>
      </c>
      <c r="K425" s="87" t="s">
        <v>2350</v>
      </c>
      <c r="L425" s="147"/>
      <c r="M425" s="77">
        <v>423</v>
      </c>
      <c r="O425" s="77">
        <f t="shared" si="6"/>
        <v>0</v>
      </c>
    </row>
    <row r="426" spans="1:15" x14ac:dyDescent="0.25">
      <c r="A426" s="88" t="str">
        <f>'ENIGHUR Consumption items'!H529</f>
        <v>05.6.1.128</v>
      </c>
      <c r="B426" s="116">
        <f>_xlfn.NUMBERVALUE(VLOOKUP(A426,'ENIGHUR Consumption items'!$H$2:$I$703,2,))</f>
        <v>561128</v>
      </c>
      <c r="C426" s="88" t="str">
        <f>'ENIGHUR Consumption items'!J529</f>
        <v>Pala, recogedor de basura de metal</v>
      </c>
      <c r="D426" s="128">
        <v>157</v>
      </c>
      <c r="E426" s="91" t="str">
        <f>IFERROR(VLOOKUP(D426,'symmetric IOT 245 2012'!$C$6:$D$276,2,FALSE),"")</f>
        <v>Productos metálicos de uso doméstico</v>
      </c>
      <c r="H426" s="77">
        <f>INDEX('Dictionary Categories'!$A$2:$A$30,MATCH(I426,'Dictionary Categories'!$B$2:$B$30,0))</f>
        <v>7</v>
      </c>
      <c r="I426" s="80" t="s">
        <v>2480</v>
      </c>
      <c r="J426" s="2">
        <f>INDEX('Dictionary Subcategories'!$A$2:$A$70,MATCH(K426,'Dictionary Subcategories'!$B$2:$B$70,0))</f>
        <v>21</v>
      </c>
      <c r="K426" s="87" t="s">
        <v>2350</v>
      </c>
      <c r="L426" s="147"/>
      <c r="M426" s="77">
        <v>424</v>
      </c>
      <c r="O426" s="77">
        <f t="shared" si="6"/>
        <v>0</v>
      </c>
    </row>
    <row r="427" spans="1:15" x14ac:dyDescent="0.25">
      <c r="A427" s="88" t="str">
        <f>'ENIGHUR Consumption items'!H530</f>
        <v>05.6.1.129</v>
      </c>
      <c r="B427" s="116">
        <f>_xlfn.NUMBERVALUE(VLOOKUP(A427,'ENIGHUR Consumption items'!$H$2:$I$703,2,))</f>
        <v>561129</v>
      </c>
      <c r="C427" s="88" t="str">
        <f>'ENIGHUR Consumption items'!J530</f>
        <v>Pala, recogedor de basura plástico</v>
      </c>
      <c r="D427" s="128">
        <v>146</v>
      </c>
      <c r="E427" s="91" t="str">
        <f>IFERROR(VLOOKUP(D427,'symmetric IOT 245 2012'!$C$6:$D$276,2,FALSE),"")</f>
        <v>Productos de plástico</v>
      </c>
      <c r="H427" s="77">
        <f>INDEX('Dictionary Categories'!$A$2:$A$30,MATCH(I427,'Dictionary Categories'!$B$2:$B$30,0))</f>
        <v>7</v>
      </c>
      <c r="I427" s="80" t="s">
        <v>2480</v>
      </c>
      <c r="J427" s="2">
        <f>INDEX('Dictionary Subcategories'!$A$2:$A$70,MATCH(K427,'Dictionary Subcategories'!$B$2:$B$70,0))</f>
        <v>21</v>
      </c>
      <c r="K427" s="87" t="s">
        <v>2350</v>
      </c>
      <c r="L427" s="147"/>
      <c r="M427" s="77">
        <v>425</v>
      </c>
      <c r="O427" s="77">
        <f t="shared" si="6"/>
        <v>0</v>
      </c>
    </row>
    <row r="428" spans="1:15" x14ac:dyDescent="0.25">
      <c r="A428" s="88" t="str">
        <f>'ENIGHUR Consumption items'!H531</f>
        <v>05.6.1.130</v>
      </c>
      <c r="B428" s="116">
        <f>_xlfn.NUMBERVALUE(VLOOKUP(A428,'ENIGHUR Consumption items'!$H$2:$I$703,2,))</f>
        <v>561130</v>
      </c>
      <c r="C428" s="88" t="str">
        <f>'ENIGHUR Consumption items'!J531</f>
        <v>Palillos para dientes</v>
      </c>
      <c r="D428" s="128">
        <v>129</v>
      </c>
      <c r="E428" s="91" t="str">
        <f>IFERROR(VLOOKUP(D428,'symmetric IOT 245 2012'!$C$6:$D$276,2,FALSE),"")</f>
        <v>Productos editoriales imprentas y otros productos n.c.p.</v>
      </c>
      <c r="H428" s="77">
        <f>INDEX('Dictionary Categories'!$A$2:$A$30,MATCH(I428,'Dictionary Categories'!$B$2:$B$30,0))</f>
        <v>7</v>
      </c>
      <c r="I428" s="80" t="s">
        <v>2480</v>
      </c>
      <c r="J428" s="2">
        <f>INDEX('Dictionary Subcategories'!$A$2:$A$70,MATCH(K428,'Dictionary Subcategories'!$B$2:$B$70,0))</f>
        <v>21</v>
      </c>
      <c r="K428" s="87" t="s">
        <v>2350</v>
      </c>
      <c r="L428" s="147"/>
      <c r="M428" s="77">
        <v>426</v>
      </c>
      <c r="O428" s="77">
        <f t="shared" si="6"/>
        <v>0</v>
      </c>
    </row>
    <row r="429" spans="1:15" x14ac:dyDescent="0.25">
      <c r="A429" s="88" t="str">
        <f>'ENIGHUR Consumption items'!H532</f>
        <v>05.6.1.131</v>
      </c>
      <c r="B429" s="116">
        <f>_xlfn.NUMBERVALUE(VLOOKUP(A429,'ENIGHUR Consumption items'!$H$2:$I$703,2,))</f>
        <v>561131</v>
      </c>
      <c r="C429" s="88" t="str">
        <f>'ENIGHUR Consumption items'!J532</f>
        <v>Palillos para pinchos</v>
      </c>
      <c r="D429" s="128">
        <v>129</v>
      </c>
      <c r="E429" s="91" t="str">
        <f>IFERROR(VLOOKUP(D429,'symmetric IOT 245 2012'!$C$6:$D$276,2,FALSE),"")</f>
        <v>Productos editoriales imprentas y otros productos n.c.p.</v>
      </c>
      <c r="H429" s="77">
        <f>INDEX('Dictionary Categories'!$A$2:$A$30,MATCH(I429,'Dictionary Categories'!$B$2:$B$30,0))</f>
        <v>7</v>
      </c>
      <c r="I429" s="80" t="s">
        <v>2480</v>
      </c>
      <c r="J429" s="2">
        <f>INDEX('Dictionary Subcategories'!$A$2:$A$70,MATCH(K429,'Dictionary Subcategories'!$B$2:$B$70,0))</f>
        <v>21</v>
      </c>
      <c r="K429" s="87" t="s">
        <v>2350</v>
      </c>
      <c r="L429" s="147"/>
      <c r="M429" s="77">
        <v>427</v>
      </c>
      <c r="O429" s="77">
        <f t="shared" si="6"/>
        <v>0</v>
      </c>
    </row>
    <row r="430" spans="1:15" x14ac:dyDescent="0.25">
      <c r="A430" s="88" t="str">
        <f>'ENIGHUR Consumption items'!H533</f>
        <v>05.6.1.132</v>
      </c>
      <c r="B430" s="116">
        <f>_xlfn.NUMBERVALUE(VLOOKUP(A430,'ENIGHUR Consumption items'!$H$2:$I$703,2,))</f>
        <v>561132</v>
      </c>
      <c r="C430" s="88" t="str">
        <f>'ENIGHUR Consumption items'!J533</f>
        <v>Paños o limpiones de cocina</v>
      </c>
      <c r="D430" s="128">
        <v>143</v>
      </c>
      <c r="E430" s="91" t="str">
        <f>IFERROR(VLOOKUP(D430,'symmetric IOT 245 2012'!$C$6:$D$276,2,FALSE),"")</f>
        <v>Fibras sintéticas (textiles manufacturadas) y Otros productos químicos n.c.p.</v>
      </c>
      <c r="H430" s="77">
        <f>INDEX('Dictionary Categories'!$A$2:$A$30,MATCH(I430,'Dictionary Categories'!$B$2:$B$30,0))</f>
        <v>7</v>
      </c>
      <c r="I430" s="80" t="s">
        <v>2480</v>
      </c>
      <c r="J430" s="2">
        <f>INDEX('Dictionary Subcategories'!$A$2:$A$70,MATCH(K430,'Dictionary Subcategories'!$B$2:$B$70,0))</f>
        <v>21</v>
      </c>
      <c r="K430" s="87" t="s">
        <v>2350</v>
      </c>
      <c r="L430" s="147"/>
      <c r="M430" s="77">
        <v>428</v>
      </c>
      <c r="O430" s="77">
        <f t="shared" si="6"/>
        <v>0</v>
      </c>
    </row>
    <row r="431" spans="1:15" x14ac:dyDescent="0.25">
      <c r="A431" s="88" t="str">
        <f>'ENIGHUR Consumption items'!H534</f>
        <v>05.6.1.133</v>
      </c>
      <c r="B431" s="116">
        <f>_xlfn.NUMBERVALUE(VLOOKUP(A431,'ENIGHUR Consumption items'!$H$2:$I$703,2,))</f>
        <v>561133</v>
      </c>
      <c r="C431" s="88" t="str">
        <f>'ENIGHUR Consumption items'!J534</f>
        <v>Papel absorbente</v>
      </c>
      <c r="D431" s="128">
        <v>127</v>
      </c>
      <c r="E431" s="91" t="str">
        <f>IFERROR(VLOOKUP(D431,'symmetric IOT 245 2012'!$C$6:$D$276,2,FALSE),"")</f>
        <v xml:space="preserve">Pasta de papel y Papel y cartón </v>
      </c>
      <c r="H431" s="77">
        <f>INDEX('Dictionary Categories'!$A$2:$A$30,MATCH(I431,'Dictionary Categories'!$B$2:$B$30,0))</f>
        <v>7</v>
      </c>
      <c r="I431" s="80" t="s">
        <v>2480</v>
      </c>
      <c r="J431" s="2">
        <f>INDEX('Dictionary Subcategories'!$A$2:$A$70,MATCH(K431,'Dictionary Subcategories'!$B$2:$B$70,0))</f>
        <v>21</v>
      </c>
      <c r="K431" s="87" t="s">
        <v>2350</v>
      </c>
      <c r="L431" s="147"/>
      <c r="M431" s="77">
        <v>429</v>
      </c>
      <c r="O431" s="77">
        <f t="shared" si="6"/>
        <v>0</v>
      </c>
    </row>
    <row r="432" spans="1:15" x14ac:dyDescent="0.25">
      <c r="A432" s="88" t="str">
        <f>'ENIGHUR Consumption items'!H535</f>
        <v>05.6.1.134</v>
      </c>
      <c r="B432" s="116">
        <f>_xlfn.NUMBERVALUE(VLOOKUP(A432,'ENIGHUR Consumption items'!$H$2:$I$703,2,))</f>
        <v>561134</v>
      </c>
      <c r="C432" s="88" t="str">
        <f>'ENIGHUR Consumption items'!J535</f>
        <v>Papel aluminio y revestimientos</v>
      </c>
      <c r="D432" s="128">
        <v>157</v>
      </c>
      <c r="E432" s="91" t="str">
        <f>IFERROR(VLOOKUP(D432,'symmetric IOT 245 2012'!$C$6:$D$276,2,FALSE),"")</f>
        <v>Productos metálicos de uso doméstico</v>
      </c>
      <c r="H432" s="77">
        <f>INDEX('Dictionary Categories'!$A$2:$A$30,MATCH(I432,'Dictionary Categories'!$B$2:$B$30,0))</f>
        <v>7</v>
      </c>
      <c r="I432" s="80" t="s">
        <v>2480</v>
      </c>
      <c r="J432" s="2">
        <f>INDEX('Dictionary Subcategories'!$A$2:$A$70,MATCH(K432,'Dictionary Subcategories'!$B$2:$B$70,0))</f>
        <v>21</v>
      </c>
      <c r="K432" s="87" t="s">
        <v>2350</v>
      </c>
      <c r="L432" s="147"/>
      <c r="M432" s="77">
        <v>430</v>
      </c>
      <c r="O432" s="77">
        <f t="shared" si="6"/>
        <v>0</v>
      </c>
    </row>
    <row r="433" spans="1:15" x14ac:dyDescent="0.25">
      <c r="A433" s="88" t="str">
        <f>'ENIGHUR Consumption items'!H536</f>
        <v>05.6.1.135</v>
      </c>
      <c r="B433" s="116">
        <f>_xlfn.NUMBERVALUE(VLOOKUP(A433,'ENIGHUR Consumption items'!$H$2:$I$703,2,))</f>
        <v>561135</v>
      </c>
      <c r="C433" s="88" t="str">
        <f>'ENIGHUR Consumption items'!J536</f>
        <v>Papel encerado</v>
      </c>
      <c r="D433" s="128">
        <v>127</v>
      </c>
      <c r="E433" s="91" t="str">
        <f>IFERROR(VLOOKUP(D433,'symmetric IOT 245 2012'!$C$6:$D$276,2,FALSE),"")</f>
        <v xml:space="preserve">Pasta de papel y Papel y cartón </v>
      </c>
      <c r="H433" s="77">
        <f>INDEX('Dictionary Categories'!$A$2:$A$30,MATCH(I433,'Dictionary Categories'!$B$2:$B$30,0))</f>
        <v>7</v>
      </c>
      <c r="I433" s="80" t="s">
        <v>2480</v>
      </c>
      <c r="J433" s="2">
        <f>INDEX('Dictionary Subcategories'!$A$2:$A$70,MATCH(K433,'Dictionary Subcategories'!$B$2:$B$70,0))</f>
        <v>21</v>
      </c>
      <c r="K433" s="87" t="s">
        <v>2350</v>
      </c>
      <c r="L433" s="147"/>
      <c r="M433" s="77">
        <v>431</v>
      </c>
      <c r="O433" s="77">
        <f t="shared" si="6"/>
        <v>0</v>
      </c>
    </row>
    <row r="434" spans="1:15" x14ac:dyDescent="0.25">
      <c r="A434" s="88" t="str">
        <f>'ENIGHUR Consumption items'!H537</f>
        <v>05.6.1.136</v>
      </c>
      <c r="B434" s="116">
        <f>_xlfn.NUMBERVALUE(VLOOKUP(A434,'ENIGHUR Consumption items'!$H$2:$I$703,2,))</f>
        <v>561136</v>
      </c>
      <c r="C434" s="88" t="str">
        <f>'ENIGHUR Consumption items'!J537</f>
        <v>Perchas</v>
      </c>
      <c r="D434" s="128">
        <v>157</v>
      </c>
      <c r="E434" s="91" t="str">
        <f>IFERROR(VLOOKUP(D434,'symmetric IOT 245 2012'!$C$6:$D$276,2,FALSE),"")</f>
        <v>Productos metálicos de uso doméstico</v>
      </c>
      <c r="H434" s="77">
        <f>INDEX('Dictionary Categories'!$A$2:$A$30,MATCH(I434,'Dictionary Categories'!$B$2:$B$30,0))</f>
        <v>7</v>
      </c>
      <c r="I434" s="80" t="s">
        <v>2480</v>
      </c>
      <c r="J434" s="2">
        <f>INDEX('Dictionary Subcategories'!$A$2:$A$70,MATCH(K434,'Dictionary Subcategories'!$B$2:$B$70,0))</f>
        <v>21</v>
      </c>
      <c r="K434" s="87" t="s">
        <v>2350</v>
      </c>
      <c r="L434" s="147"/>
      <c r="M434" s="77">
        <v>432</v>
      </c>
      <c r="O434" s="77">
        <f t="shared" si="6"/>
        <v>0</v>
      </c>
    </row>
    <row r="435" spans="1:15" x14ac:dyDescent="0.25">
      <c r="A435" s="88" t="str">
        <f>'ENIGHUR Consumption items'!H538</f>
        <v>05.6.1.137</v>
      </c>
      <c r="B435" s="116">
        <f>_xlfn.NUMBERVALUE(VLOOKUP(A435,'ENIGHUR Consumption items'!$H$2:$I$703,2,))</f>
        <v>561137</v>
      </c>
      <c r="C435" s="88" t="str">
        <f>'ENIGHUR Consumption items'!J538</f>
        <v>Perchas adhesivas</v>
      </c>
      <c r="D435" s="128">
        <v>146</v>
      </c>
      <c r="E435" s="91" t="str">
        <f>IFERROR(VLOOKUP(D435,'symmetric IOT 245 2012'!$C$6:$D$276,2,FALSE),"")</f>
        <v>Productos de plástico</v>
      </c>
      <c r="H435" s="77">
        <f>INDEX('Dictionary Categories'!$A$2:$A$30,MATCH(I435,'Dictionary Categories'!$B$2:$B$30,0))</f>
        <v>7</v>
      </c>
      <c r="I435" s="80" t="s">
        <v>2480</v>
      </c>
      <c r="J435" s="2">
        <f>INDEX('Dictionary Subcategories'!$A$2:$A$70,MATCH(K435,'Dictionary Subcategories'!$B$2:$B$70,0))</f>
        <v>21</v>
      </c>
      <c r="K435" s="87" t="s">
        <v>2350</v>
      </c>
      <c r="L435" s="147"/>
      <c r="M435" s="77">
        <v>433</v>
      </c>
      <c r="O435" s="77">
        <f t="shared" si="6"/>
        <v>0</v>
      </c>
    </row>
    <row r="436" spans="1:15" x14ac:dyDescent="0.25">
      <c r="A436" s="88" t="str">
        <f>'ENIGHUR Consumption items'!H539</f>
        <v>05.6.1.138</v>
      </c>
      <c r="B436" s="116">
        <f>_xlfn.NUMBERVALUE(VLOOKUP(A436,'ENIGHUR Consumption items'!$H$2:$I$703,2,))</f>
        <v>561138</v>
      </c>
      <c r="C436" s="88" t="str">
        <f>'ENIGHUR Consumption items'!J539</f>
        <v>Pinzas para ropa</v>
      </c>
      <c r="D436" s="128">
        <v>146</v>
      </c>
      <c r="E436" s="91" t="str">
        <f>IFERROR(VLOOKUP(D436,'symmetric IOT 245 2012'!$C$6:$D$276,2,FALSE),"")</f>
        <v>Productos de plástico</v>
      </c>
      <c r="H436" s="77">
        <f>INDEX('Dictionary Categories'!$A$2:$A$30,MATCH(I436,'Dictionary Categories'!$B$2:$B$30,0))</f>
        <v>7</v>
      </c>
      <c r="I436" s="80" t="s">
        <v>2480</v>
      </c>
      <c r="J436" s="2">
        <f>INDEX('Dictionary Subcategories'!$A$2:$A$70,MATCH(K436,'Dictionary Subcategories'!$B$2:$B$70,0))</f>
        <v>21</v>
      </c>
      <c r="K436" s="87" t="s">
        <v>2350</v>
      </c>
      <c r="L436" s="147"/>
      <c r="M436" s="77">
        <v>434</v>
      </c>
      <c r="O436" s="77">
        <f t="shared" si="6"/>
        <v>0</v>
      </c>
    </row>
    <row r="437" spans="1:15" x14ac:dyDescent="0.25">
      <c r="A437" s="88" t="str">
        <f>'ENIGHUR Consumption items'!H540</f>
        <v>05.6.1.139</v>
      </c>
      <c r="B437" s="116">
        <f>_xlfn.NUMBERVALUE(VLOOKUP(A437,'ENIGHUR Consumption items'!$H$2:$I$703,2,))</f>
        <v>561139</v>
      </c>
      <c r="C437" s="88" t="str">
        <f>'ENIGHUR Consumption items'!J540</f>
        <v>Plumeros</v>
      </c>
      <c r="D437" s="128">
        <v>157</v>
      </c>
      <c r="E437" s="91" t="str">
        <f>IFERROR(VLOOKUP(D437,'symmetric IOT 245 2012'!$C$6:$D$276,2,FALSE),"")</f>
        <v>Productos metálicos de uso doméstico</v>
      </c>
      <c r="H437" s="77">
        <f>INDEX('Dictionary Categories'!$A$2:$A$30,MATCH(I437,'Dictionary Categories'!$B$2:$B$30,0))</f>
        <v>7</v>
      </c>
      <c r="I437" s="80" t="s">
        <v>2480</v>
      </c>
      <c r="J437" s="2">
        <f>INDEX('Dictionary Subcategories'!$A$2:$A$70,MATCH(K437,'Dictionary Subcategories'!$B$2:$B$70,0))</f>
        <v>21</v>
      </c>
      <c r="K437" s="87" t="s">
        <v>2350</v>
      </c>
      <c r="L437" s="147"/>
      <c r="M437" s="77">
        <v>435</v>
      </c>
      <c r="O437" s="77">
        <f t="shared" si="6"/>
        <v>0</v>
      </c>
    </row>
    <row r="438" spans="1:15" x14ac:dyDescent="0.25">
      <c r="A438" s="88" t="str">
        <f>'ENIGHUR Consumption items'!H541</f>
        <v>05.6.1.140</v>
      </c>
      <c r="B438" s="116">
        <f>_xlfn.NUMBERVALUE(VLOOKUP(A438,'ENIGHUR Consumption items'!$H$2:$I$703,2,))</f>
        <v>561140</v>
      </c>
      <c r="C438" s="88" t="str">
        <f>'ENIGHUR Consumption items'!J541</f>
        <v>Servilletas de papel</v>
      </c>
      <c r="D438" s="141">
        <v>127</v>
      </c>
      <c r="E438" s="91" t="str">
        <f>IFERROR(VLOOKUP(D438,'symmetric IOT 245 2012'!$C$6:$D$276,2,FALSE),"")</f>
        <v xml:space="preserve">Pasta de papel y Papel y cartón </v>
      </c>
      <c r="H438" s="77">
        <f>INDEX('Dictionary Categories'!$A$2:$A$30,MATCH(I438,'Dictionary Categories'!$B$2:$B$30,0))</f>
        <v>7</v>
      </c>
      <c r="I438" s="80" t="s">
        <v>2480</v>
      </c>
      <c r="J438" s="2">
        <f>INDEX('Dictionary Subcategories'!$A$2:$A$70,MATCH(K438,'Dictionary Subcategories'!$B$2:$B$70,0))</f>
        <v>21</v>
      </c>
      <c r="K438" s="87" t="s">
        <v>2350</v>
      </c>
      <c r="L438" s="147"/>
      <c r="M438" s="77">
        <v>436</v>
      </c>
      <c r="O438" s="77">
        <f t="shared" si="6"/>
        <v>0</v>
      </c>
    </row>
    <row r="439" spans="1:15" x14ac:dyDescent="0.25">
      <c r="A439" s="88" t="str">
        <f>'ENIGHUR Consumption items'!H542</f>
        <v>05.6.1.141</v>
      </c>
      <c r="B439" s="116">
        <f>_xlfn.NUMBERVALUE(VLOOKUP(A439,'ENIGHUR Consumption items'!$H$2:$I$703,2,))</f>
        <v>561141</v>
      </c>
      <c r="C439" s="88" t="str">
        <f>'ENIGHUR Consumption items'!J542</f>
        <v>Tachuelas, arandelas, remaches para el hogar</v>
      </c>
      <c r="D439" s="141">
        <v>157</v>
      </c>
      <c r="E439" s="91" t="str">
        <f>IFERROR(VLOOKUP(D439,'symmetric IOT 245 2012'!$C$6:$D$276,2,FALSE),"")</f>
        <v>Productos metálicos de uso doméstico</v>
      </c>
      <c r="H439" s="77">
        <f>INDEX('Dictionary Categories'!$A$2:$A$30,MATCH(I439,'Dictionary Categories'!$B$2:$B$30,0))</f>
        <v>7</v>
      </c>
      <c r="I439" s="80" t="s">
        <v>2480</v>
      </c>
      <c r="J439" s="2">
        <f>INDEX('Dictionary Subcategories'!$A$2:$A$70,MATCH(K439,'Dictionary Subcategories'!$B$2:$B$70,0))</f>
        <v>21</v>
      </c>
      <c r="K439" s="87" t="s">
        <v>2350</v>
      </c>
      <c r="L439" s="147"/>
      <c r="M439" s="77">
        <v>437</v>
      </c>
      <c r="O439" s="77">
        <f t="shared" si="6"/>
        <v>0</v>
      </c>
    </row>
    <row r="440" spans="1:15" x14ac:dyDescent="0.25">
      <c r="A440" s="88" t="str">
        <f>'ENIGHUR Consumption items'!H543</f>
        <v>05.6.1.142</v>
      </c>
      <c r="B440" s="116">
        <f>_xlfn.NUMBERVALUE(VLOOKUP(A440,'ENIGHUR Consumption items'!$H$2:$I$703,2,))</f>
        <v>561142</v>
      </c>
      <c r="C440" s="88" t="str">
        <f>'ENIGHUR Consumption items'!J543</f>
        <v>Tazas y platos desechables</v>
      </c>
      <c r="D440" s="141">
        <v>146</v>
      </c>
      <c r="E440" s="91" t="str">
        <f>IFERROR(VLOOKUP(D440,'symmetric IOT 245 2012'!$C$6:$D$276,2,FALSE),"")</f>
        <v>Productos de plástico</v>
      </c>
      <c r="H440" s="77">
        <f>INDEX('Dictionary Categories'!$A$2:$A$30,MATCH(I440,'Dictionary Categories'!$B$2:$B$30,0))</f>
        <v>7</v>
      </c>
      <c r="I440" s="80" t="s">
        <v>2480</v>
      </c>
      <c r="J440" s="2">
        <f>INDEX('Dictionary Subcategories'!$A$2:$A$70,MATCH(K440,'Dictionary Subcategories'!$B$2:$B$70,0))</f>
        <v>21</v>
      </c>
      <c r="K440" s="87" t="s">
        <v>2350</v>
      </c>
      <c r="L440" s="147"/>
      <c r="M440" s="77">
        <v>438</v>
      </c>
      <c r="O440" s="77">
        <f t="shared" si="6"/>
        <v>0</v>
      </c>
    </row>
    <row r="441" spans="1:15" x14ac:dyDescent="0.25">
      <c r="A441" s="88" t="str">
        <f>'ENIGHUR Consumption items'!H544</f>
        <v>05.6.1.143</v>
      </c>
      <c r="B441" s="116">
        <f>_xlfn.NUMBERVALUE(VLOOKUP(A441,'ENIGHUR Consumption items'!$H$2:$I$703,2,))</f>
        <v>561143</v>
      </c>
      <c r="C441" s="88" t="str">
        <f>'ENIGHUR Consumption items'!J544</f>
        <v>Tijeras de costura</v>
      </c>
      <c r="D441" s="141">
        <v>157</v>
      </c>
      <c r="E441" s="91" t="str">
        <f>IFERROR(VLOOKUP(D441,'symmetric IOT 245 2012'!$C$6:$D$276,2,FALSE),"")</f>
        <v>Productos metálicos de uso doméstico</v>
      </c>
      <c r="H441" s="77">
        <f>INDEX('Dictionary Categories'!$A$2:$A$30,MATCH(I441,'Dictionary Categories'!$B$2:$B$30,0))</f>
        <v>7</v>
      </c>
      <c r="I441" s="80" t="s">
        <v>2480</v>
      </c>
      <c r="J441" s="2">
        <f>INDEX('Dictionary Subcategories'!$A$2:$A$70,MATCH(K441,'Dictionary Subcategories'!$B$2:$B$70,0))</f>
        <v>21</v>
      </c>
      <c r="K441" s="87" t="s">
        <v>2350</v>
      </c>
      <c r="L441" s="147"/>
      <c r="M441" s="77">
        <v>439</v>
      </c>
      <c r="O441" s="77">
        <f t="shared" si="6"/>
        <v>0</v>
      </c>
    </row>
    <row r="442" spans="1:15" x14ac:dyDescent="0.25">
      <c r="A442" s="88" t="str">
        <f>'ENIGHUR Consumption items'!H545</f>
        <v>05.6.1.144</v>
      </c>
      <c r="B442" s="116">
        <f>_xlfn.NUMBERVALUE(VLOOKUP(A442,'ENIGHUR Consumption items'!$H$2:$I$703,2,))</f>
        <v>561144</v>
      </c>
      <c r="C442" s="88" t="str">
        <f>'ENIGHUR Consumption items'!J545</f>
        <v>Toallas de papel</v>
      </c>
      <c r="D442" s="141">
        <v>127</v>
      </c>
      <c r="E442" s="91" t="str">
        <f>IFERROR(VLOOKUP(D442,'symmetric IOT 245 2012'!$C$6:$D$276,2,FALSE),"")</f>
        <v xml:space="preserve">Pasta de papel y Papel y cartón </v>
      </c>
      <c r="H442" s="77">
        <f>INDEX('Dictionary Categories'!$A$2:$A$30,MATCH(I442,'Dictionary Categories'!$B$2:$B$30,0))</f>
        <v>7</v>
      </c>
      <c r="I442" s="80" t="s">
        <v>2480</v>
      </c>
      <c r="J442" s="2">
        <f>INDEX('Dictionary Subcategories'!$A$2:$A$70,MATCH(K442,'Dictionary Subcategories'!$B$2:$B$70,0))</f>
        <v>21</v>
      </c>
      <c r="K442" s="87" t="s">
        <v>2350</v>
      </c>
      <c r="L442" s="147"/>
      <c r="M442" s="77">
        <v>440</v>
      </c>
      <c r="O442" s="77">
        <f t="shared" si="6"/>
        <v>0</v>
      </c>
    </row>
    <row r="443" spans="1:15" x14ac:dyDescent="0.25">
      <c r="A443" s="88" t="str">
        <f>'ENIGHUR Consumption items'!H546</f>
        <v>05.6.1.145</v>
      </c>
      <c r="B443" s="116">
        <f>_xlfn.NUMBERVALUE(VLOOKUP(A443,'ENIGHUR Consumption items'!$H$2:$I$703,2,))</f>
        <v>561145</v>
      </c>
      <c r="C443" s="88" t="str">
        <f>'ENIGHUR Consumption items'!J546</f>
        <v>Trampa para ratones</v>
      </c>
      <c r="D443" s="141">
        <v>157</v>
      </c>
      <c r="E443" s="91" t="str">
        <f>IFERROR(VLOOKUP(D443,'symmetric IOT 245 2012'!$C$6:$D$276,2,FALSE),"")</f>
        <v>Productos metálicos de uso doméstico</v>
      </c>
      <c r="H443" s="77">
        <f>INDEX('Dictionary Categories'!$A$2:$A$30,MATCH(I443,'Dictionary Categories'!$B$2:$B$30,0))</f>
        <v>7</v>
      </c>
      <c r="I443" s="80" t="s">
        <v>2480</v>
      </c>
      <c r="J443" s="2">
        <f>INDEX('Dictionary Subcategories'!$A$2:$A$70,MATCH(K443,'Dictionary Subcategories'!$B$2:$B$70,0))</f>
        <v>21</v>
      </c>
      <c r="K443" s="87" t="s">
        <v>2350</v>
      </c>
      <c r="L443" s="147"/>
      <c r="M443" s="77">
        <v>441</v>
      </c>
      <c r="O443" s="77">
        <f t="shared" si="6"/>
        <v>0</v>
      </c>
    </row>
    <row r="444" spans="1:15" x14ac:dyDescent="0.25">
      <c r="A444" s="88" t="str">
        <f>'ENIGHUR Consumption items'!H547</f>
        <v>05.6.1.146</v>
      </c>
      <c r="B444" s="116">
        <f>_xlfn.NUMBERVALUE(VLOOKUP(A444,'ENIGHUR Consumption items'!$H$2:$I$703,2,))</f>
        <v>561146</v>
      </c>
      <c r="C444" s="88" t="str">
        <f>'ENIGHUR Consumption items'!J547</f>
        <v>Trapeador</v>
      </c>
      <c r="D444" s="141">
        <v>143</v>
      </c>
      <c r="E444" s="91" t="str">
        <f>IFERROR(VLOOKUP(D444,'symmetric IOT 245 2012'!$C$6:$D$276,2,FALSE),"")</f>
        <v>Fibras sintéticas (textiles manufacturadas) y Otros productos químicos n.c.p.</v>
      </c>
      <c r="H444" s="77">
        <f>INDEX('Dictionary Categories'!$A$2:$A$30,MATCH(I444,'Dictionary Categories'!$B$2:$B$30,0))</f>
        <v>7</v>
      </c>
      <c r="I444" s="80" t="s">
        <v>2480</v>
      </c>
      <c r="J444" s="2">
        <f>INDEX('Dictionary Subcategories'!$A$2:$A$70,MATCH(K444,'Dictionary Subcategories'!$B$2:$B$70,0))</f>
        <v>21</v>
      </c>
      <c r="K444" s="87" t="s">
        <v>2350</v>
      </c>
      <c r="L444" s="147"/>
      <c r="M444" s="77">
        <v>442</v>
      </c>
      <c r="O444" s="77">
        <f t="shared" si="6"/>
        <v>0</v>
      </c>
    </row>
    <row r="445" spans="1:15" x14ac:dyDescent="0.25">
      <c r="A445" s="88" t="str">
        <f>'ENIGHUR Consumption items'!H548</f>
        <v>05.6.1.147</v>
      </c>
      <c r="B445" s="116">
        <f>_xlfn.NUMBERVALUE(VLOOKUP(A445,'ENIGHUR Consumption items'!$H$2:$I$703,2,))</f>
        <v>561147</v>
      </c>
      <c r="C445" s="88" t="str">
        <f>'ENIGHUR Consumption items'!J548</f>
        <v>Trapos de piso</v>
      </c>
      <c r="D445" s="124">
        <v>143</v>
      </c>
      <c r="E445" s="91" t="str">
        <f>IFERROR(VLOOKUP(D445,'symmetric IOT 245 2012'!$C$6:$D$276,2,FALSE),"")</f>
        <v>Fibras sintéticas (textiles manufacturadas) y Otros productos químicos n.c.p.</v>
      </c>
      <c r="H445" s="77">
        <f>INDEX('Dictionary Categories'!$A$2:$A$30,MATCH(I445,'Dictionary Categories'!$B$2:$B$30,0))</f>
        <v>7</v>
      </c>
      <c r="I445" s="80" t="s">
        <v>2480</v>
      </c>
      <c r="J445" s="2">
        <f>INDEX('Dictionary Subcategories'!$A$2:$A$70,MATCH(K445,'Dictionary Subcategories'!$B$2:$B$70,0))</f>
        <v>21</v>
      </c>
      <c r="K445" s="87" t="s">
        <v>2350</v>
      </c>
      <c r="L445" s="147"/>
      <c r="M445" s="77">
        <v>443</v>
      </c>
      <c r="O445" s="77">
        <f t="shared" si="6"/>
        <v>0</v>
      </c>
    </row>
    <row r="446" spans="1:15" x14ac:dyDescent="0.25">
      <c r="A446" s="88" t="str">
        <f>'ENIGHUR Consumption items'!H549</f>
        <v>05.6.1.148</v>
      </c>
      <c r="B446" s="116">
        <f>_xlfn.NUMBERVALUE(VLOOKUP(A446,'ENIGHUR Consumption items'!$H$2:$I$703,2,))</f>
        <v>561148</v>
      </c>
      <c r="C446" s="88" t="str">
        <f>'ENIGHUR Consumption items'!J549</f>
        <v>Tuercas y pernos para el hogar</v>
      </c>
      <c r="D446" s="124">
        <v>157</v>
      </c>
      <c r="E446" s="91" t="str">
        <f>IFERROR(VLOOKUP(D446,'symmetric IOT 245 2012'!$C$6:$D$276,2,FALSE),"")</f>
        <v>Productos metálicos de uso doméstico</v>
      </c>
      <c r="H446" s="77">
        <f>INDEX('Dictionary Categories'!$A$2:$A$30,MATCH(I446,'Dictionary Categories'!$B$2:$B$30,0))</f>
        <v>7</v>
      </c>
      <c r="I446" s="80" t="s">
        <v>2480</v>
      </c>
      <c r="J446" s="2">
        <f>INDEX('Dictionary Subcategories'!$A$2:$A$70,MATCH(K446,'Dictionary Subcategories'!$B$2:$B$70,0))</f>
        <v>21</v>
      </c>
      <c r="K446" s="87" t="s">
        <v>2350</v>
      </c>
      <c r="L446" s="147"/>
      <c r="M446" s="77">
        <v>444</v>
      </c>
      <c r="O446" s="77">
        <f t="shared" si="6"/>
        <v>0</v>
      </c>
    </row>
    <row r="447" spans="1:15" x14ac:dyDescent="0.25">
      <c r="A447" s="88" t="str">
        <f>'ENIGHUR Consumption items'!H550</f>
        <v>05.6.1.149</v>
      </c>
      <c r="B447" s="116">
        <f>_xlfn.NUMBERVALUE(VLOOKUP(A447,'ENIGHUR Consumption items'!$H$2:$I$703,2,))</f>
        <v>561149</v>
      </c>
      <c r="C447" s="88" t="str">
        <f>'ENIGHUR Consumption items'!J550</f>
        <v>Vajilla descartable</v>
      </c>
      <c r="D447" s="124">
        <v>146</v>
      </c>
      <c r="E447" s="91" t="str">
        <f>IFERROR(VLOOKUP(D447,'symmetric IOT 245 2012'!$C$6:$D$276,2,FALSE),"")</f>
        <v>Productos de plástico</v>
      </c>
      <c r="H447" s="77">
        <f>INDEX('Dictionary Categories'!$A$2:$A$30,MATCH(I447,'Dictionary Categories'!$B$2:$B$30,0))</f>
        <v>7</v>
      </c>
      <c r="I447" s="80" t="s">
        <v>2480</v>
      </c>
      <c r="J447" s="2">
        <f>INDEX('Dictionary Subcategories'!$A$2:$A$70,MATCH(K447,'Dictionary Subcategories'!$B$2:$B$70,0))</f>
        <v>21</v>
      </c>
      <c r="K447" s="87" t="s">
        <v>2350</v>
      </c>
      <c r="L447" s="147"/>
      <c r="M447" s="77">
        <v>445</v>
      </c>
      <c r="O447" s="77">
        <f t="shared" si="6"/>
        <v>0</v>
      </c>
    </row>
    <row r="448" spans="1:15" x14ac:dyDescent="0.25">
      <c r="A448" s="88" t="str">
        <f>'ENIGHUR Consumption items'!H551</f>
        <v>05.6.1.150</v>
      </c>
      <c r="B448" s="116">
        <f>_xlfn.NUMBERVALUE(VLOOKUP(A448,'ENIGHUR Consumption items'!$H$2:$I$703,2,))</f>
        <v>561150</v>
      </c>
      <c r="C448" s="88" t="str">
        <f>'ENIGHUR Consumption items'!J551</f>
        <v>Velas</v>
      </c>
      <c r="D448" s="124">
        <v>173</v>
      </c>
      <c r="E448" s="91" t="str">
        <f>IFERROR(VLOOKUP(D448,'symmetric IOT 245 2012'!$C$6:$D$276,2,FALSE),"")</f>
        <v>Otros productos manufacturados diversos</v>
      </c>
      <c r="H448" s="77">
        <f>INDEX('Dictionary Categories'!$A$2:$A$30,MATCH(I448,'Dictionary Categories'!$B$2:$B$30,0))</f>
        <v>7</v>
      </c>
      <c r="I448" s="80" t="s">
        <v>2480</v>
      </c>
      <c r="J448" s="2">
        <f>INDEX('Dictionary Subcategories'!$A$2:$A$70,MATCH(K448,'Dictionary Subcategories'!$B$2:$B$70,0))</f>
        <v>21</v>
      </c>
      <c r="K448" s="87" t="s">
        <v>2350</v>
      </c>
      <c r="L448" s="147"/>
      <c r="M448" s="77">
        <v>446</v>
      </c>
      <c r="O448" s="77">
        <f t="shared" si="6"/>
        <v>0</v>
      </c>
    </row>
    <row r="449" spans="1:15" x14ac:dyDescent="0.25">
      <c r="A449" s="88" t="str">
        <f>'ENIGHUR Consumption items'!H552</f>
        <v>05.6.1.199</v>
      </c>
      <c r="B449" s="116">
        <f>_xlfn.NUMBERVALUE(VLOOKUP(A449,'ENIGHUR Consumption items'!$H$2:$I$703,2,))</f>
        <v>561199</v>
      </c>
      <c r="C449" s="88" t="str">
        <f>'ENIGHUR Consumption items'!J552</f>
        <v>Otros bienes del hogar no duraderos</v>
      </c>
      <c r="D449" s="124">
        <v>173</v>
      </c>
      <c r="E449" s="91" t="str">
        <f>IFERROR(VLOOKUP(D449,'symmetric IOT 245 2012'!$C$6:$D$276,2,FALSE),"")</f>
        <v>Otros productos manufacturados diversos</v>
      </c>
      <c r="H449" s="77">
        <f>INDEX('Dictionary Categories'!$A$2:$A$30,MATCH(I449,'Dictionary Categories'!$B$2:$B$30,0))</f>
        <v>7</v>
      </c>
      <c r="I449" s="80" t="s">
        <v>2480</v>
      </c>
      <c r="J449" s="2">
        <f>INDEX('Dictionary Subcategories'!$A$2:$A$70,MATCH(K449,'Dictionary Subcategories'!$B$2:$B$70,0))</f>
        <v>21</v>
      </c>
      <c r="K449" s="87" t="s">
        <v>2350</v>
      </c>
      <c r="L449" s="147"/>
      <c r="M449" s="77">
        <v>447</v>
      </c>
      <c r="O449" s="77">
        <f t="shared" si="6"/>
        <v>0</v>
      </c>
    </row>
    <row r="450" spans="1:15" x14ac:dyDescent="0.25">
      <c r="A450" s="88" t="str">
        <f>'ENIGHUR Consumption items'!H553</f>
        <v>05.6.2</v>
      </c>
      <c r="B450" s="116">
        <f>_xlfn.NUMBERVALUE(VLOOKUP(A450,'ENIGHUR Consumption items'!$H$2:$I$703,2,))</f>
        <v>562</v>
      </c>
      <c r="C450" s="88" t="str">
        <f>'ENIGHUR Consumption items'!J553</f>
        <v xml:space="preserve">SERVICIOS DOMÉSTICOS Y PARA EL HOGAR </v>
      </c>
      <c r="D450" s="124">
        <v>245</v>
      </c>
      <c r="E450" s="91" t="str">
        <f>IFERROR(VLOOKUP(D450,'symmetric IOT 245 2012'!$C$6:$D$276,2,FALSE),"")</f>
        <v>Servicio doméstico</v>
      </c>
      <c r="H450" s="77">
        <f>INDEX('Dictionary Categories'!$A$2:$A$30,MATCH(I450,'Dictionary Categories'!$B$2:$B$30,0))</f>
        <v>7</v>
      </c>
      <c r="I450" s="80" t="s">
        <v>2480</v>
      </c>
      <c r="J450" s="2">
        <f>INDEX('Dictionary Subcategories'!$A$2:$A$70,MATCH(K450,'Dictionary Subcategories'!$B$2:$B$70,0))</f>
        <v>22</v>
      </c>
      <c r="K450" s="87" t="s">
        <v>2358</v>
      </c>
      <c r="L450" s="147"/>
      <c r="M450" s="77">
        <v>448</v>
      </c>
      <c r="O450" s="77">
        <f t="shared" si="6"/>
        <v>1</v>
      </c>
    </row>
    <row r="451" spans="1:15" x14ac:dyDescent="0.25">
      <c r="A451" s="135" t="str">
        <f>'ENIGHUR Consumption items'!H393</f>
        <v>04.5.1</v>
      </c>
      <c r="B451" s="116">
        <f>_xlfn.NUMBERVALUE(VLOOKUP(A451,'ENIGHUR Consumption items'!$H$2:$I$703,2,))</f>
        <v>451</v>
      </c>
      <c r="C451" s="88" t="str">
        <f>'ENIGHUR Consumption items'!J393</f>
        <v xml:space="preserve">ELECTRICIDAD </v>
      </c>
      <c r="D451" s="125" t="s">
        <v>2389</v>
      </c>
      <c r="E451" s="91" t="str">
        <f>IFERROR(VLOOKUP(D451,'symmetric IOT 245 2012'!$C$6:$D$276,2,FALSE),"")</f>
        <v>matched on SC/SSC level</v>
      </c>
      <c r="F451" s="80"/>
      <c r="H451" s="77">
        <f>INDEX('Dictionary Categories'!$A$2:$A$30,MATCH(I451,'Dictionary Categories'!$B$2:$B$30,0))</f>
        <v>8</v>
      </c>
      <c r="I451" s="2" t="s">
        <v>584</v>
      </c>
      <c r="J451" s="2">
        <f>INDEX('Dictionary Subcategories'!$A$2:$A$70,MATCH(K451,'Dictionary Subcategories'!$B$2:$B$70,0))</f>
        <v>23</v>
      </c>
      <c r="K451" s="2" t="s">
        <v>584</v>
      </c>
      <c r="L451" s="147"/>
      <c r="M451" s="77">
        <v>449</v>
      </c>
      <c r="O451" s="77">
        <f t="shared" si="6"/>
        <v>1</v>
      </c>
    </row>
    <row r="452" spans="1:15" x14ac:dyDescent="0.25">
      <c r="A452" s="88" t="str">
        <f>'ENIGHUR Consumption items'!H394</f>
        <v>04.5.1.000</v>
      </c>
      <c r="B452" s="116">
        <f>_xlfn.NUMBERVALUE(VLOOKUP(A452,'ENIGHUR Consumption items'!$H$2:$I$703,2,))</f>
        <v>451000</v>
      </c>
      <c r="C452" s="88" t="str">
        <f>'ENIGHUR Consumption items'!J394</f>
        <v>Electricidad</v>
      </c>
      <c r="D452" s="124">
        <v>176</v>
      </c>
      <c r="E452" s="91" t="str">
        <f>IFERROR(VLOOKUP(D452,'symmetric IOT 245 2012'!$C$6:$D$276,2,FALSE),"")</f>
        <v>Servicios de transmisión y distribución eléctrica</v>
      </c>
      <c r="F452" s="80"/>
      <c r="H452" s="77">
        <f>INDEX('Dictionary Categories'!$A$2:$A$30,MATCH(I452,'Dictionary Categories'!$B$2:$B$30,0))</f>
        <v>8</v>
      </c>
      <c r="I452" s="2" t="s">
        <v>584</v>
      </c>
      <c r="J452" s="2">
        <f>INDEX('Dictionary Subcategories'!$A$2:$A$70,MATCH(K452,'Dictionary Subcategories'!$B$2:$B$70,0))</f>
        <v>23</v>
      </c>
      <c r="K452" s="2" t="s">
        <v>584</v>
      </c>
      <c r="L452" s="147"/>
      <c r="M452" s="77">
        <v>450</v>
      </c>
      <c r="O452" s="77">
        <f t="shared" ref="O452:O515" si="7">IF(LEFT(RIGHT(A452,2),1)=".",1,0)</f>
        <v>0</v>
      </c>
    </row>
    <row r="453" spans="1:15" x14ac:dyDescent="0.25">
      <c r="A453" s="88" t="str">
        <f>'ENIGHUR Consumption items'!H396</f>
        <v>04.5.1.002</v>
      </c>
      <c r="B453" s="116">
        <f>_xlfn.NUMBERVALUE(VLOOKUP(A453,'ENIGHUR Consumption items'!$H$2:$I$703,2,))</f>
        <v>451002</v>
      </c>
      <c r="C453" s="88" t="str">
        <f>'ENIGHUR Consumption items'!J396</f>
        <v>Gasto por servicio de consumo eléctrico</v>
      </c>
      <c r="D453" s="124">
        <v>176</v>
      </c>
      <c r="E453" s="91" t="str">
        <f>IFERROR(VLOOKUP(D453,'symmetric IOT 245 2012'!$C$6:$D$276,2,FALSE),"")</f>
        <v>Servicios de transmisión y distribución eléctrica</v>
      </c>
      <c r="F453" s="97" t="s">
        <v>2416</v>
      </c>
      <c r="H453" s="77">
        <f>INDEX('Dictionary Categories'!$A$2:$A$30,MATCH(I453,'Dictionary Categories'!$B$2:$B$30,0))</f>
        <v>8</v>
      </c>
      <c r="I453" s="2" t="s">
        <v>584</v>
      </c>
      <c r="J453" s="2">
        <f>INDEX('Dictionary Subcategories'!$A$2:$A$70,MATCH(K453,'Dictionary Subcategories'!$B$2:$B$70,0))</f>
        <v>23</v>
      </c>
      <c r="K453" s="2" t="s">
        <v>584</v>
      </c>
      <c r="L453" s="147"/>
      <c r="M453" s="77">
        <v>451</v>
      </c>
      <c r="O453" s="77">
        <f t="shared" si="7"/>
        <v>0</v>
      </c>
    </row>
    <row r="454" spans="1:15" x14ac:dyDescent="0.25">
      <c r="A454" s="83" t="s">
        <v>836</v>
      </c>
      <c r="B454" s="116">
        <f>_xlfn.NUMBERVALUE(VLOOKUP(A454,'ENIGHUR Consumption items'!$H$2:$I$703,2,))</f>
        <v>451001</v>
      </c>
      <c r="C454" s="83" t="s">
        <v>837</v>
      </c>
      <c r="D454" s="124">
        <v>165</v>
      </c>
      <c r="E454" s="91" t="str">
        <f>IFERROR(VLOOKUP(D454,'symmetric IOT 245 2012'!$C$6:$D$276,2,FALSE),"")</f>
        <v>Maquinaria y aparatos eléctricos</v>
      </c>
      <c r="F454" s="132"/>
      <c r="G454" s="80"/>
      <c r="H454" s="77">
        <f>INDEX('Dictionary Categories'!$A$2:$A$30,MATCH(I454,'Dictionary Categories'!$B$2:$B$30,0))</f>
        <v>4</v>
      </c>
      <c r="I454" s="2" t="s">
        <v>586</v>
      </c>
      <c r="J454" s="2">
        <f>INDEX('Dictionary Subcategories'!$A$2:$A$70,MATCH(K454,'Dictionary Subcategories'!$B$2:$B$70,0))</f>
        <v>16</v>
      </c>
      <c r="K454" s="2" t="s">
        <v>2357</v>
      </c>
      <c r="L454" s="147">
        <v>1.0381E-2</v>
      </c>
      <c r="M454" s="77">
        <v>452</v>
      </c>
      <c r="O454" s="77">
        <f t="shared" si="7"/>
        <v>0</v>
      </c>
    </row>
    <row r="455" spans="1:15" x14ac:dyDescent="0.25">
      <c r="A455" s="88" t="str">
        <f>'ENIGHUR Consumption items'!H397</f>
        <v>04.5.2</v>
      </c>
      <c r="B455" s="116">
        <f>_xlfn.NUMBERVALUE(VLOOKUP(A455,'ENIGHUR Consumption items'!$H$2:$I$703,2,))</f>
        <v>452</v>
      </c>
      <c r="C455" s="88" t="str">
        <f>'ENIGHUR Consumption items'!J397</f>
        <v xml:space="preserve">GAS </v>
      </c>
      <c r="D455" s="125" t="s">
        <v>2389</v>
      </c>
      <c r="E455" s="91" t="str">
        <f>IFERROR(VLOOKUP(D455,'symmetric IOT 245 2012'!$C$6:$D$276,2,FALSE),"")</f>
        <v>matched on SC/SSC level</v>
      </c>
      <c r="F455" s="80"/>
      <c r="H455" s="77">
        <f>INDEX('Dictionary Categories'!$A$2:$A$30,MATCH(I455,'Dictionary Categories'!$B$2:$B$30,0))</f>
        <v>9</v>
      </c>
      <c r="I455" s="2" t="s">
        <v>2452</v>
      </c>
      <c r="J455" s="2">
        <f>INDEX('Dictionary Subcategories'!$A$2:$A$70,MATCH(K455,'Dictionary Subcategories'!$B$2:$B$70,0))</f>
        <v>24</v>
      </c>
      <c r="K455" s="2" t="s">
        <v>2452</v>
      </c>
      <c r="L455" s="147"/>
      <c r="M455" s="77">
        <v>453</v>
      </c>
      <c r="O455" s="77">
        <f t="shared" si="7"/>
        <v>1</v>
      </c>
    </row>
    <row r="456" spans="1:15" x14ac:dyDescent="0.25">
      <c r="A456" s="88" t="str">
        <f>'ENIGHUR Consumption items'!H398</f>
        <v>04.5.2.000</v>
      </c>
      <c r="B456" s="116">
        <f>_xlfn.NUMBERVALUE(VLOOKUP(A456,'ENIGHUR Consumption items'!$H$2:$I$703,2,))</f>
        <v>452000</v>
      </c>
      <c r="C456" s="88" t="str">
        <f>'ENIGHUR Consumption items'!J398</f>
        <v>Gas</v>
      </c>
      <c r="D456" s="124">
        <v>134</v>
      </c>
      <c r="E456" s="91" t="str">
        <f>IFERROR(VLOOKUP(D456,'symmetric IOT 245 2012'!$C$6:$D$276,2,FALSE),"")</f>
        <v>Gases de hidrocarburos</v>
      </c>
      <c r="F456" s="133" t="s">
        <v>2417</v>
      </c>
      <c r="H456" s="77">
        <f>INDEX('Dictionary Categories'!$A$2:$A$30,MATCH(I456,'Dictionary Categories'!$B$2:$B$30,0))</f>
        <v>9</v>
      </c>
      <c r="I456" s="2" t="s">
        <v>2452</v>
      </c>
      <c r="J456" s="2">
        <f>INDEX('Dictionary Subcategories'!$A$2:$A$70,MATCH(K456,'Dictionary Subcategories'!$B$2:$B$70,0))</f>
        <v>24</v>
      </c>
      <c r="K456" s="2" t="s">
        <v>2452</v>
      </c>
      <c r="L456" s="147"/>
      <c r="M456" s="77">
        <v>454</v>
      </c>
      <c r="O456" s="77">
        <f t="shared" si="7"/>
        <v>0</v>
      </c>
    </row>
    <row r="457" spans="1:15" x14ac:dyDescent="0.25">
      <c r="A457" s="88" t="str">
        <f>'ENIGHUR Consumption items'!H399</f>
        <v>04.5.2.001</v>
      </c>
      <c r="B457" s="116">
        <f>_xlfn.NUMBERVALUE(VLOOKUP(A457,'ENIGHUR Consumption items'!$H$2:$I$703,2,))</f>
        <v>452001</v>
      </c>
      <c r="C457" s="88" t="str">
        <f>'ENIGHUR Consumption items'!J399</f>
        <v>Gasto en gas doméstico</v>
      </c>
      <c r="D457" s="124">
        <v>134</v>
      </c>
      <c r="E457" s="91" t="str">
        <f>IFERROR(VLOOKUP(D457,'symmetric IOT 245 2012'!$C$6:$D$276,2,FALSE),"")</f>
        <v>Gases de hidrocarburos</v>
      </c>
      <c r="F457" s="97" t="s">
        <v>2415</v>
      </c>
      <c r="H457" s="77">
        <f>INDEX('Dictionary Categories'!$A$2:$A$30,MATCH(I457,'Dictionary Categories'!$B$2:$B$30,0))</f>
        <v>9</v>
      </c>
      <c r="I457" s="2" t="s">
        <v>2452</v>
      </c>
      <c r="J457" s="2">
        <f>INDEX('Dictionary Subcategories'!$A$2:$A$70,MATCH(K457,'Dictionary Subcategories'!$B$2:$B$70,0))</f>
        <v>24</v>
      </c>
      <c r="K457" s="2" t="s">
        <v>2452</v>
      </c>
      <c r="L457" s="147"/>
      <c r="M457" s="77">
        <v>455</v>
      </c>
      <c r="O457" s="77">
        <f t="shared" si="7"/>
        <v>0</v>
      </c>
    </row>
    <row r="458" spans="1:15" x14ac:dyDescent="0.25">
      <c r="A458" s="88" t="str">
        <f>'ENIGHUR Consumption items'!H400</f>
        <v>04.5.2.002</v>
      </c>
      <c r="B458" s="116">
        <f>_xlfn.NUMBERVALUE(VLOOKUP(A458,'ENIGHUR Consumption items'!$H$2:$I$703,2,))</f>
        <v>452002</v>
      </c>
      <c r="C458" s="88" t="str">
        <f>'ENIGHUR Consumption items'!J400</f>
        <v>Gasto en gas doméstico centralizado</v>
      </c>
      <c r="D458" s="124">
        <v>134</v>
      </c>
      <c r="E458" s="91" t="str">
        <f>IFERROR(VLOOKUP(D458,'symmetric IOT 245 2012'!$C$6:$D$276,2,FALSE),"")</f>
        <v>Gases de hidrocarburos</v>
      </c>
      <c r="F458" s="97" t="s">
        <v>2415</v>
      </c>
      <c r="H458" s="77">
        <f>INDEX('Dictionary Categories'!$A$2:$A$30,MATCH(I458,'Dictionary Categories'!$B$2:$B$30,0))</f>
        <v>9</v>
      </c>
      <c r="I458" s="2" t="s">
        <v>2452</v>
      </c>
      <c r="J458" s="2">
        <f>INDEX('Dictionary Subcategories'!$A$2:$A$70,MATCH(K458,'Dictionary Subcategories'!$B$2:$B$70,0))</f>
        <v>24</v>
      </c>
      <c r="K458" s="2" t="s">
        <v>2452</v>
      </c>
      <c r="L458" s="147"/>
      <c r="M458" s="77">
        <v>456</v>
      </c>
      <c r="O458" s="77">
        <f t="shared" si="7"/>
        <v>0</v>
      </c>
    </row>
    <row r="459" spans="1:15" x14ac:dyDescent="0.25">
      <c r="A459" s="88" t="str">
        <f>'ENIGHUR Consumption items'!H401</f>
        <v>04.5.2.003</v>
      </c>
      <c r="B459" s="116">
        <f>_xlfn.NUMBERVALUE(VLOOKUP(A459,'ENIGHUR Consumption items'!$H$2:$I$703,2,))</f>
        <v>452003</v>
      </c>
      <c r="C459" s="88" t="str">
        <f>'ENIGHUR Consumption items'!J401</f>
        <v>Recipientes de almacenamiento (cilindros de gas)</v>
      </c>
      <c r="D459" s="124">
        <v>134</v>
      </c>
      <c r="E459" s="91" t="str">
        <f>IFERROR(VLOOKUP(D459,'symmetric IOT 245 2012'!$C$6:$D$276,2,FALSE),"")</f>
        <v>Gases de hidrocarburos</v>
      </c>
      <c r="F459" s="80" t="s">
        <v>2401</v>
      </c>
      <c r="H459" s="77">
        <f>INDEX('Dictionary Categories'!$A$2:$A$30,MATCH(I459,'Dictionary Categories'!$B$2:$B$30,0))</f>
        <v>9</v>
      </c>
      <c r="I459" s="2" t="s">
        <v>2452</v>
      </c>
      <c r="J459" s="2">
        <f>INDEX('Dictionary Subcategories'!$A$2:$A$70,MATCH(K459,'Dictionary Subcategories'!$B$2:$B$70,0))</f>
        <v>24</v>
      </c>
      <c r="K459" s="2" t="s">
        <v>2452</v>
      </c>
      <c r="L459" s="147">
        <v>1.14E-2</v>
      </c>
      <c r="M459" s="77">
        <v>457</v>
      </c>
      <c r="O459" s="77">
        <f t="shared" si="7"/>
        <v>0</v>
      </c>
    </row>
    <row r="460" spans="1:15" x14ac:dyDescent="0.25">
      <c r="A460" s="88" t="str">
        <f>'ENIGHUR Consumption items'!H402</f>
        <v>04.5.2.099</v>
      </c>
      <c r="B460" s="116">
        <f>_xlfn.NUMBERVALUE(VLOOKUP(A460,'ENIGHUR Consumption items'!$H$2:$I$703,2,))</f>
        <v>452099</v>
      </c>
      <c r="C460" s="88" t="str">
        <f>'ENIGHUR Consumption items'!J402</f>
        <v>Otros</v>
      </c>
      <c r="D460" s="128">
        <v>76</v>
      </c>
      <c r="E460" s="91" t="str">
        <f>IFERROR(VLOOKUP(D460,'symmetric IOT 245 2012'!$C$6:$D$276,2,FALSE),"")</f>
        <v>Gas natural</v>
      </c>
      <c r="F460" s="80" t="s">
        <v>2519</v>
      </c>
      <c r="H460" s="77">
        <f>INDEX('Dictionary Categories'!$A$2:$A$30,MATCH(I460,'Dictionary Categories'!$B$2:$B$30,0))</f>
        <v>4</v>
      </c>
      <c r="I460" s="2" t="s">
        <v>586</v>
      </c>
      <c r="J460" s="2">
        <f>INDEX('Dictionary Subcategories'!$A$2:$A$70,MATCH(K460,'Dictionary Subcategories'!$B$2:$B$70,0))</f>
        <v>16</v>
      </c>
      <c r="K460" s="87" t="s">
        <v>2357</v>
      </c>
      <c r="L460" s="147">
        <v>0</v>
      </c>
      <c r="M460" s="77">
        <v>458</v>
      </c>
      <c r="O460" s="77">
        <f t="shared" si="7"/>
        <v>0</v>
      </c>
    </row>
    <row r="461" spans="1:15" x14ac:dyDescent="0.25">
      <c r="A461" s="88" t="str">
        <f>'ENIGHUR Consumption items'!H403</f>
        <v>04.5.3</v>
      </c>
      <c r="B461" s="116">
        <f>_xlfn.NUMBERVALUE(VLOOKUP(A461,'ENIGHUR Consumption items'!$H$2:$I$703,2,))</f>
        <v>453</v>
      </c>
      <c r="C461" s="88" t="str">
        <f>'ENIGHUR Consumption items'!J403</f>
        <v xml:space="preserve">COMBUSTIBLES LÍQUIDOS </v>
      </c>
      <c r="D461" s="145" t="s">
        <v>2389</v>
      </c>
      <c r="E461" s="91" t="str">
        <f>IFERROR(VLOOKUP(D461,'symmetric IOT 245 2012'!$C$6:$D$276,2,FALSE),"")</f>
        <v>matched on SC/SSC level</v>
      </c>
      <c r="F461" s="80"/>
      <c r="H461" s="77">
        <f>INDEX('Dictionary Categories'!$A$2:$A$30,MATCH(I461,'Dictionary Categories'!$B$2:$B$30,0))</f>
        <v>4</v>
      </c>
      <c r="I461" s="2" t="s">
        <v>586</v>
      </c>
      <c r="J461" s="2">
        <f>INDEX('Dictionary Subcategories'!$A$2:$A$70,MATCH(K461,'Dictionary Subcategories'!$B$2:$B$70,0))</f>
        <v>16</v>
      </c>
      <c r="K461" s="87" t="s">
        <v>2357</v>
      </c>
      <c r="L461" s="148" t="s">
        <v>2464</v>
      </c>
      <c r="M461" s="77">
        <v>459</v>
      </c>
      <c r="O461" s="77">
        <f t="shared" si="7"/>
        <v>1</v>
      </c>
    </row>
    <row r="462" spans="1:15" x14ac:dyDescent="0.25">
      <c r="A462" s="88" t="str">
        <f>'ENIGHUR Consumption items'!H404</f>
        <v>04.5.3.000</v>
      </c>
      <c r="B462" s="116">
        <f>_xlfn.NUMBERVALUE(VLOOKUP(A462,'ENIGHUR Consumption items'!$H$2:$I$703,2,))</f>
        <v>453000</v>
      </c>
      <c r="C462" s="88" t="str">
        <f>'ENIGHUR Consumption items'!J404</f>
        <v>Combustibles líquidos [Para la cocina NO para transporte]</v>
      </c>
      <c r="D462" s="141">
        <v>76</v>
      </c>
      <c r="E462" s="91" t="str">
        <f>IFERROR(VLOOKUP(D462,'symmetric IOT 245 2012'!$C$6:$D$276,2,FALSE),"")</f>
        <v>Gas natural</v>
      </c>
      <c r="F462" s="80" t="s">
        <v>2519</v>
      </c>
      <c r="H462" s="77">
        <f>INDEX('Dictionary Categories'!$A$2:$A$30,MATCH(I462,'Dictionary Categories'!$B$2:$B$30,0))</f>
        <v>4</v>
      </c>
      <c r="I462" s="2" t="s">
        <v>586</v>
      </c>
      <c r="J462" s="2">
        <f>INDEX('Dictionary Subcategories'!$A$2:$A$70,MATCH(K462,'Dictionary Subcategories'!$B$2:$B$70,0))</f>
        <v>16</v>
      </c>
      <c r="K462" s="87" t="s">
        <v>2357</v>
      </c>
      <c r="L462" s="147">
        <v>0</v>
      </c>
      <c r="M462" s="77">
        <v>460</v>
      </c>
      <c r="O462" s="77">
        <f t="shared" si="7"/>
        <v>0</v>
      </c>
    </row>
    <row r="463" spans="1:15" x14ac:dyDescent="0.25">
      <c r="A463" s="88" t="str">
        <f>'ENIGHUR Consumption items'!H409</f>
        <v>04.5.4</v>
      </c>
      <c r="B463" s="116">
        <f>_xlfn.NUMBERVALUE(VLOOKUP(A463,'ENIGHUR Consumption items'!$H$2:$I$703,2,))</f>
        <v>454</v>
      </c>
      <c r="C463" s="88" t="str">
        <f>'ENIGHUR Consumption items'!J409</f>
        <v xml:space="preserve">COMBUSTIBLES SÓLIDOS </v>
      </c>
      <c r="D463" s="141">
        <v>64</v>
      </c>
      <c r="E463" s="91" t="str">
        <f>IFERROR(VLOOKUP(D463,'symmetric IOT 245 2012'!$C$6:$D$276,2,FALSE),"")</f>
        <v>Madera sin elaborar</v>
      </c>
      <c r="F463" s="80" t="s">
        <v>2403</v>
      </c>
      <c r="H463" s="77">
        <f>INDEX('Dictionary Categories'!$A$2:$A$30,MATCH(I463,'Dictionary Categories'!$B$2:$B$30,0))</f>
        <v>4</v>
      </c>
      <c r="I463" s="2" t="s">
        <v>586</v>
      </c>
      <c r="J463" s="2">
        <f>INDEX('Dictionary Subcategories'!$A$2:$A$70,MATCH(K463,'Dictionary Subcategories'!$B$2:$B$70,0))</f>
        <v>16</v>
      </c>
      <c r="K463" s="87" t="s">
        <v>2357</v>
      </c>
      <c r="L463" s="148">
        <v>8.6E-3</v>
      </c>
      <c r="M463" s="77">
        <v>461</v>
      </c>
      <c r="O463" s="77">
        <f t="shared" si="7"/>
        <v>1</v>
      </c>
    </row>
    <row r="464" spans="1:15" x14ac:dyDescent="0.25">
      <c r="A464" s="88" t="str">
        <f>'ENIGHUR Consumption items'!H417</f>
        <v>04.5.5</v>
      </c>
      <c r="B464" s="116">
        <f>_xlfn.NUMBERVALUE(VLOOKUP(A464,'ENIGHUR Consumption items'!$H$2:$I$703,2,))</f>
        <v>455</v>
      </c>
      <c r="C464" s="88" t="str">
        <f>'ENIGHUR Consumption items'!J417</f>
        <v xml:space="preserve">ENERGÍA CALÓRICA </v>
      </c>
      <c r="D464" s="141">
        <v>177</v>
      </c>
      <c r="E464" s="91" t="str">
        <f>IFERROR(VLOOKUP(D464,'symmetric IOT 245 2012'!$C$6:$D$276,2,FALSE),"")</f>
        <v>Agua</v>
      </c>
      <c r="F464" s="80" t="s">
        <v>2404</v>
      </c>
      <c r="H464" s="77">
        <f>INDEX('Dictionary Categories'!$A$2:$A$30,MATCH(I464,'Dictionary Categories'!$B$2:$B$30,0))</f>
        <v>4</v>
      </c>
      <c r="I464" s="2" t="s">
        <v>586</v>
      </c>
      <c r="J464" s="2">
        <f>INDEX('Dictionary Subcategories'!$A$2:$A$70,MATCH(K464,'Dictionary Subcategories'!$B$2:$B$70,0))</f>
        <v>16</v>
      </c>
      <c r="K464" s="87" t="s">
        <v>2357</v>
      </c>
      <c r="L464" s="147">
        <v>0</v>
      </c>
      <c r="M464" s="77">
        <v>462</v>
      </c>
      <c r="O464" s="77">
        <f t="shared" si="7"/>
        <v>1</v>
      </c>
    </row>
    <row r="465" spans="1:15" x14ac:dyDescent="0.25">
      <c r="A465" s="88" t="str">
        <f>'ENIGHUR Consumption items'!H573</f>
        <v>07.1.1</v>
      </c>
      <c r="B465" s="116">
        <f>_xlfn.NUMBERVALUE(VLOOKUP(A465,'ENIGHUR Consumption items'!$H$2:$I$703,2,))</f>
        <v>711</v>
      </c>
      <c r="C465" s="88" t="str">
        <f>'ENIGHUR Consumption items'!J573</f>
        <v xml:space="preserve">VEHÍCULOS A MOTOR </v>
      </c>
      <c r="D465" s="128">
        <v>168</v>
      </c>
      <c r="E465" s="91" t="str">
        <f>IFERROR(VLOOKUP(D465,'symmetric IOT 245 2012'!$C$6:$D$276,2,FALSE),"")</f>
        <v>Vehículos automotores</v>
      </c>
      <c r="F465" s="80"/>
      <c r="H465" s="77">
        <f>INDEX('Dictionary Categories'!$A$2:$A$30,MATCH(I465,'Dictionary Categories'!$B$2:$B$30,0))</f>
        <v>6</v>
      </c>
      <c r="I465" s="80" t="s">
        <v>2482</v>
      </c>
      <c r="J465" s="2">
        <f>INDEX('Dictionary Subcategories'!$A$2:$A$70,MATCH(K465,'Dictionary Subcategories'!$B$2:$B$70,0))</f>
        <v>25</v>
      </c>
      <c r="K465" s="2" t="s">
        <v>2476</v>
      </c>
      <c r="M465" s="77">
        <v>463</v>
      </c>
      <c r="O465" s="77">
        <f t="shared" si="7"/>
        <v>1</v>
      </c>
    </row>
    <row r="466" spans="1:15" x14ac:dyDescent="0.25">
      <c r="A466" s="88" t="str">
        <f>'ENIGHUR Consumption items'!H584</f>
        <v>07.1.2</v>
      </c>
      <c r="B466" s="116">
        <f>_xlfn.NUMBERVALUE(VLOOKUP(A466,'ENIGHUR Consumption items'!$H$2:$I$703,2,))</f>
        <v>712</v>
      </c>
      <c r="C466" s="88" t="str">
        <f>'ENIGHUR Consumption items'!J584</f>
        <v xml:space="preserve">MOTOCICLETAS </v>
      </c>
      <c r="D466" s="128">
        <v>168</v>
      </c>
      <c r="E466" s="91" t="str">
        <f>IFERROR(VLOOKUP(D466,'symmetric IOT 245 2012'!$C$6:$D$276,2,FALSE),"")</f>
        <v>Vehículos automotores</v>
      </c>
      <c r="F466" s="80"/>
      <c r="H466" s="77">
        <f>INDEX('Dictionary Categories'!$A$2:$A$30,MATCH(I466,'Dictionary Categories'!$B$2:$B$30,0))</f>
        <v>6</v>
      </c>
      <c r="I466" s="80" t="s">
        <v>2482</v>
      </c>
      <c r="J466" s="2">
        <f>INDEX('Dictionary Subcategories'!$A$2:$A$70,MATCH(K466,'Dictionary Subcategories'!$B$2:$B$70,0))</f>
        <v>25</v>
      </c>
      <c r="K466" s="2" t="s">
        <v>2476</v>
      </c>
      <c r="M466" s="77">
        <v>464</v>
      </c>
      <c r="O466" s="77">
        <f t="shared" si="7"/>
        <v>1</v>
      </c>
    </row>
    <row r="467" spans="1:15" x14ac:dyDescent="0.25">
      <c r="A467" s="88" t="str">
        <f>'ENIGHUR Consumption items'!H585</f>
        <v>07.1.3</v>
      </c>
      <c r="B467" s="116">
        <f>_xlfn.NUMBERVALUE(VLOOKUP(A467,'ENIGHUR Consumption items'!$H$2:$I$703,2,))</f>
        <v>713</v>
      </c>
      <c r="C467" s="88" t="str">
        <f>'ENIGHUR Consumption items'!J585</f>
        <v xml:space="preserve">BICICLETAS </v>
      </c>
      <c r="D467" s="128">
        <v>168</v>
      </c>
      <c r="E467" s="91" t="str">
        <f>IFERROR(VLOOKUP(D467,'symmetric IOT 245 2012'!$C$6:$D$276,2,FALSE),"")</f>
        <v>Vehículos automotores</v>
      </c>
      <c r="F467" s="80"/>
      <c r="H467" s="77">
        <f>INDEX('Dictionary Categories'!$A$2:$A$30,MATCH(I467,'Dictionary Categories'!$B$2:$B$30,0))</f>
        <v>6</v>
      </c>
      <c r="I467" s="80" t="s">
        <v>2482</v>
      </c>
      <c r="J467" s="2">
        <f>INDEX('Dictionary Subcategories'!$A$2:$A$70,MATCH(K467,'Dictionary Subcategories'!$B$2:$B$70,0))</f>
        <v>25</v>
      </c>
      <c r="K467" s="2" t="s">
        <v>2476</v>
      </c>
      <c r="M467" s="77">
        <v>465</v>
      </c>
      <c r="O467" s="77">
        <f t="shared" si="7"/>
        <v>1</v>
      </c>
    </row>
    <row r="468" spans="1:15" x14ac:dyDescent="0.25">
      <c r="A468" s="88" t="str">
        <f>'ENIGHUR Consumption items'!H586</f>
        <v>07.1.4</v>
      </c>
      <c r="B468" s="116">
        <f>_xlfn.NUMBERVALUE(VLOOKUP(A468,'ENIGHUR Consumption items'!$H$2:$I$703,2,))</f>
        <v>714</v>
      </c>
      <c r="C468" s="88" t="str">
        <f>'ENIGHUR Consumption items'!J586</f>
        <v xml:space="preserve">VEHÍCULOS DE TRACCIÓN ANIMAL </v>
      </c>
      <c r="D468" s="128">
        <v>168</v>
      </c>
      <c r="E468" s="91" t="str">
        <f>IFERROR(VLOOKUP(D468,'symmetric IOT 245 2012'!$C$6:$D$276,2,FALSE),"")</f>
        <v>Vehículos automotores</v>
      </c>
      <c r="F468" s="80"/>
      <c r="H468" s="77">
        <f>INDEX('Dictionary Categories'!$A$2:$A$30,MATCH(I468,'Dictionary Categories'!$B$2:$B$30,0))</f>
        <v>6</v>
      </c>
      <c r="I468" s="80" t="s">
        <v>2482</v>
      </c>
      <c r="J468" s="2">
        <f>INDEX('Dictionary Subcategories'!$A$2:$A$70,MATCH(K468,'Dictionary Subcategories'!$B$2:$B$70,0))</f>
        <v>25</v>
      </c>
      <c r="K468" s="2" t="s">
        <v>2476</v>
      </c>
      <c r="M468" s="77">
        <v>466</v>
      </c>
      <c r="O468" s="77">
        <f t="shared" si="7"/>
        <v>1</v>
      </c>
    </row>
    <row r="469" spans="1:15" x14ac:dyDescent="0.25">
      <c r="A469" s="88" t="str">
        <f>'ENIGHUR Consumption items'!H588</f>
        <v>07.2.1</v>
      </c>
      <c r="B469" s="116">
        <f>_xlfn.NUMBERVALUE(VLOOKUP(A469,'ENIGHUR Consumption items'!$H$2:$I$703,2,))</f>
        <v>721</v>
      </c>
      <c r="C469" s="88" t="str">
        <f>'ENIGHUR Consumption items'!J588</f>
        <v xml:space="preserve">PIEZAS, REPUESTOS Y ACCESORIOS PARA EQUIPO DE TRANSPORTE PERSONAL </v>
      </c>
      <c r="D469" s="128">
        <v>169</v>
      </c>
      <c r="E469" s="91" t="str">
        <f>IFERROR(VLOOKUP(D469,'symmetric IOT 245 2012'!$C$6:$D$276,2,FALSE),"")</f>
        <v>Otro equipo y material de transporte n.c.p.</v>
      </c>
      <c r="F469" s="80" t="s">
        <v>2355</v>
      </c>
      <c r="H469" s="77">
        <f>INDEX('Dictionary Categories'!$A$2:$A$30,MATCH(I469,'Dictionary Categories'!$B$2:$B$30,0))</f>
        <v>6</v>
      </c>
      <c r="I469" s="80" t="s">
        <v>2482</v>
      </c>
      <c r="J469" s="2">
        <f>INDEX('Dictionary Subcategories'!$A$2:$A$70,MATCH(K469,'Dictionary Subcategories'!$B$2:$B$70,0))</f>
        <v>25</v>
      </c>
      <c r="K469" s="2" t="s">
        <v>2476</v>
      </c>
      <c r="M469" s="77">
        <v>467</v>
      </c>
      <c r="O469" s="77">
        <f t="shared" si="7"/>
        <v>1</v>
      </c>
    </row>
    <row r="470" spans="1:15" x14ac:dyDescent="0.25">
      <c r="A470" s="88" t="str">
        <f>'ENIGHUR Consumption items'!H590</f>
        <v>07.2.2</v>
      </c>
      <c r="B470" s="116">
        <f>_xlfn.NUMBERVALUE(VLOOKUP(A470,'ENIGHUR Consumption items'!$H$2:$I$703,2,))</f>
        <v>722</v>
      </c>
      <c r="C470" s="88" t="str">
        <f>'ENIGHUR Consumption items'!J590</f>
        <v xml:space="preserve">COMBUSTIBLE Y LUBRICANTES PARA EQUIPO DE TRANSPORTE PERSONAL </v>
      </c>
      <c r="D470" s="127" t="s">
        <v>2389</v>
      </c>
      <c r="E470" s="91" t="str">
        <f>IFERROR(VLOOKUP(D470,'symmetric IOT 245 2012'!$C$6:$D$276,2,FALSE),"")</f>
        <v>matched on SC/SSC level</v>
      </c>
      <c r="F470" s="80"/>
      <c r="H470" s="77">
        <f>INDEX('Dictionary Categories'!$A$2:$A$30,MATCH(I470,'Dictionary Categories'!$B$2:$B$30,0))</f>
        <v>4</v>
      </c>
      <c r="I470" s="2" t="s">
        <v>586</v>
      </c>
      <c r="J470" s="2">
        <f>INDEX('Dictionary Subcategories'!$A$2:$A$70,MATCH(K470,'Dictionary Subcategories'!$B$2:$B$70,0))</f>
        <v>16</v>
      </c>
      <c r="K470" s="87" t="s">
        <v>2357</v>
      </c>
      <c r="L470" s="148">
        <v>0</v>
      </c>
      <c r="M470" s="77">
        <v>468</v>
      </c>
      <c r="O470" s="77">
        <f t="shared" si="7"/>
        <v>1</v>
      </c>
    </row>
    <row r="471" spans="1:15" x14ac:dyDescent="0.25">
      <c r="A471" s="88" t="str">
        <f>'ENIGHUR Consumption items'!H591</f>
        <v>07.2.2.000</v>
      </c>
      <c r="B471" s="116">
        <f>_xlfn.NUMBERVALUE(VLOOKUP(A471,'ENIGHUR Consumption items'!$H$2:$I$703,2,))</f>
        <v>722000</v>
      </c>
      <c r="C471" s="88" t="str">
        <f>'ENIGHUR Consumption items'!J591</f>
        <v>Combustibles para equipo de transporte personal</v>
      </c>
      <c r="D471" s="128">
        <v>130</v>
      </c>
      <c r="E471" s="91" t="str">
        <f>IFERROR(VLOOKUP(D471,'symmetric IOT 245 2012'!$C$6:$D$276,2,FALSE),"")</f>
        <v>Gasolinas, Nafta y gasolina natural</v>
      </c>
      <c r="F471" s="80" t="s">
        <v>2518</v>
      </c>
      <c r="H471" s="77">
        <f>INDEX('Dictionary Categories'!$A$2:$A$30,MATCH(I471,'Dictionary Categories'!$B$2:$B$30,0))</f>
        <v>10</v>
      </c>
      <c r="I471" s="2" t="s">
        <v>2453</v>
      </c>
      <c r="J471" s="2">
        <f>INDEX('Dictionary Subcategories'!$A$2:$A$70,MATCH(K471,'Dictionary Subcategories'!$B$2:$B$70,0))</f>
        <v>16</v>
      </c>
      <c r="K471" s="87" t="s">
        <v>2357</v>
      </c>
      <c r="L471" s="148">
        <v>0</v>
      </c>
      <c r="M471" s="77">
        <v>469</v>
      </c>
      <c r="O471" s="77">
        <f t="shared" si="7"/>
        <v>0</v>
      </c>
    </row>
    <row r="472" spans="1:15" x14ac:dyDescent="0.25">
      <c r="A472" s="88" t="str">
        <f>'ENIGHUR Consumption items'!H592</f>
        <v>07.2.2.001</v>
      </c>
      <c r="B472" s="116">
        <f>_xlfn.NUMBERVALUE(VLOOKUP(A472,'ENIGHUR Consumption items'!$H$2:$I$703,2,))</f>
        <v>722001</v>
      </c>
      <c r="C472" s="88" t="str">
        <f>'ENIGHUR Consumption items'!J592</f>
        <v>Diesel</v>
      </c>
      <c r="D472" s="141">
        <v>131</v>
      </c>
      <c r="E472" s="91" t="str">
        <f>IFERROR(VLOOKUP(D472,'symmetric IOT 245 2012'!$C$6:$D$276,2,FALSE),"")</f>
        <v>Diesel</v>
      </c>
      <c r="F472" s="80" t="s">
        <v>2414</v>
      </c>
      <c r="H472" s="77">
        <f>INDEX('Dictionary Categories'!$A$2:$A$30,MATCH(I472,'Dictionary Categories'!$B$2:$B$30,0))</f>
        <v>11</v>
      </c>
      <c r="I472" s="2" t="s">
        <v>858</v>
      </c>
      <c r="J472" s="2">
        <f>INDEX('Dictionary Subcategories'!$A$2:$A$70,MATCH(K472,'Dictionary Subcategories'!$B$2:$B$70,0))</f>
        <v>26</v>
      </c>
      <c r="K472" s="87" t="s">
        <v>858</v>
      </c>
      <c r="L472" s="151">
        <v>5.6850470391991395E-4</v>
      </c>
      <c r="M472" s="77">
        <v>470</v>
      </c>
      <c r="O472" s="77">
        <f t="shared" si="7"/>
        <v>0</v>
      </c>
    </row>
    <row r="473" spans="1:15" x14ac:dyDescent="0.25">
      <c r="A473" s="88" t="str">
        <f>'ENIGHUR Consumption items'!H593</f>
        <v>07.2.2.002</v>
      </c>
      <c r="B473" s="116">
        <f>_xlfn.NUMBERVALUE(VLOOKUP(A473,'ENIGHUR Consumption items'!$H$2:$I$703,2,))</f>
        <v>722002</v>
      </c>
      <c r="C473" s="88" t="str">
        <f>'ENIGHUR Consumption items'!J593</f>
        <v>Gas licuado</v>
      </c>
      <c r="D473" s="141">
        <v>134</v>
      </c>
      <c r="E473" s="91" t="str">
        <f>IFERROR(VLOOKUP(D473,'symmetric IOT 245 2012'!$C$6:$D$276,2,FALSE),"")</f>
        <v>Gases de hidrocarburos</v>
      </c>
      <c r="F473" s="80"/>
      <c r="H473" s="77">
        <f>INDEX('Dictionary Categories'!$A$2:$A$30,MATCH(I473,'Dictionary Categories'!$B$2:$B$30,0))</f>
        <v>9</v>
      </c>
      <c r="I473" s="2" t="s">
        <v>2452</v>
      </c>
      <c r="J473" s="2">
        <f>INDEX('Dictionary Subcategories'!$A$2:$A$70,MATCH(K473,'Dictionary Subcategories'!$B$2:$B$70,0))</f>
        <v>24</v>
      </c>
      <c r="K473" s="2" t="s">
        <v>2452</v>
      </c>
      <c r="L473" s="147">
        <v>6.2709650000000004E-5</v>
      </c>
      <c r="M473" s="77">
        <v>471</v>
      </c>
      <c r="O473" s="77">
        <f t="shared" si="7"/>
        <v>0</v>
      </c>
    </row>
    <row r="474" spans="1:15" x14ac:dyDescent="0.25">
      <c r="A474" s="88" t="str">
        <f>'ENIGHUR Consumption items'!H594</f>
        <v>07.2.2.003</v>
      </c>
      <c r="B474" s="116">
        <f>_xlfn.NUMBERVALUE(VLOOKUP(A474,'ENIGHUR Consumption items'!$H$2:$I$703,2,))</f>
        <v>722003</v>
      </c>
      <c r="C474" s="88" t="str">
        <f>'ENIGHUR Consumption items'!J594</f>
        <v>Gasolina ecopaís</v>
      </c>
      <c r="D474" s="141">
        <v>130</v>
      </c>
      <c r="E474" s="91" t="str">
        <f>IFERROR(VLOOKUP(D474,'symmetric IOT 245 2012'!$C$6:$D$276,2,FALSE),"")</f>
        <v>Gasolinas, Nafta y gasolina natural</v>
      </c>
      <c r="F474" s="80" t="s">
        <v>2414</v>
      </c>
      <c r="H474" s="77">
        <f>INDEX('Dictionary Categories'!$A$2:$A$30,MATCH(I474,'Dictionary Categories'!$B$2:$B$30,0))</f>
        <v>10</v>
      </c>
      <c r="I474" s="2" t="s">
        <v>2453</v>
      </c>
      <c r="J474" s="2">
        <f>INDEX('Dictionary Subcategories'!$A$2:$A$70,MATCH(K474,'Dictionary Subcategories'!$B$2:$B$70,0))</f>
        <v>27</v>
      </c>
      <c r="K474" s="87" t="s">
        <v>2460</v>
      </c>
      <c r="L474" s="151">
        <v>5.904118233146247E-4</v>
      </c>
      <c r="M474" s="77">
        <v>472</v>
      </c>
      <c r="O474" s="77">
        <f t="shared" si="7"/>
        <v>0</v>
      </c>
    </row>
    <row r="475" spans="1:15" x14ac:dyDescent="0.25">
      <c r="A475" s="88" t="str">
        <f>'ENIGHUR Consumption items'!H595</f>
        <v>07.2.2.004</v>
      </c>
      <c r="B475" s="116">
        <f>_xlfn.NUMBERVALUE(VLOOKUP(A475,'ENIGHUR Consumption items'!$H$2:$I$703,2,))</f>
        <v>722004</v>
      </c>
      <c r="C475" s="88" t="str">
        <f>'ENIGHUR Consumption items'!J595</f>
        <v>Gasolina extra</v>
      </c>
      <c r="D475" s="141">
        <v>130</v>
      </c>
      <c r="E475" s="91" t="str">
        <f>IFERROR(VLOOKUP(D475,'symmetric IOT 245 2012'!$C$6:$D$276,2,FALSE),"")</f>
        <v>Gasolinas, Nafta y gasolina natural</v>
      </c>
      <c r="F475" s="80" t="s">
        <v>2414</v>
      </c>
      <c r="H475" s="77">
        <f>INDEX('Dictionary Categories'!$A$2:$A$30,MATCH(I475,'Dictionary Categories'!$B$2:$B$30,0))</f>
        <v>10</v>
      </c>
      <c r="I475" s="87" t="s">
        <v>2453</v>
      </c>
      <c r="J475" s="2">
        <f>INDEX('Dictionary Subcategories'!$A$2:$A$70,MATCH(K475,'Dictionary Subcategories'!$B$2:$B$70,0))</f>
        <v>28</v>
      </c>
      <c r="K475" s="87" t="s">
        <v>2462</v>
      </c>
      <c r="L475" s="151">
        <v>1.131630345054991E-2</v>
      </c>
      <c r="M475" s="77">
        <v>473</v>
      </c>
      <c r="O475" s="77">
        <f t="shared" si="7"/>
        <v>0</v>
      </c>
    </row>
    <row r="476" spans="1:15" x14ac:dyDescent="0.25">
      <c r="A476" s="88" t="str">
        <f>'ENIGHUR Consumption items'!H596</f>
        <v>07.2.2.005</v>
      </c>
      <c r="B476" s="116">
        <f>_xlfn.NUMBERVALUE(VLOOKUP(A476,'ENIGHUR Consumption items'!$H$2:$I$703,2,))</f>
        <v>722005</v>
      </c>
      <c r="C476" s="88" t="str">
        <f>'ENIGHUR Consumption items'!J596</f>
        <v>Gasolina súper</v>
      </c>
      <c r="D476" s="141">
        <v>130</v>
      </c>
      <c r="E476" s="91" t="str">
        <f>IFERROR(VLOOKUP(D476,'symmetric IOT 245 2012'!$C$6:$D$276,2,FALSE),"")</f>
        <v>Gasolinas, Nafta y gasolina natural</v>
      </c>
      <c r="F476" s="80" t="s">
        <v>2414</v>
      </c>
      <c r="H476" s="77">
        <f>INDEX('Dictionary Categories'!$A$2:$A$30,MATCH(I476,'Dictionary Categories'!$B$2:$B$30,0))</f>
        <v>10</v>
      </c>
      <c r="I476" s="87" t="s">
        <v>2453</v>
      </c>
      <c r="J476" s="2">
        <f>INDEX('Dictionary Subcategories'!$A$2:$A$70,MATCH(K476,'Dictionary Subcategories'!$B$2:$B$70,0))</f>
        <v>29</v>
      </c>
      <c r="K476" s="87" t="s">
        <v>2461</v>
      </c>
      <c r="L476" s="151">
        <v>7.6694778910640334E-3</v>
      </c>
      <c r="M476" s="77">
        <v>474</v>
      </c>
      <c r="O476" s="77">
        <f t="shared" si="7"/>
        <v>0</v>
      </c>
    </row>
    <row r="477" spans="1:15" x14ac:dyDescent="0.25">
      <c r="A477" s="88" t="str">
        <f>'ENIGHUR Consumption items'!H597</f>
        <v>07.2.2.100</v>
      </c>
      <c r="B477" s="116">
        <f>_xlfn.NUMBERVALUE(VLOOKUP(A477,'ENIGHUR Consumption items'!$H$2:$I$703,2,))</f>
        <v>722100</v>
      </c>
      <c r="C477" s="88" t="str">
        <f>'ENIGHUR Consumption items'!J597</f>
        <v>Lubricantes para equipo de transporte personal</v>
      </c>
      <c r="D477" s="141">
        <v>131</v>
      </c>
      <c r="E477" s="91" t="str">
        <f>IFERROR(VLOOKUP(D477,'symmetric IOT 245 2012'!$C$6:$D$276,2,FALSE),"")</f>
        <v>Diesel</v>
      </c>
      <c r="F477" s="87" t="s">
        <v>2517</v>
      </c>
      <c r="H477" s="77">
        <f>INDEX('Dictionary Categories'!$A$2:$A$30,MATCH(I477,'Dictionary Categories'!$B$2:$B$30,0))</f>
        <v>11</v>
      </c>
      <c r="I477" s="2" t="s">
        <v>858</v>
      </c>
      <c r="J477" s="2">
        <f>INDEX('Dictionary Subcategories'!$A$2:$A$70,MATCH(K477,'Dictionary Subcategories'!$B$2:$B$70,0))</f>
        <v>26</v>
      </c>
      <c r="K477" s="2" t="s">
        <v>858</v>
      </c>
      <c r="L477" s="152">
        <v>4.9200000000000003E-4</v>
      </c>
      <c r="M477" s="77">
        <v>475</v>
      </c>
      <c r="O477" s="77">
        <f t="shared" si="7"/>
        <v>0</v>
      </c>
    </row>
    <row r="478" spans="1:15" x14ac:dyDescent="0.25">
      <c r="A478" s="88" t="str">
        <f>'ENIGHUR Consumption items'!H598</f>
        <v>07.2.3</v>
      </c>
      <c r="B478" s="116">
        <f>_xlfn.NUMBERVALUE(VLOOKUP(A478,'ENIGHUR Consumption items'!$H$2:$I$703,2,))</f>
        <v>723</v>
      </c>
      <c r="C478" s="88" t="str">
        <f>'ENIGHUR Consumption items'!J598</f>
        <v xml:space="preserve">CONSERVACIÓN Y REPARACIÓN DE EQUIPO DE TRANSPORTE PERSONAL </v>
      </c>
      <c r="D478" s="141">
        <v>182</v>
      </c>
      <c r="E478" s="91" t="str">
        <f>IFERROR(VLOOKUP(D478,'symmetric IOT 245 2012'!$C$6:$D$276,2,FALSE),"")</f>
        <v>Servicios de reparación y mantenimiento de vehículos de motor y motocicletas</v>
      </c>
      <c r="F478" s="80"/>
      <c r="H478" s="77">
        <f>INDEX('Dictionary Categories'!$A$2:$A$30,MATCH(I478,'Dictionary Categories'!$B$2:$B$30,0))</f>
        <v>6</v>
      </c>
      <c r="I478" s="80" t="s">
        <v>2482</v>
      </c>
      <c r="J478" s="2">
        <f>INDEX('Dictionary Subcategories'!$A$2:$A$70,MATCH(K478,'Dictionary Subcategories'!$B$2:$B$70,0))</f>
        <v>30</v>
      </c>
      <c r="K478" s="87" t="s">
        <v>2466</v>
      </c>
      <c r="L478" s="152">
        <v>1.127E-3</v>
      </c>
      <c r="M478" s="77">
        <v>476</v>
      </c>
      <c r="O478" s="77">
        <f t="shared" si="7"/>
        <v>1</v>
      </c>
    </row>
    <row r="479" spans="1:15" x14ac:dyDescent="0.25">
      <c r="A479" s="88" t="str">
        <f>'ENIGHUR Consumption items'!H603</f>
        <v>07.3.1</v>
      </c>
      <c r="B479" s="116">
        <f>_xlfn.NUMBERVALUE(VLOOKUP(A479,'ENIGHUR Consumption items'!$H$2:$I$703,2,))</f>
        <v>731</v>
      </c>
      <c r="C479" s="88" t="str">
        <f>'ENIGHUR Consumption items'!J603</f>
        <v xml:space="preserve">TRANSPORTE DE PASAJEROS POR FERROCARRIL </v>
      </c>
      <c r="D479" s="126">
        <v>187</v>
      </c>
      <c r="E479" s="91" t="str">
        <f>IFERROR(VLOOKUP(D479,'symmetric IOT 245 2012'!$C$6:$D$276,2,FALSE),"")</f>
        <v>Servicios de transporte por ferrocarril</v>
      </c>
      <c r="F479" s="80"/>
      <c r="H479" s="77">
        <f>INDEX('Dictionary Categories'!$A$2:$A$30,MATCH(I479,'Dictionary Categories'!$B$2:$B$30,0))</f>
        <v>4</v>
      </c>
      <c r="I479" s="87" t="s">
        <v>586</v>
      </c>
      <c r="J479" s="2">
        <f>INDEX('Dictionary Subcategories'!$A$2:$A$70,MATCH(K479,'Dictionary Subcategories'!$B$2:$B$70,0))</f>
        <v>16</v>
      </c>
      <c r="K479" s="87" t="s">
        <v>2357</v>
      </c>
      <c r="L479" s="153">
        <v>1.1E-5</v>
      </c>
      <c r="M479" s="153"/>
      <c r="O479" s="77">
        <f t="shared" si="7"/>
        <v>1</v>
      </c>
    </row>
    <row r="480" spans="1:15" x14ac:dyDescent="0.25">
      <c r="A480" s="88" t="str">
        <f>'ENIGHUR Consumption items'!H604</f>
        <v>07.3.2</v>
      </c>
      <c r="B480" s="116">
        <f>_xlfn.NUMBERVALUE(VLOOKUP(A480,'ENIGHUR Consumption items'!$H$2:$I$703,2,))</f>
        <v>732</v>
      </c>
      <c r="C480" s="88" t="str">
        <f>'ENIGHUR Consumption items'!J604</f>
        <v xml:space="preserve">TRANSPORTE DE PASAJEROS POR CARRETERA </v>
      </c>
      <c r="D480" s="126">
        <v>185</v>
      </c>
      <c r="E480" s="91" t="str">
        <f>IFERROR(VLOOKUP(D480,'symmetric IOT 245 2012'!$C$6:$D$276,2,FALSE),"")</f>
        <v>Servicios de transporte de pasajeros por carretera</v>
      </c>
      <c r="F480" s="80"/>
      <c r="H480" s="77">
        <f>INDEX('Dictionary Categories'!$A$2:$A$30,MATCH(I480,'Dictionary Categories'!$B$2:$B$30,0))</f>
        <v>4</v>
      </c>
      <c r="I480" s="87" t="s">
        <v>586</v>
      </c>
      <c r="J480" s="2">
        <f>INDEX('Dictionary Subcategories'!$A$2:$A$70,MATCH(K480,'Dictionary Subcategories'!$B$2:$B$70,0))</f>
        <v>16</v>
      </c>
      <c r="K480" s="87" t="s">
        <v>2357</v>
      </c>
      <c r="L480" s="151">
        <v>0</v>
      </c>
      <c r="M480" s="77">
        <v>478</v>
      </c>
      <c r="O480" s="77">
        <f t="shared" si="7"/>
        <v>1</v>
      </c>
    </row>
    <row r="481" spans="1:23" x14ac:dyDescent="0.25">
      <c r="A481" s="88" t="str">
        <f>'ENIGHUR Consumption items'!H605</f>
        <v>07.3.2.000</v>
      </c>
      <c r="B481" s="116">
        <f>_xlfn.NUMBERVALUE(VLOOKUP(A481,'ENIGHUR Consumption items'!$H$2:$I$703,2,))</f>
        <v>732000</v>
      </c>
      <c r="C481" s="88" t="str">
        <f>'ENIGHUR Consumption items'!J605</f>
        <v>Transporte de pasajeros por carretera</v>
      </c>
      <c r="D481" s="126">
        <v>185</v>
      </c>
      <c r="E481" s="91" t="str">
        <f>IFERROR(VLOOKUP(D481,'symmetric IOT 245 2012'!$C$6:$D$276,2,FALSE),"")</f>
        <v>Servicios de transporte de pasajeros por carretera</v>
      </c>
      <c r="F481" s="80"/>
      <c r="H481" s="77">
        <f>INDEX('Dictionary Categories'!$A$2:$A$30,MATCH(I481,'Dictionary Categories'!$B$2:$B$30,0))</f>
        <v>4</v>
      </c>
      <c r="I481" s="87" t="s">
        <v>586</v>
      </c>
      <c r="J481" s="2">
        <f>INDEX('Dictionary Subcategories'!$A$2:$A$70,MATCH(K481,'Dictionary Subcategories'!$B$2:$B$70,0))</f>
        <v>16</v>
      </c>
      <c r="K481" s="87" t="s">
        <v>2357</v>
      </c>
      <c r="L481" s="151">
        <v>0</v>
      </c>
      <c r="N481" s="154"/>
      <c r="O481" s="77">
        <f t="shared" si="7"/>
        <v>0</v>
      </c>
      <c r="P481" s="153"/>
      <c r="Q481" s="153"/>
      <c r="R481" s="153"/>
      <c r="S481" s="153"/>
      <c r="T481" s="153"/>
      <c r="U481" s="153"/>
      <c r="V481" s="153"/>
      <c r="W481" s="153"/>
    </row>
    <row r="482" spans="1:23" x14ac:dyDescent="0.25">
      <c r="A482" s="88" t="str">
        <f>'ENIGHUR Consumption items'!H606</f>
        <v>07.3.2.001</v>
      </c>
      <c r="B482" s="116">
        <f>_xlfn.NUMBERVALUE(VLOOKUP(A482,'ENIGHUR Consumption items'!$H$2:$I$703,2,))</f>
        <v>732001</v>
      </c>
      <c r="C482" s="88" t="str">
        <f>'ENIGHUR Consumption items'!J606</f>
        <v xml:space="preserve">Alquiler de vehículo con conductor </v>
      </c>
      <c r="D482" s="126">
        <v>185</v>
      </c>
      <c r="E482" s="91" t="str">
        <f>IFERROR(VLOOKUP(D482,'symmetric IOT 245 2012'!$C$6:$D$276,2,FALSE),"")</f>
        <v>Servicios de transporte de pasajeros por carretera</v>
      </c>
      <c r="F482" s="80"/>
      <c r="H482" s="77">
        <f>INDEX('Dictionary Categories'!$A$2:$A$30,MATCH(I482,'Dictionary Categories'!$B$2:$B$30,0))</f>
        <v>12</v>
      </c>
      <c r="I482" s="87" t="s">
        <v>2515</v>
      </c>
      <c r="J482" s="2">
        <f>INDEX('Dictionary Subcategories'!$A$2:$A$70,MATCH(K482,'Dictionary Subcategories'!$B$2:$B$70,0))</f>
        <v>31</v>
      </c>
      <c r="K482" s="87" t="s">
        <v>2516</v>
      </c>
      <c r="L482" s="153">
        <v>3.0000000000000001E-6</v>
      </c>
      <c r="N482" s="154"/>
      <c r="O482" s="77">
        <f t="shared" si="7"/>
        <v>0</v>
      </c>
      <c r="P482" s="153"/>
      <c r="Q482" s="155"/>
      <c r="R482" s="155"/>
      <c r="S482" s="155"/>
      <c r="T482" s="153"/>
      <c r="U482" s="153"/>
      <c r="V482" s="153"/>
      <c r="W482" s="153"/>
    </row>
    <row r="483" spans="1:23" x14ac:dyDescent="0.25">
      <c r="A483" s="88" t="str">
        <f>'ENIGHUR Consumption items'!H607</f>
        <v>07.3.2.002</v>
      </c>
      <c r="B483" s="116">
        <f>_xlfn.NUMBERVALUE(VLOOKUP(A483,'ENIGHUR Consumption items'!$H$2:$I$703,2,))</f>
        <v>732002</v>
      </c>
      <c r="C483" s="88" t="str">
        <f>'ENIGHUR Consumption items'!J607</f>
        <v>Transporte escolar</v>
      </c>
      <c r="D483" s="126">
        <v>185</v>
      </c>
      <c r="E483" s="91" t="str">
        <f>IFERROR(VLOOKUP(D483,'symmetric IOT 245 2012'!$C$6:$D$276,2,FALSE),"")</f>
        <v>Servicios de transporte de pasajeros por carretera</v>
      </c>
      <c r="F483" s="80"/>
      <c r="H483" s="77">
        <f>INDEX('Dictionary Categories'!$A$2:$A$30,MATCH(I483,'Dictionary Categories'!$B$2:$B$30,0))</f>
        <v>12</v>
      </c>
      <c r="I483" s="87" t="s">
        <v>2515</v>
      </c>
      <c r="J483" s="2">
        <f>INDEX('Dictionary Subcategories'!$A$2:$A$70,MATCH(K483,'Dictionary Subcategories'!$B$2:$B$70,0))</f>
        <v>31</v>
      </c>
      <c r="K483" s="87" t="s">
        <v>2516</v>
      </c>
      <c r="L483" s="153">
        <v>4.6950000000000004E-3</v>
      </c>
      <c r="N483" s="154"/>
      <c r="O483" s="77">
        <f t="shared" si="7"/>
        <v>0</v>
      </c>
      <c r="P483" s="153"/>
      <c r="Q483" s="155"/>
      <c r="R483" s="155"/>
      <c r="S483" s="155"/>
      <c r="T483" s="153"/>
      <c r="U483" s="153"/>
      <c r="V483" s="153"/>
      <c r="W483" s="153"/>
    </row>
    <row r="484" spans="1:23" x14ac:dyDescent="0.25">
      <c r="A484" s="88" t="str">
        <f>'ENIGHUR Consumption items'!H608</f>
        <v>07.3.2.003</v>
      </c>
      <c r="B484" s="116">
        <f>_xlfn.NUMBERVALUE(VLOOKUP(A484,'ENIGHUR Consumption items'!$H$2:$I$703,2,))</f>
        <v>732003</v>
      </c>
      <c r="C484" s="88" t="str">
        <f>'ENIGHUR Consumption items'!J608</f>
        <v>Transporte de trabajo</v>
      </c>
      <c r="D484" s="126">
        <v>185</v>
      </c>
      <c r="E484" s="91" t="str">
        <f>IFERROR(VLOOKUP(D484,'symmetric IOT 245 2012'!$C$6:$D$276,2,FALSE),"")</f>
        <v>Servicios de transporte de pasajeros por carretera</v>
      </c>
      <c r="F484" s="80"/>
      <c r="H484" s="77">
        <f>INDEX('Dictionary Categories'!$A$2:$A$30,MATCH(I484,'Dictionary Categories'!$B$2:$B$30,0))</f>
        <v>12</v>
      </c>
      <c r="I484" s="87" t="s">
        <v>2515</v>
      </c>
      <c r="J484" s="2">
        <f>INDEX('Dictionary Subcategories'!$A$2:$A$70,MATCH(K484,'Dictionary Subcategories'!$B$2:$B$70,0))</f>
        <v>31</v>
      </c>
      <c r="K484" s="87" t="s">
        <v>2516</v>
      </c>
      <c r="L484" s="153">
        <v>2.9599999999999998E-4</v>
      </c>
      <c r="N484" s="156"/>
      <c r="O484" s="77">
        <f t="shared" si="7"/>
        <v>0</v>
      </c>
      <c r="P484" s="153"/>
      <c r="Q484" s="153"/>
    </row>
    <row r="485" spans="1:23" x14ac:dyDescent="0.25">
      <c r="A485" s="88" t="str">
        <f>'ENIGHUR Consumption items'!H609</f>
        <v>07.3.2.004</v>
      </c>
      <c r="B485" s="116">
        <f>_xlfn.NUMBERVALUE(VLOOKUP(A485,'ENIGHUR Consumption items'!$H$2:$I$703,2,))</f>
        <v>732004</v>
      </c>
      <c r="C485" s="88" t="str">
        <f>'ENIGHUR Consumption items'!J609</f>
        <v xml:space="preserve">Transporte en bici taxi </v>
      </c>
      <c r="D485" s="126">
        <v>185</v>
      </c>
      <c r="E485" s="91" t="str">
        <f>IFERROR(VLOOKUP(D485,'symmetric IOT 245 2012'!$C$6:$D$276,2,FALSE),"")</f>
        <v>Servicios de transporte de pasajeros por carretera</v>
      </c>
      <c r="F485" s="80"/>
      <c r="H485" s="77">
        <f>INDEX('Dictionary Categories'!$A$2:$A$30,MATCH(I485,'Dictionary Categories'!$B$2:$B$30,0))</f>
        <v>12</v>
      </c>
      <c r="I485" s="87" t="s">
        <v>2515</v>
      </c>
      <c r="J485" s="2">
        <f>INDEX('Dictionary Subcategories'!$A$2:$A$70,MATCH(K485,'Dictionary Subcategories'!$B$2:$B$70,0))</f>
        <v>31</v>
      </c>
      <c r="K485" s="87" t="s">
        <v>2516</v>
      </c>
      <c r="L485" s="153">
        <v>1.0000000000000001E-5</v>
      </c>
      <c r="N485" s="156"/>
      <c r="O485" s="77">
        <f t="shared" si="7"/>
        <v>0</v>
      </c>
      <c r="P485" s="153"/>
      <c r="Q485" s="153"/>
    </row>
    <row r="486" spans="1:23" x14ac:dyDescent="0.25">
      <c r="A486" s="88" t="str">
        <f>'ENIGHUR Consumption items'!H610</f>
        <v>07.3.2.005</v>
      </c>
      <c r="B486" s="116">
        <f>_xlfn.NUMBERVALUE(VLOOKUP(A486,'ENIGHUR Consumption items'!$H$2:$I$703,2,))</f>
        <v>732005</v>
      </c>
      <c r="C486" s="88" t="str">
        <f>'ENIGHUR Consumption items'!J610</f>
        <v xml:space="preserve">Transporte en bus, trolebús, metro bus, ecovía </v>
      </c>
      <c r="D486" s="126">
        <v>185</v>
      </c>
      <c r="E486" s="91" t="str">
        <f>IFERROR(VLOOKUP(D486,'symmetric IOT 245 2012'!$C$6:$D$276,2,FALSE),"")</f>
        <v>Servicios de transporte de pasajeros por carretera</v>
      </c>
      <c r="F486" s="80"/>
      <c r="H486" s="77">
        <f>INDEX('Dictionary Categories'!$A$2:$A$30,MATCH(I486,'Dictionary Categories'!$B$2:$B$30,0))</f>
        <v>13</v>
      </c>
      <c r="I486" s="87" t="s">
        <v>2513</v>
      </c>
      <c r="J486" s="2">
        <f>INDEX('Dictionary Subcategories'!$A$2:$A$70,MATCH(K486,'Dictionary Subcategories'!$B$2:$B$70,0))</f>
        <v>31</v>
      </c>
      <c r="K486" s="87" t="s">
        <v>2516</v>
      </c>
      <c r="L486" s="153">
        <v>2.1645000000000001E-2</v>
      </c>
      <c r="N486" s="156"/>
      <c r="O486" s="77">
        <f t="shared" si="7"/>
        <v>0</v>
      </c>
      <c r="P486" s="153"/>
      <c r="Q486" s="153"/>
    </row>
    <row r="487" spans="1:23" x14ac:dyDescent="0.25">
      <c r="A487" s="88" t="str">
        <f>'ENIGHUR Consumption items'!H611</f>
        <v>07.3.2.006</v>
      </c>
      <c r="B487" s="116">
        <f>_xlfn.NUMBERVALUE(VLOOKUP(A487,'ENIGHUR Consumption items'!$H$2:$I$703,2,))</f>
        <v>732006</v>
      </c>
      <c r="C487" s="88" t="str">
        <f>'ENIGHUR Consumption items'!J611</f>
        <v xml:space="preserve">Transporte en camioneta </v>
      </c>
      <c r="D487" s="126">
        <v>185</v>
      </c>
      <c r="E487" s="91" t="str">
        <f>IFERROR(VLOOKUP(D487,'symmetric IOT 245 2012'!$C$6:$D$276,2,FALSE),"")</f>
        <v>Servicios de transporte de pasajeros por carretera</v>
      </c>
      <c r="F487" s="80"/>
      <c r="H487" s="77">
        <f>INDEX('Dictionary Categories'!$A$2:$A$30,MATCH(I487,'Dictionary Categories'!$B$2:$B$30,0))</f>
        <v>12</v>
      </c>
      <c r="I487" s="87" t="s">
        <v>2515</v>
      </c>
      <c r="J487" s="2">
        <f>INDEX('Dictionary Subcategories'!$A$2:$A$70,MATCH(K487,'Dictionary Subcategories'!$B$2:$B$70,0))</f>
        <v>31</v>
      </c>
      <c r="K487" s="87" t="s">
        <v>2516</v>
      </c>
      <c r="L487" s="153">
        <v>1.24E-3</v>
      </c>
      <c r="N487" s="154"/>
      <c r="O487" s="77">
        <f t="shared" si="7"/>
        <v>0</v>
      </c>
      <c r="P487" s="153"/>
      <c r="Q487" s="155"/>
      <c r="R487" s="155"/>
      <c r="S487" s="155"/>
      <c r="T487" s="153"/>
      <c r="U487" s="153"/>
      <c r="V487" s="153"/>
      <c r="W487" s="153"/>
    </row>
    <row r="488" spans="1:23" x14ac:dyDescent="0.25">
      <c r="A488" s="88" t="str">
        <f>'ENIGHUR Consumption items'!H612</f>
        <v>07.3.2.007</v>
      </c>
      <c r="B488" s="116">
        <f>_xlfn.NUMBERVALUE(VLOOKUP(A488,'ENIGHUR Consumption items'!$H$2:$I$703,2,))</f>
        <v>732007</v>
      </c>
      <c r="C488" s="88" t="str">
        <f>'ENIGHUR Consumption items'!J612</f>
        <v xml:space="preserve">Transporte en furgoneta </v>
      </c>
      <c r="D488" s="126">
        <v>185</v>
      </c>
      <c r="E488" s="91" t="str">
        <f>IFERROR(VLOOKUP(D488,'symmetric IOT 245 2012'!$C$6:$D$276,2,FALSE),"")</f>
        <v>Servicios de transporte de pasajeros por carretera</v>
      </c>
      <c r="F488" s="80"/>
      <c r="H488" s="77">
        <f>INDEX('Dictionary Categories'!$A$2:$A$30,MATCH(I488,'Dictionary Categories'!$B$2:$B$30,0))</f>
        <v>12</v>
      </c>
      <c r="I488" s="87" t="s">
        <v>2515</v>
      </c>
      <c r="J488" s="2">
        <f>INDEX('Dictionary Subcategories'!$A$2:$A$70,MATCH(K488,'Dictionary Subcategories'!$B$2:$B$70,0))</f>
        <v>31</v>
      </c>
      <c r="K488" s="87" t="s">
        <v>2516</v>
      </c>
      <c r="L488" s="153">
        <v>4.3999999999999999E-5</v>
      </c>
      <c r="N488" s="154"/>
      <c r="O488" s="77">
        <f t="shared" si="7"/>
        <v>0</v>
      </c>
      <c r="P488" s="153"/>
      <c r="Q488" s="155"/>
      <c r="R488" s="155"/>
      <c r="S488" s="155"/>
      <c r="T488" s="153"/>
      <c r="U488" s="153"/>
      <c r="V488" s="153"/>
      <c r="W488" s="153"/>
    </row>
    <row r="489" spans="1:23" x14ac:dyDescent="0.25">
      <c r="A489" s="88" t="str">
        <f>'ENIGHUR Consumption items'!H613</f>
        <v>07.3.2.008</v>
      </c>
      <c r="B489" s="116">
        <f>_xlfn.NUMBERVALUE(VLOOKUP(A489,'ENIGHUR Consumption items'!$H$2:$I$703,2,))</f>
        <v>732008</v>
      </c>
      <c r="C489" s="88" t="str">
        <f>'ENIGHUR Consumption items'!J613</f>
        <v xml:space="preserve">Transporte en moto taxi </v>
      </c>
      <c r="D489" s="126">
        <v>185</v>
      </c>
      <c r="E489" s="91" t="str">
        <f>IFERROR(VLOOKUP(D489,'symmetric IOT 245 2012'!$C$6:$D$276,2,FALSE),"")</f>
        <v>Servicios de transporte de pasajeros por carretera</v>
      </c>
      <c r="F489" s="80"/>
      <c r="H489" s="77">
        <f>INDEX('Dictionary Categories'!$A$2:$A$30,MATCH(I489,'Dictionary Categories'!$B$2:$B$30,0))</f>
        <v>12</v>
      </c>
      <c r="I489" s="87" t="s">
        <v>2515</v>
      </c>
      <c r="J489" s="2">
        <f>INDEX('Dictionary Subcategories'!$A$2:$A$70,MATCH(K489,'Dictionary Subcategories'!$B$2:$B$70,0))</f>
        <v>31</v>
      </c>
      <c r="K489" s="87" t="s">
        <v>2516</v>
      </c>
      <c r="L489" s="153">
        <v>9.2199999999999997E-4</v>
      </c>
      <c r="N489" s="154"/>
      <c r="O489" s="77">
        <f t="shared" si="7"/>
        <v>0</v>
      </c>
      <c r="P489" s="153"/>
      <c r="Q489" s="155"/>
      <c r="R489" s="155"/>
      <c r="S489" s="155"/>
      <c r="T489" s="153"/>
      <c r="U489" s="153"/>
      <c r="V489" s="153"/>
      <c r="W489" s="153"/>
    </row>
    <row r="490" spans="1:23" x14ac:dyDescent="0.25">
      <c r="A490" s="88" t="str">
        <f>'ENIGHUR Consumption items'!H614</f>
        <v>07.3.2.009</v>
      </c>
      <c r="B490" s="116">
        <f>_xlfn.NUMBERVALUE(VLOOKUP(A490,'ENIGHUR Consumption items'!$H$2:$I$703,2,))</f>
        <v>732009</v>
      </c>
      <c r="C490" s="88" t="str">
        <f>'ENIGHUR Consumption items'!J614</f>
        <v xml:space="preserve">Transporte intercantonal </v>
      </c>
      <c r="D490" s="126">
        <v>185</v>
      </c>
      <c r="E490" s="91" t="str">
        <f>IFERROR(VLOOKUP(D490,'symmetric IOT 245 2012'!$C$6:$D$276,2,FALSE),"")</f>
        <v>Servicios de transporte de pasajeros por carretera</v>
      </c>
      <c r="F490" s="80"/>
      <c r="H490" s="77">
        <f>INDEX('Dictionary Categories'!$A$2:$A$30,MATCH(I490,'Dictionary Categories'!$B$2:$B$30,0))</f>
        <v>14</v>
      </c>
      <c r="I490" s="87" t="s">
        <v>2514</v>
      </c>
      <c r="J490" s="2">
        <f>INDEX('Dictionary Subcategories'!$A$2:$A$70,MATCH(K490,'Dictionary Subcategories'!$B$2:$B$70,0))</f>
        <v>31</v>
      </c>
      <c r="K490" s="87" t="s">
        <v>2516</v>
      </c>
      <c r="L490" s="153">
        <v>5.5180000000000003E-3</v>
      </c>
      <c r="N490" s="154"/>
      <c r="O490" s="77">
        <f t="shared" si="7"/>
        <v>0</v>
      </c>
      <c r="P490" s="153"/>
      <c r="Q490" s="155"/>
      <c r="R490" s="155"/>
      <c r="S490" s="155"/>
      <c r="T490" s="153"/>
      <c r="U490" s="153"/>
      <c r="V490" s="153"/>
      <c r="W490" s="153"/>
    </row>
    <row r="491" spans="1:23" x14ac:dyDescent="0.25">
      <c r="A491" s="88" t="str">
        <f>'ENIGHUR Consumption items'!H615</f>
        <v>07.3.2.010</v>
      </c>
      <c r="B491" s="116">
        <f>_xlfn.NUMBERVALUE(VLOOKUP(A491,'ENIGHUR Consumption items'!$H$2:$I$703,2,))</f>
        <v>732010</v>
      </c>
      <c r="C491" s="88" t="str">
        <f>'ENIGHUR Consumption items'!J615</f>
        <v xml:space="preserve">Transporte interparroquial </v>
      </c>
      <c r="D491" s="126">
        <v>185</v>
      </c>
      <c r="E491" s="91" t="str">
        <f>IFERROR(VLOOKUP(D491,'symmetric IOT 245 2012'!$C$6:$D$276,2,FALSE),"")</f>
        <v>Servicios de transporte de pasajeros por carretera</v>
      </c>
      <c r="F491" s="80"/>
      <c r="H491" s="77">
        <f>INDEX('Dictionary Categories'!$A$2:$A$30,MATCH(I491,'Dictionary Categories'!$B$2:$B$30,0))</f>
        <v>14</v>
      </c>
      <c r="I491" s="87" t="s">
        <v>2514</v>
      </c>
      <c r="J491" s="2">
        <f>INDEX('Dictionary Subcategories'!$A$2:$A$70,MATCH(K491,'Dictionary Subcategories'!$B$2:$B$70,0))</f>
        <v>31</v>
      </c>
      <c r="K491" s="87" t="s">
        <v>2516</v>
      </c>
      <c r="L491" s="153">
        <v>3.823E-3</v>
      </c>
      <c r="N491" s="154"/>
      <c r="O491" s="77">
        <f t="shared" si="7"/>
        <v>0</v>
      </c>
      <c r="P491" s="153"/>
      <c r="Q491" s="155"/>
      <c r="R491" s="155"/>
      <c r="S491" s="155"/>
      <c r="T491" s="153"/>
      <c r="U491" s="153"/>
      <c r="V491" s="153"/>
      <c r="W491" s="153"/>
    </row>
    <row r="492" spans="1:23" x14ac:dyDescent="0.25">
      <c r="A492" s="88" t="str">
        <f>'ENIGHUR Consumption items'!H616</f>
        <v>07.3.2.011</v>
      </c>
      <c r="B492" s="116">
        <f>_xlfn.NUMBERVALUE(VLOOKUP(A492,'ENIGHUR Consumption items'!$H$2:$I$703,2,))</f>
        <v>732011</v>
      </c>
      <c r="C492" s="88" t="str">
        <f>'ENIGHUR Consumption items'!J616</f>
        <v xml:space="preserve">Transporte interprovincial </v>
      </c>
      <c r="D492" s="126">
        <v>185</v>
      </c>
      <c r="E492" s="91" t="str">
        <f>IFERROR(VLOOKUP(D492,'symmetric IOT 245 2012'!$C$6:$D$276,2,FALSE),"")</f>
        <v>Servicios de transporte de pasajeros por carretera</v>
      </c>
      <c r="F492" s="80"/>
      <c r="H492" s="77">
        <f>INDEX('Dictionary Categories'!$A$2:$A$30,MATCH(I492,'Dictionary Categories'!$B$2:$B$30,0))</f>
        <v>14</v>
      </c>
      <c r="I492" s="87" t="s">
        <v>2514</v>
      </c>
      <c r="J492" s="2">
        <f>INDEX('Dictionary Subcategories'!$A$2:$A$70,MATCH(K492,'Dictionary Subcategories'!$B$2:$B$70,0))</f>
        <v>31</v>
      </c>
      <c r="K492" s="87" t="s">
        <v>2516</v>
      </c>
      <c r="L492" s="153">
        <v>4.7800000000000004E-3</v>
      </c>
      <c r="N492" s="154"/>
      <c r="O492" s="77">
        <f t="shared" si="7"/>
        <v>0</v>
      </c>
      <c r="P492" s="153"/>
      <c r="Q492" s="155"/>
      <c r="R492" s="155"/>
      <c r="S492" s="155"/>
      <c r="T492" s="153"/>
      <c r="U492" s="153"/>
      <c r="V492" s="153"/>
      <c r="W492" s="153"/>
    </row>
    <row r="493" spans="1:23" x14ac:dyDescent="0.25">
      <c r="A493" s="88" t="str">
        <f>'ENIGHUR Consumption items'!H617</f>
        <v>07.3.2.012</v>
      </c>
      <c r="B493" s="116">
        <f>_xlfn.NUMBERVALUE(VLOOKUP(A493,'ENIGHUR Consumption items'!$H$2:$I$703,2,))</f>
        <v>732012</v>
      </c>
      <c r="C493" s="88" t="str">
        <f>'ENIGHUR Consumption items'!J617</f>
        <v xml:space="preserve">Transporte en taxi </v>
      </c>
      <c r="D493" s="126">
        <v>185</v>
      </c>
      <c r="E493" s="91" t="str">
        <f>IFERROR(VLOOKUP(D493,'symmetric IOT 245 2012'!$C$6:$D$276,2,FALSE),"")</f>
        <v>Servicios de transporte de pasajeros por carretera</v>
      </c>
      <c r="F493" s="80"/>
      <c r="H493" s="77">
        <f>INDEX('Dictionary Categories'!$A$2:$A$30,MATCH(I493,'Dictionary Categories'!$B$2:$B$30,0))</f>
        <v>12</v>
      </c>
      <c r="I493" s="87" t="s">
        <v>2515</v>
      </c>
      <c r="J493" s="2">
        <f>INDEX('Dictionary Subcategories'!$A$2:$A$70,MATCH(K493,'Dictionary Subcategories'!$B$2:$B$70,0))</f>
        <v>31</v>
      </c>
      <c r="K493" s="87" t="s">
        <v>2516</v>
      </c>
      <c r="L493" s="153">
        <v>1.1269E-2</v>
      </c>
      <c r="N493" s="154"/>
      <c r="O493" s="77">
        <f t="shared" si="7"/>
        <v>0</v>
      </c>
      <c r="P493" s="153"/>
      <c r="Q493" s="155"/>
      <c r="R493" s="155"/>
      <c r="S493" s="155"/>
      <c r="T493" s="153"/>
      <c r="U493" s="153"/>
      <c r="V493" s="153"/>
      <c r="W493" s="153"/>
    </row>
    <row r="494" spans="1:23" x14ac:dyDescent="0.25">
      <c r="A494" s="88" t="str">
        <f>'ENIGHUR Consumption items'!H618</f>
        <v>07.3.2.099</v>
      </c>
      <c r="B494" s="116">
        <f>_xlfn.NUMBERVALUE(VLOOKUP(A494,'ENIGHUR Consumption items'!$H$2:$I$703,2,))</f>
        <v>732099</v>
      </c>
      <c r="C494" s="88" t="str">
        <f>'ENIGHUR Consumption items'!J618</f>
        <v xml:space="preserve">Otros transportes de pasajeros por carretera </v>
      </c>
      <c r="D494" s="126">
        <v>185</v>
      </c>
      <c r="E494" s="91" t="str">
        <f>IFERROR(VLOOKUP(D494,'symmetric IOT 245 2012'!$C$6:$D$276,2,FALSE),"")</f>
        <v>Servicios de transporte de pasajeros por carretera</v>
      </c>
      <c r="F494" s="80"/>
      <c r="H494" s="77">
        <f>INDEX('Dictionary Categories'!$A$2:$A$30,MATCH(I494,'Dictionary Categories'!$B$2:$B$30,0))</f>
        <v>12</v>
      </c>
      <c r="I494" s="87" t="s">
        <v>2515</v>
      </c>
      <c r="J494" s="2">
        <f>INDEX('Dictionary Subcategories'!$A$2:$A$70,MATCH(K494,'Dictionary Subcategories'!$B$2:$B$70,0))</f>
        <v>31</v>
      </c>
      <c r="K494" s="87" t="s">
        <v>2516</v>
      </c>
      <c r="L494" s="153">
        <v>1.16E-4</v>
      </c>
      <c r="N494" s="154"/>
      <c r="O494" s="77">
        <f t="shared" si="7"/>
        <v>0</v>
      </c>
      <c r="P494" s="153"/>
      <c r="Q494" s="155"/>
      <c r="R494" s="155"/>
      <c r="S494" s="155"/>
      <c r="T494" s="153"/>
      <c r="U494" s="153"/>
      <c r="V494" s="153"/>
      <c r="W494" s="153"/>
    </row>
    <row r="495" spans="1:23" x14ac:dyDescent="0.25">
      <c r="A495" s="88" t="str">
        <f>'ENIGHUR Consumption items'!H619</f>
        <v>07.3.3</v>
      </c>
      <c r="B495" s="116">
        <f>_xlfn.NUMBERVALUE(VLOOKUP(A495,'ENIGHUR Consumption items'!$H$2:$I$703,2,))</f>
        <v>733</v>
      </c>
      <c r="C495" s="88" t="str">
        <f>'ENIGHUR Consumption items'!J619</f>
        <v xml:space="preserve">TRANSPORTE DE PASAJEROS POR AIRE </v>
      </c>
      <c r="D495" s="126">
        <v>190</v>
      </c>
      <c r="E495" s="91" t="str">
        <f>IFERROR(VLOOKUP(D495,'symmetric IOT 245 2012'!$C$6:$D$276,2,FALSE),"")</f>
        <v xml:space="preserve">Servicios de transporte de pasajeros por vía aérea </v>
      </c>
      <c r="F495" s="80"/>
      <c r="H495" s="77">
        <f>INDEX('Dictionary Categories'!$A$2:$A$30,MATCH(I495,'Dictionary Categories'!$B$2:$B$30,0))</f>
        <v>4</v>
      </c>
      <c r="I495" s="87" t="s">
        <v>586</v>
      </c>
      <c r="J495" s="2">
        <f>INDEX('Dictionary Subcategories'!$A$2:$A$70,MATCH(K495,'Dictionary Subcategories'!$B$2:$B$70,0))</f>
        <v>32</v>
      </c>
      <c r="K495" s="87" t="s">
        <v>2484</v>
      </c>
      <c r="L495" s="151">
        <v>3.5950000000000001E-3</v>
      </c>
      <c r="M495" s="77">
        <v>479</v>
      </c>
      <c r="O495" s="77">
        <f t="shared" si="7"/>
        <v>1</v>
      </c>
    </row>
    <row r="496" spans="1:23" x14ac:dyDescent="0.25">
      <c r="A496" s="88" t="str">
        <f>'ENIGHUR Consumption items'!H620</f>
        <v>07.3.4</v>
      </c>
      <c r="B496" s="116">
        <f>_xlfn.NUMBERVALUE(VLOOKUP(A496,'ENIGHUR Consumption items'!$H$2:$I$703,2,))</f>
        <v>734</v>
      </c>
      <c r="C496" s="88" t="str">
        <f>'ENIGHUR Consumption items'!J620</f>
        <v>TRANSPORTE DE PASAJEROS POR MAR Y CURSOS DE AGUA INTERIORES</v>
      </c>
      <c r="D496" s="126">
        <v>189</v>
      </c>
      <c r="E496" s="91" t="str">
        <f>IFERROR(VLOOKUP(D496,'symmetric IOT 245 2012'!$C$6:$D$276,2,FALSE),"")</f>
        <v>Servicios de transporte por vía acuática</v>
      </c>
      <c r="F496" s="80"/>
      <c r="H496" s="77">
        <f>INDEX('Dictionary Categories'!$A$2:$A$30,MATCH(I496,'Dictionary Categories'!$B$2:$B$30,0))</f>
        <v>4</v>
      </c>
      <c r="I496" s="87" t="s">
        <v>586</v>
      </c>
      <c r="J496" s="2">
        <f>INDEX('Dictionary Subcategories'!$A$2:$A$70,MATCH(K496,'Dictionary Subcategories'!$B$2:$B$70,0))</f>
        <v>16</v>
      </c>
      <c r="K496" s="87" t="s">
        <v>2357</v>
      </c>
      <c r="L496" s="153">
        <v>2.4499999999999999E-4</v>
      </c>
      <c r="M496" s="153"/>
      <c r="O496" s="77">
        <f t="shared" si="7"/>
        <v>1</v>
      </c>
    </row>
    <row r="497" spans="1:15" x14ac:dyDescent="0.25">
      <c r="A497" s="88" t="str">
        <f>'ENIGHUR Consumption items'!$H$621</f>
        <v>07.3.5</v>
      </c>
      <c r="B497" s="116">
        <f>_xlfn.NUMBERVALUE(VLOOKUP(A497,'ENIGHUR Consumption items'!$H$2:$I$703,2,))</f>
        <v>735</v>
      </c>
      <c r="C497" s="88" t="str">
        <f>'ENIGHUR Consumption items'!J621</f>
        <v xml:space="preserve">TRANSPORTE COMBINADO DE PASAJEROS </v>
      </c>
      <c r="D497" s="126">
        <v>185</v>
      </c>
      <c r="E497" s="91" t="str">
        <f>IFERROR(VLOOKUP(D497,'symmetric IOT 245 2012'!$C$6:$D$276,2,FALSE),"")</f>
        <v>Servicios de transporte de pasajeros por carretera</v>
      </c>
      <c r="G497" s="80" t="s">
        <v>2362</v>
      </c>
      <c r="H497" s="77">
        <f>INDEX('Dictionary Categories'!$A$2:$A$30,MATCH(I497,'Dictionary Categories'!$B$2:$B$30,0))</f>
        <v>4</v>
      </c>
      <c r="I497" s="87" t="s">
        <v>586</v>
      </c>
      <c r="J497" s="2">
        <f>INDEX('Dictionary Subcategories'!$A$2:$A$70,MATCH(K497,'Dictionary Subcategories'!$B$2:$B$70,0))</f>
        <v>16</v>
      </c>
      <c r="K497" s="87" t="s">
        <v>2357</v>
      </c>
      <c r="L497" s="147">
        <v>0</v>
      </c>
      <c r="M497" s="77">
        <v>481</v>
      </c>
      <c r="O497" s="77">
        <f t="shared" si="7"/>
        <v>1</v>
      </c>
    </row>
    <row r="498" spans="1:15" x14ac:dyDescent="0.25">
      <c r="A498" s="88" t="str">
        <f>'ENIGHUR Consumption items'!H622</f>
        <v>07.3.6</v>
      </c>
      <c r="B498" s="116">
        <f>_xlfn.NUMBERVALUE(VLOOKUP(A498,'ENIGHUR Consumption items'!$H$2:$I$703,2,))</f>
        <v>736</v>
      </c>
      <c r="C498" s="88" t="str">
        <f>'ENIGHUR Consumption items'!J622</f>
        <v xml:space="preserve">OTROS SERVICIOS DE TRANSPORTE ADQUIRIDOS </v>
      </c>
      <c r="D498" s="126">
        <v>195</v>
      </c>
      <c r="E498" s="91" t="str">
        <f>IFERROR(VLOOKUP(D498,'symmetric IOT 245 2012'!$C$6:$D$276,2,FALSE),"")</f>
        <v>Servicios complementarios y auxiliares del transporte</v>
      </c>
      <c r="F498" s="80"/>
      <c r="H498" s="77">
        <f>INDEX('Dictionary Categories'!$A$2:$A$30,MATCH(I498,'Dictionary Categories'!$B$2:$B$30,0))</f>
        <v>4</v>
      </c>
      <c r="I498" s="87" t="s">
        <v>586</v>
      </c>
      <c r="J498" s="2">
        <f>INDEX('Dictionary Subcategories'!$A$2:$A$70,MATCH(K498,'Dictionary Subcategories'!$B$2:$B$70,0))</f>
        <v>16</v>
      </c>
      <c r="K498" s="87" t="s">
        <v>2357</v>
      </c>
      <c r="L498" s="147">
        <v>4.2299999999999998E-4</v>
      </c>
      <c r="M498" s="77">
        <v>482</v>
      </c>
      <c r="O498" s="77">
        <f t="shared" si="7"/>
        <v>1</v>
      </c>
    </row>
    <row r="499" spans="1:15" x14ac:dyDescent="0.25">
      <c r="A499" s="88" t="str">
        <f>'ENIGHUR Consumption items'!$H$600</f>
        <v>07.2.4</v>
      </c>
      <c r="B499" s="116">
        <f>_xlfn.NUMBERVALUE(VLOOKUP(A499,'ENIGHUR Consumption items'!$H$2:$I$703,2,))</f>
        <v>724</v>
      </c>
      <c r="C499" s="88" t="str">
        <f>'ENIGHUR Consumption items'!$J$600</f>
        <v xml:space="preserve">OTROS SERVICIOS RELATIVOS AL EQUIPO DE TRANSPORTE PERSONAL </v>
      </c>
      <c r="D499" s="126">
        <v>195</v>
      </c>
      <c r="E499" s="91" t="str">
        <f>IFERROR(VLOOKUP(D499,'symmetric IOT 245 2012'!$C$6:$D$276,2,FALSE),"")</f>
        <v>Servicios complementarios y auxiliares del transporte</v>
      </c>
      <c r="F499" s="80"/>
      <c r="H499" s="77">
        <f>INDEX('Dictionary Categories'!$A$2:$A$30,MATCH(I499,'Dictionary Categories'!$B$2:$B$30,0))</f>
        <v>4</v>
      </c>
      <c r="I499" s="87" t="s">
        <v>586</v>
      </c>
      <c r="J499" s="2">
        <f>INDEX('Dictionary Subcategories'!$A$2:$A$70,MATCH(K499,'Dictionary Subcategories'!$B$2:$B$70,0))</f>
        <v>16</v>
      </c>
      <c r="K499" s="87" t="s">
        <v>2357</v>
      </c>
      <c r="L499" s="147">
        <v>8.7600000000000004E-4</v>
      </c>
      <c r="M499" s="77">
        <v>483</v>
      </c>
      <c r="O499" s="77">
        <f t="shared" si="7"/>
        <v>1</v>
      </c>
    </row>
    <row r="500" spans="1:15" x14ac:dyDescent="0.25">
      <c r="A500" s="88" t="str">
        <f>'ENIGHUR Consumption items'!$H$601</f>
        <v>07.2.5</v>
      </c>
      <c r="B500" s="116">
        <f>_xlfn.NUMBERVALUE(VLOOKUP(A500,'ENIGHUR Consumption items'!$H$2:$I$703,2,))</f>
        <v>725</v>
      </c>
      <c r="C500" s="88" t="str">
        <f>'ENIGHUR Consumption items'!$J$601</f>
        <v xml:space="preserve">SERVICIOS DE ESTACIONAMIENTO Y PEAJE </v>
      </c>
      <c r="D500" s="126">
        <v>195</v>
      </c>
      <c r="E500" s="91" t="str">
        <f>IFERROR(VLOOKUP(D500,'symmetric IOT 245 2012'!$C$6:$D$276,2,FALSE),"")</f>
        <v>Servicios complementarios y auxiliares del transporte</v>
      </c>
      <c r="F500" s="80"/>
      <c r="H500" s="77">
        <f>INDEX('Dictionary Categories'!$A$2:$A$30,MATCH(I500,'Dictionary Categories'!$B$2:$B$30,0))</f>
        <v>4</v>
      </c>
      <c r="I500" s="87" t="s">
        <v>586</v>
      </c>
      <c r="J500" s="2">
        <f>INDEX('Dictionary Subcategories'!$A$2:$A$70,MATCH(K500,'Dictionary Subcategories'!$B$2:$B$70,0))</f>
        <v>16</v>
      </c>
      <c r="K500" s="87" t="s">
        <v>2357</v>
      </c>
      <c r="L500" s="147">
        <v>1.062E-3</v>
      </c>
      <c r="M500" s="77">
        <v>484</v>
      </c>
      <c r="O500" s="77">
        <f t="shared" si="7"/>
        <v>1</v>
      </c>
    </row>
    <row r="501" spans="1:15" x14ac:dyDescent="0.25">
      <c r="A501" s="88" t="str">
        <f>'ENIGHUR Consumption items'!H559</f>
        <v>06.1.1</v>
      </c>
      <c r="B501" s="116">
        <f>_xlfn.NUMBERVALUE(VLOOKUP(A501,'ENIGHUR Consumption items'!$H$2:$I$703,2,))</f>
        <v>611</v>
      </c>
      <c r="C501" s="88" t="str">
        <f>'ENIGHUR Consumption items'!J559</f>
        <v xml:space="preserve">PRODUCTOS FARMACÉUTICOS </v>
      </c>
      <c r="D501" s="126">
        <v>139</v>
      </c>
      <c r="E501" s="91" t="str">
        <f>IFERROR(VLOOKUP(D501,'symmetric IOT 245 2012'!$C$6:$D$276,2,FALSE),"")</f>
        <v>Productos farmacéuticos y medicamentos</v>
      </c>
      <c r="F501" s="80"/>
      <c r="H501" s="77">
        <f>INDEX('Dictionary Categories'!$A$2:$A$30,MATCH(I501,'Dictionary Categories'!$B$2:$B$30,0))</f>
        <v>15</v>
      </c>
      <c r="I501" s="2" t="s">
        <v>585</v>
      </c>
      <c r="J501" s="2">
        <f>INDEX('Dictionary Subcategories'!$A$2:$A$70,MATCH(K501,'Dictionary Subcategories'!$B$2:$B$70,0))</f>
        <v>33</v>
      </c>
      <c r="K501" s="87" t="s">
        <v>2351</v>
      </c>
      <c r="L501" s="147"/>
      <c r="M501" s="77">
        <v>485</v>
      </c>
      <c r="O501" s="77">
        <f t="shared" si="7"/>
        <v>1</v>
      </c>
    </row>
    <row r="502" spans="1:15" x14ac:dyDescent="0.25">
      <c r="A502" s="88" t="str">
        <f>'ENIGHUR Consumption items'!H561</f>
        <v>06.1.2</v>
      </c>
      <c r="B502" s="116">
        <f>_xlfn.NUMBERVALUE(VLOOKUP(A502,'ENIGHUR Consumption items'!$H$2:$I$703,2,))</f>
        <v>612</v>
      </c>
      <c r="C502" s="88" t="str">
        <f>'ENIGHUR Consumption items'!J561</f>
        <v xml:space="preserve">OTROS PRODUCTOS MÉDICOS </v>
      </c>
      <c r="D502" s="126">
        <v>139</v>
      </c>
      <c r="E502" s="91" t="str">
        <f>IFERROR(VLOOKUP(D502,'symmetric IOT 245 2012'!$C$6:$D$276,2,FALSE),"")</f>
        <v>Productos farmacéuticos y medicamentos</v>
      </c>
      <c r="F502" s="80"/>
      <c r="H502" s="77">
        <f>INDEX('Dictionary Categories'!$A$2:$A$30,MATCH(I502,'Dictionary Categories'!$B$2:$B$30,0))</f>
        <v>15</v>
      </c>
      <c r="I502" s="2" t="s">
        <v>585</v>
      </c>
      <c r="J502" s="2">
        <f>INDEX('Dictionary Subcategories'!$A$2:$A$70,MATCH(K502,'Dictionary Subcategories'!$B$2:$B$70,0))</f>
        <v>33</v>
      </c>
      <c r="K502" s="87" t="s">
        <v>2351</v>
      </c>
      <c r="L502" s="147"/>
      <c r="M502" s="77">
        <v>486</v>
      </c>
      <c r="O502" s="77">
        <f t="shared" si="7"/>
        <v>1</v>
      </c>
    </row>
    <row r="503" spans="1:15" x14ac:dyDescent="0.25">
      <c r="A503" s="88" t="str">
        <f>'ENIGHUR Consumption items'!H563</f>
        <v>06.1.3</v>
      </c>
      <c r="B503" s="116">
        <f>_xlfn.NUMBERVALUE(VLOOKUP(A503,'ENIGHUR Consumption items'!$H$2:$I$703,2,))</f>
        <v>613</v>
      </c>
      <c r="C503" s="88" t="str">
        <f>'ENIGHUR Consumption items'!J563</f>
        <v xml:space="preserve">ARTEFACTOS Y EQUIPO TERAPÉUTICOS </v>
      </c>
      <c r="D503" s="126">
        <v>139</v>
      </c>
      <c r="E503" s="91" t="str">
        <f>IFERROR(VLOOKUP(D503,'symmetric IOT 245 2012'!$C$6:$D$276,2,FALSE),"")</f>
        <v>Productos farmacéuticos y medicamentos</v>
      </c>
      <c r="F503" s="80"/>
      <c r="H503" s="77">
        <f>INDEX('Dictionary Categories'!$A$2:$A$30,MATCH(I503,'Dictionary Categories'!$B$2:$B$30,0))</f>
        <v>15</v>
      </c>
      <c r="I503" s="2" t="s">
        <v>585</v>
      </c>
      <c r="J503" s="2">
        <f>INDEX('Dictionary Subcategories'!$A$2:$A$70,MATCH(K503,'Dictionary Subcategories'!$B$2:$B$70,0))</f>
        <v>33</v>
      </c>
      <c r="K503" s="87" t="s">
        <v>2351</v>
      </c>
      <c r="L503" s="147"/>
      <c r="M503" s="77">
        <v>487</v>
      </c>
      <c r="O503" s="77">
        <f t="shared" si="7"/>
        <v>1</v>
      </c>
    </row>
    <row r="504" spans="1:15" x14ac:dyDescent="0.25">
      <c r="A504" s="88" t="str">
        <f>'ENIGHUR Consumption items'!H566</f>
        <v>06.2.1</v>
      </c>
      <c r="B504" s="116">
        <f>_xlfn.NUMBERVALUE(VLOOKUP(A504,'ENIGHUR Consumption items'!$H$2:$I$703,2,))</f>
        <v>621</v>
      </c>
      <c r="C504" s="88" t="str">
        <f>'ENIGHUR Consumption items'!J566</f>
        <v xml:space="preserve">SERVICIOS MÉDICOS </v>
      </c>
      <c r="D504" s="126">
        <v>240</v>
      </c>
      <c r="E504" s="91" t="str">
        <f>IFERROR(VLOOKUP(D504,'symmetric IOT 245 2012'!$C$6:$D$276,2,FALSE),"")</f>
        <v>Servicios de salud no de mercado (pública)</v>
      </c>
      <c r="F504" s="80"/>
      <c r="G504" s="80" t="s">
        <v>2376</v>
      </c>
      <c r="H504" s="77">
        <f>INDEX('Dictionary Categories'!$A$2:$A$30,MATCH(I504,'Dictionary Categories'!$B$2:$B$30,0))</f>
        <v>15</v>
      </c>
      <c r="I504" s="2" t="s">
        <v>585</v>
      </c>
      <c r="J504" s="2">
        <f>INDEX('Dictionary Subcategories'!$A$2:$A$70,MATCH(K504,'Dictionary Subcategories'!$B$2:$B$70,0))</f>
        <v>34</v>
      </c>
      <c r="K504" s="87" t="s">
        <v>2352</v>
      </c>
      <c r="L504" s="147"/>
      <c r="M504" s="77">
        <v>488</v>
      </c>
      <c r="O504" s="77">
        <f t="shared" si="7"/>
        <v>1</v>
      </c>
    </row>
    <row r="505" spans="1:15" x14ac:dyDescent="0.25">
      <c r="A505" s="88" t="str">
        <f>'ENIGHUR Consumption items'!H567</f>
        <v>06.2.2</v>
      </c>
      <c r="B505" s="116">
        <f>_xlfn.NUMBERVALUE(VLOOKUP(A505,'ENIGHUR Consumption items'!$H$2:$I$703,2,))</f>
        <v>622</v>
      </c>
      <c r="C505" s="88" t="str">
        <f>'ENIGHUR Consumption items'!J567</f>
        <v xml:space="preserve">SERVICIOS DENTALES </v>
      </c>
      <c r="D505" s="126">
        <v>240</v>
      </c>
      <c r="E505" s="91" t="str">
        <f>IFERROR(VLOOKUP(D505,'symmetric IOT 245 2012'!$C$6:$D$276,2,FALSE),"")</f>
        <v>Servicios de salud no de mercado (pública)</v>
      </c>
      <c r="F505" s="80"/>
      <c r="G505" s="80" t="s">
        <v>2376</v>
      </c>
      <c r="H505" s="77">
        <f>INDEX('Dictionary Categories'!$A$2:$A$30,MATCH(I505,'Dictionary Categories'!$B$2:$B$30,0))</f>
        <v>15</v>
      </c>
      <c r="I505" s="2" t="s">
        <v>585</v>
      </c>
      <c r="J505" s="2">
        <f>INDEX('Dictionary Subcategories'!$A$2:$A$70,MATCH(K505,'Dictionary Subcategories'!$B$2:$B$70,0))</f>
        <v>34</v>
      </c>
      <c r="K505" s="87" t="s">
        <v>2352</v>
      </c>
      <c r="L505" s="147"/>
      <c r="M505" s="77">
        <v>489</v>
      </c>
      <c r="O505" s="77">
        <f t="shared" si="7"/>
        <v>1</v>
      </c>
    </row>
    <row r="506" spans="1:15" x14ac:dyDescent="0.25">
      <c r="A506" s="88" t="str">
        <f>'ENIGHUR Consumption items'!H568</f>
        <v>06.2.3</v>
      </c>
      <c r="B506" s="116">
        <f>_xlfn.NUMBERVALUE(VLOOKUP(A506,'ENIGHUR Consumption items'!$H$2:$I$703,2,))</f>
        <v>623</v>
      </c>
      <c r="C506" s="88" t="str">
        <f>'ENIGHUR Consumption items'!J568</f>
        <v xml:space="preserve">SERVICIOS PARAMÉDICOS </v>
      </c>
      <c r="D506" s="126">
        <v>240</v>
      </c>
      <c r="E506" s="91" t="str">
        <f>IFERROR(VLOOKUP(D506,'symmetric IOT 245 2012'!$C$6:$D$276,2,FALSE),"")</f>
        <v>Servicios de salud no de mercado (pública)</v>
      </c>
      <c r="F506" s="80"/>
      <c r="G506" s="80" t="s">
        <v>2376</v>
      </c>
      <c r="H506" s="77">
        <f>INDEX('Dictionary Categories'!$A$2:$A$30,MATCH(I506,'Dictionary Categories'!$B$2:$B$30,0))</f>
        <v>15</v>
      </c>
      <c r="I506" s="2" t="s">
        <v>585</v>
      </c>
      <c r="J506" s="2">
        <f>INDEX('Dictionary Subcategories'!$A$2:$A$70,MATCH(K506,'Dictionary Subcategories'!$B$2:$B$70,0))</f>
        <v>34</v>
      </c>
      <c r="K506" s="87" t="s">
        <v>2352</v>
      </c>
      <c r="L506" s="147"/>
      <c r="M506" s="77">
        <v>490</v>
      </c>
      <c r="O506" s="77">
        <f t="shared" si="7"/>
        <v>1</v>
      </c>
    </row>
    <row r="507" spans="1:15" x14ac:dyDescent="0.25">
      <c r="A507" s="88" t="str">
        <f>'ENIGHUR Consumption items'!H570</f>
        <v>06.3.1</v>
      </c>
      <c r="B507" s="116">
        <f>_xlfn.NUMBERVALUE(VLOOKUP(A507,'ENIGHUR Consumption items'!$H$2:$I$703,2,))</f>
        <v>631</v>
      </c>
      <c r="C507" s="88" t="str">
        <f>'ENIGHUR Consumption items'!J570</f>
        <v xml:space="preserve">SERVICIOS DE HOSPITAL </v>
      </c>
      <c r="D507" s="126">
        <v>240</v>
      </c>
      <c r="E507" s="91" t="str">
        <f>IFERROR(VLOOKUP(D507,'symmetric IOT 245 2012'!$C$6:$D$276,2,FALSE),"")</f>
        <v>Servicios de salud no de mercado (pública)</v>
      </c>
      <c r="F507" s="80"/>
      <c r="G507" s="80" t="s">
        <v>2376</v>
      </c>
      <c r="H507" s="77">
        <f>INDEX('Dictionary Categories'!$A$2:$A$30,MATCH(I507,'Dictionary Categories'!$B$2:$B$30,0))</f>
        <v>15</v>
      </c>
      <c r="I507" s="2" t="s">
        <v>585</v>
      </c>
      <c r="J507" s="2">
        <f>INDEX('Dictionary Subcategories'!$A$2:$A$70,MATCH(K507,'Dictionary Subcategories'!$B$2:$B$70,0))</f>
        <v>34</v>
      </c>
      <c r="K507" s="87" t="s">
        <v>2352</v>
      </c>
      <c r="L507" s="147"/>
      <c r="M507" s="77">
        <v>491</v>
      </c>
      <c r="O507" s="77">
        <f t="shared" si="7"/>
        <v>1</v>
      </c>
    </row>
    <row r="508" spans="1:15" x14ac:dyDescent="0.25">
      <c r="A508" s="88" t="str">
        <f>'ENIGHUR Consumption items'!H632</f>
        <v>09.1.1</v>
      </c>
      <c r="B508" s="116">
        <f>_xlfn.NUMBERVALUE(VLOOKUP(A508,'ENIGHUR Consumption items'!$H$2:$I$703,2,))</f>
        <v>911</v>
      </c>
      <c r="C508" s="88" t="str">
        <f>'ENIGHUR Consumption items'!J632</f>
        <v xml:space="preserve">EQUIPO PARA LA RECEPCIÓN, GRABACIÓN Y REPRODUCCIÓN DE SONIDOS E IMÁGENES </v>
      </c>
      <c r="D508" s="126">
        <v>162</v>
      </c>
      <c r="E508" s="91" t="str">
        <f>IFERROR(VLOOKUP(D508,'symmetric IOT 245 2012'!$C$6:$D$276,2,FALSE),"")</f>
        <v>Aparatos de uso doméstico, partes y piezas</v>
      </c>
      <c r="F508" s="80"/>
      <c r="H508" s="77">
        <f>INDEX('Dictionary Categories'!$A$2:$A$30,MATCH(I508,'Dictionary Categories'!$B$2:$B$30,0))</f>
        <v>6</v>
      </c>
      <c r="I508" s="80" t="s">
        <v>2482</v>
      </c>
      <c r="J508" s="2">
        <f>INDEX('Dictionary Subcategories'!$A$2:$A$70,MATCH(K508,'Dictionary Subcategories'!$B$2:$B$70,0))</f>
        <v>35</v>
      </c>
      <c r="K508" s="80" t="s">
        <v>2483</v>
      </c>
      <c r="L508" s="147"/>
      <c r="M508" s="77">
        <v>492</v>
      </c>
      <c r="O508" s="77">
        <f t="shared" si="7"/>
        <v>1</v>
      </c>
    </row>
    <row r="509" spans="1:15" x14ac:dyDescent="0.25">
      <c r="A509" s="88" t="str">
        <f>'ENIGHUR Consumption items'!H633</f>
        <v>09.1.2</v>
      </c>
      <c r="B509" s="116">
        <f>_xlfn.NUMBERVALUE(VLOOKUP(A509,'ENIGHUR Consumption items'!$H$2:$I$703,2,))</f>
        <v>912</v>
      </c>
      <c r="C509" s="88" t="str">
        <f>'ENIGHUR Consumption items'!J633</f>
        <v xml:space="preserve">EQUIPO FOTOGRÁFICO Y CINEMATOGRÁFICO E INSTRUMENTOS ÓPTICOS </v>
      </c>
      <c r="D509" s="126">
        <v>162</v>
      </c>
      <c r="E509" s="91" t="str">
        <f>IFERROR(VLOOKUP(D509,'symmetric IOT 245 2012'!$C$6:$D$276,2,FALSE),"")</f>
        <v>Aparatos de uso doméstico, partes y piezas</v>
      </c>
      <c r="F509" s="80"/>
      <c r="H509" s="77">
        <f>INDEX('Dictionary Categories'!$A$2:$A$30,MATCH(I509,'Dictionary Categories'!$B$2:$B$30,0))</f>
        <v>6</v>
      </c>
      <c r="I509" s="80" t="s">
        <v>2482</v>
      </c>
      <c r="J509" s="2">
        <f>INDEX('Dictionary Subcategories'!$A$2:$A$70,MATCH(K509,'Dictionary Subcategories'!$B$2:$B$70,0))</f>
        <v>35</v>
      </c>
      <c r="K509" s="80" t="s">
        <v>2483</v>
      </c>
      <c r="L509" s="147"/>
      <c r="M509" s="77">
        <v>493</v>
      </c>
      <c r="O509" s="77">
        <f t="shared" si="7"/>
        <v>1</v>
      </c>
    </row>
    <row r="510" spans="1:15" x14ac:dyDescent="0.25">
      <c r="A510" s="88" t="str">
        <f>'ENIGHUR Consumption items'!H634</f>
        <v>09.1.3</v>
      </c>
      <c r="B510" s="116">
        <f>_xlfn.NUMBERVALUE(VLOOKUP(A510,'ENIGHUR Consumption items'!$H$2:$I$703,2,))</f>
        <v>913</v>
      </c>
      <c r="C510" s="88" t="str">
        <f>'ENIGHUR Consumption items'!J634</f>
        <v>EQUIPO DE PROCESAMIENTO E INFORMACIÓN</v>
      </c>
      <c r="D510" s="126">
        <v>164</v>
      </c>
      <c r="E510" s="91" t="str">
        <f>IFERROR(VLOOKUP(D510,'symmetric IOT 245 2012'!$C$6:$D$276,2,FALSE),"")</f>
        <v>Maquinaria informática; partes, piezas y accesorios</v>
      </c>
      <c r="F510" s="80"/>
      <c r="H510" s="77">
        <f>INDEX('Dictionary Categories'!$A$2:$A$30,MATCH(I510,'Dictionary Categories'!$B$2:$B$30,0))</f>
        <v>6</v>
      </c>
      <c r="I510" s="80" t="s">
        <v>2482</v>
      </c>
      <c r="J510" s="2">
        <f>INDEX('Dictionary Subcategories'!$A$2:$A$70,MATCH(K510,'Dictionary Subcategories'!$B$2:$B$70,0))</f>
        <v>35</v>
      </c>
      <c r="K510" s="80" t="s">
        <v>2483</v>
      </c>
      <c r="L510" s="147"/>
      <c r="M510" s="77">
        <v>494</v>
      </c>
      <c r="O510" s="77">
        <f t="shared" si="7"/>
        <v>1</v>
      </c>
    </row>
    <row r="511" spans="1:15" x14ac:dyDescent="0.25">
      <c r="A511" s="88" t="str">
        <f>'ENIGHUR Consumption items'!H635</f>
        <v>09.1.4</v>
      </c>
      <c r="B511" s="116">
        <f>_xlfn.NUMBERVALUE(VLOOKUP(A511,'ENIGHUR Consumption items'!$H$2:$I$703,2,))</f>
        <v>914</v>
      </c>
      <c r="C511" s="88" t="str">
        <f>'ENIGHUR Consumption items'!J635</f>
        <v xml:space="preserve">MEDIOS PARA GRABACIÓN </v>
      </c>
      <c r="D511" s="126">
        <v>164</v>
      </c>
      <c r="E511" s="91" t="str">
        <f>IFERROR(VLOOKUP(D511,'symmetric IOT 245 2012'!$C$6:$D$276,2,FALSE),"")</f>
        <v>Maquinaria informática; partes, piezas y accesorios</v>
      </c>
      <c r="F511" s="80"/>
      <c r="H511" s="77">
        <f>INDEX('Dictionary Categories'!$A$2:$A$30,MATCH(I511,'Dictionary Categories'!$B$2:$B$30,0))</f>
        <v>6</v>
      </c>
      <c r="I511" s="80" t="s">
        <v>2482</v>
      </c>
      <c r="J511" s="2">
        <f>INDEX('Dictionary Subcategories'!$A$2:$A$70,MATCH(K511,'Dictionary Subcategories'!$B$2:$B$70,0))</f>
        <v>35</v>
      </c>
      <c r="K511" s="80" t="s">
        <v>2483</v>
      </c>
      <c r="L511" s="147"/>
      <c r="M511" s="77">
        <v>495</v>
      </c>
      <c r="O511" s="77">
        <f t="shared" si="7"/>
        <v>1</v>
      </c>
    </row>
    <row r="512" spans="1:15" x14ac:dyDescent="0.25">
      <c r="A512" s="88" t="str">
        <f>'ENIGHUR Consumption items'!H638</f>
        <v>09.2.1</v>
      </c>
      <c r="B512" s="116">
        <f>_xlfn.NUMBERVALUE(VLOOKUP(A512,'ENIGHUR Consumption items'!$H$2:$I$703,2,))</f>
        <v>921</v>
      </c>
      <c r="C512" s="88" t="str">
        <f>'ENIGHUR Consumption items'!J638</f>
        <v xml:space="preserve">ARTEFACTOS DURADEROS IMPORTANTES PARA RECREACIÓN EN EXTERIORES </v>
      </c>
      <c r="D512" s="126">
        <v>146</v>
      </c>
      <c r="E512" s="91" t="str">
        <f>IFERROR(VLOOKUP(D512,'symmetric IOT 245 2012'!$C$6:$D$276,2,FALSE),"")</f>
        <v>Productos de plástico</v>
      </c>
      <c r="F512" s="80" t="s">
        <v>2405</v>
      </c>
      <c r="H512" s="77">
        <f>INDEX('Dictionary Categories'!$A$2:$A$30,MATCH(I512,'Dictionary Categories'!$B$2:$B$30,0))</f>
        <v>6</v>
      </c>
      <c r="I512" s="80" t="s">
        <v>2482</v>
      </c>
      <c r="J512" s="2">
        <f>INDEX('Dictionary Subcategories'!$A$2:$A$70,MATCH(K512,'Dictionary Subcategories'!$B$2:$B$70,0))</f>
        <v>35</v>
      </c>
      <c r="K512" s="80" t="s">
        <v>2483</v>
      </c>
      <c r="L512" s="147"/>
      <c r="M512" s="77">
        <v>496</v>
      </c>
      <c r="O512" s="77">
        <f t="shared" si="7"/>
        <v>1</v>
      </c>
    </row>
    <row r="513" spans="1:15" x14ac:dyDescent="0.25">
      <c r="A513" s="88" t="str">
        <f>'ENIGHUR Consumption items'!H639</f>
        <v>09.2.2</v>
      </c>
      <c r="B513" s="116">
        <f>_xlfn.NUMBERVALUE(VLOOKUP(A513,'ENIGHUR Consumption items'!$H$2:$I$703,2,))</f>
        <v>922</v>
      </c>
      <c r="C513" s="88" t="str">
        <f>'ENIGHUR Consumption items'!J639</f>
        <v xml:space="preserve">INSTRUMENTOS MUSICALES Y EQUIPOS DURADEROS IMPORTANTES PARA RECREACIÓN EN INTERIORES </v>
      </c>
      <c r="D513" s="126">
        <v>162</v>
      </c>
      <c r="E513" s="91" t="str">
        <f>IFERROR(VLOOKUP(D513,'symmetric IOT 245 2012'!$C$6:$D$276,2,FALSE),"")</f>
        <v>Aparatos de uso doméstico, partes y piezas</v>
      </c>
      <c r="F513" s="80"/>
      <c r="H513" s="77">
        <f>INDEX('Dictionary Categories'!$A$2:$A$30,MATCH(I513,'Dictionary Categories'!$B$2:$B$30,0))</f>
        <v>6</v>
      </c>
      <c r="I513" s="80" t="s">
        <v>2482</v>
      </c>
      <c r="J513" s="2">
        <f>INDEX('Dictionary Subcategories'!$A$2:$A$70,MATCH(K513,'Dictionary Subcategories'!$B$2:$B$70,0))</f>
        <v>35</v>
      </c>
      <c r="K513" s="80" t="s">
        <v>2483</v>
      </c>
      <c r="L513" s="147"/>
      <c r="M513" s="77">
        <v>497</v>
      </c>
      <c r="O513" s="77">
        <f t="shared" si="7"/>
        <v>1</v>
      </c>
    </row>
    <row r="514" spans="1:15" x14ac:dyDescent="0.25">
      <c r="A514" s="88" t="str">
        <f>'ENIGHUR Consumption items'!H642</f>
        <v>09.3.1</v>
      </c>
      <c r="B514" s="116">
        <f>_xlfn.NUMBERVALUE(VLOOKUP(A514,'ENIGHUR Consumption items'!$H$2:$I$703,2,))</f>
        <v>931</v>
      </c>
      <c r="C514" s="88" t="str">
        <f>'ENIGHUR Consumption items'!J642</f>
        <v xml:space="preserve">JUEGOS, JUGUETES Y AFICIONES </v>
      </c>
      <c r="D514" s="126">
        <v>146</v>
      </c>
      <c r="E514" s="91" t="str">
        <f>IFERROR(VLOOKUP(D514,'symmetric IOT 245 2012'!$C$6:$D$276,2,FALSE),"")</f>
        <v>Productos de plástico</v>
      </c>
      <c r="G514" s="80" t="s">
        <v>2361</v>
      </c>
      <c r="H514" s="77">
        <f>INDEX('Dictionary Categories'!$A$2:$A$30,MATCH(I514,'Dictionary Categories'!$B$2:$B$30,0))</f>
        <v>16</v>
      </c>
      <c r="I514" s="2" t="s">
        <v>2481</v>
      </c>
      <c r="J514" s="2">
        <f>INDEX('Dictionary Subcategories'!$A$2:$A$70,MATCH(K514,'Dictionary Subcategories'!$B$2:$B$70,0))</f>
        <v>21</v>
      </c>
      <c r="K514" s="80" t="s">
        <v>2350</v>
      </c>
      <c r="L514" s="147"/>
      <c r="M514" s="77">
        <v>498</v>
      </c>
      <c r="O514" s="77">
        <f t="shared" si="7"/>
        <v>1</v>
      </c>
    </row>
    <row r="515" spans="1:15" x14ac:dyDescent="0.25">
      <c r="A515" s="88" t="str">
        <f>'ENIGHUR Consumption items'!H643</f>
        <v>09.3.2</v>
      </c>
      <c r="B515" s="116">
        <f>_xlfn.NUMBERVALUE(VLOOKUP(A515,'ENIGHUR Consumption items'!$H$2:$I$703,2,))</f>
        <v>932</v>
      </c>
      <c r="C515" s="88" t="str">
        <f>'ENIGHUR Consumption items'!J643</f>
        <v xml:space="preserve">EQUIPO DE DEPORTES, CAMPAMENTOS Y RECREACIÓN AL AIRE LIBRE </v>
      </c>
      <c r="D515" s="126">
        <v>146</v>
      </c>
      <c r="E515" s="91" t="str">
        <f>IFERROR(VLOOKUP(D515,'symmetric IOT 245 2012'!$C$6:$D$276,2,FALSE),"")</f>
        <v>Productos de plástico</v>
      </c>
      <c r="F515" s="80" t="s">
        <v>2363</v>
      </c>
      <c r="G515" s="80" t="s">
        <v>2364</v>
      </c>
      <c r="H515" s="77">
        <f>INDEX('Dictionary Categories'!$A$2:$A$30,MATCH(I515,'Dictionary Categories'!$B$2:$B$30,0))</f>
        <v>16</v>
      </c>
      <c r="I515" s="2" t="s">
        <v>2481</v>
      </c>
      <c r="J515" s="2">
        <f>INDEX('Dictionary Subcategories'!$A$2:$A$70,MATCH(K515,'Dictionary Subcategories'!$B$2:$B$70,0))</f>
        <v>21</v>
      </c>
      <c r="K515" s="80" t="s">
        <v>2350</v>
      </c>
      <c r="L515" s="147"/>
      <c r="M515" s="77">
        <v>499</v>
      </c>
      <c r="O515" s="77">
        <f t="shared" si="7"/>
        <v>1</v>
      </c>
    </row>
    <row r="516" spans="1:15" x14ac:dyDescent="0.25">
      <c r="A516" s="88" t="str">
        <f>'ENIGHUR Consumption items'!H644</f>
        <v>09.3.3</v>
      </c>
      <c r="B516" s="116">
        <f>_xlfn.NUMBERVALUE(VLOOKUP(A516,'ENIGHUR Consumption items'!$H$2:$I$703,2,))</f>
        <v>933</v>
      </c>
      <c r="C516" s="88" t="str">
        <f>'ENIGHUR Consumption items'!J644</f>
        <v xml:space="preserve">JARDINES, PLANTAS Y FLORES </v>
      </c>
      <c r="D516" s="126">
        <v>14</v>
      </c>
      <c r="E516" s="91" t="str">
        <f>IFERROR(VLOOKUP(D516,'symmetric IOT 245 2012'!$C$6:$D$276,2,FALSE),"")</f>
        <v>Otras flores y Plantas de flores y semillas de flores</v>
      </c>
      <c r="F516" s="80"/>
      <c r="H516" s="77">
        <f>INDEX('Dictionary Categories'!$A$2:$A$30,MATCH(I516,'Dictionary Categories'!$B$2:$B$30,0))</f>
        <v>16</v>
      </c>
      <c r="I516" s="2" t="s">
        <v>2481</v>
      </c>
      <c r="J516" s="2">
        <f>INDEX('Dictionary Subcategories'!$A$2:$A$70,MATCH(K516,'Dictionary Subcategories'!$B$2:$B$70,0))</f>
        <v>21</v>
      </c>
      <c r="K516" s="80" t="s">
        <v>2350</v>
      </c>
      <c r="L516" s="147"/>
      <c r="M516" s="77">
        <v>500</v>
      </c>
      <c r="O516" s="77">
        <f t="shared" ref="O516:O570" si="8">IF(LEFT(RIGHT(A516,2),1)=".",1,0)</f>
        <v>1</v>
      </c>
    </row>
    <row r="517" spans="1:15" x14ac:dyDescent="0.25">
      <c r="A517" s="88" t="str">
        <f>'ENIGHUR Consumption items'!H645</f>
        <v>09.3.4</v>
      </c>
      <c r="B517" s="116">
        <f>_xlfn.NUMBERVALUE(VLOOKUP(A517,'ENIGHUR Consumption items'!$H$2:$I$703,2,))</f>
        <v>934</v>
      </c>
      <c r="C517" s="88" t="str">
        <f>'ENIGHUR Consumption items'!J645</f>
        <v xml:space="preserve">ANIMALES DOMÉSTICOS Y PRODUCTOS CONEXOS </v>
      </c>
      <c r="D517" s="126">
        <v>60</v>
      </c>
      <c r="E517" s="91" t="str">
        <f>IFERROR(VLOOKUP(D517,'symmetric IOT 245 2012'!$C$6:$D$276,2,FALSE),"")</f>
        <v>Otros animales vivos n.c.p. (excepto ranas)</v>
      </c>
      <c r="F517" s="80" t="s">
        <v>2363</v>
      </c>
      <c r="H517" s="77">
        <f>INDEX('Dictionary Categories'!$A$2:$A$30,MATCH(I517,'Dictionary Categories'!$B$2:$B$30,0))</f>
        <v>16</v>
      </c>
      <c r="I517" s="2" t="s">
        <v>2481</v>
      </c>
      <c r="J517" s="2">
        <f>INDEX('Dictionary Subcategories'!$A$2:$A$70,MATCH(K517,'Dictionary Subcategories'!$B$2:$B$70,0))</f>
        <v>21</v>
      </c>
      <c r="K517" s="80" t="s">
        <v>2350</v>
      </c>
      <c r="L517" s="147"/>
      <c r="M517" s="77">
        <v>501</v>
      </c>
      <c r="O517" s="77">
        <f t="shared" si="8"/>
        <v>1</v>
      </c>
    </row>
    <row r="518" spans="1:15" x14ac:dyDescent="0.25">
      <c r="A518" s="88" t="str">
        <f>'ENIGHUR Consumption items'!H636</f>
        <v>09.1.5</v>
      </c>
      <c r="B518" s="116">
        <f>_xlfn.NUMBERVALUE(VLOOKUP(A518,'ENIGHUR Consumption items'!$H$2:$I$703,2,))</f>
        <v>915</v>
      </c>
      <c r="C518" s="88" t="str">
        <f>'ENIGHUR Consumption items'!J636</f>
        <v xml:space="preserve">REPARACIÓN DE EQUIPO AUDIOVISUAL, FOTOGRÁFICO Y DE PROCESAMIENTO DE INFORMACIÓN </v>
      </c>
      <c r="D518" s="126">
        <v>224</v>
      </c>
      <c r="E518" s="91" t="str">
        <f>IFERROR(VLOOKUP(D518,'symmetric IOT 245 2012'!$C$6:$D$276,2,FALSE),"")</f>
        <v>Servicios de reparación de computadoras y otros enseres domésticos</v>
      </c>
      <c r="F518" s="80"/>
      <c r="H518" s="77">
        <f>INDEX('Dictionary Categories'!$A$2:$A$30,MATCH(I518,'Dictionary Categories'!$B$2:$B$30,0))</f>
        <v>16</v>
      </c>
      <c r="I518" s="2" t="s">
        <v>2481</v>
      </c>
      <c r="J518" s="2">
        <f>INDEX('Dictionary Subcategories'!$A$2:$A$70,MATCH(K518,'Dictionary Subcategories'!$B$2:$B$70,0))</f>
        <v>36</v>
      </c>
      <c r="K518" s="87" t="s">
        <v>2366</v>
      </c>
      <c r="L518" s="147"/>
      <c r="M518" s="77">
        <v>502</v>
      </c>
      <c r="O518" s="77">
        <f t="shared" si="8"/>
        <v>1</v>
      </c>
    </row>
    <row r="519" spans="1:15" x14ac:dyDescent="0.25">
      <c r="A519" s="88" t="str">
        <f>'ENIGHUR Consumption items'!H640</f>
        <v>09.2.3</v>
      </c>
      <c r="B519" s="116">
        <f>_xlfn.NUMBERVALUE(VLOOKUP(A519,'ENIGHUR Consumption items'!$H$2:$I$703,2,))</f>
        <v>923</v>
      </c>
      <c r="C519" s="88" t="str">
        <f>'ENIGHUR Consumption items'!J640</f>
        <v>CONSERVACIÓN Y REPARACIÓN DE OTROS BIENES DURADEROS IMPORTANTES PARA RECREACIÓN Y CULTURA</v>
      </c>
      <c r="D519" s="126">
        <v>224</v>
      </c>
      <c r="E519" s="91" t="str">
        <f>IFERROR(VLOOKUP(D519,'symmetric IOT 245 2012'!$C$6:$D$276,2,FALSE),"")</f>
        <v>Servicios de reparación de computadoras y otros enseres domésticos</v>
      </c>
      <c r="F519" s="80"/>
      <c r="H519" s="77">
        <f>INDEX('Dictionary Categories'!$A$2:$A$30,MATCH(I519,'Dictionary Categories'!$B$2:$B$30,0))</f>
        <v>16</v>
      </c>
      <c r="I519" s="2" t="s">
        <v>2481</v>
      </c>
      <c r="J519" s="2">
        <f>INDEX('Dictionary Subcategories'!$A$2:$A$70,MATCH(K519,'Dictionary Subcategories'!$B$2:$B$70,0))</f>
        <v>36</v>
      </c>
      <c r="K519" s="87" t="s">
        <v>2366</v>
      </c>
      <c r="L519" s="147"/>
      <c r="M519" s="77">
        <v>503</v>
      </c>
      <c r="O519" s="77">
        <f t="shared" si="8"/>
        <v>1</v>
      </c>
    </row>
    <row r="520" spans="1:15" x14ac:dyDescent="0.25">
      <c r="A520" s="88" t="str">
        <f>'ENIGHUR Consumption items'!H646</f>
        <v>09.3.5</v>
      </c>
      <c r="B520" s="116">
        <f>_xlfn.NUMBERVALUE(VLOOKUP(A520,'ENIGHUR Consumption items'!$H$2:$I$703,2,))</f>
        <v>935</v>
      </c>
      <c r="C520" s="88" t="str">
        <f>'ENIGHUR Consumption items'!J646</f>
        <v xml:space="preserve">SERVICIOS DE VETERINARIA Y DE OTRO TIPO PARA ANIMALES DOMÉSTICOS </v>
      </c>
      <c r="D520" s="126">
        <v>218</v>
      </c>
      <c r="E520" s="91" t="str">
        <f>IFERROR(VLOOKUP(D520,'symmetric IOT 245 2012'!$C$6:$D$276,2,FALSE),"")</f>
        <v>Servicios veterinarios</v>
      </c>
      <c r="F520" s="80"/>
      <c r="H520" s="77">
        <f>INDEX('Dictionary Categories'!$A$2:$A$30,MATCH(I520,'Dictionary Categories'!$B$2:$B$30,0))</f>
        <v>16</v>
      </c>
      <c r="I520" s="2" t="s">
        <v>2481</v>
      </c>
      <c r="J520" s="2">
        <f>INDEX('Dictionary Subcategories'!$A$2:$A$70,MATCH(K520,'Dictionary Subcategories'!$B$2:$B$70,0))</f>
        <v>36</v>
      </c>
      <c r="K520" s="87" t="s">
        <v>2366</v>
      </c>
      <c r="L520" s="147"/>
      <c r="M520" s="77">
        <v>504</v>
      </c>
      <c r="O520" s="77">
        <f t="shared" si="8"/>
        <v>1</v>
      </c>
    </row>
    <row r="521" spans="1:15" x14ac:dyDescent="0.25">
      <c r="A521" s="88" t="str">
        <f>'ENIGHUR Consumption items'!H648</f>
        <v>09.4.1</v>
      </c>
      <c r="B521" s="116">
        <f>_xlfn.NUMBERVALUE(VLOOKUP(A521,'ENIGHUR Consumption items'!$H$2:$I$703,2,))</f>
        <v>941</v>
      </c>
      <c r="C521" s="88" t="str">
        <f>'ENIGHUR Consumption items'!J648</f>
        <v xml:space="preserve">SERVICIOS DE RECREACIÓN Y DEPORTIVOS </v>
      </c>
      <c r="D521" s="126">
        <v>242</v>
      </c>
      <c r="E521" s="91" t="str">
        <f>IFERROR(VLOOKUP(D521,'symmetric IOT 245 2012'!$C$6:$D$276,2,FALSE),"")</f>
        <v>Servicios recreacionales, culturales y deportivos</v>
      </c>
      <c r="F521" s="80"/>
      <c r="H521" s="77">
        <f>INDEX('Dictionary Categories'!$A$2:$A$30,MATCH(I521,'Dictionary Categories'!$B$2:$B$30,0))</f>
        <v>16</v>
      </c>
      <c r="I521" s="2" t="s">
        <v>2481</v>
      </c>
      <c r="J521" s="2">
        <f>INDEX('Dictionary Subcategories'!$A$2:$A$70,MATCH(K521,'Dictionary Subcategories'!$B$2:$B$70,0))</f>
        <v>36</v>
      </c>
      <c r="K521" s="87" t="s">
        <v>2366</v>
      </c>
      <c r="L521" s="147"/>
      <c r="M521" s="77">
        <v>505</v>
      </c>
      <c r="O521" s="77">
        <f t="shared" si="8"/>
        <v>1</v>
      </c>
    </row>
    <row r="522" spans="1:15" x14ac:dyDescent="0.25">
      <c r="A522" s="88" t="str">
        <f>'ENIGHUR Consumption items'!H649</f>
        <v>09.4.2</v>
      </c>
      <c r="B522" s="116">
        <f>_xlfn.NUMBERVALUE(VLOOKUP(A522,'ENIGHUR Consumption items'!$H$2:$I$703,2,))</f>
        <v>942</v>
      </c>
      <c r="C522" s="88" t="str">
        <f>'ENIGHUR Consumption items'!J649</f>
        <v xml:space="preserve">SERVICIOS CULTURALES </v>
      </c>
      <c r="D522" s="126">
        <v>242</v>
      </c>
      <c r="E522" s="91" t="str">
        <f>IFERROR(VLOOKUP(D522,'symmetric IOT 245 2012'!$C$6:$D$276,2,FALSE),"")</f>
        <v>Servicios recreacionales, culturales y deportivos</v>
      </c>
      <c r="F522" s="80"/>
      <c r="H522" s="77">
        <f>INDEX('Dictionary Categories'!$A$2:$A$30,MATCH(I522,'Dictionary Categories'!$B$2:$B$30,0))</f>
        <v>16</v>
      </c>
      <c r="I522" s="2" t="s">
        <v>2481</v>
      </c>
      <c r="J522" s="2">
        <f>INDEX('Dictionary Subcategories'!$A$2:$A$70,MATCH(K522,'Dictionary Subcategories'!$B$2:$B$70,0))</f>
        <v>36</v>
      </c>
      <c r="K522" s="87" t="s">
        <v>2366</v>
      </c>
      <c r="L522" s="147"/>
      <c r="M522" s="77">
        <v>506</v>
      </c>
      <c r="O522" s="77">
        <f t="shared" si="8"/>
        <v>1</v>
      </c>
    </row>
    <row r="523" spans="1:15" x14ac:dyDescent="0.25">
      <c r="A523" s="88" t="str">
        <f>'ENIGHUR Consumption items'!H650</f>
        <v>09.4.3</v>
      </c>
      <c r="B523" s="116">
        <f>_xlfn.NUMBERVALUE(VLOOKUP(A523,'ENIGHUR Consumption items'!$H$2:$I$703,2,))</f>
        <v>943</v>
      </c>
      <c r="C523" s="88" t="str">
        <f>'ENIGHUR Consumption items'!J650</f>
        <v xml:space="preserve">JUEGOS DE AZAR </v>
      </c>
      <c r="D523" s="126">
        <v>242</v>
      </c>
      <c r="E523" s="91" t="str">
        <f>IFERROR(VLOOKUP(D523,'symmetric IOT 245 2012'!$C$6:$D$276,2,FALSE),"")</f>
        <v>Servicios recreacionales, culturales y deportivos</v>
      </c>
      <c r="F523" s="80"/>
      <c r="G523" s="80"/>
      <c r="H523" s="77">
        <f>INDEX('Dictionary Categories'!$A$2:$A$30,MATCH(I523,'Dictionary Categories'!$B$2:$B$30,0))</f>
        <v>16</v>
      </c>
      <c r="I523" s="2" t="s">
        <v>2481</v>
      </c>
      <c r="J523" s="2">
        <f>INDEX('Dictionary Subcategories'!$A$2:$A$70,MATCH(K523,'Dictionary Subcategories'!$B$2:$B$70,0))</f>
        <v>36</v>
      </c>
      <c r="K523" s="87" t="s">
        <v>2366</v>
      </c>
      <c r="L523" s="147"/>
      <c r="M523" s="77">
        <v>507</v>
      </c>
      <c r="O523" s="77">
        <f t="shared" si="8"/>
        <v>1</v>
      </c>
    </row>
    <row r="524" spans="1:15" x14ac:dyDescent="0.25">
      <c r="A524" s="88" t="str">
        <f>'ENIGHUR Consumption items'!H652</f>
        <v>09.5.1</v>
      </c>
      <c r="B524" s="116">
        <f>_xlfn.NUMBERVALUE(VLOOKUP(A524,'ENIGHUR Consumption items'!$H$2:$I$703,2,))</f>
        <v>951</v>
      </c>
      <c r="C524" s="88" t="str">
        <f>'ENIGHUR Consumption items'!J652</f>
        <v xml:space="preserve">LIBROS </v>
      </c>
      <c r="D524" s="126">
        <v>129</v>
      </c>
      <c r="E524" s="91" t="str">
        <f>IFERROR(VLOOKUP(D524,'symmetric IOT 245 2012'!$C$6:$D$276,2,FALSE),"")</f>
        <v>Productos editoriales imprentas y otros productos n.c.p.</v>
      </c>
      <c r="F524" s="80"/>
      <c r="H524" s="77">
        <f>INDEX('Dictionary Categories'!$A$2:$A$30,MATCH(I524,'Dictionary Categories'!$B$2:$B$30,0))</f>
        <v>16</v>
      </c>
      <c r="I524" s="2" t="s">
        <v>2481</v>
      </c>
      <c r="J524" s="2">
        <f>INDEX('Dictionary Subcategories'!$A$2:$A$70,MATCH(K524,'Dictionary Subcategories'!$B$2:$B$70,0))</f>
        <v>37</v>
      </c>
      <c r="K524" s="87" t="s">
        <v>2367</v>
      </c>
      <c r="L524" s="147"/>
      <c r="M524" s="77">
        <v>508</v>
      </c>
      <c r="O524" s="77">
        <f t="shared" si="8"/>
        <v>1</v>
      </c>
    </row>
    <row r="525" spans="1:15" x14ac:dyDescent="0.25">
      <c r="A525" s="88" t="str">
        <f>'ENIGHUR Consumption items'!H653</f>
        <v>09.5.2</v>
      </c>
      <c r="B525" s="116">
        <f>_xlfn.NUMBERVALUE(VLOOKUP(A525,'ENIGHUR Consumption items'!$H$2:$I$703,2,))</f>
        <v>952</v>
      </c>
      <c r="C525" s="88" t="str">
        <f>'ENIGHUR Consumption items'!J653</f>
        <v xml:space="preserve">DIARIOS Y PERIÓDICOS </v>
      </c>
      <c r="D525" s="126">
        <v>129</v>
      </c>
      <c r="E525" s="91" t="str">
        <f>IFERROR(VLOOKUP(D525,'symmetric IOT 245 2012'!$C$6:$D$276,2,FALSE),"")</f>
        <v>Productos editoriales imprentas y otros productos n.c.p.</v>
      </c>
      <c r="F525" s="80"/>
      <c r="H525" s="77">
        <f>INDEX('Dictionary Categories'!$A$2:$A$30,MATCH(I525,'Dictionary Categories'!$B$2:$B$30,0))</f>
        <v>16</v>
      </c>
      <c r="I525" s="2" t="s">
        <v>2481</v>
      </c>
      <c r="J525" s="2">
        <f>INDEX('Dictionary Subcategories'!$A$2:$A$70,MATCH(K525,'Dictionary Subcategories'!$B$2:$B$70,0))</f>
        <v>37</v>
      </c>
      <c r="K525" s="87" t="s">
        <v>2367</v>
      </c>
      <c r="L525" s="147"/>
      <c r="M525" s="77">
        <v>509</v>
      </c>
      <c r="O525" s="77">
        <f t="shared" si="8"/>
        <v>1</v>
      </c>
    </row>
    <row r="526" spans="1:15" x14ac:dyDescent="0.25">
      <c r="A526" s="88" t="str">
        <f>'ENIGHUR Consumption items'!H654</f>
        <v>09.5.3</v>
      </c>
      <c r="B526" s="116">
        <f>_xlfn.NUMBERVALUE(VLOOKUP(A526,'ENIGHUR Consumption items'!$H$2:$I$703,2,))</f>
        <v>953</v>
      </c>
      <c r="C526" s="88" t="str">
        <f>'ENIGHUR Consumption items'!J654</f>
        <v xml:space="preserve">MATERIAL IMPRESO DIVERSO </v>
      </c>
      <c r="D526" s="126">
        <v>129</v>
      </c>
      <c r="E526" s="91" t="str">
        <f>IFERROR(VLOOKUP(D526,'symmetric IOT 245 2012'!$C$6:$D$276,2,FALSE),"")</f>
        <v>Productos editoriales imprentas y otros productos n.c.p.</v>
      </c>
      <c r="F526" s="80"/>
      <c r="H526" s="77">
        <f>INDEX('Dictionary Categories'!$A$2:$A$30,MATCH(I526,'Dictionary Categories'!$B$2:$B$30,0))</f>
        <v>16</v>
      </c>
      <c r="I526" s="2" t="s">
        <v>2481</v>
      </c>
      <c r="J526" s="2">
        <f>INDEX('Dictionary Subcategories'!$A$2:$A$70,MATCH(K526,'Dictionary Subcategories'!$B$2:$B$70,0))</f>
        <v>37</v>
      </c>
      <c r="K526" s="87" t="s">
        <v>2367</v>
      </c>
      <c r="L526" s="147"/>
      <c r="M526" s="77">
        <v>510</v>
      </c>
      <c r="O526" s="77">
        <f t="shared" si="8"/>
        <v>1</v>
      </c>
    </row>
    <row r="527" spans="1:15" x14ac:dyDescent="0.25">
      <c r="A527" s="88" t="str">
        <f>'ENIGHUR Consumption items'!H655</f>
        <v>09.5.4</v>
      </c>
      <c r="B527" s="116">
        <f>_xlfn.NUMBERVALUE(VLOOKUP(A527,'ENIGHUR Consumption items'!$H$2:$I$703,2,))</f>
        <v>954</v>
      </c>
      <c r="C527" s="88" t="str">
        <f>'ENIGHUR Consumption items'!J655</f>
        <v xml:space="preserve">PAPEL Y ÚTILES DE OFICINA Y MATERIALES DE DIBUJO </v>
      </c>
      <c r="D527" s="126">
        <v>127</v>
      </c>
      <c r="E527" s="91" t="str">
        <f>IFERROR(VLOOKUP(D527,'symmetric IOT 245 2012'!$C$6:$D$276,2,FALSE),"")</f>
        <v xml:space="preserve">Pasta de papel y Papel y cartón </v>
      </c>
      <c r="F527" s="80" t="s">
        <v>2365</v>
      </c>
      <c r="H527" s="77">
        <f>INDEX('Dictionary Categories'!$A$2:$A$30,MATCH(I527,'Dictionary Categories'!$B$2:$B$30,0))</f>
        <v>16</v>
      </c>
      <c r="I527" s="2" t="s">
        <v>2481</v>
      </c>
      <c r="J527" s="2">
        <f>INDEX('Dictionary Subcategories'!$A$2:$A$70,MATCH(K527,'Dictionary Subcategories'!$B$2:$B$70,0))</f>
        <v>16</v>
      </c>
      <c r="K527" s="87" t="s">
        <v>2357</v>
      </c>
      <c r="L527" s="147"/>
      <c r="M527" s="77">
        <v>511</v>
      </c>
      <c r="O527" s="77">
        <f t="shared" si="8"/>
        <v>1</v>
      </c>
    </row>
    <row r="528" spans="1:15" x14ac:dyDescent="0.25">
      <c r="A528" s="88" t="str">
        <f>'ENIGHUR Consumption items'!H656</f>
        <v>09.5.5</v>
      </c>
      <c r="B528" s="116">
        <f>_xlfn.NUMBERVALUE(VLOOKUP(A528,'ENIGHUR Consumption items'!$H$2:$I$703,2,))</f>
        <v>955</v>
      </c>
      <c r="C528" s="88" t="str">
        <f>'ENIGHUR Consumption items'!J656</f>
        <v xml:space="preserve">LISTA DE ÚTILES ESCOLARES </v>
      </c>
      <c r="D528" s="126">
        <v>127</v>
      </c>
      <c r="E528" s="91" t="str">
        <f>IFERROR(VLOOKUP(D528,'symmetric IOT 245 2012'!$C$6:$D$276,2,FALSE),"")</f>
        <v xml:space="preserve">Pasta de papel y Papel y cartón </v>
      </c>
      <c r="F528" s="80"/>
      <c r="H528" s="77">
        <f>INDEX('Dictionary Categories'!$A$2:$A$30,MATCH(I528,'Dictionary Categories'!$B$2:$B$30,0))</f>
        <v>16</v>
      </c>
      <c r="I528" s="2" t="s">
        <v>2481</v>
      </c>
      <c r="J528" s="2">
        <f>INDEX('Dictionary Subcategories'!$A$2:$A$70,MATCH(K528,'Dictionary Subcategories'!$B$2:$B$70,0))</f>
        <v>16</v>
      </c>
      <c r="K528" s="87" t="s">
        <v>2357</v>
      </c>
      <c r="L528" s="147"/>
      <c r="M528" s="77">
        <v>512</v>
      </c>
      <c r="O528" s="77">
        <f t="shared" si="8"/>
        <v>1</v>
      </c>
    </row>
    <row r="529" spans="1:15" x14ac:dyDescent="0.25">
      <c r="A529" s="88" t="str">
        <f>'ENIGHUR Consumption items'!H658</f>
        <v>09.6.1</v>
      </c>
      <c r="B529" s="116">
        <f>_xlfn.NUMBERVALUE(VLOOKUP(A529,'ENIGHUR Consumption items'!$H$2:$I$703,2,))</f>
        <v>961</v>
      </c>
      <c r="C529" s="88" t="str">
        <f>'ENIGHUR Consumption items'!J658</f>
        <v xml:space="preserve">PAQUETES TURÍSTICOS </v>
      </c>
      <c r="D529" s="126">
        <v>183</v>
      </c>
      <c r="E529" s="91" t="str">
        <f>IFERROR(VLOOKUP(D529,'symmetric IOT 245 2012'!$C$6:$D$276,2,FALSE),"")</f>
        <v>Servicios de hotelería y alojamiento</v>
      </c>
      <c r="F529" s="80" t="s">
        <v>2382</v>
      </c>
      <c r="H529" s="77">
        <f>INDEX('Dictionary Categories'!$A$2:$A$30,MATCH(I529,'Dictionary Categories'!$B$2:$B$30,0))</f>
        <v>16</v>
      </c>
      <c r="I529" s="2" t="s">
        <v>2481</v>
      </c>
      <c r="J529" s="2">
        <f>INDEX('Dictionary Subcategories'!$A$2:$A$70,MATCH(K529,'Dictionary Subcategories'!$B$2:$B$70,0))</f>
        <v>16</v>
      </c>
      <c r="K529" s="87" t="s">
        <v>2357</v>
      </c>
      <c r="L529" s="147"/>
      <c r="M529" s="77">
        <v>513</v>
      </c>
      <c r="O529" s="77">
        <f t="shared" si="8"/>
        <v>1</v>
      </c>
    </row>
    <row r="530" spans="1:15" x14ac:dyDescent="0.25">
      <c r="A530" s="88" t="str">
        <f>'ENIGHUR Consumption items'!H674</f>
        <v>11.1.1</v>
      </c>
      <c r="B530" s="116">
        <f>_xlfn.NUMBERVALUE(VLOOKUP(A530,'ENIGHUR Consumption items'!$H$2:$I$703,2,))</f>
        <v>1111</v>
      </c>
      <c r="C530" s="88" t="str">
        <f>'ENIGHUR Consumption items'!J674</f>
        <v xml:space="preserve">RESTAURANTES, CAFÉS Y ESTABLECIMIENTOS SIMILARES </v>
      </c>
      <c r="D530" s="126">
        <v>184</v>
      </c>
      <c r="E530" s="91" t="str">
        <f>IFERROR(VLOOKUP(D530,'symmetric IOT 245 2012'!$C$6:$D$276,2,FALSE),"")</f>
        <v>Servicios de suministro de comida y de bebida</v>
      </c>
      <c r="F530" s="80"/>
      <c r="H530" s="77">
        <f>INDEX('Dictionary Categories'!$A$2:$A$30,MATCH(I530,'Dictionary Categories'!$B$2:$B$30,0))</f>
        <v>17</v>
      </c>
      <c r="I530" s="87" t="s">
        <v>2467</v>
      </c>
      <c r="J530" s="2">
        <f>INDEX('Dictionary Subcategories'!$A$2:$A$70,MATCH(K530,'Dictionary Subcategories'!$B$2:$B$70,0))</f>
        <v>38</v>
      </c>
      <c r="K530" s="87" t="s">
        <v>2467</v>
      </c>
      <c r="L530" s="147"/>
      <c r="M530" s="77">
        <v>514</v>
      </c>
      <c r="O530" s="77">
        <f t="shared" si="8"/>
        <v>1</v>
      </c>
    </row>
    <row r="531" spans="1:15" x14ac:dyDescent="0.25">
      <c r="A531" s="88" t="str">
        <f>'ENIGHUR Consumption items'!H679</f>
        <v>11.1.2</v>
      </c>
      <c r="B531" s="116">
        <f>_xlfn.NUMBERVALUE(VLOOKUP(A531,'ENIGHUR Consumption items'!$H$2:$I$703,2,))</f>
        <v>1112</v>
      </c>
      <c r="C531" s="88" t="str">
        <f>'ENIGHUR Consumption items'!J679</f>
        <v xml:space="preserve">COMEDORES </v>
      </c>
      <c r="D531" s="126">
        <v>184</v>
      </c>
      <c r="E531" s="91" t="str">
        <f>IFERROR(VLOOKUP(D531,'symmetric IOT 245 2012'!$C$6:$D$276,2,FALSE),"")</f>
        <v>Servicios de suministro de comida y de bebida</v>
      </c>
      <c r="F531" s="80"/>
      <c r="H531" s="77">
        <f>INDEX('Dictionary Categories'!$A$2:$A$30,MATCH(I531,'Dictionary Categories'!$B$2:$B$30,0))</f>
        <v>17</v>
      </c>
      <c r="I531" s="87" t="s">
        <v>2467</v>
      </c>
      <c r="J531" s="2">
        <f>INDEX('Dictionary Subcategories'!$A$2:$A$70,MATCH(K531,'Dictionary Subcategories'!$B$2:$B$70,0))</f>
        <v>38</v>
      </c>
      <c r="K531" s="87" t="s">
        <v>2467</v>
      </c>
      <c r="L531" s="147"/>
      <c r="M531" s="77">
        <v>515</v>
      </c>
      <c r="O531" s="77">
        <f t="shared" si="8"/>
        <v>1</v>
      </c>
    </row>
    <row r="532" spans="1:15" x14ac:dyDescent="0.25">
      <c r="A532" s="88" t="str">
        <f>'ENIGHUR Consumption items'!H681</f>
        <v>11.2.1</v>
      </c>
      <c r="B532" s="116">
        <f>_xlfn.NUMBERVALUE(VLOOKUP(A532,'ENIGHUR Consumption items'!$H$2:$I$703,2,))</f>
        <v>1121</v>
      </c>
      <c r="C532" s="88" t="str">
        <f>'ENIGHUR Consumption items'!J681</f>
        <v xml:space="preserve">SERVICIOS DE ALOJAMIENTO </v>
      </c>
      <c r="D532" s="126">
        <v>183</v>
      </c>
      <c r="E532" s="91" t="str">
        <f>IFERROR(VLOOKUP(D532,'symmetric IOT 245 2012'!$C$6:$D$276,2,FALSE),"")</f>
        <v>Servicios de hotelería y alojamiento</v>
      </c>
      <c r="F532" s="80"/>
      <c r="H532" s="77">
        <f>INDEX('Dictionary Categories'!$A$2:$A$30,MATCH(I532,'Dictionary Categories'!$B$2:$B$30,0))</f>
        <v>4</v>
      </c>
      <c r="I532" s="80" t="s">
        <v>586</v>
      </c>
      <c r="J532" s="2">
        <f>INDEX('Dictionary Subcategories'!$A$2:$A$70,MATCH(K532,'Dictionary Subcategories'!$B$2:$B$70,0))</f>
        <v>39</v>
      </c>
      <c r="K532" s="87" t="s">
        <v>2468</v>
      </c>
      <c r="L532" s="147">
        <v>1.9318492516470799E-3</v>
      </c>
      <c r="M532" s="77">
        <v>516</v>
      </c>
      <c r="O532" s="77">
        <f t="shared" si="8"/>
        <v>1</v>
      </c>
    </row>
    <row r="533" spans="1:15" x14ac:dyDescent="0.25">
      <c r="A533" s="88" t="str">
        <f>'ENIGHUR Consumption items'!H684</f>
        <v>12.1.1</v>
      </c>
      <c r="B533" s="116">
        <f>_xlfn.NUMBERVALUE(VLOOKUP(A533,'ENIGHUR Consumption items'!$H$2:$I$703,2,))</f>
        <v>1211</v>
      </c>
      <c r="C533" s="88" t="str">
        <f>'ENIGHUR Consumption items'!J684</f>
        <v xml:space="preserve">SALONES DE PELUQUERÍA Y ESTABLECIMIENTOS DE CUIDADOS PERSONALES </v>
      </c>
      <c r="D533" s="126">
        <v>217</v>
      </c>
      <c r="E533" s="91" t="str">
        <f>IFERROR(VLOOKUP(D533,'symmetric IOT 245 2012'!$C$6:$D$276,2,FALSE),"")</f>
        <v>Otros servicios profesionales y técnicos</v>
      </c>
      <c r="F533" s="80"/>
      <c r="H533" s="77">
        <f>INDEX('Dictionary Categories'!$A$2:$A$30,MATCH(I533,'Dictionary Categories'!$B$2:$B$30,0))</f>
        <v>18</v>
      </c>
      <c r="I533" s="87" t="s">
        <v>2385</v>
      </c>
      <c r="J533" s="2">
        <f>INDEX('Dictionary Subcategories'!$A$2:$A$70,MATCH(K533,'Dictionary Subcategories'!$B$2:$B$70,0))</f>
        <v>40</v>
      </c>
      <c r="K533" s="87" t="s">
        <v>2385</v>
      </c>
      <c r="L533" s="147"/>
      <c r="M533" s="77">
        <v>517</v>
      </c>
      <c r="O533" s="77">
        <f t="shared" si="8"/>
        <v>1</v>
      </c>
    </row>
    <row r="534" spans="1:15" x14ac:dyDescent="0.25">
      <c r="A534" s="88" t="str">
        <f>'ENIGHUR Consumption items'!H685</f>
        <v>12.1.2</v>
      </c>
      <c r="B534" s="116">
        <f>_xlfn.NUMBERVALUE(VLOOKUP(A534,'ENIGHUR Consumption items'!$H$2:$I$703,2,))</f>
        <v>1212</v>
      </c>
      <c r="C534" s="88" t="str">
        <f>'ENIGHUR Consumption items'!J685</f>
        <v xml:space="preserve">APARATOS ELÉCTRICOS PARA EL CUIDADO PERSONAL </v>
      </c>
      <c r="D534" s="126">
        <v>162</v>
      </c>
      <c r="E534" s="91" t="str">
        <f>IFERROR(VLOOKUP(D534,'symmetric IOT 245 2012'!$C$6:$D$276,2,FALSE),"")</f>
        <v>Aparatos de uso doméstico, partes y piezas</v>
      </c>
      <c r="F534" s="80"/>
      <c r="H534" s="77">
        <f>INDEX('Dictionary Categories'!$A$2:$A$30,MATCH(I534,'Dictionary Categories'!$B$2:$B$30,0))</f>
        <v>18</v>
      </c>
      <c r="I534" s="87" t="s">
        <v>2385</v>
      </c>
      <c r="J534" s="2">
        <f>INDEX('Dictionary Subcategories'!$A$2:$A$70,MATCH(K534,'Dictionary Subcategories'!$B$2:$B$70,0))</f>
        <v>40</v>
      </c>
      <c r="K534" s="87" t="s">
        <v>2385</v>
      </c>
      <c r="L534" s="147"/>
      <c r="M534" s="77">
        <v>518</v>
      </c>
      <c r="O534" s="77">
        <f t="shared" si="8"/>
        <v>1</v>
      </c>
    </row>
    <row r="535" spans="1:15" x14ac:dyDescent="0.25">
      <c r="A535" s="88" t="str">
        <f>'ENIGHUR Consumption items'!H686</f>
        <v>12.1.3</v>
      </c>
      <c r="B535" s="116">
        <f>_xlfn.NUMBERVALUE(VLOOKUP(A535,'ENIGHUR Consumption items'!$H$2:$I$703,2,))</f>
        <v>1213</v>
      </c>
      <c r="C535" s="88" t="str">
        <f>'ENIGHUR Consumption items'!J686</f>
        <v xml:space="preserve">OTROS APARATOS, ARTÍCULOS Y PRODUCTOS PARA LA ATENCIÓN PERSONAL </v>
      </c>
      <c r="D535" s="126">
        <v>141</v>
      </c>
      <c r="E535" s="91" t="str">
        <f>IFERROR(VLOOKUP(D535,'symmetric IOT 245 2012'!$C$6:$D$276,2,FALSE),"")</f>
        <v>Perfumes y preparados de tocador</v>
      </c>
      <c r="F535" s="80"/>
      <c r="H535" s="77">
        <f>INDEX('Dictionary Categories'!$A$2:$A$30,MATCH(I535,'Dictionary Categories'!$B$2:$B$30,0))</f>
        <v>18</v>
      </c>
      <c r="I535" s="87" t="s">
        <v>2385</v>
      </c>
      <c r="J535" s="2">
        <f>INDEX('Dictionary Subcategories'!$A$2:$A$70,MATCH(K535,'Dictionary Subcategories'!$B$2:$B$70,0))</f>
        <v>40</v>
      </c>
      <c r="K535" s="87" t="s">
        <v>2385</v>
      </c>
      <c r="L535" s="147"/>
      <c r="M535" s="77">
        <v>519</v>
      </c>
      <c r="O535" s="77">
        <f t="shared" si="8"/>
        <v>1</v>
      </c>
    </row>
    <row r="536" spans="1:15" x14ac:dyDescent="0.25">
      <c r="A536" s="88" t="str">
        <f>'ENIGHUR Consumption items'!H690</f>
        <v>12.3.1</v>
      </c>
      <c r="B536" s="116">
        <f>_xlfn.NUMBERVALUE(VLOOKUP(A536,'ENIGHUR Consumption items'!$H$2:$I$703,2,))</f>
        <v>1231</v>
      </c>
      <c r="C536" s="88" t="str">
        <f>'ENIGHUR Consumption items'!J690</f>
        <v xml:space="preserve">JOYERÍA, RELOJES DE PARED Y RELOJES DE PULSERA </v>
      </c>
      <c r="D536" s="126">
        <v>171</v>
      </c>
      <c r="E536" s="91" t="str">
        <f>IFERROR(VLOOKUP(D536,'symmetric IOT 245 2012'!$C$6:$D$276,2,FALSE),"")</f>
        <v>Joyas</v>
      </c>
      <c r="F536" s="80"/>
      <c r="H536" s="77">
        <f>INDEX('Dictionary Categories'!$A$2:$A$30,MATCH(I536,'Dictionary Categories'!$B$2:$B$30,0))</f>
        <v>4</v>
      </c>
      <c r="I536" s="80" t="s">
        <v>586</v>
      </c>
      <c r="J536" s="2">
        <f>INDEX('Dictionary Subcategories'!$A$2:$A$70,MATCH(K536,'Dictionary Subcategories'!$B$2:$B$70,0))</f>
        <v>41</v>
      </c>
      <c r="K536" s="87" t="s">
        <v>2386</v>
      </c>
      <c r="L536" s="149"/>
      <c r="M536" s="77">
        <v>520</v>
      </c>
      <c r="O536" s="77">
        <f t="shared" si="8"/>
        <v>1</v>
      </c>
    </row>
    <row r="537" spans="1:15" x14ac:dyDescent="0.25">
      <c r="A537" s="88" t="str">
        <f>'ENIGHUR Consumption items'!H691</f>
        <v>12.3.2</v>
      </c>
      <c r="B537" s="116">
        <f>_xlfn.NUMBERVALUE(VLOOKUP(A537,'ENIGHUR Consumption items'!$H$2:$I$703,2,))</f>
        <v>1232</v>
      </c>
      <c r="C537" s="88" t="str">
        <f>'ENIGHUR Consumption items'!J691</f>
        <v xml:space="preserve">OTROS EFECTOS PERSONALES </v>
      </c>
      <c r="D537" s="126">
        <v>173</v>
      </c>
      <c r="E537" s="91" t="str">
        <f>IFERROR(VLOOKUP(D537,'symmetric IOT 245 2012'!$C$6:$D$276,2,FALSE),"")</f>
        <v>Otros productos manufacturados diversos</v>
      </c>
      <c r="F537" s="80"/>
      <c r="H537" s="77">
        <f>INDEX('Dictionary Categories'!$A$2:$A$30,MATCH(I537,'Dictionary Categories'!$B$2:$B$30,0))</f>
        <v>4</v>
      </c>
      <c r="I537" s="80" t="s">
        <v>586</v>
      </c>
      <c r="J537" s="2">
        <f>INDEX('Dictionary Subcategories'!$A$2:$A$70,MATCH(K537,'Dictionary Subcategories'!$B$2:$B$70,0))</f>
        <v>41</v>
      </c>
      <c r="K537" s="87" t="s">
        <v>2386</v>
      </c>
      <c r="L537" s="149"/>
      <c r="M537" s="77">
        <v>521</v>
      </c>
      <c r="O537" s="77">
        <f t="shared" si="8"/>
        <v>1</v>
      </c>
    </row>
    <row r="538" spans="1:15" x14ac:dyDescent="0.25">
      <c r="A538" s="88" t="str">
        <f>'ENIGHUR Consumption items'!H695</f>
        <v>12.5.1</v>
      </c>
      <c r="B538" s="116">
        <f>_xlfn.NUMBERVALUE(VLOOKUP(A538,'ENIGHUR Consumption items'!$H$2:$I$703,2,))</f>
        <v>1251</v>
      </c>
      <c r="C538" s="88" t="str">
        <f>'ENIGHUR Consumption items'!J695</f>
        <v xml:space="preserve">SEGURO DE VIDA </v>
      </c>
      <c r="D538" s="126">
        <v>203</v>
      </c>
      <c r="E538" s="91" t="str">
        <f>IFERROR(VLOOKUP(D538,'symmetric IOT 245 2012'!$C$6:$D$276,2,FALSE),"")</f>
        <v>Serv de seguros de vida</v>
      </c>
      <c r="F538" s="80"/>
      <c r="H538" s="77">
        <f>INDEX('Dictionary Categories'!$A$2:$A$30,MATCH(I538,'Dictionary Categories'!$B$2:$B$30,0))</f>
        <v>4</v>
      </c>
      <c r="I538" s="80" t="s">
        <v>586</v>
      </c>
      <c r="J538" s="2">
        <f>INDEX('Dictionary Subcategories'!$A$2:$A$70,MATCH(K538,'Dictionary Subcategories'!$B$2:$B$70,0))</f>
        <v>42</v>
      </c>
      <c r="K538" s="87" t="s">
        <v>2388</v>
      </c>
      <c r="L538" s="147"/>
      <c r="M538" s="77">
        <v>522</v>
      </c>
      <c r="O538" s="77">
        <f t="shared" si="8"/>
        <v>1</v>
      </c>
    </row>
    <row r="539" spans="1:15" x14ac:dyDescent="0.25">
      <c r="A539" s="88" t="str">
        <f>'ENIGHUR Consumption items'!H696</f>
        <v>12.5.2</v>
      </c>
      <c r="B539" s="116">
        <f>_xlfn.NUMBERVALUE(VLOOKUP(A539,'ENIGHUR Consumption items'!$H$2:$I$703,2,))</f>
        <v>1252</v>
      </c>
      <c r="C539" s="88" t="str">
        <f>'ENIGHUR Consumption items'!J696</f>
        <v xml:space="preserve">SEGUROS RELACIONADOS CON LA VIVIENDA </v>
      </c>
      <c r="D539" s="126">
        <v>205</v>
      </c>
      <c r="E539" s="91" t="str">
        <f>IFERROR(VLOOKUP(D539,'symmetric IOT 245 2012'!$C$6:$D$276,2,FALSE),"")</f>
        <v>Otros servicios de seguros</v>
      </c>
      <c r="F539" s="80"/>
      <c r="H539" s="77">
        <f>INDEX('Dictionary Categories'!$A$2:$A$30,MATCH(I539,'Dictionary Categories'!$B$2:$B$30,0))</f>
        <v>4</v>
      </c>
      <c r="I539" s="80" t="s">
        <v>586</v>
      </c>
      <c r="J539" s="2">
        <f>INDEX('Dictionary Subcategories'!$A$2:$A$70,MATCH(K539,'Dictionary Subcategories'!$B$2:$B$70,0))</f>
        <v>42</v>
      </c>
      <c r="K539" s="87" t="s">
        <v>2388</v>
      </c>
      <c r="L539" s="147"/>
      <c r="M539" s="77">
        <v>523</v>
      </c>
      <c r="O539" s="77">
        <f t="shared" si="8"/>
        <v>1</v>
      </c>
    </row>
    <row r="540" spans="1:15" x14ac:dyDescent="0.25">
      <c r="A540" s="88" t="str">
        <f>'ENIGHUR Consumption items'!H697</f>
        <v>12.5.3</v>
      </c>
      <c r="B540" s="116">
        <f>_xlfn.NUMBERVALUE(VLOOKUP(A540,'ENIGHUR Consumption items'!$H$2:$I$703,2,))</f>
        <v>1253</v>
      </c>
      <c r="C540" s="88" t="str">
        <f>'ENIGHUR Consumption items'!J697</f>
        <v xml:space="preserve">SEGURO RELACIONADO CON LA SALUD </v>
      </c>
      <c r="D540" s="126">
        <v>205</v>
      </c>
      <c r="E540" s="91" t="str">
        <f>IFERROR(VLOOKUP(D540,'symmetric IOT 245 2012'!$C$6:$D$276,2,FALSE),"")</f>
        <v>Otros servicios de seguros</v>
      </c>
      <c r="F540" s="80"/>
      <c r="H540" s="77">
        <f>INDEX('Dictionary Categories'!$A$2:$A$30,MATCH(I540,'Dictionary Categories'!$B$2:$B$30,0))</f>
        <v>4</v>
      </c>
      <c r="I540" s="80" t="s">
        <v>586</v>
      </c>
      <c r="J540" s="2">
        <f>INDEX('Dictionary Subcategories'!$A$2:$A$70,MATCH(K540,'Dictionary Subcategories'!$B$2:$B$70,0))</f>
        <v>43</v>
      </c>
      <c r="K540" s="87" t="s">
        <v>2477</v>
      </c>
      <c r="L540" s="151">
        <v>3.1440069114637521E-3</v>
      </c>
      <c r="M540" s="77">
        <v>524</v>
      </c>
      <c r="O540" s="77">
        <f t="shared" si="8"/>
        <v>1</v>
      </c>
    </row>
    <row r="541" spans="1:15" x14ac:dyDescent="0.25">
      <c r="A541" s="88" t="str">
        <f>'ENIGHUR Consumption items'!H698</f>
        <v>12.5.4</v>
      </c>
      <c r="B541" s="116">
        <f>_xlfn.NUMBERVALUE(VLOOKUP(A541,'ENIGHUR Consumption items'!$H$2:$I$703,2,))</f>
        <v>1254</v>
      </c>
      <c r="C541" s="88" t="str">
        <f>'ENIGHUR Consumption items'!J698</f>
        <v xml:space="preserve">SEGURO RELACIONADO CON EL TRANSPORTE </v>
      </c>
      <c r="D541" s="126">
        <v>205</v>
      </c>
      <c r="E541" s="91" t="str">
        <f>IFERROR(VLOOKUP(D541,'symmetric IOT 245 2012'!$C$6:$D$276,2,FALSE),"")</f>
        <v>Otros servicios de seguros</v>
      </c>
      <c r="F541" s="80"/>
      <c r="H541" s="77">
        <f>INDEX('Dictionary Categories'!$A$2:$A$30,MATCH(I541,'Dictionary Categories'!$B$2:$B$30,0))</f>
        <v>4</v>
      </c>
      <c r="I541" s="80" t="s">
        <v>586</v>
      </c>
      <c r="J541" s="2">
        <f>INDEX('Dictionary Subcategories'!$A$2:$A$70,MATCH(K541,'Dictionary Subcategories'!$B$2:$B$70,0))</f>
        <v>42</v>
      </c>
      <c r="K541" s="87" t="s">
        <v>2388</v>
      </c>
      <c r="L541" s="147"/>
      <c r="M541" s="77">
        <v>525</v>
      </c>
      <c r="O541" s="77">
        <f t="shared" si="8"/>
        <v>1</v>
      </c>
    </row>
    <row r="542" spans="1:15" x14ac:dyDescent="0.25">
      <c r="A542" s="88" t="str">
        <f>'ENIGHUR Consumption items'!H699</f>
        <v>12.5.5</v>
      </c>
      <c r="B542" s="116">
        <f>_xlfn.NUMBERVALUE(VLOOKUP(A542,'ENIGHUR Consumption items'!$H$2:$I$703,2,))</f>
        <v>1255</v>
      </c>
      <c r="C542" s="88" t="str">
        <f>'ENIGHUR Consumption items'!J699</f>
        <v xml:space="preserve">OTROS SEGUROS </v>
      </c>
      <c r="D542" s="126">
        <v>205</v>
      </c>
      <c r="E542" s="91" t="str">
        <f>IFERROR(VLOOKUP(D542,'symmetric IOT 245 2012'!$C$6:$D$276,2,FALSE),"")</f>
        <v>Otros servicios de seguros</v>
      </c>
      <c r="F542" s="80"/>
      <c r="H542" s="77">
        <f>INDEX('Dictionary Categories'!$A$2:$A$30,MATCH(I542,'Dictionary Categories'!$B$2:$B$30,0))</f>
        <v>4</v>
      </c>
      <c r="I542" s="80" t="s">
        <v>586</v>
      </c>
      <c r="J542" s="2">
        <f>INDEX('Dictionary Subcategories'!$A$2:$A$70,MATCH(K542,'Dictionary Subcategories'!$B$2:$B$70,0))</f>
        <v>42</v>
      </c>
      <c r="K542" s="87" t="s">
        <v>2388</v>
      </c>
      <c r="L542" s="147"/>
      <c r="M542" s="77">
        <v>526</v>
      </c>
      <c r="O542" s="77">
        <f t="shared" si="8"/>
        <v>1</v>
      </c>
    </row>
    <row r="543" spans="1:15" x14ac:dyDescent="0.25">
      <c r="A543" s="88" t="str">
        <f>'ENIGHUR Consumption items'!H701</f>
        <v>12.6.1</v>
      </c>
      <c r="B543" s="116">
        <f>_xlfn.NUMBERVALUE(VLOOKUP(A543,'ENIGHUR Consumption items'!$H$2:$I$703,2,))</f>
        <v>1261</v>
      </c>
      <c r="C543" s="88" t="str">
        <f>'ENIGHUR Consumption items'!J701</f>
        <v xml:space="preserve">SERVICIOS FINANCIEROS N.E.P </v>
      </c>
      <c r="D543" s="126">
        <v>199</v>
      </c>
      <c r="E543" s="91" t="str">
        <f>IFERROR(VLOOKUP(D543,'symmetric IOT 245 2012'!$C$6:$D$276,2,FALSE),"")</f>
        <v>Servicios de intermediación financiera de otras instituciones de depósito y  SIFMI (Servicio de Intermediación Financiera Medido Indirectamente)</v>
      </c>
      <c r="F543" s="80" t="s">
        <v>2383</v>
      </c>
      <c r="H543" s="77">
        <f>INDEX('Dictionary Categories'!$A$2:$A$30,MATCH(I543,'Dictionary Categories'!$B$2:$B$30,0))</f>
        <v>4</v>
      </c>
      <c r="I543" s="80" t="s">
        <v>586</v>
      </c>
      <c r="J543" s="2">
        <f>INDEX('Dictionary Subcategories'!$A$2:$A$70,MATCH(K543,'Dictionary Subcategories'!$B$2:$B$70,0))</f>
        <v>42</v>
      </c>
      <c r="K543" s="87" t="s">
        <v>2388</v>
      </c>
      <c r="L543" s="147"/>
      <c r="M543" s="77">
        <v>527</v>
      </c>
      <c r="O543" s="77">
        <f t="shared" si="8"/>
        <v>1</v>
      </c>
    </row>
    <row r="544" spans="1:15" x14ac:dyDescent="0.25">
      <c r="A544" s="88" t="str">
        <f>'ENIGHUR Consumption items'!H703</f>
        <v>12.7.1</v>
      </c>
      <c r="B544" s="116">
        <f>_xlfn.NUMBERVALUE(VLOOKUP(A544,'ENIGHUR Consumption items'!$H$2:$I$703,2,))</f>
        <v>1271</v>
      </c>
      <c r="C544" s="88" t="str">
        <f>'ENIGHUR Consumption items'!J703</f>
        <v>OTROS SERVICIOS N.E.P.</v>
      </c>
      <c r="D544" s="126">
        <v>217</v>
      </c>
      <c r="E544" s="91" t="str">
        <f>IFERROR(VLOOKUP(D544,'symmetric IOT 245 2012'!$C$6:$D$276,2,FALSE),"")</f>
        <v>Otros servicios profesionales y técnicos</v>
      </c>
      <c r="F544" s="80" t="s">
        <v>2384</v>
      </c>
      <c r="H544" s="77">
        <f>INDEX('Dictionary Categories'!$A$2:$A$30,MATCH(I544,'Dictionary Categories'!$B$2:$B$30,0))</f>
        <v>4</v>
      </c>
      <c r="I544" s="80" t="s">
        <v>586</v>
      </c>
      <c r="J544" s="2">
        <f>INDEX('Dictionary Subcategories'!$A$2:$A$70,MATCH(K544,'Dictionary Subcategories'!$B$2:$B$70,0))</f>
        <v>42</v>
      </c>
      <c r="K544" s="87" t="s">
        <v>2388</v>
      </c>
      <c r="L544" s="147"/>
      <c r="M544" s="77">
        <v>528</v>
      </c>
      <c r="O544" s="77">
        <f t="shared" si="8"/>
        <v>1</v>
      </c>
    </row>
    <row r="545" spans="1:15" x14ac:dyDescent="0.25">
      <c r="A545" s="88" t="str">
        <f>'ENIGHUR Consumption items'!H693</f>
        <v>12.4.1</v>
      </c>
      <c r="B545" s="116">
        <f>_xlfn.NUMBERVALUE(VLOOKUP(A545,'ENIGHUR Consumption items'!$H$2:$I$703,2,))</f>
        <v>1241</v>
      </c>
      <c r="C545" s="88" t="str">
        <f>'ENIGHUR Consumption items'!J693</f>
        <v>PROTECCIÓN SOCIAL</v>
      </c>
      <c r="D545" s="126">
        <v>244</v>
      </c>
      <c r="E545" s="91" t="str">
        <f>IFERROR(VLOOKUP(D545,'symmetric IOT 245 2012'!$C$6:$D$276,2,FALSE),"")</f>
        <v>Otros servicios n.c.p.</v>
      </c>
      <c r="F545" s="80"/>
      <c r="H545" s="77">
        <f>INDEX('Dictionary Categories'!$A$2:$A$30,MATCH(I545,'Dictionary Categories'!$B$2:$B$30,0))</f>
        <v>4</v>
      </c>
      <c r="I545" s="80" t="s">
        <v>586</v>
      </c>
      <c r="J545" s="2">
        <f>INDEX('Dictionary Subcategories'!$A$2:$A$70,MATCH(K545,'Dictionary Subcategories'!$B$2:$B$70,0))</f>
        <v>44</v>
      </c>
      <c r="K545" s="87" t="s">
        <v>2387</v>
      </c>
      <c r="L545" s="151">
        <v>1.5030050284510329E-3</v>
      </c>
      <c r="M545" s="77">
        <v>529</v>
      </c>
      <c r="O545" s="77">
        <f t="shared" si="8"/>
        <v>1</v>
      </c>
    </row>
    <row r="546" spans="1:15" x14ac:dyDescent="0.25">
      <c r="A546" s="88" t="str">
        <f>'ENIGHUR Consumption items'!H625</f>
        <v>08.1.1</v>
      </c>
      <c r="B546" s="116">
        <f>_xlfn.NUMBERVALUE(VLOOKUP(A546,'ENIGHUR Consumption items'!$H$2:$I$703,2,))</f>
        <v>811</v>
      </c>
      <c r="C546" s="88" t="str">
        <f>'ENIGHUR Consumption items'!J625</f>
        <v xml:space="preserve">SERVICIOS POSTALES </v>
      </c>
      <c r="D546" s="126">
        <v>196</v>
      </c>
      <c r="E546" s="91" t="str">
        <f>IFERROR(VLOOKUP(D546,'symmetric IOT 245 2012'!$C$6:$D$276,2,FALSE),"")</f>
        <v>Servicios postales y de mensajería</v>
      </c>
      <c r="F546" s="80"/>
      <c r="H546" s="77">
        <f>INDEX('Dictionary Categories'!$A$2:$A$30,MATCH(I546,'Dictionary Categories'!$B$2:$B$30,0))</f>
        <v>19</v>
      </c>
      <c r="I546" s="2" t="s">
        <v>2359</v>
      </c>
      <c r="J546" s="2">
        <f>INDEX('Dictionary Subcategories'!$A$2:$A$70,MATCH(K546,'Dictionary Subcategories'!$B$2:$B$70,0))</f>
        <v>45</v>
      </c>
      <c r="K546" s="2" t="s">
        <v>2359</v>
      </c>
      <c r="L546" s="147"/>
      <c r="M546" s="77">
        <v>530</v>
      </c>
      <c r="O546" s="77">
        <f t="shared" si="8"/>
        <v>1</v>
      </c>
    </row>
    <row r="547" spans="1:15" x14ac:dyDescent="0.25">
      <c r="A547" s="88" t="str">
        <f>'ENIGHUR Consumption items'!H627</f>
        <v>08.2.1</v>
      </c>
      <c r="B547" s="116">
        <f>_xlfn.NUMBERVALUE(VLOOKUP(A547,'ENIGHUR Consumption items'!$H$2:$I$703,2,))</f>
        <v>821</v>
      </c>
      <c r="C547" s="88" t="str">
        <f>'ENIGHUR Consumption items'!J627</f>
        <v>EQUIPO TELEFÓNICO Y DE FACSÍMILE</v>
      </c>
      <c r="D547" s="126">
        <v>166</v>
      </c>
      <c r="E547" s="91" t="str">
        <f>IFERROR(VLOOKUP(D547,'symmetric IOT 245 2012'!$C$6:$D$276,2,FALSE),"")</f>
        <v>Equipos y aparatos de radio, TV y comunicaciones</v>
      </c>
      <c r="F547" s="80"/>
      <c r="H547" s="77">
        <f>INDEX('Dictionary Categories'!$A$2:$A$30,MATCH(I547,'Dictionary Categories'!$B$2:$B$30,0))</f>
        <v>19</v>
      </c>
      <c r="I547" s="2" t="s">
        <v>2359</v>
      </c>
      <c r="J547" s="2">
        <f>INDEX('Dictionary Subcategories'!$A$2:$A$70,MATCH(K547,'Dictionary Subcategories'!$B$2:$B$70,0))</f>
        <v>45</v>
      </c>
      <c r="K547" s="2" t="s">
        <v>2359</v>
      </c>
      <c r="L547" s="147"/>
      <c r="M547" s="77">
        <v>531</v>
      </c>
      <c r="O547" s="77">
        <f t="shared" si="8"/>
        <v>1</v>
      </c>
    </row>
    <row r="548" spans="1:15" x14ac:dyDescent="0.25">
      <c r="A548" s="88" t="str">
        <f>'ENIGHUR Consumption items'!H629</f>
        <v>08.3.1</v>
      </c>
      <c r="B548" s="116">
        <f>_xlfn.NUMBERVALUE(VLOOKUP(A548,'ENIGHUR Consumption items'!$H$2:$I$703,2,))</f>
        <v>831</v>
      </c>
      <c r="C548" s="88" t="str">
        <f>'ENIGHUR Consumption items'!J629</f>
        <v>SERVICIOS TELEFÓNICOS Y DE FACSÍMILE</v>
      </c>
      <c r="D548" s="126">
        <v>197</v>
      </c>
      <c r="E548" s="91" t="str">
        <f>IFERROR(VLOOKUP(D548,'symmetric IOT 245 2012'!$C$6:$D$276,2,FALSE),"")</f>
        <v>Servicios de Comunicación e información</v>
      </c>
      <c r="F548" s="80"/>
      <c r="H548" s="77">
        <f>INDEX('Dictionary Categories'!$A$2:$A$30,MATCH(I548,'Dictionary Categories'!$B$2:$B$30,0))</f>
        <v>19</v>
      </c>
      <c r="I548" s="2" t="s">
        <v>2359</v>
      </c>
      <c r="J548" s="2">
        <f>INDEX('Dictionary Subcategories'!$A$2:$A$70,MATCH(K548,'Dictionary Subcategories'!$B$2:$B$70,0))</f>
        <v>45</v>
      </c>
      <c r="K548" s="2" t="s">
        <v>2359</v>
      </c>
      <c r="L548" s="147"/>
      <c r="M548" s="77">
        <v>532</v>
      </c>
      <c r="O548" s="77">
        <f t="shared" si="8"/>
        <v>1</v>
      </c>
    </row>
    <row r="549" spans="1:15" x14ac:dyDescent="0.25">
      <c r="A549" s="88" t="str">
        <f>'ENIGHUR Consumption items'!H661</f>
        <v>10.1.1</v>
      </c>
      <c r="B549" s="116">
        <f>_xlfn.NUMBERVALUE(VLOOKUP(A549,'ENIGHUR Consumption items'!$H$2:$I$703,2,))</f>
        <v>1011</v>
      </c>
      <c r="C549" s="88" t="str">
        <f>'ENIGHUR Consumption items'!J661</f>
        <v xml:space="preserve">ENSEÑANZA PREESCOLAR Y ENSEÑANZA PRIMARIA </v>
      </c>
      <c r="D549" s="126">
        <v>233</v>
      </c>
      <c r="E549" s="91" t="str">
        <f>IFERROR(VLOOKUP(D549,'symmetric IOT 245 2012'!$C$6:$D$276,2,FALSE),"")</f>
        <v>Servicios de enseñanza preprimaria y primaria público (no de mercado)</v>
      </c>
      <c r="F549" s="80"/>
      <c r="G549" s="87" t="s">
        <v>2377</v>
      </c>
      <c r="H549" s="77">
        <f>INDEX('Dictionary Categories'!$A$2:$A$30,MATCH(I549,'Dictionary Categories'!$B$2:$B$30,0))</f>
        <v>20</v>
      </c>
      <c r="I549" s="87" t="s">
        <v>2374</v>
      </c>
      <c r="J549" s="2">
        <f>INDEX('Dictionary Subcategories'!$A$2:$A$70,MATCH(K549,'Dictionary Subcategories'!$B$2:$B$70,0))</f>
        <v>46</v>
      </c>
      <c r="K549" s="87" t="s">
        <v>2374</v>
      </c>
      <c r="L549" s="147"/>
      <c r="M549" s="77">
        <v>533</v>
      </c>
      <c r="O549" s="77">
        <f t="shared" si="8"/>
        <v>1</v>
      </c>
    </row>
    <row r="550" spans="1:15" x14ac:dyDescent="0.25">
      <c r="A550" s="88" t="str">
        <f>'ENIGHUR Consumption items'!H663</f>
        <v>10.2.1</v>
      </c>
      <c r="B550" s="116">
        <f>_xlfn.NUMBERVALUE(VLOOKUP(A550,'ENIGHUR Consumption items'!$H$2:$I$703,2,))</f>
        <v>1021</v>
      </c>
      <c r="C550" s="88" t="str">
        <f>'ENIGHUR Consumption items'!J663</f>
        <v xml:space="preserve">ENSEÑANZA SECUNDARIA </v>
      </c>
      <c r="D550" s="126">
        <v>234</v>
      </c>
      <c r="E550" s="91" t="str">
        <f>IFERROR(VLOOKUP(D550,'symmetric IOT 245 2012'!$C$6:$D$276,2,FALSE),"")</f>
        <v>Servicios de enseñanza secundaria público (no de mercado)</v>
      </c>
      <c r="F550" s="80"/>
      <c r="G550" s="87" t="s">
        <v>2378</v>
      </c>
      <c r="H550" s="77">
        <f>INDEX('Dictionary Categories'!$A$2:$A$30,MATCH(I550,'Dictionary Categories'!$B$2:$B$30,0))</f>
        <v>20</v>
      </c>
      <c r="I550" s="87" t="s">
        <v>2374</v>
      </c>
      <c r="J550" s="2">
        <f>INDEX('Dictionary Subcategories'!$A$2:$A$70,MATCH(K550,'Dictionary Subcategories'!$B$2:$B$70,0))</f>
        <v>46</v>
      </c>
      <c r="K550" s="87" t="s">
        <v>2374</v>
      </c>
      <c r="L550" s="147"/>
      <c r="M550" s="77">
        <v>534</v>
      </c>
      <c r="O550" s="77">
        <f t="shared" si="8"/>
        <v>1</v>
      </c>
    </row>
    <row r="551" spans="1:15" x14ac:dyDescent="0.25">
      <c r="A551" s="88" t="str">
        <f>'ENIGHUR Consumption items'!H665</f>
        <v>10.3.1</v>
      </c>
      <c r="B551" s="116">
        <f>_xlfn.NUMBERVALUE(VLOOKUP(A551,'ENIGHUR Consumption items'!$H$2:$I$703,2,))</f>
        <v>1031</v>
      </c>
      <c r="C551" s="88" t="str">
        <f>'ENIGHUR Consumption items'!J665</f>
        <v xml:space="preserve">ENSEÑANZA POST-SECUNDARIA, NO TERCIARIA </v>
      </c>
      <c r="D551" s="126">
        <v>231</v>
      </c>
      <c r="E551" s="91" t="str">
        <f>IFERROR(VLOOKUP(D551,'symmetric IOT 245 2012'!$C$6:$D$276,2,FALSE),"")</f>
        <v>Otros servicios de enseñanza privada (de mercado)</v>
      </c>
      <c r="F551" s="80"/>
      <c r="G551" s="87" t="s">
        <v>2380</v>
      </c>
      <c r="H551" s="77">
        <f>INDEX('Dictionary Categories'!$A$2:$A$30,MATCH(I551,'Dictionary Categories'!$B$2:$B$30,0))</f>
        <v>20</v>
      </c>
      <c r="I551" s="87" t="s">
        <v>2374</v>
      </c>
      <c r="J551" s="2">
        <f>INDEX('Dictionary Subcategories'!$A$2:$A$70,MATCH(K551,'Dictionary Subcategories'!$B$2:$B$70,0))</f>
        <v>46</v>
      </c>
      <c r="K551" s="87" t="s">
        <v>2374</v>
      </c>
      <c r="L551" s="147"/>
      <c r="M551" s="77">
        <v>535</v>
      </c>
      <c r="O551" s="77">
        <f t="shared" si="8"/>
        <v>1</v>
      </c>
    </row>
    <row r="552" spans="1:15" x14ac:dyDescent="0.25">
      <c r="A552" s="88" t="str">
        <f>'ENIGHUR Consumption items'!H667</f>
        <v>10.4.1</v>
      </c>
      <c r="B552" s="116">
        <f>_xlfn.NUMBERVALUE(VLOOKUP(A552,'ENIGHUR Consumption items'!$H$2:$I$703,2,))</f>
        <v>1041</v>
      </c>
      <c r="C552" s="88" t="str">
        <f>'ENIGHUR Consumption items'!J667</f>
        <v>ENSEÑANZA TERCIARIA O UNIVERSITARIA</v>
      </c>
      <c r="D552" s="126">
        <v>235</v>
      </c>
      <c r="E552" s="91" t="str">
        <f>IFERROR(VLOOKUP(D552,'symmetric IOT 245 2012'!$C$6:$D$276,2,FALSE),"")</f>
        <v>Servicios de enseñanza superior público (no de mercado)</v>
      </c>
      <c r="F552" s="80"/>
      <c r="G552" s="87" t="s">
        <v>2379</v>
      </c>
      <c r="H552" s="77">
        <f>INDEX('Dictionary Categories'!$A$2:$A$30,MATCH(I552,'Dictionary Categories'!$B$2:$B$30,0))</f>
        <v>20</v>
      </c>
      <c r="I552" s="87" t="s">
        <v>2374</v>
      </c>
      <c r="J552" s="2">
        <f>INDEX('Dictionary Subcategories'!$A$2:$A$70,MATCH(K552,'Dictionary Subcategories'!$B$2:$B$70,0))</f>
        <v>46</v>
      </c>
      <c r="K552" s="87" t="s">
        <v>2374</v>
      </c>
      <c r="L552" s="147"/>
      <c r="M552" s="77">
        <v>536</v>
      </c>
      <c r="O552" s="77">
        <f t="shared" si="8"/>
        <v>1</v>
      </c>
    </row>
    <row r="553" spans="1:15" x14ac:dyDescent="0.25">
      <c r="A553" s="88" t="str">
        <f>'ENIGHUR Consumption items'!H669</f>
        <v>10.5.1</v>
      </c>
      <c r="B553" s="116">
        <f>_xlfn.NUMBERVALUE(VLOOKUP(A553,'ENIGHUR Consumption items'!$H$2:$I$703,2,))</f>
        <v>1051</v>
      </c>
      <c r="C553" s="88" t="str">
        <f>'ENIGHUR Consumption items'!J669</f>
        <v>ENSEÑANZA NO ATRIBUIBLE A NINGÚN NIVEL</v>
      </c>
      <c r="D553" s="126">
        <v>231</v>
      </c>
      <c r="E553" s="91" t="str">
        <f>IFERROR(VLOOKUP(D553,'symmetric IOT 245 2012'!$C$6:$D$276,2,FALSE),"")</f>
        <v>Otros servicios de enseñanza privada (de mercado)</v>
      </c>
      <c r="F553" s="80"/>
      <c r="G553" s="87" t="s">
        <v>2380</v>
      </c>
      <c r="H553" s="77">
        <f>INDEX('Dictionary Categories'!$A$2:$A$30,MATCH(I553,'Dictionary Categories'!$B$2:$B$30,0))</f>
        <v>20</v>
      </c>
      <c r="I553" s="87" t="s">
        <v>2374</v>
      </c>
      <c r="J553" s="2">
        <f>INDEX('Dictionary Subcategories'!$A$2:$A$70,MATCH(K553,'Dictionary Subcategories'!$B$2:$B$70,0))</f>
        <v>46</v>
      </c>
      <c r="K553" s="87" t="s">
        <v>2374</v>
      </c>
      <c r="L553" s="147"/>
      <c r="M553" s="77">
        <v>537</v>
      </c>
      <c r="O553" s="77">
        <f t="shared" si="8"/>
        <v>1</v>
      </c>
    </row>
    <row r="554" spans="1:15" x14ac:dyDescent="0.25">
      <c r="A554" s="88" t="str">
        <f>'ENIGHUR Consumption items'!H671</f>
        <v>10.6.1</v>
      </c>
      <c r="B554" s="116">
        <f>_xlfn.NUMBERVALUE(VLOOKUP(A554,'ENIGHUR Consumption items'!$H$2:$I$703,2,))</f>
        <v>1061</v>
      </c>
      <c r="C554" s="88" t="str">
        <f>'ENIGHUR Consumption items'!J671</f>
        <v>MATRÍCULAS DE ENSEÑANZA FORMAL</v>
      </c>
      <c r="D554" s="126">
        <v>236</v>
      </c>
      <c r="E554" s="91" t="str">
        <f>IFERROR(VLOOKUP(D554,'symmetric IOT 245 2012'!$C$6:$D$276,2,FALSE),"")</f>
        <v>Otros servicios de enseñanza público (no de mercado)</v>
      </c>
      <c r="F554" s="80"/>
      <c r="G554" s="87" t="s">
        <v>2381</v>
      </c>
      <c r="H554" s="77">
        <f>INDEX('Dictionary Categories'!$A$2:$A$30,MATCH(I554,'Dictionary Categories'!$B$2:$B$30,0))</f>
        <v>20</v>
      </c>
      <c r="I554" s="87" t="s">
        <v>2374</v>
      </c>
      <c r="J554" s="2">
        <f>INDEX('Dictionary Subcategories'!$A$2:$A$70,MATCH(K554,'Dictionary Subcategories'!$B$2:$B$70,0))</f>
        <v>46</v>
      </c>
      <c r="K554" s="87" t="s">
        <v>2374</v>
      </c>
      <c r="L554" s="147"/>
      <c r="M554" s="77">
        <v>538</v>
      </c>
      <c r="O554" s="77">
        <f t="shared" si="8"/>
        <v>1</v>
      </c>
    </row>
    <row r="555" spans="1:15" x14ac:dyDescent="0.25">
      <c r="A555" s="88" t="str">
        <f>'ENIGHUR Consumption items'!H688</f>
        <v>12.2.1</v>
      </c>
      <c r="B555" s="116">
        <f>_xlfn.NUMBERVALUE(VLOOKUP(A555,'ENIGHUR Consumption items'!$H$2:$I$703,2,))</f>
        <v>1221</v>
      </c>
      <c r="C555" s="88" t="str">
        <f>'ENIGHUR Consumption items'!J688</f>
        <v>PROSTITUCIÓN</v>
      </c>
      <c r="D555" s="126">
        <v>244</v>
      </c>
      <c r="E555" s="91" t="str">
        <f>IFERROR(VLOOKUP(D555,'symmetric IOT 245 2012'!$C$6:$D$276,2,FALSE),"")</f>
        <v>Otros servicios n.c.p.</v>
      </c>
      <c r="F555" s="80"/>
      <c r="G555" s="87"/>
      <c r="H555" s="77">
        <f>INDEX('Dictionary Categories'!$A$2:$A$30,MATCH(I555,'Dictionary Categories'!$B$2:$B$30,0))</f>
        <v>4</v>
      </c>
      <c r="I555" s="2" t="s">
        <v>586</v>
      </c>
      <c r="J555" s="2">
        <f>INDEX('Dictionary Subcategories'!$A$2:$A$70,MATCH(K555,'Dictionary Subcategories'!$B$2:$B$70,0))</f>
        <v>16</v>
      </c>
      <c r="K555" s="87" t="s">
        <v>2357</v>
      </c>
      <c r="L555" s="147"/>
      <c r="M555" s="77">
        <v>539</v>
      </c>
      <c r="O555" s="77">
        <f t="shared" si="8"/>
        <v>1</v>
      </c>
    </row>
    <row r="556" spans="1:15" x14ac:dyDescent="0.25">
      <c r="A556" s="83" t="str">
        <f>'ENIGHUR Consumption items'!H342</f>
        <v>02.2.1</v>
      </c>
      <c r="B556" s="116">
        <f>_xlfn.NUMBERVALUE(VLOOKUP(A556,'ENIGHUR Consumption items'!$H$2:$I$703,2,))</f>
        <v>221</v>
      </c>
      <c r="C556" s="83" t="str">
        <f>'ENIGHUR Consumption items'!J342</f>
        <v xml:space="preserve">TABACO </v>
      </c>
      <c r="D556" s="129">
        <v>115</v>
      </c>
      <c r="E556" s="91" t="str">
        <f>IFERROR(VLOOKUP(D556,'symmetric IOT 245 2012'!$C$6:$D$276,2,FALSE),"")</f>
        <v>Cigarrillos y otros productos de tabaco</v>
      </c>
      <c r="F556" s="80"/>
      <c r="G556" s="87"/>
      <c r="H556" s="77">
        <f>INDEX('Dictionary Categories'!$A$2:$A$30,MATCH(I556,'Dictionary Categories'!$B$2:$B$30,0))</f>
        <v>4</v>
      </c>
      <c r="I556" s="2" t="s">
        <v>586</v>
      </c>
      <c r="J556" s="2">
        <f>INDEX('Dictionary Subcategories'!$A$2:$A$70,MATCH(K556,'Dictionary Subcategories'!$B$2:$B$70,0))</f>
        <v>47</v>
      </c>
      <c r="K556" s="87" t="s">
        <v>2469</v>
      </c>
      <c r="L556" s="147">
        <v>2.2503438671842299E-3</v>
      </c>
      <c r="M556" s="77">
        <v>540</v>
      </c>
      <c r="O556" s="77">
        <f t="shared" si="8"/>
        <v>1</v>
      </c>
    </row>
    <row r="557" spans="1:15" x14ac:dyDescent="0.25">
      <c r="A557" s="83" t="str">
        <f>'ENIGHUR Consumption items'!H345</f>
        <v>02.3.1</v>
      </c>
      <c r="B557" s="116">
        <f>_xlfn.NUMBERVALUE(VLOOKUP(A557,'ENIGHUR Consumption items'!$H$2:$I$703,2,))</f>
        <v>231</v>
      </c>
      <c r="C557" s="83" t="str">
        <f>'ENIGHUR Consumption items'!J345</f>
        <v xml:space="preserve">ESTUPEFACIENTES </v>
      </c>
      <c r="D557" s="129">
        <v>115</v>
      </c>
      <c r="E557" s="91" t="str">
        <f>IFERROR(VLOOKUP(D557,'symmetric IOT 245 2012'!$C$6:$D$276,2,FALSE),"")</f>
        <v>Cigarrillos y otros productos de tabaco</v>
      </c>
      <c r="F557" s="80"/>
      <c r="G557" s="80"/>
      <c r="H557" s="77">
        <f>INDEX('Dictionary Categories'!$A$2:$A$30,MATCH(I557,'Dictionary Categories'!$B$2:$B$30,0))</f>
        <v>4</v>
      </c>
      <c r="I557" s="2" t="s">
        <v>586</v>
      </c>
      <c r="J557" s="2">
        <f>INDEX('Dictionary Subcategories'!$A$2:$A$70,MATCH(K557,'Dictionary Subcategories'!$B$2:$B$70,0))</f>
        <v>16</v>
      </c>
      <c r="K557" s="87" t="s">
        <v>2357</v>
      </c>
      <c r="L557" s="147"/>
      <c r="M557" s="77">
        <v>541</v>
      </c>
      <c r="O557" s="77">
        <f t="shared" si="8"/>
        <v>1</v>
      </c>
    </row>
    <row r="558" spans="1:15" x14ac:dyDescent="0.25">
      <c r="A558" s="116" t="s">
        <v>2445</v>
      </c>
      <c r="B558" s="116">
        <v>1703</v>
      </c>
      <c r="C558" s="83" t="s">
        <v>2451</v>
      </c>
      <c r="D558" s="129" t="s">
        <v>2389</v>
      </c>
      <c r="E558" s="91" t="str">
        <f>IFERROR(VLOOKUP(D558,'symmetric IOT 245 2012'!$C$6:$D$276,2,FALSE),"")</f>
        <v>matched on SC/SSC level</v>
      </c>
      <c r="F558" s="80" t="s">
        <v>2437</v>
      </c>
      <c r="G558" s="80"/>
      <c r="H558" s="77">
        <f>INDEX('Dictionary Categories'!$A$2:$A$30,MATCH(I558,'Dictionary Categories'!$B$2:$B$30,0))</f>
        <v>21</v>
      </c>
      <c r="I558" s="80" t="s">
        <v>2465</v>
      </c>
      <c r="J558" s="2">
        <f>INDEX('Dictionary Subcategories'!$A$2:$A$70,MATCH(K558,'Dictionary Subcategories'!$B$2:$B$70,0))</f>
        <v>48</v>
      </c>
      <c r="K558" s="80" t="s">
        <v>2439</v>
      </c>
      <c r="L558" s="147"/>
      <c r="M558" s="77">
        <v>542</v>
      </c>
      <c r="O558" s="77">
        <f t="shared" si="8"/>
        <v>1</v>
      </c>
    </row>
    <row r="559" spans="1:15" x14ac:dyDescent="0.25">
      <c r="A559" s="80" t="s">
        <v>2425</v>
      </c>
      <c r="B559" s="137">
        <v>1703097</v>
      </c>
      <c r="C559" s="80" t="s">
        <v>2441</v>
      </c>
      <c r="D559" s="145">
        <v>51</v>
      </c>
      <c r="E559" s="91" t="str">
        <f>IFERROR(VLOOKUP(D559,'symmetric IOT 245 2012'!$C$6:$D$276,2,FALSE),"")</f>
        <v>Otros productos agrícolas n.c.p.</v>
      </c>
      <c r="F559" s="80" t="s">
        <v>2437</v>
      </c>
      <c r="H559" s="77">
        <f>INDEX('Dictionary Categories'!$A$2:$A$30,MATCH(I559,'Dictionary Categories'!$B$2:$B$30,0))</f>
        <v>21</v>
      </c>
      <c r="I559" s="80" t="s">
        <v>2465</v>
      </c>
      <c r="J559" s="2">
        <f>INDEX('Dictionary Subcategories'!$A$2:$A$70,MATCH(K559,'Dictionary Subcategories'!$B$2:$B$70,0))</f>
        <v>48</v>
      </c>
      <c r="K559" s="80" t="s">
        <v>2439</v>
      </c>
      <c r="L559" s="147"/>
      <c r="M559" s="77">
        <v>543</v>
      </c>
      <c r="O559" s="77">
        <f t="shared" si="8"/>
        <v>0</v>
      </c>
    </row>
    <row r="560" spans="1:15" x14ac:dyDescent="0.25">
      <c r="A560" s="80" t="s">
        <v>2457</v>
      </c>
      <c r="B560" s="137">
        <v>1704</v>
      </c>
      <c r="C560" s="83" t="s">
        <v>2454</v>
      </c>
      <c r="D560" s="145">
        <v>51</v>
      </c>
      <c r="E560" s="91" t="str">
        <f>IFERROR(VLOOKUP(D560,'symmetric IOT 245 2012'!$C$6:$D$276,2,FALSE),"")</f>
        <v>Otros productos agrícolas n.c.p.</v>
      </c>
      <c r="F560" s="80" t="s">
        <v>2437</v>
      </c>
      <c r="H560" s="77">
        <f>INDEX('Dictionary Categories'!$A$2:$A$30,MATCH(I560,'Dictionary Categories'!$B$2:$B$30,0))</f>
        <v>21</v>
      </c>
      <c r="I560" s="80" t="s">
        <v>2465</v>
      </c>
      <c r="J560" s="2">
        <f>INDEX('Dictionary Subcategories'!$A$2:$A$70,MATCH(K560,'Dictionary Subcategories'!$B$2:$B$70,0))</f>
        <v>48</v>
      </c>
      <c r="K560" s="80" t="s">
        <v>2439</v>
      </c>
      <c r="L560" s="147"/>
      <c r="M560" s="77">
        <v>544</v>
      </c>
      <c r="O560" s="77">
        <f t="shared" si="8"/>
        <v>1</v>
      </c>
    </row>
    <row r="561" spans="1:15" x14ac:dyDescent="0.25">
      <c r="A561" s="80" t="s">
        <v>2426</v>
      </c>
      <c r="B561" s="137">
        <v>1704097</v>
      </c>
      <c r="C561" s="80" t="s">
        <v>2442</v>
      </c>
      <c r="D561" s="145">
        <v>51</v>
      </c>
      <c r="E561" s="91" t="str">
        <f>IFERROR(VLOOKUP(D561,'symmetric IOT 245 2012'!$C$6:$D$276,2,FALSE),"")</f>
        <v>Otros productos agrícolas n.c.p.</v>
      </c>
      <c r="F561" s="80" t="s">
        <v>2437</v>
      </c>
      <c r="H561" s="77">
        <f>INDEX('Dictionary Categories'!$A$2:$A$30,MATCH(I561,'Dictionary Categories'!$B$2:$B$30,0))</f>
        <v>21</v>
      </c>
      <c r="I561" s="80" t="s">
        <v>2465</v>
      </c>
      <c r="J561" s="2">
        <f>INDEX('Dictionary Subcategories'!$A$2:$A$70,MATCH(K561,'Dictionary Subcategories'!$B$2:$B$70,0))</f>
        <v>48</v>
      </c>
      <c r="K561" s="80" t="s">
        <v>2439</v>
      </c>
      <c r="L561" s="147"/>
      <c r="M561" s="77">
        <v>545</v>
      </c>
      <c r="O561" s="77">
        <f t="shared" si="8"/>
        <v>0</v>
      </c>
    </row>
    <row r="562" spans="1:15" x14ac:dyDescent="0.25">
      <c r="A562" s="80" t="s">
        <v>2458</v>
      </c>
      <c r="B562" s="137">
        <v>1705</v>
      </c>
      <c r="C562" s="83" t="s">
        <v>2455</v>
      </c>
      <c r="D562" s="145">
        <v>51</v>
      </c>
      <c r="E562" s="91" t="str">
        <f>IFERROR(VLOOKUP(D562,'symmetric IOT 245 2012'!$C$6:$D$276,2,FALSE),"")</f>
        <v>Otros productos agrícolas n.c.p.</v>
      </c>
      <c r="F562" s="80" t="s">
        <v>2437</v>
      </c>
      <c r="H562" s="77">
        <f>INDEX('Dictionary Categories'!$A$2:$A$30,MATCH(I562,'Dictionary Categories'!$B$2:$B$30,0))</f>
        <v>21</v>
      </c>
      <c r="I562" s="80" t="s">
        <v>2465</v>
      </c>
      <c r="J562" s="2">
        <f>INDEX('Dictionary Subcategories'!$A$2:$A$70,MATCH(K562,'Dictionary Subcategories'!$B$2:$B$70,0))</f>
        <v>48</v>
      </c>
      <c r="K562" s="80" t="s">
        <v>2439</v>
      </c>
      <c r="L562" s="147"/>
      <c r="M562" s="77">
        <v>546</v>
      </c>
      <c r="O562" s="77">
        <f t="shared" si="8"/>
        <v>1</v>
      </c>
    </row>
    <row r="563" spans="1:15" x14ac:dyDescent="0.25">
      <c r="A563" s="80" t="s">
        <v>2427</v>
      </c>
      <c r="B563" s="137">
        <v>1705097</v>
      </c>
      <c r="C563" s="80" t="s">
        <v>2443</v>
      </c>
      <c r="D563" s="145">
        <v>51</v>
      </c>
      <c r="E563" s="91" t="str">
        <f>IFERROR(VLOOKUP(D563,'symmetric IOT 245 2012'!$C$6:$D$276,2,FALSE),"")</f>
        <v>Otros productos agrícolas n.c.p.</v>
      </c>
      <c r="F563" s="80" t="s">
        <v>2437</v>
      </c>
      <c r="H563" s="77">
        <f>INDEX('Dictionary Categories'!$A$2:$A$30,MATCH(I563,'Dictionary Categories'!$B$2:$B$30,0))</f>
        <v>21</v>
      </c>
      <c r="I563" s="80" t="s">
        <v>2465</v>
      </c>
      <c r="J563" s="2">
        <f>INDEX('Dictionary Subcategories'!$A$2:$A$70,MATCH(K563,'Dictionary Subcategories'!$B$2:$B$70,0))</f>
        <v>48</v>
      </c>
      <c r="K563" s="80" t="s">
        <v>2439</v>
      </c>
      <c r="L563" s="147"/>
      <c r="M563" s="77">
        <v>547</v>
      </c>
      <c r="O563" s="77">
        <f t="shared" si="8"/>
        <v>0</v>
      </c>
    </row>
    <row r="564" spans="1:15" x14ac:dyDescent="0.25">
      <c r="A564" s="80" t="s">
        <v>2459</v>
      </c>
      <c r="B564" s="137">
        <v>1706</v>
      </c>
      <c r="C564" s="83" t="s">
        <v>2456</v>
      </c>
      <c r="D564" s="145">
        <v>52</v>
      </c>
      <c r="E564" s="91" t="str">
        <f>IFERROR(VLOOKUP(D564,'symmetric IOT 245 2012'!$C$6:$D$276,2,FALSE),"")</f>
        <v>Servicios relacionados con la agricultura</v>
      </c>
      <c r="F564" s="80" t="s">
        <v>2437</v>
      </c>
      <c r="H564" s="77">
        <f>INDEX('Dictionary Categories'!$A$2:$A$30,MATCH(I564,'Dictionary Categories'!$B$2:$B$30,0))</f>
        <v>21</v>
      </c>
      <c r="I564" s="80" t="s">
        <v>2465</v>
      </c>
      <c r="J564" s="2">
        <f>INDEX('Dictionary Subcategories'!$A$2:$A$70,MATCH(K564,'Dictionary Subcategories'!$B$2:$B$70,0))</f>
        <v>48</v>
      </c>
      <c r="K564" s="80" t="s">
        <v>2439</v>
      </c>
      <c r="L564" s="147"/>
      <c r="M564" s="77">
        <v>548</v>
      </c>
      <c r="O564" s="77">
        <f t="shared" si="8"/>
        <v>1</v>
      </c>
    </row>
    <row r="565" spans="1:15" x14ac:dyDescent="0.25">
      <c r="A565" s="80" t="s">
        <v>2428</v>
      </c>
      <c r="B565" s="137">
        <v>1706097</v>
      </c>
      <c r="C565" s="87" t="s">
        <v>2444</v>
      </c>
      <c r="D565" s="145">
        <v>52</v>
      </c>
      <c r="E565" s="91" t="str">
        <f>IFERROR(VLOOKUP(D565,'symmetric IOT 245 2012'!$C$6:$D$276,2,FALSE),"")</f>
        <v>Servicios relacionados con la agricultura</v>
      </c>
      <c r="F565" s="80" t="s">
        <v>2437</v>
      </c>
      <c r="H565" s="77">
        <f>INDEX('Dictionary Categories'!$A$2:$A$30,MATCH(I565,'Dictionary Categories'!$B$2:$B$30,0))</f>
        <v>21</v>
      </c>
      <c r="I565" s="80" t="s">
        <v>2465</v>
      </c>
      <c r="J565" s="2">
        <f>INDEX('Dictionary Subcategories'!$A$2:$A$70,MATCH(K565,'Dictionary Subcategories'!$B$2:$B$70,0))</f>
        <v>48</v>
      </c>
      <c r="K565" s="80" t="s">
        <v>2439</v>
      </c>
      <c r="L565" s="147"/>
      <c r="M565" s="77">
        <v>549</v>
      </c>
      <c r="O565" s="77">
        <f t="shared" si="8"/>
        <v>0</v>
      </c>
    </row>
    <row r="566" spans="1:15" x14ac:dyDescent="0.25">
      <c r="A566" s="87" t="s">
        <v>2447</v>
      </c>
      <c r="B566" s="137">
        <v>1801</v>
      </c>
      <c r="C566" s="87" t="s">
        <v>2446</v>
      </c>
      <c r="D566" s="127" t="s">
        <v>2389</v>
      </c>
      <c r="E566" s="91" t="str">
        <f>IFERROR(VLOOKUP(D566,'symmetric IOT 245 2012'!$C$6:$D$276,2,FALSE),"")</f>
        <v>matched on SC/SSC level</v>
      </c>
      <c r="F566" s="80" t="s">
        <v>2438</v>
      </c>
      <c r="H566" s="77">
        <f>INDEX('Dictionary Categories'!$A$2:$A$30,MATCH(I566,'Dictionary Categories'!$B$2:$B$30,0))</f>
        <v>22</v>
      </c>
      <c r="I566" s="87" t="s">
        <v>2440</v>
      </c>
      <c r="J566" s="2">
        <f>INDEX('Dictionary Subcategories'!$A$2:$A$70,MATCH(K566,'Dictionary Subcategories'!$B$2:$B$70,0))</f>
        <v>49</v>
      </c>
      <c r="K566" s="87" t="s">
        <v>2440</v>
      </c>
      <c r="L566" s="147"/>
      <c r="M566" s="77">
        <v>550</v>
      </c>
      <c r="O566" s="77">
        <f t="shared" si="8"/>
        <v>1</v>
      </c>
    </row>
    <row r="567" spans="1:15" x14ac:dyDescent="0.25">
      <c r="A567" s="80" t="s">
        <v>2430</v>
      </c>
      <c r="B567" s="137">
        <v>1801001</v>
      </c>
      <c r="C567" s="77" t="s">
        <v>2429</v>
      </c>
      <c r="D567" s="145">
        <v>180</v>
      </c>
      <c r="E567" s="91" t="str">
        <f>IFERROR(VLOOKUP(D567,'symmetric IOT 245 2012'!$C$6:$D$276,2,FALSE),"")</f>
        <v>Construcción</v>
      </c>
      <c r="F567" s="80" t="s">
        <v>2438</v>
      </c>
      <c r="H567" s="77">
        <f>INDEX('Dictionary Categories'!$A$2:$A$30,MATCH(I567,'Dictionary Categories'!$B$2:$B$30,0))</f>
        <v>22</v>
      </c>
      <c r="I567" s="87" t="s">
        <v>2440</v>
      </c>
      <c r="J567" s="2">
        <f>INDEX('Dictionary Subcategories'!$A$2:$A$70,MATCH(K567,'Dictionary Subcategories'!$B$2:$B$70,0))</f>
        <v>49</v>
      </c>
      <c r="K567" s="87" t="s">
        <v>2440</v>
      </c>
      <c r="L567" s="147"/>
      <c r="M567" s="77">
        <v>551</v>
      </c>
      <c r="O567" s="77">
        <f t="shared" si="8"/>
        <v>0</v>
      </c>
    </row>
    <row r="568" spans="1:15" x14ac:dyDescent="0.25">
      <c r="A568" s="136" t="s">
        <v>2435</v>
      </c>
      <c r="B568" s="137">
        <v>1801002</v>
      </c>
      <c r="C568" s="77" t="s">
        <v>2432</v>
      </c>
      <c r="D568" s="145">
        <v>180</v>
      </c>
      <c r="E568" s="91" t="str">
        <f>IFERROR(VLOOKUP(D568,'symmetric IOT 245 2012'!$C$6:$D$276,2,FALSE),"")</f>
        <v>Construcción</v>
      </c>
      <c r="F568" s="80" t="s">
        <v>2438</v>
      </c>
      <c r="H568" s="77">
        <f>INDEX('Dictionary Categories'!$A$2:$A$30,MATCH(I568,'Dictionary Categories'!$B$2:$B$30,0))</f>
        <v>22</v>
      </c>
      <c r="I568" s="87" t="s">
        <v>2440</v>
      </c>
      <c r="J568" s="2">
        <f>INDEX('Dictionary Subcategories'!$A$2:$A$70,MATCH(K568,'Dictionary Subcategories'!$B$2:$B$70,0))</f>
        <v>49</v>
      </c>
      <c r="K568" s="87" t="s">
        <v>2440</v>
      </c>
      <c r="L568" s="147"/>
      <c r="M568" s="77">
        <v>552</v>
      </c>
      <c r="O568" s="77">
        <f t="shared" si="8"/>
        <v>0</v>
      </c>
    </row>
    <row r="569" spans="1:15" x14ac:dyDescent="0.25">
      <c r="A569" s="80" t="s">
        <v>2434</v>
      </c>
      <c r="B569" s="137">
        <v>1801003</v>
      </c>
      <c r="C569" s="80" t="s">
        <v>2431</v>
      </c>
      <c r="D569" s="146">
        <v>180</v>
      </c>
      <c r="E569" s="91" t="str">
        <f>IFERROR(VLOOKUP(D569,'symmetric IOT 245 2012'!$C$6:$D$276,2,FALSE),"")</f>
        <v>Construcción</v>
      </c>
      <c r="F569" s="80" t="s">
        <v>2438</v>
      </c>
      <c r="H569" s="77">
        <f>INDEX('Dictionary Categories'!$A$2:$A$30,MATCH(I569,'Dictionary Categories'!$B$2:$B$30,0))</f>
        <v>22</v>
      </c>
      <c r="I569" s="87" t="s">
        <v>2440</v>
      </c>
      <c r="J569" s="2">
        <f>INDEX('Dictionary Subcategories'!$A$2:$A$70,MATCH(K569,'Dictionary Subcategories'!$B$2:$B$70,0))</f>
        <v>49</v>
      </c>
      <c r="K569" s="87" t="s">
        <v>2440</v>
      </c>
      <c r="L569" s="147"/>
      <c r="M569" s="77">
        <v>553</v>
      </c>
      <c r="O569" s="77">
        <f t="shared" si="8"/>
        <v>0</v>
      </c>
    </row>
    <row r="570" spans="1:15" x14ac:dyDescent="0.25">
      <c r="A570" s="136" t="s">
        <v>2436</v>
      </c>
      <c r="B570" s="137">
        <v>1801004</v>
      </c>
      <c r="C570" s="77" t="s">
        <v>2433</v>
      </c>
      <c r="D570" s="146">
        <v>180</v>
      </c>
      <c r="E570" s="91" t="str">
        <f>IFERROR(VLOOKUP(D570,'symmetric IOT 245 2012'!$C$6:$D$276,2,FALSE),"")</f>
        <v>Construcción</v>
      </c>
      <c r="F570" s="80" t="s">
        <v>2438</v>
      </c>
      <c r="H570" s="77">
        <f>INDEX('Dictionary Categories'!$A$2:$A$30,MATCH(I570,'Dictionary Categories'!$B$2:$B$30,0))</f>
        <v>22</v>
      </c>
      <c r="I570" s="87" t="s">
        <v>2440</v>
      </c>
      <c r="J570" s="2">
        <f>INDEX('Dictionary Subcategories'!$A$2:$A$70,MATCH(K570,'Dictionary Subcategories'!$B$2:$B$70,0))</f>
        <v>49</v>
      </c>
      <c r="K570" s="87" t="s">
        <v>2440</v>
      </c>
      <c r="L570" s="147"/>
      <c r="M570" s="77">
        <v>554</v>
      </c>
      <c r="O570" s="77">
        <f t="shared" si="8"/>
        <v>0</v>
      </c>
    </row>
    <row r="571" spans="1:15" x14ac:dyDescent="0.25">
      <c r="A571"/>
      <c r="B571"/>
      <c r="C571"/>
      <c r="D571"/>
      <c r="E571"/>
      <c r="F571"/>
      <c r="G571"/>
      <c r="H571"/>
      <c r="I571"/>
      <c r="J571"/>
      <c r="K571"/>
      <c r="O571" s="87">
        <f>SUM(O3:O570)</f>
        <v>127</v>
      </c>
    </row>
    <row r="572" spans="1:15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5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5" x14ac:dyDescent="0.25">
      <c r="H574" s="87"/>
    </row>
    <row r="575" spans="1:15" x14ac:dyDescent="0.25">
      <c r="A575" s="140" t="s">
        <v>2450</v>
      </c>
      <c r="B575" s="137"/>
      <c r="H575" s="87"/>
    </row>
    <row r="576" spans="1:15" x14ac:dyDescent="0.25">
      <c r="B576" s="137"/>
      <c r="H576" s="87"/>
    </row>
    <row r="577" spans="2:8" x14ac:dyDescent="0.25">
      <c r="B577" s="137"/>
      <c r="H577" s="87"/>
    </row>
    <row r="578" spans="2:8" x14ac:dyDescent="0.25">
      <c r="B578" s="137"/>
      <c r="H578" s="87"/>
    </row>
    <row r="579" spans="2:8" x14ac:dyDescent="0.25">
      <c r="B579" s="137"/>
      <c r="H579" s="87"/>
    </row>
    <row r="580" spans="2:8" x14ac:dyDescent="0.25">
      <c r="B580" s="137"/>
      <c r="H580" s="87"/>
    </row>
    <row r="581" spans="2:8" x14ac:dyDescent="0.25">
      <c r="B581" s="137"/>
      <c r="H581" s="87"/>
    </row>
    <row r="582" spans="2:8" x14ac:dyDescent="0.25">
      <c r="B582" s="137"/>
      <c r="H582" s="87"/>
    </row>
    <row r="583" spans="2:8" x14ac:dyDescent="0.25">
      <c r="H583" s="87"/>
    </row>
    <row r="584" spans="2:8" x14ac:dyDescent="0.25">
      <c r="H584" s="87"/>
    </row>
    <row r="585" spans="2:8" x14ac:dyDescent="0.25">
      <c r="H585" s="87"/>
    </row>
    <row r="586" spans="2:8" x14ac:dyDescent="0.25">
      <c r="H586" s="87"/>
    </row>
    <row r="587" spans="2:8" x14ac:dyDescent="0.25">
      <c r="H587" s="87"/>
    </row>
    <row r="588" spans="2:8" x14ac:dyDescent="0.25">
      <c r="H588" s="87"/>
    </row>
    <row r="589" spans="2:8" x14ac:dyDescent="0.25">
      <c r="H589" s="87"/>
    </row>
    <row r="590" spans="2:8" x14ac:dyDescent="0.25">
      <c r="H590" s="87"/>
    </row>
    <row r="591" spans="2:8" x14ac:dyDescent="0.25">
      <c r="H591" s="87"/>
    </row>
    <row r="592" spans="2:8" x14ac:dyDescent="0.25">
      <c r="H592" s="87"/>
    </row>
    <row r="593" spans="8:8" x14ac:dyDescent="0.25">
      <c r="H593" s="87"/>
    </row>
    <row r="594" spans="8:8" x14ac:dyDescent="0.25">
      <c r="H594" s="87"/>
    </row>
    <row r="595" spans="8:8" x14ac:dyDescent="0.25">
      <c r="H595" s="87"/>
    </row>
    <row r="596" spans="8:8" x14ac:dyDescent="0.25">
      <c r="H596" s="87"/>
    </row>
    <row r="597" spans="8:8" x14ac:dyDescent="0.25">
      <c r="H597" s="87"/>
    </row>
    <row r="598" spans="8:8" x14ac:dyDescent="0.25">
      <c r="H598" s="87"/>
    </row>
    <row r="599" spans="8:8" x14ac:dyDescent="0.25">
      <c r="H599" s="87"/>
    </row>
    <row r="600" spans="8:8" x14ac:dyDescent="0.25">
      <c r="H600" s="87"/>
    </row>
    <row r="601" spans="8:8" x14ac:dyDescent="0.25">
      <c r="H601" s="87"/>
    </row>
    <row r="602" spans="8:8" x14ac:dyDescent="0.25">
      <c r="H602" s="87"/>
    </row>
    <row r="603" spans="8:8" x14ac:dyDescent="0.25">
      <c r="H603" s="87"/>
    </row>
    <row r="604" spans="8:8" x14ac:dyDescent="0.25">
      <c r="H604" s="87"/>
    </row>
    <row r="605" spans="8:8" x14ac:dyDescent="0.25">
      <c r="H605" s="87"/>
    </row>
    <row r="606" spans="8:8" x14ac:dyDescent="0.25">
      <c r="H606" s="87"/>
    </row>
    <row r="607" spans="8:8" x14ac:dyDescent="0.25">
      <c r="H607" s="87"/>
    </row>
    <row r="608" spans="8:8" x14ac:dyDescent="0.25">
      <c r="H608" s="87"/>
    </row>
    <row r="609" spans="8:8" x14ac:dyDescent="0.25">
      <c r="H609" s="87"/>
    </row>
    <row r="610" spans="8:8" x14ac:dyDescent="0.25">
      <c r="H610" s="87"/>
    </row>
    <row r="611" spans="8:8" x14ac:dyDescent="0.25">
      <c r="H611" s="87"/>
    </row>
    <row r="612" spans="8:8" x14ac:dyDescent="0.25">
      <c r="H612" s="87"/>
    </row>
    <row r="613" spans="8:8" x14ac:dyDescent="0.25">
      <c r="H613" s="87"/>
    </row>
    <row r="614" spans="8:8" x14ac:dyDescent="0.25">
      <c r="H614" s="87"/>
    </row>
  </sheetData>
  <autoFilter ref="A2:L570" xr:uid="{00000000-0009-0000-0000-000001000000}"/>
  <mergeCells count="3">
    <mergeCell ref="D1:E1"/>
    <mergeCell ref="H1:I1"/>
    <mergeCell ref="J1:K1"/>
  </mergeCells>
  <conditionalFormatting sqref="A3:C570">
    <cfRule type="expression" dxfId="33" priority="23">
      <formula>RIGHT($A3,2)="00"</formula>
    </cfRule>
    <cfRule type="expression" dxfId="32" priority="24">
      <formula>LEFT(RIGHT($A3,2),1)="."</formula>
    </cfRule>
  </conditionalFormatting>
  <conditionalFormatting sqref="D2:D558">
    <cfRule type="expression" dxfId="31" priority="10">
      <formula>$D2="?"</formula>
    </cfRule>
  </conditionalFormatting>
  <conditionalFormatting sqref="A561:C562">
    <cfRule type="expression" dxfId="30" priority="6">
      <formula>RIGHT($A561,2)="00"</formula>
    </cfRule>
  </conditionalFormatting>
  <conditionalFormatting sqref="A565:C565">
    <cfRule type="expression" dxfId="29" priority="5">
      <formula>RIGHT($A565,2)="00"</formula>
    </cfRule>
  </conditionalFormatting>
  <conditionalFormatting sqref="A567:C567">
    <cfRule type="expression" dxfId="28" priority="4">
      <formula>RIGHT($A567,2)="00"</formula>
    </cfRule>
  </conditionalFormatting>
  <conditionalFormatting sqref="C560">
    <cfRule type="expression" dxfId="27" priority="3">
      <formula>RIGHT($A560,2)="00"</formula>
    </cfRule>
  </conditionalFormatting>
  <conditionalFormatting sqref="C562">
    <cfRule type="expression" dxfId="26" priority="2">
      <formula>RIGHT($A562,2)="00"</formula>
    </cfRule>
  </conditionalFormatting>
  <conditionalFormatting sqref="C564">
    <cfRule type="expression" dxfId="25" priority="1">
      <formula>RIGHT($A564,2)="00"</formula>
    </cfRule>
  </conditionalFormatting>
  <conditionalFormatting sqref="C1">
    <cfRule type="expression" dxfId="24" priority="9775">
      <formula>LEFT(RIGHT($C1,2),1)="."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"/>
  <sheetViews>
    <sheetView workbookViewId="0">
      <selection activeCell="L18" sqref="L18"/>
    </sheetView>
  </sheetViews>
  <sheetFormatPr defaultColWidth="9.14062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E3602"/>
  <sheetViews>
    <sheetView workbookViewId="0">
      <pane ySplit="1" topLeftCell="A3554" activePane="bottomLeft" state="frozen"/>
      <selection pane="bottomLeft" activeCell="E3562" sqref="E3562"/>
    </sheetView>
  </sheetViews>
  <sheetFormatPr defaultColWidth="11.42578125" defaultRowHeight="15" x14ac:dyDescent="0.25"/>
  <cols>
    <col min="1" max="1" width="14.7109375" bestFit="1" customWidth="1"/>
    <col min="2" max="2" width="4" bestFit="1" customWidth="1"/>
    <col min="3" max="3" width="12.140625" bestFit="1" customWidth="1"/>
    <col min="4" max="4" width="15.28515625" bestFit="1" customWidth="1"/>
  </cols>
  <sheetData>
    <row r="1" spans="1:5" x14ac:dyDescent="0.25">
      <c r="A1" s="138" t="s">
        <v>2473</v>
      </c>
      <c r="B1" s="18" t="s">
        <v>2420</v>
      </c>
      <c r="C1" s="18" t="s">
        <v>2423</v>
      </c>
      <c r="D1" s="18" t="s">
        <v>2424</v>
      </c>
      <c r="E1">
        <f>SUM(E2:E3602)</f>
        <v>5</v>
      </c>
    </row>
    <row r="2" spans="1:5" x14ac:dyDescent="0.25">
      <c r="A2" s="139">
        <v>111000</v>
      </c>
      <c r="B2">
        <v>104</v>
      </c>
      <c r="C2">
        <v>1</v>
      </c>
      <c r="D2">
        <v>1</v>
      </c>
    </row>
    <row r="3" spans="1:5" x14ac:dyDescent="0.25">
      <c r="A3" s="138">
        <v>111001</v>
      </c>
      <c r="B3">
        <v>104</v>
      </c>
      <c r="C3">
        <v>1</v>
      </c>
      <c r="D3">
        <v>1</v>
      </c>
      <c r="E3" t="str">
        <f t="shared" ref="E3:E66" si="0">IF(B3=B2,IF(C2=C3,"",1),"")</f>
        <v/>
      </c>
    </row>
    <row r="4" spans="1:5" x14ac:dyDescent="0.25">
      <c r="A4" s="138">
        <v>111002</v>
      </c>
      <c r="B4">
        <v>104</v>
      </c>
      <c r="C4">
        <v>1</v>
      </c>
      <c r="D4">
        <v>1</v>
      </c>
      <c r="E4" s="2" t="str">
        <f t="shared" si="0"/>
        <v/>
      </c>
    </row>
    <row r="5" spans="1:5" x14ac:dyDescent="0.25">
      <c r="A5" s="138">
        <v>111003</v>
      </c>
      <c r="B5">
        <v>104</v>
      </c>
      <c r="C5">
        <v>1</v>
      </c>
      <c r="D5">
        <v>1</v>
      </c>
      <c r="E5" s="2" t="str">
        <f t="shared" si="0"/>
        <v/>
      </c>
    </row>
    <row r="6" spans="1:5" x14ac:dyDescent="0.25">
      <c r="A6" s="138">
        <v>111004</v>
      </c>
      <c r="B6">
        <v>104</v>
      </c>
      <c r="C6">
        <v>1</v>
      </c>
      <c r="D6">
        <v>1</v>
      </c>
      <c r="E6" s="2" t="str">
        <f t="shared" si="0"/>
        <v/>
      </c>
    </row>
    <row r="7" spans="1:5" x14ac:dyDescent="0.25">
      <c r="A7" s="138">
        <v>111005</v>
      </c>
      <c r="B7">
        <v>104</v>
      </c>
      <c r="C7">
        <v>1</v>
      </c>
      <c r="D7">
        <v>1</v>
      </c>
      <c r="E7" s="2" t="str">
        <f t="shared" si="0"/>
        <v/>
      </c>
    </row>
    <row r="8" spans="1:5" x14ac:dyDescent="0.25">
      <c r="A8" s="138">
        <v>111006</v>
      </c>
      <c r="B8">
        <v>104</v>
      </c>
      <c r="C8">
        <v>1</v>
      </c>
      <c r="D8">
        <v>1</v>
      </c>
      <c r="E8" s="2" t="str">
        <f t="shared" si="0"/>
        <v/>
      </c>
    </row>
    <row r="9" spans="1:5" x14ac:dyDescent="0.25">
      <c r="A9" s="138">
        <v>111007</v>
      </c>
      <c r="B9">
        <v>104</v>
      </c>
      <c r="C9">
        <v>1</v>
      </c>
      <c r="D9">
        <v>1</v>
      </c>
      <c r="E9" s="2" t="str">
        <f t="shared" si="0"/>
        <v/>
      </c>
    </row>
    <row r="10" spans="1:5" x14ac:dyDescent="0.25">
      <c r="A10" s="138">
        <v>111008</v>
      </c>
      <c r="B10">
        <v>104</v>
      </c>
      <c r="C10">
        <v>1</v>
      </c>
      <c r="D10">
        <v>1</v>
      </c>
      <c r="E10" s="2" t="str">
        <f t="shared" si="0"/>
        <v/>
      </c>
    </row>
    <row r="11" spans="1:5" x14ac:dyDescent="0.25">
      <c r="A11" s="138">
        <v>111009</v>
      </c>
      <c r="B11">
        <v>104</v>
      </c>
      <c r="C11">
        <v>1</v>
      </c>
      <c r="D11">
        <v>1</v>
      </c>
      <c r="E11" s="2" t="str">
        <f t="shared" si="0"/>
        <v/>
      </c>
    </row>
    <row r="12" spans="1:5" x14ac:dyDescent="0.25">
      <c r="A12" s="138">
        <v>111010</v>
      </c>
      <c r="B12">
        <v>104</v>
      </c>
      <c r="C12">
        <v>1</v>
      </c>
      <c r="D12">
        <v>1</v>
      </c>
      <c r="E12" s="2" t="str">
        <f t="shared" si="0"/>
        <v/>
      </c>
    </row>
    <row r="13" spans="1:5" x14ac:dyDescent="0.25">
      <c r="A13" s="138">
        <v>111011</v>
      </c>
      <c r="B13">
        <v>104</v>
      </c>
      <c r="C13">
        <v>1</v>
      </c>
      <c r="D13">
        <v>1</v>
      </c>
      <c r="E13" s="2" t="str">
        <f t="shared" si="0"/>
        <v/>
      </c>
    </row>
    <row r="14" spans="1:5" x14ac:dyDescent="0.25">
      <c r="A14" s="138">
        <v>111012</v>
      </c>
      <c r="B14">
        <v>104</v>
      </c>
      <c r="C14">
        <v>1</v>
      </c>
      <c r="D14">
        <v>1</v>
      </c>
      <c r="E14" s="2" t="str">
        <f t="shared" si="0"/>
        <v/>
      </c>
    </row>
    <row r="15" spans="1:5" x14ac:dyDescent="0.25">
      <c r="A15" s="138">
        <v>111013</v>
      </c>
      <c r="B15">
        <v>104</v>
      </c>
      <c r="C15">
        <v>1</v>
      </c>
      <c r="D15">
        <v>1</v>
      </c>
      <c r="E15" s="2" t="str">
        <f t="shared" si="0"/>
        <v/>
      </c>
    </row>
    <row r="16" spans="1:5" x14ac:dyDescent="0.25">
      <c r="A16" s="138">
        <v>111014</v>
      </c>
      <c r="B16">
        <v>104</v>
      </c>
      <c r="C16">
        <v>1</v>
      </c>
      <c r="D16">
        <v>1</v>
      </c>
      <c r="E16" s="2" t="str">
        <f t="shared" si="0"/>
        <v/>
      </c>
    </row>
    <row r="17" spans="1:5" x14ac:dyDescent="0.25">
      <c r="A17" s="138">
        <v>111015</v>
      </c>
      <c r="B17">
        <v>104</v>
      </c>
      <c r="C17">
        <v>1</v>
      </c>
      <c r="D17">
        <v>1</v>
      </c>
      <c r="E17" s="2" t="str">
        <f t="shared" si="0"/>
        <v/>
      </c>
    </row>
    <row r="18" spans="1:5" x14ac:dyDescent="0.25">
      <c r="A18" s="138">
        <v>111016</v>
      </c>
      <c r="B18">
        <v>104</v>
      </c>
      <c r="C18">
        <v>1</v>
      </c>
      <c r="D18">
        <v>1</v>
      </c>
      <c r="E18" s="2" t="str">
        <f t="shared" si="0"/>
        <v/>
      </c>
    </row>
    <row r="19" spans="1:5" x14ac:dyDescent="0.25">
      <c r="A19" s="138">
        <v>111017</v>
      </c>
      <c r="B19">
        <v>104</v>
      </c>
      <c r="C19">
        <v>1</v>
      </c>
      <c r="D19">
        <v>1</v>
      </c>
      <c r="E19" s="2" t="str">
        <f t="shared" si="0"/>
        <v/>
      </c>
    </row>
    <row r="20" spans="1:5" x14ac:dyDescent="0.25">
      <c r="A20" s="138">
        <v>111018</v>
      </c>
      <c r="B20">
        <v>104</v>
      </c>
      <c r="C20">
        <v>1</v>
      </c>
      <c r="D20">
        <v>1</v>
      </c>
      <c r="E20" s="2" t="str">
        <f t="shared" si="0"/>
        <v/>
      </c>
    </row>
    <row r="21" spans="1:5" x14ac:dyDescent="0.25">
      <c r="A21" s="138">
        <v>111019</v>
      </c>
      <c r="B21">
        <v>104</v>
      </c>
      <c r="C21">
        <v>1</v>
      </c>
      <c r="D21">
        <v>1</v>
      </c>
      <c r="E21" s="2" t="str">
        <f t="shared" si="0"/>
        <v/>
      </c>
    </row>
    <row r="22" spans="1:5" x14ac:dyDescent="0.25">
      <c r="A22" s="138">
        <v>111020</v>
      </c>
      <c r="B22">
        <v>104</v>
      </c>
      <c r="C22">
        <v>1</v>
      </c>
      <c r="D22">
        <v>1</v>
      </c>
      <c r="E22" s="2" t="str">
        <f t="shared" si="0"/>
        <v/>
      </c>
    </row>
    <row r="23" spans="1:5" x14ac:dyDescent="0.25">
      <c r="A23" s="138">
        <v>111021</v>
      </c>
      <c r="B23">
        <v>104</v>
      </c>
      <c r="C23">
        <v>1</v>
      </c>
      <c r="D23">
        <v>1</v>
      </c>
      <c r="E23" s="2" t="str">
        <f t="shared" si="0"/>
        <v/>
      </c>
    </row>
    <row r="24" spans="1:5" x14ac:dyDescent="0.25">
      <c r="A24" s="138">
        <v>111022</v>
      </c>
      <c r="B24">
        <v>104</v>
      </c>
      <c r="C24">
        <v>1</v>
      </c>
      <c r="D24">
        <v>1</v>
      </c>
      <c r="E24" s="2" t="str">
        <f t="shared" si="0"/>
        <v/>
      </c>
    </row>
    <row r="25" spans="1:5" x14ac:dyDescent="0.25">
      <c r="A25" s="138">
        <v>111023</v>
      </c>
      <c r="B25">
        <v>104</v>
      </c>
      <c r="C25">
        <v>1</v>
      </c>
      <c r="D25">
        <v>1</v>
      </c>
      <c r="E25" s="2" t="str">
        <f t="shared" si="0"/>
        <v/>
      </c>
    </row>
    <row r="26" spans="1:5" x14ac:dyDescent="0.25">
      <c r="A26" s="138">
        <v>111024</v>
      </c>
      <c r="B26">
        <v>104</v>
      </c>
      <c r="C26">
        <v>1</v>
      </c>
      <c r="D26">
        <v>1</v>
      </c>
      <c r="E26" s="2" t="str">
        <f t="shared" si="0"/>
        <v/>
      </c>
    </row>
    <row r="27" spans="1:5" x14ac:dyDescent="0.25">
      <c r="A27" s="138">
        <v>111025</v>
      </c>
      <c r="B27">
        <v>104</v>
      </c>
      <c r="C27">
        <v>1</v>
      </c>
      <c r="D27">
        <v>1</v>
      </c>
      <c r="E27" s="2" t="str">
        <f t="shared" si="0"/>
        <v/>
      </c>
    </row>
    <row r="28" spans="1:5" x14ac:dyDescent="0.25">
      <c r="A28" s="138">
        <v>111026</v>
      </c>
      <c r="B28">
        <v>104</v>
      </c>
      <c r="C28">
        <v>1</v>
      </c>
      <c r="D28">
        <v>1</v>
      </c>
      <c r="E28" s="2" t="str">
        <f t="shared" si="0"/>
        <v/>
      </c>
    </row>
    <row r="29" spans="1:5" x14ac:dyDescent="0.25">
      <c r="A29" s="138">
        <v>111027</v>
      </c>
      <c r="B29">
        <v>104</v>
      </c>
      <c r="C29">
        <v>1</v>
      </c>
      <c r="D29">
        <v>1</v>
      </c>
      <c r="E29" s="2" t="str">
        <f t="shared" si="0"/>
        <v/>
      </c>
    </row>
    <row r="30" spans="1:5" x14ac:dyDescent="0.25">
      <c r="A30" s="138">
        <v>111028</v>
      </c>
      <c r="B30">
        <v>104</v>
      </c>
      <c r="C30">
        <v>1</v>
      </c>
      <c r="D30">
        <v>1</v>
      </c>
      <c r="E30" s="2" t="str">
        <f t="shared" si="0"/>
        <v/>
      </c>
    </row>
    <row r="31" spans="1:5" x14ac:dyDescent="0.25">
      <c r="A31" s="138">
        <v>111099</v>
      </c>
      <c r="B31">
        <v>104</v>
      </c>
      <c r="C31">
        <v>1</v>
      </c>
      <c r="D31">
        <v>1</v>
      </c>
      <c r="E31" s="2" t="str">
        <f t="shared" si="0"/>
        <v/>
      </c>
    </row>
    <row r="32" spans="1:5" x14ac:dyDescent="0.25">
      <c r="A32" s="138">
        <v>111100</v>
      </c>
      <c r="B32">
        <v>104</v>
      </c>
      <c r="C32">
        <v>1</v>
      </c>
      <c r="D32">
        <v>1</v>
      </c>
      <c r="E32" s="2" t="str">
        <f t="shared" si="0"/>
        <v/>
      </c>
    </row>
    <row r="33" spans="1:5" x14ac:dyDescent="0.25">
      <c r="A33" s="138">
        <v>111101</v>
      </c>
      <c r="B33">
        <v>104</v>
      </c>
      <c r="C33">
        <v>1</v>
      </c>
      <c r="D33">
        <v>1</v>
      </c>
      <c r="E33" s="2" t="str">
        <f t="shared" si="0"/>
        <v/>
      </c>
    </row>
    <row r="34" spans="1:5" x14ac:dyDescent="0.25">
      <c r="A34" s="138">
        <v>111102</v>
      </c>
      <c r="B34">
        <v>104</v>
      </c>
      <c r="C34">
        <v>1</v>
      </c>
      <c r="D34">
        <v>1</v>
      </c>
      <c r="E34" s="2" t="str">
        <f t="shared" si="0"/>
        <v/>
      </c>
    </row>
    <row r="35" spans="1:5" x14ac:dyDescent="0.25">
      <c r="A35" s="138">
        <v>111103</v>
      </c>
      <c r="B35">
        <v>104</v>
      </c>
      <c r="C35">
        <v>1</v>
      </c>
      <c r="D35">
        <v>1</v>
      </c>
      <c r="E35" s="2" t="str">
        <f t="shared" si="0"/>
        <v/>
      </c>
    </row>
    <row r="36" spans="1:5" x14ac:dyDescent="0.25">
      <c r="A36" s="138">
        <v>111104</v>
      </c>
      <c r="B36">
        <v>104</v>
      </c>
      <c r="C36">
        <v>1</v>
      </c>
      <c r="D36">
        <v>1</v>
      </c>
      <c r="E36" s="2" t="str">
        <f t="shared" si="0"/>
        <v/>
      </c>
    </row>
    <row r="37" spans="1:5" x14ac:dyDescent="0.25">
      <c r="A37" s="138">
        <v>111105</v>
      </c>
      <c r="B37">
        <v>104</v>
      </c>
      <c r="C37">
        <v>1</v>
      </c>
      <c r="D37">
        <v>1</v>
      </c>
      <c r="E37" s="2" t="str">
        <f t="shared" si="0"/>
        <v/>
      </c>
    </row>
    <row r="38" spans="1:5" x14ac:dyDescent="0.25">
      <c r="A38" s="138">
        <v>111106</v>
      </c>
      <c r="B38">
        <v>104</v>
      </c>
      <c r="C38">
        <v>1</v>
      </c>
      <c r="D38">
        <v>1</v>
      </c>
      <c r="E38" s="2" t="str">
        <f t="shared" si="0"/>
        <v/>
      </c>
    </row>
    <row r="39" spans="1:5" x14ac:dyDescent="0.25">
      <c r="A39" s="138">
        <v>111107</v>
      </c>
      <c r="B39">
        <v>104</v>
      </c>
      <c r="C39">
        <v>1</v>
      </c>
      <c r="D39">
        <v>1</v>
      </c>
      <c r="E39" s="2" t="str">
        <f t="shared" si="0"/>
        <v/>
      </c>
    </row>
    <row r="40" spans="1:5" x14ac:dyDescent="0.25">
      <c r="A40" s="138">
        <v>111108</v>
      </c>
      <c r="B40">
        <v>104</v>
      </c>
      <c r="C40">
        <v>1</v>
      </c>
      <c r="D40">
        <v>1</v>
      </c>
      <c r="E40" s="2" t="str">
        <f t="shared" si="0"/>
        <v/>
      </c>
    </row>
    <row r="41" spans="1:5" x14ac:dyDescent="0.25">
      <c r="A41" s="138">
        <v>111109</v>
      </c>
      <c r="B41">
        <v>104</v>
      </c>
      <c r="C41">
        <v>1</v>
      </c>
      <c r="D41">
        <v>1</v>
      </c>
      <c r="E41" s="2" t="str">
        <f t="shared" si="0"/>
        <v/>
      </c>
    </row>
    <row r="42" spans="1:5" x14ac:dyDescent="0.25">
      <c r="A42" s="138">
        <v>111110</v>
      </c>
      <c r="B42">
        <v>104</v>
      </c>
      <c r="C42">
        <v>1</v>
      </c>
      <c r="D42">
        <v>1</v>
      </c>
      <c r="E42" s="2" t="str">
        <f t="shared" si="0"/>
        <v/>
      </c>
    </row>
    <row r="43" spans="1:5" x14ac:dyDescent="0.25">
      <c r="A43" s="138">
        <v>111111</v>
      </c>
      <c r="B43">
        <v>104</v>
      </c>
      <c r="C43">
        <v>1</v>
      </c>
      <c r="D43">
        <v>1</v>
      </c>
      <c r="E43" s="2" t="str">
        <f t="shared" si="0"/>
        <v/>
      </c>
    </row>
    <row r="44" spans="1:5" x14ac:dyDescent="0.25">
      <c r="A44" s="138">
        <v>111112</v>
      </c>
      <c r="B44">
        <v>104</v>
      </c>
      <c r="C44">
        <v>1</v>
      </c>
      <c r="D44">
        <v>1</v>
      </c>
      <c r="E44" s="2" t="str">
        <f t="shared" si="0"/>
        <v/>
      </c>
    </row>
    <row r="45" spans="1:5" x14ac:dyDescent="0.25">
      <c r="A45" s="138">
        <v>111113</v>
      </c>
      <c r="B45">
        <v>104</v>
      </c>
      <c r="C45">
        <v>1</v>
      </c>
      <c r="D45">
        <v>1</v>
      </c>
      <c r="E45" s="2" t="str">
        <f t="shared" si="0"/>
        <v/>
      </c>
    </row>
    <row r="46" spans="1:5" x14ac:dyDescent="0.25">
      <c r="A46" s="138">
        <v>111114</v>
      </c>
      <c r="B46">
        <v>104</v>
      </c>
      <c r="C46">
        <v>1</v>
      </c>
      <c r="D46">
        <v>1</v>
      </c>
      <c r="E46" s="2" t="str">
        <f t="shared" si="0"/>
        <v/>
      </c>
    </row>
    <row r="47" spans="1:5" x14ac:dyDescent="0.25">
      <c r="A47" s="138">
        <v>111115</v>
      </c>
      <c r="B47">
        <v>104</v>
      </c>
      <c r="C47">
        <v>1</v>
      </c>
      <c r="D47">
        <v>1</v>
      </c>
      <c r="E47" s="2" t="str">
        <f t="shared" si="0"/>
        <v/>
      </c>
    </row>
    <row r="48" spans="1:5" x14ac:dyDescent="0.25">
      <c r="A48" s="138">
        <v>111116</v>
      </c>
      <c r="B48">
        <v>104</v>
      </c>
      <c r="C48">
        <v>1</v>
      </c>
      <c r="D48">
        <v>1</v>
      </c>
      <c r="E48" s="2" t="str">
        <f t="shared" si="0"/>
        <v/>
      </c>
    </row>
    <row r="49" spans="1:5" x14ac:dyDescent="0.25">
      <c r="A49" s="138">
        <v>111117</v>
      </c>
      <c r="B49">
        <v>104</v>
      </c>
      <c r="C49">
        <v>1</v>
      </c>
      <c r="D49">
        <v>1</v>
      </c>
      <c r="E49" s="2" t="str">
        <f t="shared" si="0"/>
        <v/>
      </c>
    </row>
    <row r="50" spans="1:5" x14ac:dyDescent="0.25">
      <c r="A50" s="138">
        <v>111118</v>
      </c>
      <c r="B50">
        <v>104</v>
      </c>
      <c r="C50">
        <v>1</v>
      </c>
      <c r="D50">
        <v>1</v>
      </c>
      <c r="E50" s="2" t="str">
        <f t="shared" si="0"/>
        <v/>
      </c>
    </row>
    <row r="51" spans="1:5" x14ac:dyDescent="0.25">
      <c r="A51" s="138">
        <v>111119</v>
      </c>
      <c r="B51">
        <v>104</v>
      </c>
      <c r="C51">
        <v>1</v>
      </c>
      <c r="D51">
        <v>1</v>
      </c>
      <c r="E51" s="2" t="str">
        <f t="shared" si="0"/>
        <v/>
      </c>
    </row>
    <row r="52" spans="1:5" x14ac:dyDescent="0.25">
      <c r="A52" s="138">
        <v>111120</v>
      </c>
      <c r="B52">
        <v>104</v>
      </c>
      <c r="C52">
        <v>1</v>
      </c>
      <c r="D52">
        <v>1</v>
      </c>
      <c r="E52" s="2" t="str">
        <f t="shared" si="0"/>
        <v/>
      </c>
    </row>
    <row r="53" spans="1:5" x14ac:dyDescent="0.25">
      <c r="A53" s="138">
        <v>111121</v>
      </c>
      <c r="B53">
        <v>104</v>
      </c>
      <c r="C53">
        <v>1</v>
      </c>
      <c r="D53">
        <v>1</v>
      </c>
      <c r="E53" s="2" t="str">
        <f t="shared" si="0"/>
        <v/>
      </c>
    </row>
    <row r="54" spans="1:5" x14ac:dyDescent="0.25">
      <c r="A54" s="138">
        <v>111122</v>
      </c>
      <c r="B54">
        <v>104</v>
      </c>
      <c r="C54">
        <v>1</v>
      </c>
      <c r="D54">
        <v>1</v>
      </c>
      <c r="E54" s="2" t="str">
        <f t="shared" si="0"/>
        <v/>
      </c>
    </row>
    <row r="55" spans="1:5" x14ac:dyDescent="0.25">
      <c r="A55" s="138">
        <v>111123</v>
      </c>
      <c r="B55">
        <v>104</v>
      </c>
      <c r="C55">
        <v>1</v>
      </c>
      <c r="D55">
        <v>1</v>
      </c>
      <c r="E55" s="2" t="str">
        <f t="shared" si="0"/>
        <v/>
      </c>
    </row>
    <row r="56" spans="1:5" x14ac:dyDescent="0.25">
      <c r="A56" s="138">
        <v>111124</v>
      </c>
      <c r="B56">
        <v>104</v>
      </c>
      <c r="C56">
        <v>1</v>
      </c>
      <c r="D56">
        <v>1</v>
      </c>
      <c r="E56" s="2" t="str">
        <f t="shared" si="0"/>
        <v/>
      </c>
    </row>
    <row r="57" spans="1:5" x14ac:dyDescent="0.25">
      <c r="A57" s="138">
        <v>111125</v>
      </c>
      <c r="B57">
        <v>104</v>
      </c>
      <c r="C57">
        <v>1</v>
      </c>
      <c r="D57">
        <v>1</v>
      </c>
      <c r="E57" s="2" t="str">
        <f t="shared" si="0"/>
        <v/>
      </c>
    </row>
    <row r="58" spans="1:5" x14ac:dyDescent="0.25">
      <c r="A58" s="138">
        <v>111126</v>
      </c>
      <c r="B58">
        <v>104</v>
      </c>
      <c r="C58">
        <v>1</v>
      </c>
      <c r="D58">
        <v>1</v>
      </c>
      <c r="E58" s="2" t="str">
        <f t="shared" si="0"/>
        <v/>
      </c>
    </row>
    <row r="59" spans="1:5" x14ac:dyDescent="0.25">
      <c r="A59" s="138">
        <v>111197</v>
      </c>
      <c r="B59">
        <v>104</v>
      </c>
      <c r="C59">
        <v>1</v>
      </c>
      <c r="D59">
        <v>1</v>
      </c>
      <c r="E59" s="2" t="str">
        <f t="shared" si="0"/>
        <v/>
      </c>
    </row>
    <row r="60" spans="1:5" x14ac:dyDescent="0.25">
      <c r="A60" s="138">
        <v>111198</v>
      </c>
      <c r="B60">
        <v>104</v>
      </c>
      <c r="C60">
        <v>1</v>
      </c>
      <c r="D60">
        <v>1</v>
      </c>
      <c r="E60" s="2" t="str">
        <f t="shared" si="0"/>
        <v/>
      </c>
    </row>
    <row r="61" spans="1:5" x14ac:dyDescent="0.25">
      <c r="A61" s="138">
        <v>111199</v>
      </c>
      <c r="B61">
        <v>104</v>
      </c>
      <c r="C61">
        <v>1</v>
      </c>
      <c r="D61">
        <v>1</v>
      </c>
      <c r="E61" s="2" t="str">
        <f t="shared" si="0"/>
        <v/>
      </c>
    </row>
    <row r="62" spans="1:5" x14ac:dyDescent="0.25">
      <c r="A62" s="138">
        <v>111200</v>
      </c>
      <c r="B62">
        <v>102</v>
      </c>
      <c r="C62">
        <v>1</v>
      </c>
      <c r="D62">
        <v>1</v>
      </c>
      <c r="E62" s="2" t="str">
        <f t="shared" si="0"/>
        <v/>
      </c>
    </row>
    <row r="63" spans="1:5" x14ac:dyDescent="0.25">
      <c r="A63" s="138">
        <v>111201</v>
      </c>
      <c r="B63">
        <v>102</v>
      </c>
      <c r="C63">
        <v>1</v>
      </c>
      <c r="D63">
        <v>1</v>
      </c>
      <c r="E63" s="2" t="str">
        <f t="shared" si="0"/>
        <v/>
      </c>
    </row>
    <row r="64" spans="1:5" x14ac:dyDescent="0.25">
      <c r="A64" s="138">
        <v>111202</v>
      </c>
      <c r="B64">
        <v>102</v>
      </c>
      <c r="C64">
        <v>1</v>
      </c>
      <c r="D64">
        <v>1</v>
      </c>
      <c r="E64" s="2" t="str">
        <f t="shared" si="0"/>
        <v/>
      </c>
    </row>
    <row r="65" spans="1:5" x14ac:dyDescent="0.25">
      <c r="A65" s="138">
        <v>111203</v>
      </c>
      <c r="B65">
        <v>102</v>
      </c>
      <c r="C65">
        <v>1</v>
      </c>
      <c r="D65">
        <v>1</v>
      </c>
      <c r="E65" s="2" t="str">
        <f t="shared" si="0"/>
        <v/>
      </c>
    </row>
    <row r="66" spans="1:5" x14ac:dyDescent="0.25">
      <c r="A66" s="138">
        <v>111204</v>
      </c>
      <c r="B66">
        <v>102</v>
      </c>
      <c r="C66">
        <v>1</v>
      </c>
      <c r="D66">
        <v>1</v>
      </c>
      <c r="E66" s="2" t="str">
        <f t="shared" si="0"/>
        <v/>
      </c>
    </row>
    <row r="67" spans="1:5" x14ac:dyDescent="0.25">
      <c r="A67" s="138">
        <v>111205</v>
      </c>
      <c r="B67">
        <v>102</v>
      </c>
      <c r="C67">
        <v>1</v>
      </c>
      <c r="D67">
        <v>1</v>
      </c>
      <c r="E67" s="2" t="str">
        <f t="shared" ref="E67:E130" si="1">IF(B67=B66,IF(C66=C67,"",1),"")</f>
        <v/>
      </c>
    </row>
    <row r="68" spans="1:5" x14ac:dyDescent="0.25">
      <c r="A68" s="138">
        <v>111206</v>
      </c>
      <c r="B68">
        <v>102</v>
      </c>
      <c r="C68">
        <v>1</v>
      </c>
      <c r="D68">
        <v>1</v>
      </c>
      <c r="E68" s="2" t="str">
        <f t="shared" si="1"/>
        <v/>
      </c>
    </row>
    <row r="69" spans="1:5" x14ac:dyDescent="0.25">
      <c r="A69" s="138">
        <v>111207</v>
      </c>
      <c r="B69">
        <v>102</v>
      </c>
      <c r="C69">
        <v>1</v>
      </c>
      <c r="D69">
        <v>1</v>
      </c>
      <c r="E69" s="2" t="str">
        <f t="shared" si="1"/>
        <v/>
      </c>
    </row>
    <row r="70" spans="1:5" x14ac:dyDescent="0.25">
      <c r="A70" s="138">
        <v>111208</v>
      </c>
      <c r="B70">
        <v>102</v>
      </c>
      <c r="C70">
        <v>1</v>
      </c>
      <c r="D70">
        <v>1</v>
      </c>
      <c r="E70" s="2" t="str">
        <f t="shared" si="1"/>
        <v/>
      </c>
    </row>
    <row r="71" spans="1:5" x14ac:dyDescent="0.25">
      <c r="A71" s="138">
        <v>111209</v>
      </c>
      <c r="B71">
        <v>102</v>
      </c>
      <c r="C71">
        <v>1</v>
      </c>
      <c r="D71">
        <v>1</v>
      </c>
      <c r="E71" s="2" t="str">
        <f t="shared" si="1"/>
        <v/>
      </c>
    </row>
    <row r="72" spans="1:5" x14ac:dyDescent="0.25">
      <c r="A72" s="138">
        <v>111210</v>
      </c>
      <c r="B72">
        <v>102</v>
      </c>
      <c r="C72">
        <v>1</v>
      </c>
      <c r="D72">
        <v>1</v>
      </c>
      <c r="E72" s="2" t="str">
        <f t="shared" si="1"/>
        <v/>
      </c>
    </row>
    <row r="73" spans="1:5" x14ac:dyDescent="0.25">
      <c r="A73" s="138">
        <v>111211</v>
      </c>
      <c r="B73">
        <v>102</v>
      </c>
      <c r="C73">
        <v>1</v>
      </c>
      <c r="D73">
        <v>1</v>
      </c>
      <c r="E73" s="2" t="str">
        <f t="shared" si="1"/>
        <v/>
      </c>
    </row>
    <row r="74" spans="1:5" x14ac:dyDescent="0.25">
      <c r="A74" s="138">
        <v>111212</v>
      </c>
      <c r="B74">
        <v>100</v>
      </c>
      <c r="C74">
        <v>1</v>
      </c>
      <c r="D74">
        <v>1</v>
      </c>
      <c r="E74" s="2" t="str">
        <f t="shared" si="1"/>
        <v/>
      </c>
    </row>
    <row r="75" spans="1:5" x14ac:dyDescent="0.25">
      <c r="A75" s="138">
        <v>111213</v>
      </c>
      <c r="B75">
        <v>102</v>
      </c>
      <c r="C75">
        <v>1</v>
      </c>
      <c r="D75">
        <v>1</v>
      </c>
      <c r="E75" s="2" t="str">
        <f t="shared" si="1"/>
        <v/>
      </c>
    </row>
    <row r="76" spans="1:5" x14ac:dyDescent="0.25">
      <c r="A76" s="138">
        <v>111299</v>
      </c>
      <c r="B76">
        <v>102</v>
      </c>
      <c r="C76">
        <v>1</v>
      </c>
      <c r="D76">
        <v>1</v>
      </c>
      <c r="E76" s="2" t="str">
        <f t="shared" si="1"/>
        <v/>
      </c>
    </row>
    <row r="77" spans="1:5" x14ac:dyDescent="0.25">
      <c r="A77" s="138">
        <v>111300</v>
      </c>
      <c r="B77">
        <v>105</v>
      </c>
      <c r="C77">
        <v>1</v>
      </c>
      <c r="D77">
        <v>1</v>
      </c>
      <c r="E77" s="2" t="str">
        <f t="shared" si="1"/>
        <v/>
      </c>
    </row>
    <row r="78" spans="1:5" x14ac:dyDescent="0.25">
      <c r="A78" s="138">
        <v>111301</v>
      </c>
      <c r="B78">
        <v>105</v>
      </c>
      <c r="C78">
        <v>1</v>
      </c>
      <c r="D78">
        <v>1</v>
      </c>
      <c r="E78" s="2" t="str">
        <f t="shared" si="1"/>
        <v/>
      </c>
    </row>
    <row r="79" spans="1:5" x14ac:dyDescent="0.25">
      <c r="A79" s="138">
        <v>111302</v>
      </c>
      <c r="B79">
        <v>105</v>
      </c>
      <c r="C79">
        <v>1</v>
      </c>
      <c r="D79">
        <v>1</v>
      </c>
      <c r="E79" s="2" t="str">
        <f t="shared" si="1"/>
        <v/>
      </c>
    </row>
    <row r="80" spans="1:5" x14ac:dyDescent="0.25">
      <c r="A80" s="138">
        <v>111303</v>
      </c>
      <c r="B80">
        <v>105</v>
      </c>
      <c r="C80">
        <v>1</v>
      </c>
      <c r="D80">
        <v>1</v>
      </c>
      <c r="E80" s="2" t="str">
        <f t="shared" si="1"/>
        <v/>
      </c>
    </row>
    <row r="81" spans="1:5" x14ac:dyDescent="0.25">
      <c r="A81" s="138">
        <v>111304</v>
      </c>
      <c r="B81">
        <v>105</v>
      </c>
      <c r="C81">
        <v>1</v>
      </c>
      <c r="D81">
        <v>1</v>
      </c>
      <c r="E81" s="2" t="str">
        <f t="shared" si="1"/>
        <v/>
      </c>
    </row>
    <row r="82" spans="1:5" x14ac:dyDescent="0.25">
      <c r="A82" s="138">
        <v>111305</v>
      </c>
      <c r="B82">
        <v>105</v>
      </c>
      <c r="C82">
        <v>1</v>
      </c>
      <c r="D82">
        <v>1</v>
      </c>
      <c r="E82" s="2" t="str">
        <f t="shared" si="1"/>
        <v/>
      </c>
    </row>
    <row r="83" spans="1:5" x14ac:dyDescent="0.25">
      <c r="A83" s="138">
        <v>111306</v>
      </c>
      <c r="B83">
        <v>105</v>
      </c>
      <c r="C83">
        <v>1</v>
      </c>
      <c r="D83">
        <v>1</v>
      </c>
      <c r="E83" s="2" t="str">
        <f t="shared" si="1"/>
        <v/>
      </c>
    </row>
    <row r="84" spans="1:5" x14ac:dyDescent="0.25">
      <c r="A84" s="138">
        <v>111307</v>
      </c>
      <c r="B84">
        <v>105</v>
      </c>
      <c r="C84">
        <v>1</v>
      </c>
      <c r="D84">
        <v>1</v>
      </c>
      <c r="E84" s="2" t="str">
        <f t="shared" si="1"/>
        <v/>
      </c>
    </row>
    <row r="85" spans="1:5" x14ac:dyDescent="0.25">
      <c r="A85" s="138">
        <v>111308</v>
      </c>
      <c r="B85">
        <v>105</v>
      </c>
      <c r="C85">
        <v>1</v>
      </c>
      <c r="D85">
        <v>1</v>
      </c>
      <c r="E85" s="2" t="str">
        <f t="shared" si="1"/>
        <v/>
      </c>
    </row>
    <row r="86" spans="1:5" x14ac:dyDescent="0.25">
      <c r="A86" s="138">
        <v>111309</v>
      </c>
      <c r="B86">
        <v>105</v>
      </c>
      <c r="C86">
        <v>1</v>
      </c>
      <c r="D86">
        <v>1</v>
      </c>
      <c r="E86" s="2" t="str">
        <f t="shared" si="1"/>
        <v/>
      </c>
    </row>
    <row r="87" spans="1:5" x14ac:dyDescent="0.25">
      <c r="A87" s="138">
        <v>111310</v>
      </c>
      <c r="B87">
        <v>105</v>
      </c>
      <c r="C87">
        <v>1</v>
      </c>
      <c r="D87">
        <v>1</v>
      </c>
      <c r="E87" s="2" t="str">
        <f t="shared" si="1"/>
        <v/>
      </c>
    </row>
    <row r="88" spans="1:5" x14ac:dyDescent="0.25">
      <c r="A88" s="138">
        <v>111399</v>
      </c>
      <c r="B88">
        <v>105</v>
      </c>
      <c r="C88">
        <v>1</v>
      </c>
      <c r="D88">
        <v>1</v>
      </c>
      <c r="E88" s="2" t="str">
        <f t="shared" si="1"/>
        <v/>
      </c>
    </row>
    <row r="89" spans="1:5" x14ac:dyDescent="0.25">
      <c r="A89" s="138">
        <v>111400</v>
      </c>
      <c r="B89">
        <v>101</v>
      </c>
      <c r="C89">
        <v>1</v>
      </c>
      <c r="D89">
        <v>1</v>
      </c>
      <c r="E89" s="2" t="str">
        <f t="shared" si="1"/>
        <v/>
      </c>
    </row>
    <row r="90" spans="1:5" x14ac:dyDescent="0.25">
      <c r="A90" s="138">
        <v>111401</v>
      </c>
      <c r="B90">
        <v>101</v>
      </c>
      <c r="C90">
        <v>1</v>
      </c>
      <c r="D90">
        <v>1</v>
      </c>
      <c r="E90" s="2" t="str">
        <f t="shared" si="1"/>
        <v/>
      </c>
    </row>
    <row r="91" spans="1:5" x14ac:dyDescent="0.25">
      <c r="A91" s="138">
        <v>111402</v>
      </c>
      <c r="B91">
        <v>101</v>
      </c>
      <c r="C91">
        <v>1</v>
      </c>
      <c r="D91">
        <v>1</v>
      </c>
      <c r="E91" s="2" t="str">
        <f t="shared" si="1"/>
        <v/>
      </c>
    </row>
    <row r="92" spans="1:5" x14ac:dyDescent="0.25">
      <c r="A92" s="138">
        <v>111403</v>
      </c>
      <c r="B92">
        <v>101</v>
      </c>
      <c r="C92">
        <v>1</v>
      </c>
      <c r="D92">
        <v>1</v>
      </c>
      <c r="E92" s="2" t="str">
        <f t="shared" si="1"/>
        <v/>
      </c>
    </row>
    <row r="93" spans="1:5" x14ac:dyDescent="0.25">
      <c r="A93" s="138">
        <v>111404</v>
      </c>
      <c r="B93">
        <v>101</v>
      </c>
      <c r="C93">
        <v>1</v>
      </c>
      <c r="D93">
        <v>1</v>
      </c>
      <c r="E93" s="2" t="str">
        <f t="shared" si="1"/>
        <v/>
      </c>
    </row>
    <row r="94" spans="1:5" x14ac:dyDescent="0.25">
      <c r="A94" s="138">
        <v>111405</v>
      </c>
      <c r="B94">
        <v>101</v>
      </c>
      <c r="C94">
        <v>1</v>
      </c>
      <c r="D94">
        <v>1</v>
      </c>
      <c r="E94" s="2" t="str">
        <f t="shared" si="1"/>
        <v/>
      </c>
    </row>
    <row r="95" spans="1:5" x14ac:dyDescent="0.25">
      <c r="A95" s="138">
        <v>111406</v>
      </c>
      <c r="B95">
        <v>101</v>
      </c>
      <c r="C95">
        <v>1</v>
      </c>
      <c r="D95">
        <v>1</v>
      </c>
      <c r="E95" s="2" t="str">
        <f t="shared" si="1"/>
        <v/>
      </c>
    </row>
    <row r="96" spans="1:5" x14ac:dyDescent="0.25">
      <c r="A96" s="138">
        <v>111407</v>
      </c>
      <c r="B96">
        <v>101</v>
      </c>
      <c r="C96">
        <v>1</v>
      </c>
      <c r="D96">
        <v>1</v>
      </c>
      <c r="E96" s="2" t="str">
        <f t="shared" si="1"/>
        <v/>
      </c>
    </row>
    <row r="97" spans="1:5" x14ac:dyDescent="0.25">
      <c r="A97" s="138">
        <v>111408</v>
      </c>
      <c r="B97">
        <v>101</v>
      </c>
      <c r="C97">
        <v>1</v>
      </c>
      <c r="D97">
        <v>1</v>
      </c>
      <c r="E97" s="2" t="str">
        <f t="shared" si="1"/>
        <v/>
      </c>
    </row>
    <row r="98" spans="1:5" x14ac:dyDescent="0.25">
      <c r="A98" s="138">
        <v>111409</v>
      </c>
      <c r="B98">
        <v>101</v>
      </c>
      <c r="C98">
        <v>1</v>
      </c>
      <c r="D98">
        <v>1</v>
      </c>
      <c r="E98" s="2" t="str">
        <f t="shared" si="1"/>
        <v/>
      </c>
    </row>
    <row r="99" spans="1:5" x14ac:dyDescent="0.25">
      <c r="A99" s="138">
        <v>111499</v>
      </c>
      <c r="B99">
        <v>101</v>
      </c>
      <c r="C99">
        <v>1</v>
      </c>
      <c r="D99">
        <v>1</v>
      </c>
      <c r="E99" s="2" t="str">
        <f t="shared" si="1"/>
        <v/>
      </c>
    </row>
    <row r="100" spans="1:5" x14ac:dyDescent="0.25">
      <c r="A100" s="138">
        <v>111500</v>
      </c>
      <c r="B100">
        <v>10</v>
      </c>
      <c r="C100">
        <v>1</v>
      </c>
      <c r="D100">
        <v>1</v>
      </c>
      <c r="E100" s="2" t="str">
        <f t="shared" si="1"/>
        <v/>
      </c>
    </row>
    <row r="101" spans="1:5" x14ac:dyDescent="0.25">
      <c r="A101" s="138">
        <v>111501</v>
      </c>
      <c r="B101">
        <v>9</v>
      </c>
      <c r="C101">
        <v>1</v>
      </c>
      <c r="D101">
        <v>1</v>
      </c>
      <c r="E101" s="2" t="str">
        <f t="shared" si="1"/>
        <v/>
      </c>
    </row>
    <row r="102" spans="1:5" x14ac:dyDescent="0.25">
      <c r="A102" s="138">
        <v>111502</v>
      </c>
      <c r="B102">
        <v>10</v>
      </c>
      <c r="C102">
        <v>1</v>
      </c>
      <c r="D102">
        <v>1</v>
      </c>
      <c r="E102" s="2" t="str">
        <f t="shared" si="1"/>
        <v/>
      </c>
    </row>
    <row r="103" spans="1:5" x14ac:dyDescent="0.25">
      <c r="A103" s="138">
        <v>111503</v>
      </c>
      <c r="B103">
        <v>8</v>
      </c>
      <c r="C103">
        <v>1</v>
      </c>
      <c r="D103">
        <v>1</v>
      </c>
      <c r="E103" s="2" t="str">
        <f t="shared" si="1"/>
        <v/>
      </c>
    </row>
    <row r="104" spans="1:5" x14ac:dyDescent="0.25">
      <c r="A104" s="138">
        <v>111504</v>
      </c>
      <c r="B104">
        <v>10</v>
      </c>
      <c r="C104">
        <v>1</v>
      </c>
      <c r="D104">
        <v>1</v>
      </c>
      <c r="E104" s="2" t="str">
        <f t="shared" si="1"/>
        <v/>
      </c>
    </row>
    <row r="105" spans="1:5" x14ac:dyDescent="0.25">
      <c r="A105" s="138">
        <v>111505</v>
      </c>
      <c r="B105">
        <v>10</v>
      </c>
      <c r="C105">
        <v>1</v>
      </c>
      <c r="D105">
        <v>1</v>
      </c>
      <c r="E105" s="2" t="str">
        <f t="shared" si="1"/>
        <v/>
      </c>
    </row>
    <row r="106" spans="1:5" x14ac:dyDescent="0.25">
      <c r="A106" s="138">
        <v>111506</v>
      </c>
      <c r="B106">
        <v>10</v>
      </c>
      <c r="C106">
        <v>1</v>
      </c>
      <c r="D106">
        <v>1</v>
      </c>
      <c r="E106" s="2" t="str">
        <f t="shared" si="1"/>
        <v/>
      </c>
    </row>
    <row r="107" spans="1:5" x14ac:dyDescent="0.25">
      <c r="A107" s="138">
        <v>111507</v>
      </c>
      <c r="B107">
        <v>10</v>
      </c>
      <c r="C107">
        <v>1</v>
      </c>
      <c r="D107">
        <v>1</v>
      </c>
      <c r="E107" s="2" t="str">
        <f t="shared" si="1"/>
        <v/>
      </c>
    </row>
    <row r="108" spans="1:5" x14ac:dyDescent="0.25">
      <c r="A108" s="138">
        <v>111508</v>
      </c>
      <c r="B108">
        <v>10</v>
      </c>
      <c r="C108">
        <v>1</v>
      </c>
      <c r="D108">
        <v>1</v>
      </c>
      <c r="E108" s="2" t="str">
        <f t="shared" si="1"/>
        <v/>
      </c>
    </row>
    <row r="109" spans="1:5" x14ac:dyDescent="0.25">
      <c r="A109" s="138">
        <v>111509</v>
      </c>
      <c r="B109">
        <v>10</v>
      </c>
      <c r="C109">
        <v>1</v>
      </c>
      <c r="D109">
        <v>1</v>
      </c>
      <c r="E109" s="2" t="str">
        <f t="shared" si="1"/>
        <v/>
      </c>
    </row>
    <row r="110" spans="1:5" x14ac:dyDescent="0.25">
      <c r="A110" s="138">
        <v>111510</v>
      </c>
      <c r="B110">
        <v>6</v>
      </c>
      <c r="C110">
        <v>1</v>
      </c>
      <c r="D110">
        <v>1</v>
      </c>
      <c r="E110" s="2" t="str">
        <f t="shared" si="1"/>
        <v/>
      </c>
    </row>
    <row r="111" spans="1:5" x14ac:dyDescent="0.25">
      <c r="A111" s="138">
        <v>111511</v>
      </c>
      <c r="B111">
        <v>6</v>
      </c>
      <c r="C111">
        <v>1</v>
      </c>
      <c r="D111">
        <v>1</v>
      </c>
      <c r="E111" s="2" t="str">
        <f t="shared" si="1"/>
        <v/>
      </c>
    </row>
    <row r="112" spans="1:5" x14ac:dyDescent="0.25">
      <c r="A112" s="138">
        <v>111512</v>
      </c>
      <c r="B112">
        <v>10</v>
      </c>
      <c r="C112">
        <v>1</v>
      </c>
      <c r="D112">
        <v>1</v>
      </c>
      <c r="E112" s="2" t="str">
        <f t="shared" si="1"/>
        <v/>
      </c>
    </row>
    <row r="113" spans="1:5" x14ac:dyDescent="0.25">
      <c r="A113" s="138">
        <v>111513</v>
      </c>
      <c r="B113">
        <v>10</v>
      </c>
      <c r="C113">
        <v>1</v>
      </c>
      <c r="D113">
        <v>1</v>
      </c>
      <c r="E113" s="2" t="str">
        <f t="shared" si="1"/>
        <v/>
      </c>
    </row>
    <row r="114" spans="1:5" x14ac:dyDescent="0.25">
      <c r="A114" s="138">
        <v>111514</v>
      </c>
      <c r="B114">
        <v>5</v>
      </c>
      <c r="C114">
        <v>1</v>
      </c>
      <c r="D114">
        <v>1</v>
      </c>
      <c r="E114" s="2" t="str">
        <f t="shared" si="1"/>
        <v/>
      </c>
    </row>
    <row r="115" spans="1:5" x14ac:dyDescent="0.25">
      <c r="A115" s="138">
        <v>111515</v>
      </c>
      <c r="B115">
        <v>10</v>
      </c>
      <c r="C115">
        <v>1</v>
      </c>
      <c r="D115">
        <v>1</v>
      </c>
      <c r="E115" s="2" t="str">
        <f t="shared" si="1"/>
        <v/>
      </c>
    </row>
    <row r="116" spans="1:5" x14ac:dyDescent="0.25">
      <c r="A116" s="138">
        <v>111516</v>
      </c>
      <c r="B116">
        <v>10</v>
      </c>
      <c r="C116">
        <v>1</v>
      </c>
      <c r="D116">
        <v>1</v>
      </c>
      <c r="E116" s="2" t="str">
        <f t="shared" si="1"/>
        <v/>
      </c>
    </row>
    <row r="117" spans="1:5" x14ac:dyDescent="0.25">
      <c r="A117" s="138">
        <v>111517</v>
      </c>
      <c r="B117">
        <v>10</v>
      </c>
      <c r="C117">
        <v>1</v>
      </c>
      <c r="D117">
        <v>1</v>
      </c>
      <c r="E117" s="2" t="str">
        <f t="shared" si="1"/>
        <v/>
      </c>
    </row>
    <row r="118" spans="1:5" x14ac:dyDescent="0.25">
      <c r="A118" s="138">
        <v>111518</v>
      </c>
      <c r="B118">
        <v>102</v>
      </c>
      <c r="C118">
        <v>1</v>
      </c>
      <c r="D118">
        <v>1</v>
      </c>
      <c r="E118" s="2" t="str">
        <f t="shared" si="1"/>
        <v/>
      </c>
    </row>
    <row r="119" spans="1:5" x14ac:dyDescent="0.25">
      <c r="A119" s="138">
        <v>111519</v>
      </c>
      <c r="B119">
        <v>102</v>
      </c>
      <c r="C119">
        <v>1</v>
      </c>
      <c r="D119">
        <v>1</v>
      </c>
      <c r="E119" s="2" t="str">
        <f t="shared" si="1"/>
        <v/>
      </c>
    </row>
    <row r="120" spans="1:5" x14ac:dyDescent="0.25">
      <c r="A120" s="138">
        <v>111520</v>
      </c>
      <c r="B120">
        <v>43</v>
      </c>
      <c r="C120">
        <v>1</v>
      </c>
      <c r="D120">
        <v>1</v>
      </c>
      <c r="E120" s="2" t="str">
        <f t="shared" si="1"/>
        <v/>
      </c>
    </row>
    <row r="121" spans="1:5" x14ac:dyDescent="0.25">
      <c r="A121" s="138">
        <v>111521</v>
      </c>
      <c r="B121">
        <v>4</v>
      </c>
      <c r="C121">
        <v>1</v>
      </c>
      <c r="D121">
        <v>1</v>
      </c>
      <c r="E121" s="2" t="str">
        <f t="shared" si="1"/>
        <v/>
      </c>
    </row>
    <row r="122" spans="1:5" x14ac:dyDescent="0.25">
      <c r="A122" s="138">
        <v>111599</v>
      </c>
      <c r="B122">
        <v>10</v>
      </c>
      <c r="C122">
        <v>1</v>
      </c>
      <c r="D122">
        <v>1</v>
      </c>
      <c r="E122" s="2" t="str">
        <f t="shared" si="1"/>
        <v/>
      </c>
    </row>
    <row r="123" spans="1:5" x14ac:dyDescent="0.25">
      <c r="A123" s="138">
        <v>112000</v>
      </c>
      <c r="B123">
        <v>83</v>
      </c>
      <c r="C123">
        <v>1</v>
      </c>
      <c r="D123">
        <v>2</v>
      </c>
      <c r="E123" s="2" t="str">
        <f t="shared" si="1"/>
        <v/>
      </c>
    </row>
    <row r="124" spans="1:5" x14ac:dyDescent="0.25">
      <c r="A124" s="138">
        <v>112001</v>
      </c>
      <c r="B124">
        <v>83</v>
      </c>
      <c r="C124">
        <v>1</v>
      </c>
      <c r="D124">
        <v>2</v>
      </c>
      <c r="E124" s="2" t="str">
        <f t="shared" si="1"/>
        <v/>
      </c>
    </row>
    <row r="125" spans="1:5" x14ac:dyDescent="0.25">
      <c r="A125" s="138">
        <v>112002</v>
      </c>
      <c r="B125">
        <v>83</v>
      </c>
      <c r="C125">
        <v>1</v>
      </c>
      <c r="D125">
        <v>2</v>
      </c>
      <c r="E125" s="2" t="str">
        <f t="shared" si="1"/>
        <v/>
      </c>
    </row>
    <row r="126" spans="1:5" x14ac:dyDescent="0.25">
      <c r="A126" s="138">
        <v>112003</v>
      </c>
      <c r="B126">
        <v>83</v>
      </c>
      <c r="C126">
        <v>1</v>
      </c>
      <c r="D126">
        <v>2</v>
      </c>
      <c r="E126" s="2" t="str">
        <f t="shared" si="1"/>
        <v/>
      </c>
    </row>
    <row r="127" spans="1:5" x14ac:dyDescent="0.25">
      <c r="A127" s="138">
        <v>112004</v>
      </c>
      <c r="B127">
        <v>83</v>
      </c>
      <c r="C127">
        <v>1</v>
      </c>
      <c r="D127">
        <v>2</v>
      </c>
      <c r="E127" s="2" t="str">
        <f t="shared" si="1"/>
        <v/>
      </c>
    </row>
    <row r="128" spans="1:5" x14ac:dyDescent="0.25">
      <c r="A128" s="138">
        <v>112005</v>
      </c>
      <c r="B128">
        <v>83</v>
      </c>
      <c r="C128">
        <v>1</v>
      </c>
      <c r="D128">
        <v>2</v>
      </c>
      <c r="E128" s="2" t="str">
        <f t="shared" si="1"/>
        <v/>
      </c>
    </row>
    <row r="129" spans="1:5" x14ac:dyDescent="0.25">
      <c r="A129" s="138">
        <v>112006</v>
      </c>
      <c r="B129">
        <v>83</v>
      </c>
      <c r="C129">
        <v>1</v>
      </c>
      <c r="D129">
        <v>2</v>
      </c>
      <c r="E129" s="2" t="str">
        <f t="shared" si="1"/>
        <v/>
      </c>
    </row>
    <row r="130" spans="1:5" x14ac:dyDescent="0.25">
      <c r="A130" s="138">
        <v>112007</v>
      </c>
      <c r="B130">
        <v>83</v>
      </c>
      <c r="C130">
        <v>1</v>
      </c>
      <c r="D130">
        <v>2</v>
      </c>
      <c r="E130" s="2" t="str">
        <f t="shared" si="1"/>
        <v/>
      </c>
    </row>
    <row r="131" spans="1:5" x14ac:dyDescent="0.25">
      <c r="A131" s="138">
        <v>112008</v>
      </c>
      <c r="B131">
        <v>83</v>
      </c>
      <c r="C131">
        <v>1</v>
      </c>
      <c r="D131">
        <v>2</v>
      </c>
      <c r="E131" s="2" t="str">
        <f t="shared" ref="E131:E194" si="2">IF(B131=B130,IF(C130=C131,"",1),"")</f>
        <v/>
      </c>
    </row>
    <row r="132" spans="1:5" x14ac:dyDescent="0.25">
      <c r="A132" s="138">
        <v>112009</v>
      </c>
      <c r="B132">
        <v>83</v>
      </c>
      <c r="C132">
        <v>1</v>
      </c>
      <c r="D132">
        <v>2</v>
      </c>
      <c r="E132" s="2" t="str">
        <f t="shared" si="2"/>
        <v/>
      </c>
    </row>
    <row r="133" spans="1:5" x14ac:dyDescent="0.25">
      <c r="A133" s="138">
        <v>112010</v>
      </c>
      <c r="B133">
        <v>83</v>
      </c>
      <c r="C133">
        <v>1</v>
      </c>
      <c r="D133">
        <v>2</v>
      </c>
      <c r="E133" s="2" t="str">
        <f t="shared" si="2"/>
        <v/>
      </c>
    </row>
    <row r="134" spans="1:5" x14ac:dyDescent="0.25">
      <c r="A134" s="138">
        <v>112011</v>
      </c>
      <c r="B134">
        <v>83</v>
      </c>
      <c r="C134">
        <v>1</v>
      </c>
      <c r="D134">
        <v>2</v>
      </c>
      <c r="E134" s="2" t="str">
        <f t="shared" si="2"/>
        <v/>
      </c>
    </row>
    <row r="135" spans="1:5" x14ac:dyDescent="0.25">
      <c r="A135" s="138">
        <v>112012</v>
      </c>
      <c r="B135">
        <v>83</v>
      </c>
      <c r="C135">
        <v>1</v>
      </c>
      <c r="D135">
        <v>2</v>
      </c>
      <c r="E135" s="2" t="str">
        <f t="shared" si="2"/>
        <v/>
      </c>
    </row>
    <row r="136" spans="1:5" x14ac:dyDescent="0.25">
      <c r="A136" s="138">
        <v>112013</v>
      </c>
      <c r="B136">
        <v>83</v>
      </c>
      <c r="C136">
        <v>1</v>
      </c>
      <c r="D136">
        <v>2</v>
      </c>
      <c r="E136" s="2" t="str">
        <f t="shared" si="2"/>
        <v/>
      </c>
    </row>
    <row r="137" spans="1:5" x14ac:dyDescent="0.25">
      <c r="A137" s="138">
        <v>112014</v>
      </c>
      <c r="B137">
        <v>83</v>
      </c>
      <c r="C137">
        <v>1</v>
      </c>
      <c r="D137">
        <v>2</v>
      </c>
      <c r="E137" s="2" t="str">
        <f t="shared" si="2"/>
        <v/>
      </c>
    </row>
    <row r="138" spans="1:5" x14ac:dyDescent="0.25">
      <c r="A138" s="138">
        <v>112015</v>
      </c>
      <c r="B138">
        <v>83</v>
      </c>
      <c r="C138">
        <v>1</v>
      </c>
      <c r="D138">
        <v>2</v>
      </c>
      <c r="E138" s="2" t="str">
        <f t="shared" si="2"/>
        <v/>
      </c>
    </row>
    <row r="139" spans="1:5" x14ac:dyDescent="0.25">
      <c r="A139" s="138">
        <v>112016</v>
      </c>
      <c r="B139">
        <v>83</v>
      </c>
      <c r="C139">
        <v>1</v>
      </c>
      <c r="D139">
        <v>2</v>
      </c>
      <c r="E139" s="2" t="str">
        <f t="shared" si="2"/>
        <v/>
      </c>
    </row>
    <row r="140" spans="1:5" x14ac:dyDescent="0.25">
      <c r="A140" s="138">
        <v>112017</v>
      </c>
      <c r="B140">
        <v>83</v>
      </c>
      <c r="C140">
        <v>1</v>
      </c>
      <c r="D140">
        <v>2</v>
      </c>
      <c r="E140" s="2" t="str">
        <f t="shared" si="2"/>
        <v/>
      </c>
    </row>
    <row r="141" spans="1:5" x14ac:dyDescent="0.25">
      <c r="A141" s="138">
        <v>112098</v>
      </c>
      <c r="B141">
        <v>83</v>
      </c>
      <c r="C141">
        <v>1</v>
      </c>
      <c r="D141">
        <v>2</v>
      </c>
      <c r="E141" s="2" t="str">
        <f t="shared" si="2"/>
        <v/>
      </c>
    </row>
    <row r="142" spans="1:5" x14ac:dyDescent="0.25">
      <c r="A142" s="138">
        <v>112099</v>
      </c>
      <c r="B142">
        <v>83</v>
      </c>
      <c r="C142">
        <v>1</v>
      </c>
      <c r="D142">
        <v>2</v>
      </c>
      <c r="E142" s="2" t="str">
        <f t="shared" si="2"/>
        <v/>
      </c>
    </row>
    <row r="143" spans="1:5" x14ac:dyDescent="0.25">
      <c r="A143" s="138">
        <v>112100</v>
      </c>
      <c r="B143">
        <v>84</v>
      </c>
      <c r="C143">
        <v>1</v>
      </c>
      <c r="D143">
        <v>2</v>
      </c>
      <c r="E143" s="2" t="str">
        <f t="shared" si="2"/>
        <v/>
      </c>
    </row>
    <row r="144" spans="1:5" x14ac:dyDescent="0.25">
      <c r="A144" s="138">
        <v>112101</v>
      </c>
      <c r="B144">
        <v>84</v>
      </c>
      <c r="C144">
        <v>1</v>
      </c>
      <c r="D144">
        <v>2</v>
      </c>
      <c r="E144" s="2" t="str">
        <f t="shared" si="2"/>
        <v/>
      </c>
    </row>
    <row r="145" spans="1:5" x14ac:dyDescent="0.25">
      <c r="A145" s="138">
        <v>112102</v>
      </c>
      <c r="B145">
        <v>84</v>
      </c>
      <c r="C145">
        <v>1</v>
      </c>
      <c r="D145">
        <v>2</v>
      </c>
      <c r="E145" s="2" t="str">
        <f t="shared" si="2"/>
        <v/>
      </c>
    </row>
    <row r="146" spans="1:5" x14ac:dyDescent="0.25">
      <c r="A146" s="138">
        <v>112103</v>
      </c>
      <c r="B146">
        <v>84</v>
      </c>
      <c r="C146">
        <v>1</v>
      </c>
      <c r="D146">
        <v>2</v>
      </c>
      <c r="E146" s="2" t="str">
        <f t="shared" si="2"/>
        <v/>
      </c>
    </row>
    <row r="147" spans="1:5" x14ac:dyDescent="0.25">
      <c r="A147" s="138">
        <v>112104</v>
      </c>
      <c r="B147">
        <v>84</v>
      </c>
      <c r="C147">
        <v>1</v>
      </c>
      <c r="D147">
        <v>2</v>
      </c>
      <c r="E147" s="2" t="str">
        <f t="shared" si="2"/>
        <v/>
      </c>
    </row>
    <row r="148" spans="1:5" x14ac:dyDescent="0.25">
      <c r="A148" s="138">
        <v>112105</v>
      </c>
      <c r="B148">
        <v>84</v>
      </c>
      <c r="C148">
        <v>1</v>
      </c>
      <c r="D148">
        <v>2</v>
      </c>
      <c r="E148" s="2" t="str">
        <f t="shared" si="2"/>
        <v/>
      </c>
    </row>
    <row r="149" spans="1:5" x14ac:dyDescent="0.25">
      <c r="A149" s="138">
        <v>112106</v>
      </c>
      <c r="B149">
        <v>84</v>
      </c>
      <c r="C149">
        <v>1</v>
      </c>
      <c r="D149">
        <v>2</v>
      </c>
      <c r="E149" s="2" t="str">
        <f t="shared" si="2"/>
        <v/>
      </c>
    </row>
    <row r="150" spans="1:5" x14ac:dyDescent="0.25">
      <c r="A150" s="138">
        <v>112107</v>
      </c>
      <c r="B150">
        <v>84</v>
      </c>
      <c r="C150">
        <v>1</v>
      </c>
      <c r="D150">
        <v>2</v>
      </c>
      <c r="E150" s="2" t="str">
        <f t="shared" si="2"/>
        <v/>
      </c>
    </row>
    <row r="151" spans="1:5" x14ac:dyDescent="0.25">
      <c r="A151" s="138">
        <v>112108</v>
      </c>
      <c r="B151">
        <v>84</v>
      </c>
      <c r="C151">
        <v>1</v>
      </c>
      <c r="D151">
        <v>2</v>
      </c>
      <c r="E151" s="2" t="str">
        <f t="shared" si="2"/>
        <v/>
      </c>
    </row>
    <row r="152" spans="1:5" x14ac:dyDescent="0.25">
      <c r="A152" s="138">
        <v>112109</v>
      </c>
      <c r="B152">
        <v>84</v>
      </c>
      <c r="C152">
        <v>1</v>
      </c>
      <c r="D152">
        <v>2</v>
      </c>
      <c r="E152" s="2" t="str">
        <f t="shared" si="2"/>
        <v/>
      </c>
    </row>
    <row r="153" spans="1:5" x14ac:dyDescent="0.25">
      <c r="A153" s="138">
        <v>112110</v>
      </c>
      <c r="B153">
        <v>84</v>
      </c>
      <c r="C153">
        <v>1</v>
      </c>
      <c r="D153">
        <v>2</v>
      </c>
      <c r="E153" s="2" t="str">
        <f t="shared" si="2"/>
        <v/>
      </c>
    </row>
    <row r="154" spans="1:5" x14ac:dyDescent="0.25">
      <c r="A154" s="138">
        <v>112111</v>
      </c>
      <c r="B154">
        <v>84</v>
      </c>
      <c r="C154">
        <v>1</v>
      </c>
      <c r="D154">
        <v>2</v>
      </c>
      <c r="E154" s="2" t="str">
        <f t="shared" si="2"/>
        <v/>
      </c>
    </row>
    <row r="155" spans="1:5" x14ac:dyDescent="0.25">
      <c r="A155" s="138">
        <v>112112</v>
      </c>
      <c r="B155">
        <v>84</v>
      </c>
      <c r="C155">
        <v>1</v>
      </c>
      <c r="D155">
        <v>2</v>
      </c>
      <c r="E155" s="2" t="str">
        <f t="shared" si="2"/>
        <v/>
      </c>
    </row>
    <row r="156" spans="1:5" x14ac:dyDescent="0.25">
      <c r="A156" s="138">
        <v>112113</v>
      </c>
      <c r="B156">
        <v>84</v>
      </c>
      <c r="C156">
        <v>1</v>
      </c>
      <c r="D156">
        <v>2</v>
      </c>
      <c r="E156" s="2" t="str">
        <f t="shared" si="2"/>
        <v/>
      </c>
    </row>
    <row r="157" spans="1:5" x14ac:dyDescent="0.25">
      <c r="A157" s="138">
        <v>112114</v>
      </c>
      <c r="B157">
        <v>84</v>
      </c>
      <c r="C157">
        <v>1</v>
      </c>
      <c r="D157">
        <v>2</v>
      </c>
      <c r="E157" s="2" t="str">
        <f t="shared" si="2"/>
        <v/>
      </c>
    </row>
    <row r="158" spans="1:5" x14ac:dyDescent="0.25">
      <c r="A158" s="138">
        <v>112115</v>
      </c>
      <c r="B158">
        <v>84</v>
      </c>
      <c r="C158">
        <v>1</v>
      </c>
      <c r="D158">
        <v>2</v>
      </c>
      <c r="E158" s="2" t="str">
        <f t="shared" si="2"/>
        <v/>
      </c>
    </row>
    <row r="159" spans="1:5" x14ac:dyDescent="0.25">
      <c r="A159" s="138">
        <v>112116</v>
      </c>
      <c r="B159">
        <v>84</v>
      </c>
      <c r="C159">
        <v>1</v>
      </c>
      <c r="D159">
        <v>2</v>
      </c>
      <c r="E159" s="2" t="str">
        <f t="shared" si="2"/>
        <v/>
      </c>
    </row>
    <row r="160" spans="1:5" x14ac:dyDescent="0.25">
      <c r="A160" s="138">
        <v>112199</v>
      </c>
      <c r="B160">
        <v>84</v>
      </c>
      <c r="C160">
        <v>1</v>
      </c>
      <c r="D160">
        <v>2</v>
      </c>
      <c r="E160" s="2" t="str">
        <f t="shared" si="2"/>
        <v/>
      </c>
    </row>
    <row r="161" spans="1:5" x14ac:dyDescent="0.25">
      <c r="A161" s="138">
        <v>112200</v>
      </c>
      <c r="B161">
        <v>85</v>
      </c>
      <c r="C161">
        <v>1</v>
      </c>
      <c r="D161">
        <v>2</v>
      </c>
      <c r="E161" s="2" t="str">
        <f t="shared" si="2"/>
        <v/>
      </c>
    </row>
    <row r="162" spans="1:5" x14ac:dyDescent="0.25">
      <c r="A162" s="138">
        <v>112201</v>
      </c>
      <c r="B162">
        <v>85</v>
      </c>
      <c r="C162">
        <v>1</v>
      </c>
      <c r="D162">
        <v>2</v>
      </c>
      <c r="E162" s="2" t="str">
        <f t="shared" si="2"/>
        <v/>
      </c>
    </row>
    <row r="163" spans="1:5" x14ac:dyDescent="0.25">
      <c r="A163" s="138">
        <v>112202</v>
      </c>
      <c r="B163">
        <v>85</v>
      </c>
      <c r="C163">
        <v>1</v>
      </c>
      <c r="D163">
        <v>2</v>
      </c>
      <c r="E163" s="2" t="str">
        <f t="shared" si="2"/>
        <v/>
      </c>
    </row>
    <row r="164" spans="1:5" x14ac:dyDescent="0.25">
      <c r="A164" s="138">
        <v>112203</v>
      </c>
      <c r="B164">
        <v>85</v>
      </c>
      <c r="C164">
        <v>1</v>
      </c>
      <c r="D164">
        <v>2</v>
      </c>
      <c r="E164" s="2" t="str">
        <f t="shared" si="2"/>
        <v/>
      </c>
    </row>
    <row r="165" spans="1:5" x14ac:dyDescent="0.25">
      <c r="A165" s="138">
        <v>112204</v>
      </c>
      <c r="B165">
        <v>85</v>
      </c>
      <c r="C165">
        <v>1</v>
      </c>
      <c r="D165">
        <v>2</v>
      </c>
      <c r="E165" s="2" t="str">
        <f t="shared" si="2"/>
        <v/>
      </c>
    </row>
    <row r="166" spans="1:5" x14ac:dyDescent="0.25">
      <c r="A166" s="138">
        <v>112205</v>
      </c>
      <c r="B166">
        <v>85</v>
      </c>
      <c r="C166">
        <v>1</v>
      </c>
      <c r="D166">
        <v>2</v>
      </c>
      <c r="E166" s="2" t="str">
        <f t="shared" si="2"/>
        <v/>
      </c>
    </row>
    <row r="167" spans="1:5" x14ac:dyDescent="0.25">
      <c r="A167" s="138">
        <v>112206</v>
      </c>
      <c r="B167">
        <v>85</v>
      </c>
      <c r="C167">
        <v>1</v>
      </c>
      <c r="D167">
        <v>2</v>
      </c>
      <c r="E167" s="2" t="str">
        <f t="shared" si="2"/>
        <v/>
      </c>
    </row>
    <row r="168" spans="1:5" x14ac:dyDescent="0.25">
      <c r="A168" s="138">
        <v>112299</v>
      </c>
      <c r="B168">
        <v>85</v>
      </c>
      <c r="C168">
        <v>1</v>
      </c>
      <c r="D168">
        <v>2</v>
      </c>
      <c r="E168" s="2" t="str">
        <f t="shared" si="2"/>
        <v/>
      </c>
    </row>
    <row r="169" spans="1:5" x14ac:dyDescent="0.25">
      <c r="A169" s="138">
        <v>112300</v>
      </c>
      <c r="B169">
        <v>86</v>
      </c>
      <c r="C169">
        <v>1</v>
      </c>
      <c r="D169">
        <v>2</v>
      </c>
      <c r="E169" s="2" t="str">
        <f t="shared" si="2"/>
        <v/>
      </c>
    </row>
    <row r="170" spans="1:5" x14ac:dyDescent="0.25">
      <c r="A170" s="138">
        <v>112301</v>
      </c>
      <c r="B170">
        <v>86</v>
      </c>
      <c r="C170">
        <v>1</v>
      </c>
      <c r="D170">
        <v>2</v>
      </c>
      <c r="E170" s="2" t="str">
        <f t="shared" si="2"/>
        <v/>
      </c>
    </row>
    <row r="171" spans="1:5" x14ac:dyDescent="0.25">
      <c r="A171" s="138">
        <v>112302</v>
      </c>
      <c r="B171">
        <v>86</v>
      </c>
      <c r="C171">
        <v>1</v>
      </c>
      <c r="D171">
        <v>2</v>
      </c>
      <c r="E171" s="2" t="str">
        <f t="shared" si="2"/>
        <v/>
      </c>
    </row>
    <row r="172" spans="1:5" x14ac:dyDescent="0.25">
      <c r="A172" s="138">
        <v>112303</v>
      </c>
      <c r="B172">
        <v>86</v>
      </c>
      <c r="C172">
        <v>1</v>
      </c>
      <c r="D172">
        <v>2</v>
      </c>
      <c r="E172" s="2" t="str">
        <f t="shared" si="2"/>
        <v/>
      </c>
    </row>
    <row r="173" spans="1:5" x14ac:dyDescent="0.25">
      <c r="A173" s="138">
        <v>112304</v>
      </c>
      <c r="B173">
        <v>86</v>
      </c>
      <c r="C173">
        <v>1</v>
      </c>
      <c r="D173">
        <v>2</v>
      </c>
      <c r="E173" s="2" t="str">
        <f t="shared" si="2"/>
        <v/>
      </c>
    </row>
    <row r="174" spans="1:5" x14ac:dyDescent="0.25">
      <c r="A174" s="138">
        <v>112305</v>
      </c>
      <c r="B174">
        <v>86</v>
      </c>
      <c r="C174">
        <v>1</v>
      </c>
      <c r="D174">
        <v>2</v>
      </c>
      <c r="E174" s="2" t="str">
        <f t="shared" si="2"/>
        <v/>
      </c>
    </row>
    <row r="175" spans="1:5" x14ac:dyDescent="0.25">
      <c r="A175" s="138">
        <v>112306</v>
      </c>
      <c r="B175">
        <v>86</v>
      </c>
      <c r="C175">
        <v>1</v>
      </c>
      <c r="D175">
        <v>2</v>
      </c>
      <c r="E175" s="2" t="str">
        <f t="shared" si="2"/>
        <v/>
      </c>
    </row>
    <row r="176" spans="1:5" x14ac:dyDescent="0.25">
      <c r="A176" s="138">
        <v>112307</v>
      </c>
      <c r="B176">
        <v>86</v>
      </c>
      <c r="C176">
        <v>1</v>
      </c>
      <c r="D176">
        <v>2</v>
      </c>
      <c r="E176" s="2" t="str">
        <f t="shared" si="2"/>
        <v/>
      </c>
    </row>
    <row r="177" spans="1:5" x14ac:dyDescent="0.25">
      <c r="A177" s="138">
        <v>112308</v>
      </c>
      <c r="B177">
        <v>86</v>
      </c>
      <c r="C177">
        <v>1</v>
      </c>
      <c r="D177">
        <v>2</v>
      </c>
      <c r="E177" s="2" t="str">
        <f t="shared" si="2"/>
        <v/>
      </c>
    </row>
    <row r="178" spans="1:5" x14ac:dyDescent="0.25">
      <c r="A178" s="138">
        <v>112309</v>
      </c>
      <c r="B178">
        <v>86</v>
      </c>
      <c r="C178">
        <v>1</v>
      </c>
      <c r="D178">
        <v>2</v>
      </c>
      <c r="E178" s="2" t="str">
        <f t="shared" si="2"/>
        <v/>
      </c>
    </row>
    <row r="179" spans="1:5" x14ac:dyDescent="0.25">
      <c r="A179" s="138">
        <v>112310</v>
      </c>
      <c r="B179">
        <v>86</v>
      </c>
      <c r="C179">
        <v>1</v>
      </c>
      <c r="D179">
        <v>2</v>
      </c>
      <c r="E179" s="2" t="str">
        <f t="shared" si="2"/>
        <v/>
      </c>
    </row>
    <row r="180" spans="1:5" x14ac:dyDescent="0.25">
      <c r="A180" s="138">
        <v>112311</v>
      </c>
      <c r="B180">
        <v>86</v>
      </c>
      <c r="C180">
        <v>1</v>
      </c>
      <c r="D180">
        <v>2</v>
      </c>
      <c r="E180" s="2" t="str">
        <f t="shared" si="2"/>
        <v/>
      </c>
    </row>
    <row r="181" spans="1:5" x14ac:dyDescent="0.25">
      <c r="A181" s="138">
        <v>112312</v>
      </c>
      <c r="B181">
        <v>86</v>
      </c>
      <c r="C181">
        <v>1</v>
      </c>
      <c r="D181">
        <v>2</v>
      </c>
      <c r="E181" s="2" t="str">
        <f t="shared" si="2"/>
        <v/>
      </c>
    </row>
    <row r="182" spans="1:5" x14ac:dyDescent="0.25">
      <c r="A182" s="138">
        <v>112313</v>
      </c>
      <c r="B182">
        <v>86</v>
      </c>
      <c r="C182">
        <v>1</v>
      </c>
      <c r="D182">
        <v>2</v>
      </c>
      <c r="E182" s="2" t="str">
        <f t="shared" si="2"/>
        <v/>
      </c>
    </row>
    <row r="183" spans="1:5" x14ac:dyDescent="0.25">
      <c r="A183" s="138">
        <v>112314</v>
      </c>
      <c r="B183">
        <v>86</v>
      </c>
      <c r="C183">
        <v>1</v>
      </c>
      <c r="D183">
        <v>2</v>
      </c>
      <c r="E183" s="2" t="str">
        <f t="shared" si="2"/>
        <v/>
      </c>
    </row>
    <row r="184" spans="1:5" x14ac:dyDescent="0.25">
      <c r="A184" s="138">
        <v>112315</v>
      </c>
      <c r="B184">
        <v>86</v>
      </c>
      <c r="C184">
        <v>1</v>
      </c>
      <c r="D184">
        <v>2</v>
      </c>
      <c r="E184" s="2" t="str">
        <f t="shared" si="2"/>
        <v/>
      </c>
    </row>
    <row r="185" spans="1:5" x14ac:dyDescent="0.25">
      <c r="A185" s="138">
        <v>112316</v>
      </c>
      <c r="B185">
        <v>86</v>
      </c>
      <c r="C185">
        <v>1</v>
      </c>
      <c r="D185">
        <v>2</v>
      </c>
      <c r="E185" s="2" t="str">
        <f t="shared" si="2"/>
        <v/>
      </c>
    </row>
    <row r="186" spans="1:5" x14ac:dyDescent="0.25">
      <c r="A186" s="138">
        <v>112317</v>
      </c>
      <c r="B186">
        <v>86</v>
      </c>
      <c r="C186">
        <v>1</v>
      </c>
      <c r="D186">
        <v>2</v>
      </c>
      <c r="E186" s="2" t="str">
        <f t="shared" si="2"/>
        <v/>
      </c>
    </row>
    <row r="187" spans="1:5" x14ac:dyDescent="0.25">
      <c r="A187" s="138">
        <v>112318</v>
      </c>
      <c r="B187">
        <v>86</v>
      </c>
      <c r="C187">
        <v>1</v>
      </c>
      <c r="D187">
        <v>2</v>
      </c>
      <c r="E187" s="2" t="str">
        <f t="shared" si="2"/>
        <v/>
      </c>
    </row>
    <row r="188" spans="1:5" x14ac:dyDescent="0.25">
      <c r="A188" s="138">
        <v>112319</v>
      </c>
      <c r="B188">
        <v>86</v>
      </c>
      <c r="C188">
        <v>1</v>
      </c>
      <c r="D188">
        <v>2</v>
      </c>
      <c r="E188" s="2" t="str">
        <f t="shared" si="2"/>
        <v/>
      </c>
    </row>
    <row r="189" spans="1:5" x14ac:dyDescent="0.25">
      <c r="A189" s="138">
        <v>112320</v>
      </c>
      <c r="B189">
        <v>86</v>
      </c>
      <c r="C189">
        <v>1</v>
      </c>
      <c r="D189">
        <v>2</v>
      </c>
      <c r="E189" s="2" t="str">
        <f t="shared" si="2"/>
        <v/>
      </c>
    </row>
    <row r="190" spans="1:5" x14ac:dyDescent="0.25">
      <c r="A190" s="138">
        <v>112321</v>
      </c>
      <c r="B190">
        <v>86</v>
      </c>
      <c r="C190">
        <v>1</v>
      </c>
      <c r="D190">
        <v>2</v>
      </c>
      <c r="E190" s="2" t="str">
        <f t="shared" si="2"/>
        <v/>
      </c>
    </row>
    <row r="191" spans="1:5" x14ac:dyDescent="0.25">
      <c r="A191" s="138">
        <v>112322</v>
      </c>
      <c r="B191">
        <v>86</v>
      </c>
      <c r="C191">
        <v>1</v>
      </c>
      <c r="D191">
        <v>2</v>
      </c>
      <c r="E191" s="2" t="str">
        <f t="shared" si="2"/>
        <v/>
      </c>
    </row>
    <row r="192" spans="1:5" x14ac:dyDescent="0.25">
      <c r="A192" s="138">
        <v>112323</v>
      </c>
      <c r="B192">
        <v>86</v>
      </c>
      <c r="C192">
        <v>1</v>
      </c>
      <c r="D192">
        <v>2</v>
      </c>
      <c r="E192" s="2" t="str">
        <f t="shared" si="2"/>
        <v/>
      </c>
    </row>
    <row r="193" spans="1:5" x14ac:dyDescent="0.25">
      <c r="A193" s="138">
        <v>112397</v>
      </c>
      <c r="B193">
        <v>86</v>
      </c>
      <c r="C193">
        <v>1</v>
      </c>
      <c r="D193">
        <v>2</v>
      </c>
      <c r="E193" s="2" t="str">
        <f t="shared" si="2"/>
        <v/>
      </c>
    </row>
    <row r="194" spans="1:5" x14ac:dyDescent="0.25">
      <c r="A194" s="138">
        <v>112398</v>
      </c>
      <c r="B194">
        <v>86</v>
      </c>
      <c r="C194">
        <v>1</v>
      </c>
      <c r="D194">
        <v>2</v>
      </c>
      <c r="E194" s="2" t="str">
        <f t="shared" si="2"/>
        <v/>
      </c>
    </row>
    <row r="195" spans="1:5" x14ac:dyDescent="0.25">
      <c r="A195" s="138">
        <v>112399</v>
      </c>
      <c r="B195">
        <v>86</v>
      </c>
      <c r="C195">
        <v>1</v>
      </c>
      <c r="D195">
        <v>2</v>
      </c>
      <c r="E195" s="2" t="str">
        <f t="shared" ref="E195:E258" si="3">IF(B195=B194,IF(C194=C195,"",1),"")</f>
        <v/>
      </c>
    </row>
    <row r="196" spans="1:5" x14ac:dyDescent="0.25">
      <c r="A196" s="138">
        <v>112400</v>
      </c>
      <c r="B196">
        <v>85</v>
      </c>
      <c r="C196">
        <v>1</v>
      </c>
      <c r="D196">
        <v>2</v>
      </c>
      <c r="E196" s="2" t="str">
        <f t="shared" si="3"/>
        <v/>
      </c>
    </row>
    <row r="197" spans="1:5" x14ac:dyDescent="0.25">
      <c r="A197" s="138">
        <v>112401</v>
      </c>
      <c r="B197">
        <v>85</v>
      </c>
      <c r="C197">
        <v>1</v>
      </c>
      <c r="D197">
        <v>2</v>
      </c>
      <c r="E197" s="2" t="str">
        <f t="shared" si="3"/>
        <v/>
      </c>
    </row>
    <row r="198" spans="1:5" x14ac:dyDescent="0.25">
      <c r="A198" s="138">
        <v>112402</v>
      </c>
      <c r="B198">
        <v>85</v>
      </c>
      <c r="C198">
        <v>1</v>
      </c>
      <c r="D198">
        <v>2</v>
      </c>
      <c r="E198" s="2" t="str">
        <f t="shared" si="3"/>
        <v/>
      </c>
    </row>
    <row r="199" spans="1:5" x14ac:dyDescent="0.25">
      <c r="A199" s="138">
        <v>112403</v>
      </c>
      <c r="B199">
        <v>85</v>
      </c>
      <c r="C199">
        <v>1</v>
      </c>
      <c r="D199">
        <v>2</v>
      </c>
      <c r="E199" s="2" t="str">
        <f t="shared" si="3"/>
        <v/>
      </c>
    </row>
    <row r="200" spans="1:5" x14ac:dyDescent="0.25">
      <c r="A200" s="138">
        <v>112404</v>
      </c>
      <c r="B200">
        <v>85</v>
      </c>
      <c r="C200">
        <v>1</v>
      </c>
      <c r="D200">
        <v>2</v>
      </c>
      <c r="E200" s="2" t="str">
        <f t="shared" si="3"/>
        <v/>
      </c>
    </row>
    <row r="201" spans="1:5" x14ac:dyDescent="0.25">
      <c r="A201" s="138">
        <v>112405</v>
      </c>
      <c r="B201">
        <v>85</v>
      </c>
      <c r="C201">
        <v>1</v>
      </c>
      <c r="D201">
        <v>2</v>
      </c>
      <c r="E201" s="2" t="str">
        <f t="shared" si="3"/>
        <v/>
      </c>
    </row>
    <row r="202" spans="1:5" x14ac:dyDescent="0.25">
      <c r="A202" s="138">
        <v>112406</v>
      </c>
      <c r="B202">
        <v>85</v>
      </c>
      <c r="C202">
        <v>1</v>
      </c>
      <c r="D202">
        <v>2</v>
      </c>
      <c r="E202" s="2" t="str">
        <f t="shared" si="3"/>
        <v/>
      </c>
    </row>
    <row r="203" spans="1:5" x14ac:dyDescent="0.25">
      <c r="A203" s="138">
        <v>112407</v>
      </c>
      <c r="B203">
        <v>85</v>
      </c>
      <c r="C203">
        <v>1</v>
      </c>
      <c r="D203">
        <v>2</v>
      </c>
      <c r="E203" s="2" t="str">
        <f t="shared" si="3"/>
        <v/>
      </c>
    </row>
    <row r="204" spans="1:5" x14ac:dyDescent="0.25">
      <c r="A204" s="138">
        <v>112408</v>
      </c>
      <c r="B204">
        <v>85</v>
      </c>
      <c r="C204">
        <v>1</v>
      </c>
      <c r="D204">
        <v>2</v>
      </c>
      <c r="E204" s="2" t="str">
        <f t="shared" si="3"/>
        <v/>
      </c>
    </row>
    <row r="205" spans="1:5" x14ac:dyDescent="0.25">
      <c r="A205" s="138">
        <v>112409</v>
      </c>
      <c r="B205">
        <v>85</v>
      </c>
      <c r="C205">
        <v>1</v>
      </c>
      <c r="D205">
        <v>2</v>
      </c>
      <c r="E205" s="2" t="str">
        <f t="shared" si="3"/>
        <v/>
      </c>
    </row>
    <row r="206" spans="1:5" x14ac:dyDescent="0.25">
      <c r="A206" s="138">
        <v>112410</v>
      </c>
      <c r="B206">
        <v>85</v>
      </c>
      <c r="C206">
        <v>1</v>
      </c>
      <c r="D206">
        <v>2</v>
      </c>
      <c r="E206" s="2" t="str">
        <f t="shared" si="3"/>
        <v/>
      </c>
    </row>
    <row r="207" spans="1:5" x14ac:dyDescent="0.25">
      <c r="A207" s="138">
        <v>112411</v>
      </c>
      <c r="B207">
        <v>85</v>
      </c>
      <c r="C207">
        <v>1</v>
      </c>
      <c r="D207">
        <v>2</v>
      </c>
      <c r="E207" s="2" t="str">
        <f t="shared" si="3"/>
        <v/>
      </c>
    </row>
    <row r="208" spans="1:5" x14ac:dyDescent="0.25">
      <c r="A208" s="138">
        <v>112412</v>
      </c>
      <c r="B208">
        <v>85</v>
      </c>
      <c r="C208">
        <v>1</v>
      </c>
      <c r="D208">
        <v>2</v>
      </c>
      <c r="E208" s="2" t="str">
        <f t="shared" si="3"/>
        <v/>
      </c>
    </row>
    <row r="209" spans="1:5" x14ac:dyDescent="0.25">
      <c r="A209" s="138">
        <v>112498</v>
      </c>
      <c r="B209">
        <v>85</v>
      </c>
      <c r="C209">
        <v>1</v>
      </c>
      <c r="D209">
        <v>2</v>
      </c>
      <c r="E209" s="2" t="str">
        <f t="shared" si="3"/>
        <v/>
      </c>
    </row>
    <row r="210" spans="1:5" x14ac:dyDescent="0.25">
      <c r="A210" s="138">
        <v>112499</v>
      </c>
      <c r="B210">
        <v>85</v>
      </c>
      <c r="C210">
        <v>1</v>
      </c>
      <c r="D210">
        <v>2</v>
      </c>
      <c r="E210" s="2" t="str">
        <f t="shared" si="3"/>
        <v/>
      </c>
    </row>
    <row r="211" spans="1:5" x14ac:dyDescent="0.25">
      <c r="A211" s="138">
        <v>112500</v>
      </c>
      <c r="B211">
        <v>87</v>
      </c>
      <c r="C211">
        <v>1</v>
      </c>
      <c r="D211">
        <v>2</v>
      </c>
      <c r="E211" s="2" t="str">
        <f t="shared" si="3"/>
        <v/>
      </c>
    </row>
    <row r="212" spans="1:5" x14ac:dyDescent="0.25">
      <c r="A212" s="138">
        <v>112501</v>
      </c>
      <c r="B212">
        <v>87</v>
      </c>
      <c r="C212">
        <v>1</v>
      </c>
      <c r="D212">
        <v>2</v>
      </c>
      <c r="E212" s="2" t="str">
        <f t="shared" si="3"/>
        <v/>
      </c>
    </row>
    <row r="213" spans="1:5" x14ac:dyDescent="0.25">
      <c r="A213" s="138">
        <v>112502</v>
      </c>
      <c r="B213">
        <v>87</v>
      </c>
      <c r="C213">
        <v>1</v>
      </c>
      <c r="D213">
        <v>2</v>
      </c>
      <c r="E213" s="2" t="str">
        <f t="shared" si="3"/>
        <v/>
      </c>
    </row>
    <row r="214" spans="1:5" x14ac:dyDescent="0.25">
      <c r="A214" s="138">
        <v>112503</v>
      </c>
      <c r="B214">
        <v>87</v>
      </c>
      <c r="C214">
        <v>1</v>
      </c>
      <c r="D214">
        <v>2</v>
      </c>
      <c r="E214" s="2" t="str">
        <f t="shared" si="3"/>
        <v/>
      </c>
    </row>
    <row r="215" spans="1:5" x14ac:dyDescent="0.25">
      <c r="A215" s="138">
        <v>112504</v>
      </c>
      <c r="B215">
        <v>87</v>
      </c>
      <c r="C215">
        <v>1</v>
      </c>
      <c r="D215">
        <v>2</v>
      </c>
      <c r="E215" s="2" t="str">
        <f t="shared" si="3"/>
        <v/>
      </c>
    </row>
    <row r="216" spans="1:5" x14ac:dyDescent="0.25">
      <c r="A216" s="138">
        <v>112505</v>
      </c>
      <c r="B216">
        <v>87</v>
      </c>
      <c r="C216">
        <v>1</v>
      </c>
      <c r="D216">
        <v>2</v>
      </c>
      <c r="E216" s="2" t="str">
        <f t="shared" si="3"/>
        <v/>
      </c>
    </row>
    <row r="217" spans="1:5" x14ac:dyDescent="0.25">
      <c r="A217" s="138">
        <v>112506</v>
      </c>
      <c r="B217">
        <v>87</v>
      </c>
      <c r="C217">
        <v>1</v>
      </c>
      <c r="D217">
        <v>2</v>
      </c>
      <c r="E217" s="2" t="str">
        <f t="shared" si="3"/>
        <v/>
      </c>
    </row>
    <row r="218" spans="1:5" x14ac:dyDescent="0.25">
      <c r="A218" s="138">
        <v>112507</v>
      </c>
      <c r="B218">
        <v>87</v>
      </c>
      <c r="C218">
        <v>1</v>
      </c>
      <c r="D218">
        <v>2</v>
      </c>
      <c r="E218" s="2" t="str">
        <f t="shared" si="3"/>
        <v/>
      </c>
    </row>
    <row r="219" spans="1:5" x14ac:dyDescent="0.25">
      <c r="A219" s="138">
        <v>112508</v>
      </c>
      <c r="B219">
        <v>87</v>
      </c>
      <c r="C219">
        <v>1</v>
      </c>
      <c r="D219">
        <v>2</v>
      </c>
      <c r="E219" s="2" t="str">
        <f t="shared" si="3"/>
        <v/>
      </c>
    </row>
    <row r="220" spans="1:5" x14ac:dyDescent="0.25">
      <c r="A220" s="138">
        <v>112509</v>
      </c>
      <c r="B220">
        <v>87</v>
      </c>
      <c r="C220">
        <v>1</v>
      </c>
      <c r="D220">
        <v>2</v>
      </c>
      <c r="E220" s="2" t="str">
        <f t="shared" si="3"/>
        <v/>
      </c>
    </row>
    <row r="221" spans="1:5" x14ac:dyDescent="0.25">
      <c r="A221" s="138">
        <v>112510</v>
      </c>
      <c r="B221">
        <v>87</v>
      </c>
      <c r="C221">
        <v>1</v>
      </c>
      <c r="D221">
        <v>2</v>
      </c>
      <c r="E221" s="2" t="str">
        <f t="shared" si="3"/>
        <v/>
      </c>
    </row>
    <row r="222" spans="1:5" x14ac:dyDescent="0.25">
      <c r="A222" s="138">
        <v>112511</v>
      </c>
      <c r="B222">
        <v>87</v>
      </c>
      <c r="C222">
        <v>1</v>
      </c>
      <c r="D222">
        <v>2</v>
      </c>
      <c r="E222" s="2" t="str">
        <f t="shared" si="3"/>
        <v/>
      </c>
    </row>
    <row r="223" spans="1:5" x14ac:dyDescent="0.25">
      <c r="A223" s="138">
        <v>112512</v>
      </c>
      <c r="B223">
        <v>87</v>
      </c>
      <c r="C223">
        <v>1</v>
      </c>
      <c r="D223">
        <v>2</v>
      </c>
      <c r="E223" s="2" t="str">
        <f t="shared" si="3"/>
        <v/>
      </c>
    </row>
    <row r="224" spans="1:5" x14ac:dyDescent="0.25">
      <c r="A224" s="138">
        <v>112513</v>
      </c>
      <c r="B224">
        <v>87</v>
      </c>
      <c r="C224">
        <v>1</v>
      </c>
      <c r="D224">
        <v>2</v>
      </c>
      <c r="E224" s="2" t="str">
        <f t="shared" si="3"/>
        <v/>
      </c>
    </row>
    <row r="225" spans="1:5" x14ac:dyDescent="0.25">
      <c r="A225" s="138">
        <v>112514</v>
      </c>
      <c r="B225">
        <v>87</v>
      </c>
      <c r="C225">
        <v>1</v>
      </c>
      <c r="D225">
        <v>2</v>
      </c>
      <c r="E225" s="2" t="str">
        <f t="shared" si="3"/>
        <v/>
      </c>
    </row>
    <row r="226" spans="1:5" x14ac:dyDescent="0.25">
      <c r="A226" s="138">
        <v>112515</v>
      </c>
      <c r="B226">
        <v>87</v>
      </c>
      <c r="C226">
        <v>1</v>
      </c>
      <c r="D226">
        <v>2</v>
      </c>
      <c r="E226" s="2" t="str">
        <f t="shared" si="3"/>
        <v/>
      </c>
    </row>
    <row r="227" spans="1:5" x14ac:dyDescent="0.25">
      <c r="A227" s="138">
        <v>112516</v>
      </c>
      <c r="B227">
        <v>87</v>
      </c>
      <c r="C227">
        <v>1</v>
      </c>
      <c r="D227">
        <v>2</v>
      </c>
      <c r="E227" s="2" t="str">
        <f t="shared" si="3"/>
        <v/>
      </c>
    </row>
    <row r="228" spans="1:5" x14ac:dyDescent="0.25">
      <c r="A228" s="138">
        <v>112517</v>
      </c>
      <c r="B228">
        <v>87</v>
      </c>
      <c r="C228">
        <v>1</v>
      </c>
      <c r="D228">
        <v>2</v>
      </c>
      <c r="E228" s="2" t="str">
        <f t="shared" si="3"/>
        <v/>
      </c>
    </row>
    <row r="229" spans="1:5" x14ac:dyDescent="0.25">
      <c r="A229" s="138">
        <v>112518</v>
      </c>
      <c r="B229">
        <v>87</v>
      </c>
      <c r="C229">
        <v>1</v>
      </c>
      <c r="D229">
        <v>2</v>
      </c>
      <c r="E229" s="2" t="str">
        <f t="shared" si="3"/>
        <v/>
      </c>
    </row>
    <row r="230" spans="1:5" x14ac:dyDescent="0.25">
      <c r="A230" s="138">
        <v>112519</v>
      </c>
      <c r="B230">
        <v>87</v>
      </c>
      <c r="C230">
        <v>1</v>
      </c>
      <c r="D230">
        <v>2</v>
      </c>
      <c r="E230" s="2" t="str">
        <f t="shared" si="3"/>
        <v/>
      </c>
    </row>
    <row r="231" spans="1:5" x14ac:dyDescent="0.25">
      <c r="A231" s="138">
        <v>112520</v>
      </c>
      <c r="B231">
        <v>87</v>
      </c>
      <c r="C231">
        <v>1</v>
      </c>
      <c r="D231">
        <v>2</v>
      </c>
      <c r="E231" s="2" t="str">
        <f t="shared" si="3"/>
        <v/>
      </c>
    </row>
    <row r="232" spans="1:5" x14ac:dyDescent="0.25">
      <c r="A232" s="138">
        <v>112521</v>
      </c>
      <c r="B232">
        <v>87</v>
      </c>
      <c r="C232">
        <v>1</v>
      </c>
      <c r="D232">
        <v>2</v>
      </c>
      <c r="E232" s="2" t="str">
        <f t="shared" si="3"/>
        <v/>
      </c>
    </row>
    <row r="233" spans="1:5" x14ac:dyDescent="0.25">
      <c r="A233" s="138">
        <v>112522</v>
      </c>
      <c r="B233">
        <v>87</v>
      </c>
      <c r="C233">
        <v>1</v>
      </c>
      <c r="D233">
        <v>2</v>
      </c>
      <c r="E233" s="2" t="str">
        <f t="shared" si="3"/>
        <v/>
      </c>
    </row>
    <row r="234" spans="1:5" x14ac:dyDescent="0.25">
      <c r="A234" s="138">
        <v>112523</v>
      </c>
      <c r="B234">
        <v>87</v>
      </c>
      <c r="C234">
        <v>1</v>
      </c>
      <c r="D234">
        <v>2</v>
      </c>
      <c r="E234" s="2" t="str">
        <f t="shared" si="3"/>
        <v/>
      </c>
    </row>
    <row r="235" spans="1:5" x14ac:dyDescent="0.25">
      <c r="A235" s="138">
        <v>112524</v>
      </c>
      <c r="B235">
        <v>87</v>
      </c>
      <c r="C235">
        <v>1</v>
      </c>
      <c r="D235">
        <v>2</v>
      </c>
      <c r="E235" s="2" t="str">
        <f t="shared" si="3"/>
        <v/>
      </c>
    </row>
    <row r="236" spans="1:5" x14ac:dyDescent="0.25">
      <c r="A236" s="138">
        <v>112525</v>
      </c>
      <c r="B236">
        <v>87</v>
      </c>
      <c r="C236">
        <v>1</v>
      </c>
      <c r="D236">
        <v>2</v>
      </c>
      <c r="E236" s="2" t="str">
        <f t="shared" si="3"/>
        <v/>
      </c>
    </row>
    <row r="237" spans="1:5" x14ac:dyDescent="0.25">
      <c r="A237" s="138">
        <v>112526</v>
      </c>
      <c r="B237">
        <v>87</v>
      </c>
      <c r="C237">
        <v>1</v>
      </c>
      <c r="D237">
        <v>2</v>
      </c>
      <c r="E237" s="2" t="str">
        <f t="shared" si="3"/>
        <v/>
      </c>
    </row>
    <row r="238" spans="1:5" x14ac:dyDescent="0.25">
      <c r="A238" s="138">
        <v>112527</v>
      </c>
      <c r="B238">
        <v>87</v>
      </c>
      <c r="C238">
        <v>1</v>
      </c>
      <c r="D238">
        <v>2</v>
      </c>
      <c r="E238" s="2" t="str">
        <f t="shared" si="3"/>
        <v/>
      </c>
    </row>
    <row r="239" spans="1:5" x14ac:dyDescent="0.25">
      <c r="A239" s="138">
        <v>112528</v>
      </c>
      <c r="B239">
        <v>87</v>
      </c>
      <c r="C239">
        <v>1</v>
      </c>
      <c r="D239">
        <v>2</v>
      </c>
      <c r="E239" s="2" t="str">
        <f t="shared" si="3"/>
        <v/>
      </c>
    </row>
    <row r="240" spans="1:5" x14ac:dyDescent="0.25">
      <c r="A240" s="138">
        <v>112529</v>
      </c>
      <c r="B240">
        <v>87</v>
      </c>
      <c r="C240">
        <v>1</v>
      </c>
      <c r="D240">
        <v>2</v>
      </c>
      <c r="E240" s="2" t="str">
        <f t="shared" si="3"/>
        <v/>
      </c>
    </row>
    <row r="241" spans="1:5" x14ac:dyDescent="0.25">
      <c r="A241" s="138">
        <v>112530</v>
      </c>
      <c r="B241">
        <v>87</v>
      </c>
      <c r="C241">
        <v>1</v>
      </c>
      <c r="D241">
        <v>2</v>
      </c>
      <c r="E241" s="2" t="str">
        <f t="shared" si="3"/>
        <v/>
      </c>
    </row>
    <row r="242" spans="1:5" x14ac:dyDescent="0.25">
      <c r="A242" s="138">
        <v>112531</v>
      </c>
      <c r="B242">
        <v>87</v>
      </c>
      <c r="C242">
        <v>1</v>
      </c>
      <c r="D242">
        <v>2</v>
      </c>
      <c r="E242" s="2" t="str">
        <f t="shared" si="3"/>
        <v/>
      </c>
    </row>
    <row r="243" spans="1:5" x14ac:dyDescent="0.25">
      <c r="A243" s="138">
        <v>112532</v>
      </c>
      <c r="B243">
        <v>87</v>
      </c>
      <c r="C243">
        <v>1</v>
      </c>
      <c r="D243">
        <v>2</v>
      </c>
      <c r="E243" s="2" t="str">
        <f t="shared" si="3"/>
        <v/>
      </c>
    </row>
    <row r="244" spans="1:5" x14ac:dyDescent="0.25">
      <c r="A244" s="138">
        <v>112533</v>
      </c>
      <c r="B244">
        <v>87</v>
      </c>
      <c r="C244">
        <v>1</v>
      </c>
      <c r="D244">
        <v>2</v>
      </c>
      <c r="E244" s="2" t="str">
        <f t="shared" si="3"/>
        <v/>
      </c>
    </row>
    <row r="245" spans="1:5" x14ac:dyDescent="0.25">
      <c r="A245" s="138">
        <v>112534</v>
      </c>
      <c r="B245">
        <v>87</v>
      </c>
      <c r="C245">
        <v>1</v>
      </c>
      <c r="D245">
        <v>2</v>
      </c>
      <c r="E245" s="2" t="str">
        <f t="shared" si="3"/>
        <v/>
      </c>
    </row>
    <row r="246" spans="1:5" x14ac:dyDescent="0.25">
      <c r="A246" s="138">
        <v>112535</v>
      </c>
      <c r="B246">
        <v>87</v>
      </c>
      <c r="C246">
        <v>1</v>
      </c>
      <c r="D246">
        <v>2</v>
      </c>
      <c r="E246" s="2" t="str">
        <f t="shared" si="3"/>
        <v/>
      </c>
    </row>
    <row r="247" spans="1:5" x14ac:dyDescent="0.25">
      <c r="A247" s="138">
        <v>112598</v>
      </c>
      <c r="B247">
        <v>87</v>
      </c>
      <c r="C247">
        <v>1</v>
      </c>
      <c r="D247">
        <v>2</v>
      </c>
      <c r="E247" s="2" t="str">
        <f t="shared" si="3"/>
        <v/>
      </c>
    </row>
    <row r="248" spans="1:5" x14ac:dyDescent="0.25">
      <c r="A248" s="138">
        <v>112599</v>
      </c>
      <c r="B248">
        <v>87</v>
      </c>
      <c r="C248">
        <v>1</v>
      </c>
      <c r="D248">
        <v>2</v>
      </c>
      <c r="E248" s="2" t="str">
        <f t="shared" si="3"/>
        <v/>
      </c>
    </row>
    <row r="249" spans="1:5" x14ac:dyDescent="0.25">
      <c r="A249" s="138">
        <v>113000</v>
      </c>
      <c r="B249">
        <v>71</v>
      </c>
      <c r="C249">
        <v>1</v>
      </c>
      <c r="D249">
        <v>2</v>
      </c>
      <c r="E249" s="2" t="str">
        <f t="shared" si="3"/>
        <v/>
      </c>
    </row>
    <row r="250" spans="1:5" x14ac:dyDescent="0.25">
      <c r="A250" s="138">
        <v>113001</v>
      </c>
      <c r="B250">
        <v>71</v>
      </c>
      <c r="C250">
        <v>1</v>
      </c>
      <c r="D250">
        <v>3</v>
      </c>
      <c r="E250" s="2" t="str">
        <f t="shared" si="3"/>
        <v/>
      </c>
    </row>
    <row r="251" spans="1:5" x14ac:dyDescent="0.25">
      <c r="A251" s="138">
        <v>113002</v>
      </c>
      <c r="B251">
        <v>71</v>
      </c>
      <c r="C251">
        <v>1</v>
      </c>
      <c r="D251">
        <v>3</v>
      </c>
      <c r="E251" s="2" t="str">
        <f t="shared" si="3"/>
        <v/>
      </c>
    </row>
    <row r="252" spans="1:5" x14ac:dyDescent="0.25">
      <c r="A252" s="138">
        <v>113003</v>
      </c>
      <c r="B252">
        <v>71</v>
      </c>
      <c r="C252">
        <v>1</v>
      </c>
      <c r="D252">
        <v>3</v>
      </c>
      <c r="E252" s="2" t="str">
        <f t="shared" si="3"/>
        <v/>
      </c>
    </row>
    <row r="253" spans="1:5" x14ac:dyDescent="0.25">
      <c r="A253" s="138">
        <v>113004</v>
      </c>
      <c r="B253">
        <v>70</v>
      </c>
      <c r="C253">
        <v>1</v>
      </c>
      <c r="D253">
        <v>3</v>
      </c>
      <c r="E253" s="2" t="str">
        <f t="shared" si="3"/>
        <v/>
      </c>
    </row>
    <row r="254" spans="1:5" x14ac:dyDescent="0.25">
      <c r="A254" s="138">
        <v>113005</v>
      </c>
      <c r="B254">
        <v>71</v>
      </c>
      <c r="C254">
        <v>1</v>
      </c>
      <c r="D254">
        <v>3</v>
      </c>
      <c r="E254" s="2" t="str">
        <f t="shared" si="3"/>
        <v/>
      </c>
    </row>
    <row r="255" spans="1:5" x14ac:dyDescent="0.25">
      <c r="A255" s="138">
        <v>113006</v>
      </c>
      <c r="B255">
        <v>71</v>
      </c>
      <c r="C255">
        <v>1</v>
      </c>
      <c r="D255">
        <v>3</v>
      </c>
      <c r="E255" s="2" t="str">
        <f t="shared" si="3"/>
        <v/>
      </c>
    </row>
    <row r="256" spans="1:5" x14ac:dyDescent="0.25">
      <c r="A256" s="138">
        <v>113007</v>
      </c>
      <c r="B256">
        <v>71</v>
      </c>
      <c r="C256">
        <v>1</v>
      </c>
      <c r="D256">
        <v>3</v>
      </c>
      <c r="E256" s="2" t="str">
        <f t="shared" si="3"/>
        <v/>
      </c>
    </row>
    <row r="257" spans="1:5" x14ac:dyDescent="0.25">
      <c r="A257" s="138">
        <v>113008</v>
      </c>
      <c r="B257">
        <v>71</v>
      </c>
      <c r="C257">
        <v>1</v>
      </c>
      <c r="D257">
        <v>3</v>
      </c>
      <c r="E257" s="2" t="str">
        <f t="shared" si="3"/>
        <v/>
      </c>
    </row>
    <row r="258" spans="1:5" x14ac:dyDescent="0.25">
      <c r="A258" s="138">
        <v>113009</v>
      </c>
      <c r="B258">
        <v>71</v>
      </c>
      <c r="C258">
        <v>1</v>
      </c>
      <c r="D258">
        <v>3</v>
      </c>
      <c r="E258" s="2" t="str">
        <f t="shared" si="3"/>
        <v/>
      </c>
    </row>
    <row r="259" spans="1:5" x14ac:dyDescent="0.25">
      <c r="A259" s="138">
        <v>113010</v>
      </c>
      <c r="B259">
        <v>71</v>
      </c>
      <c r="C259">
        <v>1</v>
      </c>
      <c r="D259">
        <v>3</v>
      </c>
      <c r="E259" s="2" t="str">
        <f t="shared" ref="E259:E322" si="4">IF(B259=B258,IF(C258=C259,"",1),"")</f>
        <v/>
      </c>
    </row>
    <row r="260" spans="1:5" x14ac:dyDescent="0.25">
      <c r="A260" s="138">
        <v>113011</v>
      </c>
      <c r="B260">
        <v>71</v>
      </c>
      <c r="C260">
        <v>1</v>
      </c>
      <c r="D260">
        <v>3</v>
      </c>
      <c r="E260" s="2" t="str">
        <f t="shared" si="4"/>
        <v/>
      </c>
    </row>
    <row r="261" spans="1:5" x14ac:dyDescent="0.25">
      <c r="A261" s="138">
        <v>113012</v>
      </c>
      <c r="B261">
        <v>71</v>
      </c>
      <c r="C261">
        <v>1</v>
      </c>
      <c r="D261">
        <v>3</v>
      </c>
      <c r="E261" s="2" t="str">
        <f t="shared" si="4"/>
        <v/>
      </c>
    </row>
    <row r="262" spans="1:5" x14ac:dyDescent="0.25">
      <c r="A262" s="138">
        <v>113013</v>
      </c>
      <c r="B262">
        <v>71</v>
      </c>
      <c r="C262">
        <v>1</v>
      </c>
      <c r="D262">
        <v>3</v>
      </c>
      <c r="E262" s="2" t="str">
        <f t="shared" si="4"/>
        <v/>
      </c>
    </row>
    <row r="263" spans="1:5" x14ac:dyDescent="0.25">
      <c r="A263" s="138">
        <v>113014</v>
      </c>
      <c r="B263">
        <v>71</v>
      </c>
      <c r="C263">
        <v>1</v>
      </c>
      <c r="D263">
        <v>3</v>
      </c>
      <c r="E263" s="2" t="str">
        <f t="shared" si="4"/>
        <v/>
      </c>
    </row>
    <row r="264" spans="1:5" x14ac:dyDescent="0.25">
      <c r="A264" s="138">
        <v>113015</v>
      </c>
      <c r="B264">
        <v>71</v>
      </c>
      <c r="C264">
        <v>1</v>
      </c>
      <c r="D264">
        <v>3</v>
      </c>
      <c r="E264" s="2" t="str">
        <f t="shared" si="4"/>
        <v/>
      </c>
    </row>
    <row r="265" spans="1:5" x14ac:dyDescent="0.25">
      <c r="A265" s="138">
        <v>113016</v>
      </c>
      <c r="B265">
        <v>71</v>
      </c>
      <c r="C265">
        <v>1</v>
      </c>
      <c r="D265">
        <v>3</v>
      </c>
      <c r="E265" s="2" t="str">
        <f t="shared" si="4"/>
        <v/>
      </c>
    </row>
    <row r="266" spans="1:5" x14ac:dyDescent="0.25">
      <c r="A266" s="138">
        <v>113017</v>
      </c>
      <c r="B266">
        <v>71</v>
      </c>
      <c r="C266">
        <v>1</v>
      </c>
      <c r="D266">
        <v>3</v>
      </c>
      <c r="E266" s="2" t="str">
        <f t="shared" si="4"/>
        <v/>
      </c>
    </row>
    <row r="267" spans="1:5" x14ac:dyDescent="0.25">
      <c r="A267" s="138">
        <v>113018</v>
      </c>
      <c r="B267">
        <v>71</v>
      </c>
      <c r="C267">
        <v>1</v>
      </c>
      <c r="D267">
        <v>3</v>
      </c>
      <c r="E267" s="2" t="str">
        <f t="shared" si="4"/>
        <v/>
      </c>
    </row>
    <row r="268" spans="1:5" x14ac:dyDescent="0.25">
      <c r="A268" s="138">
        <v>113019</v>
      </c>
      <c r="B268">
        <v>71</v>
      </c>
      <c r="C268">
        <v>1</v>
      </c>
      <c r="D268">
        <v>3</v>
      </c>
      <c r="E268" s="2" t="str">
        <f t="shared" si="4"/>
        <v/>
      </c>
    </row>
    <row r="269" spans="1:5" x14ac:dyDescent="0.25">
      <c r="A269" s="138">
        <v>113020</v>
      </c>
      <c r="B269">
        <v>71</v>
      </c>
      <c r="C269">
        <v>1</v>
      </c>
      <c r="D269">
        <v>3</v>
      </c>
      <c r="E269" s="2" t="str">
        <f t="shared" si="4"/>
        <v/>
      </c>
    </row>
    <row r="270" spans="1:5" x14ac:dyDescent="0.25">
      <c r="A270" s="138">
        <v>113021</v>
      </c>
      <c r="B270">
        <v>73</v>
      </c>
      <c r="C270">
        <v>1</v>
      </c>
      <c r="D270">
        <v>3</v>
      </c>
      <c r="E270" s="2" t="str">
        <f t="shared" si="4"/>
        <v/>
      </c>
    </row>
    <row r="271" spans="1:5" x14ac:dyDescent="0.25">
      <c r="A271" s="138">
        <v>113022</v>
      </c>
      <c r="B271">
        <v>71</v>
      </c>
      <c r="C271">
        <v>1</v>
      </c>
      <c r="D271">
        <v>3</v>
      </c>
      <c r="E271" s="2" t="str">
        <f t="shared" si="4"/>
        <v/>
      </c>
    </row>
    <row r="272" spans="1:5" x14ac:dyDescent="0.25">
      <c r="A272" s="138">
        <v>113023</v>
      </c>
      <c r="B272">
        <v>71</v>
      </c>
      <c r="C272">
        <v>1</v>
      </c>
      <c r="D272">
        <v>3</v>
      </c>
      <c r="E272" s="2" t="str">
        <f t="shared" si="4"/>
        <v/>
      </c>
    </row>
    <row r="273" spans="1:5" x14ac:dyDescent="0.25">
      <c r="A273" s="138">
        <v>113024</v>
      </c>
      <c r="B273">
        <v>71</v>
      </c>
      <c r="C273">
        <v>1</v>
      </c>
      <c r="D273">
        <v>3</v>
      </c>
      <c r="E273" s="2" t="str">
        <f t="shared" si="4"/>
        <v/>
      </c>
    </row>
    <row r="274" spans="1:5" x14ac:dyDescent="0.25">
      <c r="A274" s="138">
        <v>113025</v>
      </c>
      <c r="B274">
        <v>71</v>
      </c>
      <c r="C274">
        <v>1</v>
      </c>
      <c r="D274">
        <v>3</v>
      </c>
      <c r="E274" s="2" t="str">
        <f t="shared" si="4"/>
        <v/>
      </c>
    </row>
    <row r="275" spans="1:5" x14ac:dyDescent="0.25">
      <c r="A275" s="138">
        <v>113026</v>
      </c>
      <c r="B275">
        <v>71</v>
      </c>
      <c r="C275">
        <v>1</v>
      </c>
      <c r="D275">
        <v>3</v>
      </c>
      <c r="E275" s="2" t="str">
        <f t="shared" si="4"/>
        <v/>
      </c>
    </row>
    <row r="276" spans="1:5" x14ac:dyDescent="0.25">
      <c r="A276" s="138">
        <v>113027</v>
      </c>
      <c r="B276">
        <v>71</v>
      </c>
      <c r="C276">
        <v>1</v>
      </c>
      <c r="D276">
        <v>3</v>
      </c>
      <c r="E276" s="2" t="str">
        <f t="shared" si="4"/>
        <v/>
      </c>
    </row>
    <row r="277" spans="1:5" x14ac:dyDescent="0.25">
      <c r="A277" s="138">
        <v>113099</v>
      </c>
      <c r="B277">
        <v>71</v>
      </c>
      <c r="C277">
        <v>1</v>
      </c>
      <c r="D277">
        <v>3</v>
      </c>
      <c r="E277" s="2" t="str">
        <f t="shared" si="4"/>
        <v/>
      </c>
    </row>
    <row r="278" spans="1:5" x14ac:dyDescent="0.25">
      <c r="A278" s="138">
        <v>113100</v>
      </c>
      <c r="B278">
        <v>92</v>
      </c>
      <c r="C278">
        <v>1</v>
      </c>
      <c r="D278">
        <v>3</v>
      </c>
      <c r="E278" s="2" t="str">
        <f t="shared" si="4"/>
        <v/>
      </c>
    </row>
    <row r="279" spans="1:5" x14ac:dyDescent="0.25">
      <c r="A279" s="138">
        <v>113101</v>
      </c>
      <c r="B279">
        <v>92</v>
      </c>
      <c r="C279">
        <v>1</v>
      </c>
      <c r="D279">
        <v>3</v>
      </c>
      <c r="E279" s="2" t="str">
        <f t="shared" si="4"/>
        <v/>
      </c>
    </row>
    <row r="280" spans="1:5" x14ac:dyDescent="0.25">
      <c r="A280" s="138">
        <v>113102</v>
      </c>
      <c r="B280">
        <v>92</v>
      </c>
      <c r="C280">
        <v>1</v>
      </c>
      <c r="D280">
        <v>3</v>
      </c>
      <c r="E280" s="2" t="str">
        <f t="shared" si="4"/>
        <v/>
      </c>
    </row>
    <row r="281" spans="1:5" x14ac:dyDescent="0.25">
      <c r="A281" s="138">
        <v>113103</v>
      </c>
      <c r="B281">
        <v>92</v>
      </c>
      <c r="C281">
        <v>1</v>
      </c>
      <c r="D281">
        <v>3</v>
      </c>
      <c r="E281" s="2" t="str">
        <f t="shared" si="4"/>
        <v/>
      </c>
    </row>
    <row r="282" spans="1:5" x14ac:dyDescent="0.25">
      <c r="A282" s="138">
        <v>113104</v>
      </c>
      <c r="B282">
        <v>92</v>
      </c>
      <c r="C282">
        <v>1</v>
      </c>
      <c r="D282">
        <v>3</v>
      </c>
      <c r="E282" s="2" t="str">
        <f t="shared" si="4"/>
        <v/>
      </c>
    </row>
    <row r="283" spans="1:5" x14ac:dyDescent="0.25">
      <c r="A283" s="138">
        <v>113105</v>
      </c>
      <c r="B283">
        <v>92</v>
      </c>
      <c r="C283">
        <v>1</v>
      </c>
      <c r="D283">
        <v>3</v>
      </c>
      <c r="E283" s="2" t="str">
        <f t="shared" si="4"/>
        <v/>
      </c>
    </row>
    <row r="284" spans="1:5" x14ac:dyDescent="0.25">
      <c r="A284" s="138">
        <v>113106</v>
      </c>
      <c r="B284">
        <v>92</v>
      </c>
      <c r="C284">
        <v>1</v>
      </c>
      <c r="D284">
        <v>3</v>
      </c>
      <c r="E284" s="2" t="str">
        <f t="shared" si="4"/>
        <v/>
      </c>
    </row>
    <row r="285" spans="1:5" x14ac:dyDescent="0.25">
      <c r="A285" s="138">
        <v>113107</v>
      </c>
      <c r="B285">
        <v>89</v>
      </c>
      <c r="C285">
        <v>1</v>
      </c>
      <c r="D285">
        <v>3</v>
      </c>
      <c r="E285" s="2" t="str">
        <f t="shared" si="4"/>
        <v/>
      </c>
    </row>
    <row r="286" spans="1:5" x14ac:dyDescent="0.25">
      <c r="A286" s="138">
        <v>113108</v>
      </c>
      <c r="B286">
        <v>89</v>
      </c>
      <c r="C286">
        <v>1</v>
      </c>
      <c r="D286">
        <v>3</v>
      </c>
      <c r="E286" s="2" t="str">
        <f t="shared" si="4"/>
        <v/>
      </c>
    </row>
    <row r="287" spans="1:5" x14ac:dyDescent="0.25">
      <c r="A287" s="138">
        <v>113109</v>
      </c>
      <c r="B287">
        <v>92</v>
      </c>
      <c r="C287">
        <v>1</v>
      </c>
      <c r="D287">
        <v>3</v>
      </c>
      <c r="E287" s="2" t="str">
        <f t="shared" si="4"/>
        <v/>
      </c>
    </row>
    <row r="288" spans="1:5" x14ac:dyDescent="0.25">
      <c r="A288" s="138">
        <v>113110</v>
      </c>
      <c r="B288">
        <v>92</v>
      </c>
      <c r="C288">
        <v>1</v>
      </c>
      <c r="D288">
        <v>3</v>
      </c>
      <c r="E288" s="2" t="str">
        <f t="shared" si="4"/>
        <v/>
      </c>
    </row>
    <row r="289" spans="1:5" x14ac:dyDescent="0.25">
      <c r="A289" s="138">
        <v>113111</v>
      </c>
      <c r="B289">
        <v>92</v>
      </c>
      <c r="C289">
        <v>1</v>
      </c>
      <c r="D289">
        <v>3</v>
      </c>
      <c r="E289" s="2" t="str">
        <f t="shared" si="4"/>
        <v/>
      </c>
    </row>
    <row r="290" spans="1:5" x14ac:dyDescent="0.25">
      <c r="A290" s="138">
        <v>113199</v>
      </c>
      <c r="B290">
        <v>92</v>
      </c>
      <c r="C290">
        <v>1</v>
      </c>
      <c r="D290">
        <v>3</v>
      </c>
      <c r="E290" s="2" t="str">
        <f t="shared" si="4"/>
        <v/>
      </c>
    </row>
    <row r="291" spans="1:5" x14ac:dyDescent="0.25">
      <c r="A291" s="138">
        <v>113200</v>
      </c>
      <c r="B291">
        <v>69</v>
      </c>
      <c r="C291">
        <v>1</v>
      </c>
      <c r="D291">
        <v>3</v>
      </c>
      <c r="E291" s="2" t="str">
        <f t="shared" si="4"/>
        <v/>
      </c>
    </row>
    <row r="292" spans="1:5" x14ac:dyDescent="0.25">
      <c r="A292" s="138">
        <v>113201</v>
      </c>
      <c r="B292">
        <v>69</v>
      </c>
      <c r="C292">
        <v>1</v>
      </c>
      <c r="D292">
        <v>3</v>
      </c>
      <c r="E292" s="2" t="str">
        <f t="shared" si="4"/>
        <v/>
      </c>
    </row>
    <row r="293" spans="1:5" x14ac:dyDescent="0.25">
      <c r="A293" s="138">
        <v>113202</v>
      </c>
      <c r="B293">
        <v>69</v>
      </c>
      <c r="C293">
        <v>1</v>
      </c>
      <c r="D293">
        <v>3</v>
      </c>
      <c r="E293" s="2" t="str">
        <f t="shared" si="4"/>
        <v/>
      </c>
    </row>
    <row r="294" spans="1:5" x14ac:dyDescent="0.25">
      <c r="A294" s="138">
        <v>113203</v>
      </c>
      <c r="B294">
        <v>69</v>
      </c>
      <c r="C294">
        <v>1</v>
      </c>
      <c r="D294">
        <v>3</v>
      </c>
      <c r="E294" s="2" t="str">
        <f t="shared" si="4"/>
        <v/>
      </c>
    </row>
    <row r="295" spans="1:5" x14ac:dyDescent="0.25">
      <c r="A295" s="138">
        <v>113204</v>
      </c>
      <c r="B295">
        <v>69</v>
      </c>
      <c r="C295">
        <v>1</v>
      </c>
      <c r="D295">
        <v>3</v>
      </c>
      <c r="E295" s="2" t="str">
        <f t="shared" si="4"/>
        <v/>
      </c>
    </row>
    <row r="296" spans="1:5" x14ac:dyDescent="0.25">
      <c r="A296" s="138">
        <v>113205</v>
      </c>
      <c r="B296">
        <v>69</v>
      </c>
      <c r="C296">
        <v>1</v>
      </c>
      <c r="D296">
        <v>3</v>
      </c>
      <c r="E296" s="2" t="str">
        <f t="shared" si="4"/>
        <v/>
      </c>
    </row>
    <row r="297" spans="1:5" x14ac:dyDescent="0.25">
      <c r="A297" s="138">
        <v>113206</v>
      </c>
      <c r="B297">
        <v>69</v>
      </c>
      <c r="C297">
        <v>1</v>
      </c>
      <c r="D297">
        <v>3</v>
      </c>
      <c r="E297" s="2" t="str">
        <f t="shared" si="4"/>
        <v/>
      </c>
    </row>
    <row r="298" spans="1:5" x14ac:dyDescent="0.25">
      <c r="A298" s="138">
        <v>113207</v>
      </c>
      <c r="B298">
        <v>69</v>
      </c>
      <c r="C298">
        <v>1</v>
      </c>
      <c r="D298">
        <v>3</v>
      </c>
      <c r="E298" s="2" t="str">
        <f t="shared" si="4"/>
        <v/>
      </c>
    </row>
    <row r="299" spans="1:5" x14ac:dyDescent="0.25">
      <c r="A299" s="138">
        <v>113208</v>
      </c>
      <c r="B299">
        <v>69</v>
      </c>
      <c r="C299">
        <v>1</v>
      </c>
      <c r="D299">
        <v>3</v>
      </c>
      <c r="E299" s="2" t="str">
        <f t="shared" si="4"/>
        <v/>
      </c>
    </row>
    <row r="300" spans="1:5" x14ac:dyDescent="0.25">
      <c r="A300" s="138">
        <v>113209</v>
      </c>
      <c r="B300">
        <v>69</v>
      </c>
      <c r="C300">
        <v>1</v>
      </c>
      <c r="D300">
        <v>3</v>
      </c>
      <c r="E300" s="2" t="str">
        <f t="shared" si="4"/>
        <v/>
      </c>
    </row>
    <row r="301" spans="1:5" x14ac:dyDescent="0.25">
      <c r="A301" s="138">
        <v>113210</v>
      </c>
      <c r="B301">
        <v>69</v>
      </c>
      <c r="C301">
        <v>1</v>
      </c>
      <c r="D301">
        <v>3</v>
      </c>
      <c r="E301" s="2" t="str">
        <f t="shared" si="4"/>
        <v/>
      </c>
    </row>
    <row r="302" spans="1:5" x14ac:dyDescent="0.25">
      <c r="A302" s="138">
        <v>113211</v>
      </c>
      <c r="B302">
        <v>69</v>
      </c>
      <c r="C302">
        <v>1</v>
      </c>
      <c r="D302">
        <v>3</v>
      </c>
      <c r="E302" s="2" t="str">
        <f t="shared" si="4"/>
        <v/>
      </c>
    </row>
    <row r="303" spans="1:5" x14ac:dyDescent="0.25">
      <c r="A303" s="138">
        <v>113212</v>
      </c>
      <c r="B303">
        <v>69</v>
      </c>
      <c r="C303">
        <v>1</v>
      </c>
      <c r="D303">
        <v>3</v>
      </c>
      <c r="E303" s="2" t="str">
        <f t="shared" si="4"/>
        <v/>
      </c>
    </row>
    <row r="304" spans="1:5" x14ac:dyDescent="0.25">
      <c r="A304" s="138">
        <v>113213</v>
      </c>
      <c r="B304">
        <v>69</v>
      </c>
      <c r="C304">
        <v>1</v>
      </c>
      <c r="D304">
        <v>3</v>
      </c>
      <c r="E304" s="2" t="str">
        <f t="shared" si="4"/>
        <v/>
      </c>
    </row>
    <row r="305" spans="1:5" x14ac:dyDescent="0.25">
      <c r="A305" s="138">
        <v>113214</v>
      </c>
      <c r="B305">
        <v>69</v>
      </c>
      <c r="C305">
        <v>1</v>
      </c>
      <c r="D305">
        <v>3</v>
      </c>
      <c r="E305" s="2" t="str">
        <f t="shared" si="4"/>
        <v/>
      </c>
    </row>
    <row r="306" spans="1:5" x14ac:dyDescent="0.25">
      <c r="A306" s="138">
        <v>113215</v>
      </c>
      <c r="B306">
        <v>69</v>
      </c>
      <c r="C306">
        <v>1</v>
      </c>
      <c r="D306">
        <v>3</v>
      </c>
      <c r="E306" s="2" t="str">
        <f t="shared" si="4"/>
        <v/>
      </c>
    </row>
    <row r="307" spans="1:5" x14ac:dyDescent="0.25">
      <c r="A307" s="138">
        <v>113299</v>
      </c>
      <c r="B307">
        <v>69</v>
      </c>
      <c r="C307">
        <v>1</v>
      </c>
      <c r="D307">
        <v>3</v>
      </c>
      <c r="E307" s="2" t="str">
        <f t="shared" si="4"/>
        <v/>
      </c>
    </row>
    <row r="308" spans="1:5" x14ac:dyDescent="0.25">
      <c r="A308" s="138">
        <v>113300</v>
      </c>
      <c r="B308">
        <v>88</v>
      </c>
      <c r="C308">
        <v>1</v>
      </c>
      <c r="D308">
        <v>3</v>
      </c>
      <c r="E308" s="2" t="str">
        <f t="shared" si="4"/>
        <v/>
      </c>
    </row>
    <row r="309" spans="1:5" x14ac:dyDescent="0.25">
      <c r="A309" s="138">
        <v>113301</v>
      </c>
      <c r="B309">
        <v>88</v>
      </c>
      <c r="C309">
        <v>1</v>
      </c>
      <c r="D309">
        <v>3</v>
      </c>
      <c r="E309" s="2" t="str">
        <f t="shared" si="4"/>
        <v/>
      </c>
    </row>
    <row r="310" spans="1:5" x14ac:dyDescent="0.25">
      <c r="A310" s="138">
        <v>113302</v>
      </c>
      <c r="B310">
        <v>88</v>
      </c>
      <c r="C310">
        <v>1</v>
      </c>
      <c r="D310">
        <v>3</v>
      </c>
      <c r="E310" s="2" t="str">
        <f t="shared" si="4"/>
        <v/>
      </c>
    </row>
    <row r="311" spans="1:5" x14ac:dyDescent="0.25">
      <c r="A311" s="138">
        <v>113303</v>
      </c>
      <c r="B311">
        <v>88</v>
      </c>
      <c r="C311">
        <v>1</v>
      </c>
      <c r="D311">
        <v>3</v>
      </c>
      <c r="E311" s="2" t="str">
        <f t="shared" si="4"/>
        <v/>
      </c>
    </row>
    <row r="312" spans="1:5" x14ac:dyDescent="0.25">
      <c r="A312" s="138">
        <v>113304</v>
      </c>
      <c r="B312">
        <v>88</v>
      </c>
      <c r="C312">
        <v>1</v>
      </c>
      <c r="D312">
        <v>3</v>
      </c>
      <c r="E312" s="2" t="str">
        <f t="shared" si="4"/>
        <v/>
      </c>
    </row>
    <row r="313" spans="1:5" x14ac:dyDescent="0.25">
      <c r="A313" s="138">
        <v>113399</v>
      </c>
      <c r="B313">
        <v>88</v>
      </c>
      <c r="C313">
        <v>1</v>
      </c>
      <c r="D313">
        <v>3</v>
      </c>
      <c r="E313" s="2" t="str">
        <f t="shared" si="4"/>
        <v/>
      </c>
    </row>
    <row r="314" spans="1:5" x14ac:dyDescent="0.25">
      <c r="A314" s="138">
        <v>114000</v>
      </c>
      <c r="B314">
        <v>98</v>
      </c>
      <c r="C314">
        <v>1</v>
      </c>
      <c r="D314">
        <v>4</v>
      </c>
      <c r="E314" s="2" t="str">
        <f t="shared" si="4"/>
        <v/>
      </c>
    </row>
    <row r="315" spans="1:5" x14ac:dyDescent="0.25">
      <c r="A315" s="138">
        <v>114001</v>
      </c>
      <c r="B315">
        <v>98</v>
      </c>
      <c r="C315">
        <v>1</v>
      </c>
      <c r="D315">
        <v>4</v>
      </c>
      <c r="E315" s="2" t="str">
        <f t="shared" si="4"/>
        <v/>
      </c>
    </row>
    <row r="316" spans="1:5" x14ac:dyDescent="0.25">
      <c r="A316" s="138">
        <v>114002</v>
      </c>
      <c r="B316">
        <v>98</v>
      </c>
      <c r="C316">
        <v>1</v>
      </c>
      <c r="D316">
        <v>4</v>
      </c>
      <c r="E316" s="2" t="str">
        <f t="shared" si="4"/>
        <v/>
      </c>
    </row>
    <row r="317" spans="1:5" x14ac:dyDescent="0.25">
      <c r="A317" s="138">
        <v>114003</v>
      </c>
      <c r="B317">
        <v>98</v>
      </c>
      <c r="C317">
        <v>1</v>
      </c>
      <c r="D317">
        <v>4</v>
      </c>
      <c r="E317" s="2" t="str">
        <f t="shared" si="4"/>
        <v/>
      </c>
    </row>
    <row r="318" spans="1:5" x14ac:dyDescent="0.25">
      <c r="A318" s="138">
        <v>114004</v>
      </c>
      <c r="B318">
        <v>98</v>
      </c>
      <c r="C318">
        <v>1</v>
      </c>
      <c r="D318">
        <v>4</v>
      </c>
      <c r="E318" s="2" t="str">
        <f t="shared" si="4"/>
        <v/>
      </c>
    </row>
    <row r="319" spans="1:5" x14ac:dyDescent="0.25">
      <c r="A319" s="138">
        <v>114005</v>
      </c>
      <c r="B319">
        <v>98</v>
      </c>
      <c r="C319">
        <v>1</v>
      </c>
      <c r="D319">
        <v>4</v>
      </c>
      <c r="E319" s="2" t="str">
        <f t="shared" si="4"/>
        <v/>
      </c>
    </row>
    <row r="320" spans="1:5" x14ac:dyDescent="0.25">
      <c r="A320" s="138">
        <v>114006</v>
      </c>
      <c r="B320">
        <v>98</v>
      </c>
      <c r="C320">
        <v>1</v>
      </c>
      <c r="D320">
        <v>4</v>
      </c>
      <c r="E320" s="2" t="str">
        <f t="shared" si="4"/>
        <v/>
      </c>
    </row>
    <row r="321" spans="1:5" x14ac:dyDescent="0.25">
      <c r="A321" s="138">
        <v>114007</v>
      </c>
      <c r="B321">
        <v>98</v>
      </c>
      <c r="C321">
        <v>1</v>
      </c>
      <c r="D321">
        <v>4</v>
      </c>
      <c r="E321" s="2" t="str">
        <f t="shared" si="4"/>
        <v/>
      </c>
    </row>
    <row r="322" spans="1:5" x14ac:dyDescent="0.25">
      <c r="A322" s="138">
        <v>114008</v>
      </c>
      <c r="B322">
        <v>98</v>
      </c>
      <c r="C322">
        <v>1</v>
      </c>
      <c r="D322">
        <v>4</v>
      </c>
      <c r="E322" s="2" t="str">
        <f t="shared" si="4"/>
        <v/>
      </c>
    </row>
    <row r="323" spans="1:5" x14ac:dyDescent="0.25">
      <c r="A323" s="138">
        <v>114009</v>
      </c>
      <c r="B323">
        <v>98</v>
      </c>
      <c r="C323">
        <v>1</v>
      </c>
      <c r="D323">
        <v>4</v>
      </c>
      <c r="E323" s="2" t="str">
        <f t="shared" ref="E323:E386" si="5">IF(B323=B322,IF(C322=C323,"",1),"")</f>
        <v/>
      </c>
    </row>
    <row r="324" spans="1:5" x14ac:dyDescent="0.25">
      <c r="A324" s="138">
        <v>114010</v>
      </c>
      <c r="B324">
        <v>98</v>
      </c>
      <c r="C324">
        <v>1</v>
      </c>
      <c r="D324">
        <v>4</v>
      </c>
      <c r="E324" s="2" t="str">
        <f t="shared" si="5"/>
        <v/>
      </c>
    </row>
    <row r="325" spans="1:5" x14ac:dyDescent="0.25">
      <c r="A325" s="138">
        <v>114011</v>
      </c>
      <c r="B325">
        <v>98</v>
      </c>
      <c r="C325">
        <v>1</v>
      </c>
      <c r="D325">
        <v>4</v>
      </c>
      <c r="E325" s="2" t="str">
        <f t="shared" si="5"/>
        <v/>
      </c>
    </row>
    <row r="326" spans="1:5" x14ac:dyDescent="0.25">
      <c r="A326" s="138">
        <v>114012</v>
      </c>
      <c r="B326">
        <v>98</v>
      </c>
      <c r="C326">
        <v>1</v>
      </c>
      <c r="D326">
        <v>4</v>
      </c>
      <c r="E326" s="2" t="str">
        <f t="shared" si="5"/>
        <v/>
      </c>
    </row>
    <row r="327" spans="1:5" x14ac:dyDescent="0.25">
      <c r="A327" s="138">
        <v>114013</v>
      </c>
      <c r="B327">
        <v>98</v>
      </c>
      <c r="C327">
        <v>1</v>
      </c>
      <c r="D327">
        <v>4</v>
      </c>
      <c r="E327" s="2" t="str">
        <f t="shared" si="5"/>
        <v/>
      </c>
    </row>
    <row r="328" spans="1:5" x14ac:dyDescent="0.25">
      <c r="A328" s="138">
        <v>114014</v>
      </c>
      <c r="B328">
        <v>98</v>
      </c>
      <c r="C328">
        <v>1</v>
      </c>
      <c r="D328">
        <v>4</v>
      </c>
      <c r="E328" s="2" t="str">
        <f t="shared" si="5"/>
        <v/>
      </c>
    </row>
    <row r="329" spans="1:5" x14ac:dyDescent="0.25">
      <c r="A329" s="138">
        <v>114099</v>
      </c>
      <c r="B329">
        <v>98</v>
      </c>
      <c r="C329">
        <v>1</v>
      </c>
      <c r="D329">
        <v>4</v>
      </c>
      <c r="E329" s="2" t="str">
        <f t="shared" si="5"/>
        <v/>
      </c>
    </row>
    <row r="330" spans="1:5" x14ac:dyDescent="0.25">
      <c r="A330" s="138">
        <v>114100</v>
      </c>
      <c r="B330">
        <v>98</v>
      </c>
      <c r="C330">
        <v>1</v>
      </c>
      <c r="D330">
        <v>4</v>
      </c>
      <c r="E330" s="2" t="str">
        <f t="shared" si="5"/>
        <v/>
      </c>
    </row>
    <row r="331" spans="1:5" x14ac:dyDescent="0.25">
      <c r="A331" s="138">
        <v>114101</v>
      </c>
      <c r="B331">
        <v>98</v>
      </c>
      <c r="C331">
        <v>1</v>
      </c>
      <c r="D331">
        <v>4</v>
      </c>
      <c r="E331" s="2" t="str">
        <f t="shared" si="5"/>
        <v/>
      </c>
    </row>
    <row r="332" spans="1:5" x14ac:dyDescent="0.25">
      <c r="A332" s="138">
        <v>114102</v>
      </c>
      <c r="B332">
        <v>98</v>
      </c>
      <c r="C332">
        <v>1</v>
      </c>
      <c r="D332">
        <v>4</v>
      </c>
      <c r="E332" s="2" t="str">
        <f t="shared" si="5"/>
        <v/>
      </c>
    </row>
    <row r="333" spans="1:5" x14ac:dyDescent="0.25">
      <c r="A333" s="138">
        <v>114103</v>
      </c>
      <c r="B333">
        <v>98</v>
      </c>
      <c r="C333">
        <v>1</v>
      </c>
      <c r="D333">
        <v>4</v>
      </c>
      <c r="E333" s="2" t="str">
        <f t="shared" si="5"/>
        <v/>
      </c>
    </row>
    <row r="334" spans="1:5" x14ac:dyDescent="0.25">
      <c r="A334" s="138">
        <v>114104</v>
      </c>
      <c r="B334">
        <v>98</v>
      </c>
      <c r="C334">
        <v>1</v>
      </c>
      <c r="D334">
        <v>4</v>
      </c>
      <c r="E334" s="2" t="str">
        <f t="shared" si="5"/>
        <v/>
      </c>
    </row>
    <row r="335" spans="1:5" x14ac:dyDescent="0.25">
      <c r="A335" s="138">
        <v>114105</v>
      </c>
      <c r="B335">
        <v>98</v>
      </c>
      <c r="C335">
        <v>1</v>
      </c>
      <c r="D335">
        <v>4</v>
      </c>
      <c r="E335" s="2" t="str">
        <f t="shared" si="5"/>
        <v/>
      </c>
    </row>
    <row r="336" spans="1:5" x14ac:dyDescent="0.25">
      <c r="A336" s="138">
        <v>114106</v>
      </c>
      <c r="B336">
        <v>98</v>
      </c>
      <c r="C336">
        <v>1</v>
      </c>
      <c r="D336">
        <v>4</v>
      </c>
      <c r="E336" s="2" t="str">
        <f t="shared" si="5"/>
        <v/>
      </c>
    </row>
    <row r="337" spans="1:5" x14ac:dyDescent="0.25">
      <c r="A337" s="138">
        <v>114107</v>
      </c>
      <c r="B337">
        <v>98</v>
      </c>
      <c r="C337">
        <v>1</v>
      </c>
      <c r="D337">
        <v>4</v>
      </c>
      <c r="E337" s="2" t="str">
        <f t="shared" si="5"/>
        <v/>
      </c>
    </row>
    <row r="338" spans="1:5" x14ac:dyDescent="0.25">
      <c r="A338" s="138">
        <v>114108</v>
      </c>
      <c r="B338">
        <v>98</v>
      </c>
      <c r="C338">
        <v>1</v>
      </c>
      <c r="D338">
        <v>4</v>
      </c>
      <c r="E338" s="2" t="str">
        <f t="shared" si="5"/>
        <v/>
      </c>
    </row>
    <row r="339" spans="1:5" x14ac:dyDescent="0.25">
      <c r="A339" s="138">
        <v>114109</v>
      </c>
      <c r="B339">
        <v>98</v>
      </c>
      <c r="C339">
        <v>1</v>
      </c>
      <c r="D339">
        <v>4</v>
      </c>
      <c r="E339" s="2" t="str">
        <f t="shared" si="5"/>
        <v/>
      </c>
    </row>
    <row r="340" spans="1:5" x14ac:dyDescent="0.25">
      <c r="A340" s="138">
        <v>114110</v>
      </c>
      <c r="B340">
        <v>98</v>
      </c>
      <c r="C340">
        <v>1</v>
      </c>
      <c r="D340">
        <v>4</v>
      </c>
      <c r="E340" s="2" t="str">
        <f t="shared" si="5"/>
        <v/>
      </c>
    </row>
    <row r="341" spans="1:5" x14ac:dyDescent="0.25">
      <c r="A341" s="138">
        <v>114111</v>
      </c>
      <c r="B341">
        <v>98</v>
      </c>
      <c r="C341">
        <v>1</v>
      </c>
      <c r="D341">
        <v>4</v>
      </c>
      <c r="E341" s="2" t="str">
        <f t="shared" si="5"/>
        <v/>
      </c>
    </row>
    <row r="342" spans="1:5" x14ac:dyDescent="0.25">
      <c r="A342" s="138">
        <v>114112</v>
      </c>
      <c r="B342">
        <v>98</v>
      </c>
      <c r="C342">
        <v>1</v>
      </c>
      <c r="D342">
        <v>4</v>
      </c>
      <c r="E342" s="2" t="str">
        <f t="shared" si="5"/>
        <v/>
      </c>
    </row>
    <row r="343" spans="1:5" x14ac:dyDescent="0.25">
      <c r="A343" s="138">
        <v>114199</v>
      </c>
      <c r="B343">
        <v>98</v>
      </c>
      <c r="C343">
        <v>1</v>
      </c>
      <c r="D343">
        <v>4</v>
      </c>
      <c r="E343" s="2" t="str">
        <f t="shared" si="5"/>
        <v/>
      </c>
    </row>
    <row r="344" spans="1:5" x14ac:dyDescent="0.25">
      <c r="A344" s="138">
        <v>114200</v>
      </c>
      <c r="B344">
        <v>99</v>
      </c>
      <c r="C344">
        <v>1</v>
      </c>
      <c r="D344">
        <v>4</v>
      </c>
      <c r="E344" s="2" t="str">
        <f t="shared" si="5"/>
        <v/>
      </c>
    </row>
    <row r="345" spans="1:5" x14ac:dyDescent="0.25">
      <c r="A345" s="138">
        <v>114201</v>
      </c>
      <c r="B345">
        <v>99</v>
      </c>
      <c r="C345">
        <v>1</v>
      </c>
      <c r="D345">
        <v>4</v>
      </c>
      <c r="E345" s="2" t="str">
        <f t="shared" si="5"/>
        <v/>
      </c>
    </row>
    <row r="346" spans="1:5" x14ac:dyDescent="0.25">
      <c r="A346" s="138">
        <v>114202</v>
      </c>
      <c r="B346">
        <v>99</v>
      </c>
      <c r="C346">
        <v>1</v>
      </c>
      <c r="D346">
        <v>4</v>
      </c>
      <c r="E346" s="2" t="str">
        <f t="shared" si="5"/>
        <v/>
      </c>
    </row>
    <row r="347" spans="1:5" x14ac:dyDescent="0.25">
      <c r="A347" s="138">
        <v>114203</v>
      </c>
      <c r="B347">
        <v>99</v>
      </c>
      <c r="C347">
        <v>1</v>
      </c>
      <c r="D347">
        <v>4</v>
      </c>
      <c r="E347" s="2" t="str">
        <f t="shared" si="5"/>
        <v/>
      </c>
    </row>
    <row r="348" spans="1:5" x14ac:dyDescent="0.25">
      <c r="A348" s="138">
        <v>114204</v>
      </c>
      <c r="B348">
        <v>99</v>
      </c>
      <c r="C348">
        <v>1</v>
      </c>
      <c r="D348">
        <v>4</v>
      </c>
      <c r="E348" s="2" t="str">
        <f t="shared" si="5"/>
        <v/>
      </c>
    </row>
    <row r="349" spans="1:5" x14ac:dyDescent="0.25">
      <c r="A349" s="138">
        <v>114299</v>
      </c>
      <c r="B349">
        <v>99</v>
      </c>
      <c r="C349">
        <v>1</v>
      </c>
      <c r="D349">
        <v>4</v>
      </c>
      <c r="E349" s="2" t="str">
        <f t="shared" si="5"/>
        <v/>
      </c>
    </row>
    <row r="350" spans="1:5" x14ac:dyDescent="0.25">
      <c r="A350" s="138">
        <v>114300</v>
      </c>
      <c r="B350">
        <v>99</v>
      </c>
      <c r="C350">
        <v>1</v>
      </c>
      <c r="D350">
        <v>4</v>
      </c>
      <c r="E350" s="2" t="str">
        <f t="shared" si="5"/>
        <v/>
      </c>
    </row>
    <row r="351" spans="1:5" x14ac:dyDescent="0.25">
      <c r="A351" s="138">
        <v>114301</v>
      </c>
      <c r="B351">
        <v>99</v>
      </c>
      <c r="C351">
        <v>1</v>
      </c>
      <c r="D351">
        <v>4</v>
      </c>
      <c r="E351" s="2" t="str">
        <f t="shared" si="5"/>
        <v/>
      </c>
    </row>
    <row r="352" spans="1:5" x14ac:dyDescent="0.25">
      <c r="A352" s="138">
        <v>114302</v>
      </c>
      <c r="B352">
        <v>99</v>
      </c>
      <c r="C352">
        <v>1</v>
      </c>
      <c r="D352">
        <v>4</v>
      </c>
      <c r="E352" s="2" t="str">
        <f t="shared" si="5"/>
        <v/>
      </c>
    </row>
    <row r="353" spans="1:5" x14ac:dyDescent="0.25">
      <c r="A353" s="138">
        <v>114303</v>
      </c>
      <c r="B353">
        <v>99</v>
      </c>
      <c r="C353">
        <v>1</v>
      </c>
      <c r="D353">
        <v>4</v>
      </c>
      <c r="E353" s="2" t="str">
        <f t="shared" si="5"/>
        <v/>
      </c>
    </row>
    <row r="354" spans="1:5" x14ac:dyDescent="0.25">
      <c r="A354" s="138">
        <v>114304</v>
      </c>
      <c r="B354">
        <v>99</v>
      </c>
      <c r="C354">
        <v>1</v>
      </c>
      <c r="D354">
        <v>4</v>
      </c>
      <c r="E354" s="2" t="str">
        <f t="shared" si="5"/>
        <v/>
      </c>
    </row>
    <row r="355" spans="1:5" x14ac:dyDescent="0.25">
      <c r="A355" s="138">
        <v>114305</v>
      </c>
      <c r="B355">
        <v>99</v>
      </c>
      <c r="C355">
        <v>1</v>
      </c>
      <c r="D355">
        <v>4</v>
      </c>
      <c r="E355" s="2" t="str">
        <f t="shared" si="5"/>
        <v/>
      </c>
    </row>
    <row r="356" spans="1:5" x14ac:dyDescent="0.25">
      <c r="A356" s="138">
        <v>114306</v>
      </c>
      <c r="B356">
        <v>99</v>
      </c>
      <c r="C356">
        <v>1</v>
      </c>
      <c r="D356">
        <v>4</v>
      </c>
      <c r="E356" s="2" t="str">
        <f t="shared" si="5"/>
        <v/>
      </c>
    </row>
    <row r="357" spans="1:5" x14ac:dyDescent="0.25">
      <c r="A357" s="138">
        <v>114307</v>
      </c>
      <c r="B357">
        <v>99</v>
      </c>
      <c r="C357">
        <v>1</v>
      </c>
      <c r="D357">
        <v>4</v>
      </c>
      <c r="E357" s="2" t="str">
        <f t="shared" si="5"/>
        <v/>
      </c>
    </row>
    <row r="358" spans="1:5" x14ac:dyDescent="0.25">
      <c r="A358" s="138">
        <v>114308</v>
      </c>
      <c r="B358">
        <v>99</v>
      </c>
      <c r="C358">
        <v>1</v>
      </c>
      <c r="D358">
        <v>4</v>
      </c>
      <c r="E358" s="2" t="str">
        <f t="shared" si="5"/>
        <v/>
      </c>
    </row>
    <row r="359" spans="1:5" x14ac:dyDescent="0.25">
      <c r="A359" s="138">
        <v>114309</v>
      </c>
      <c r="B359">
        <v>99</v>
      </c>
      <c r="C359">
        <v>1</v>
      </c>
      <c r="D359">
        <v>4</v>
      </c>
      <c r="E359" s="2" t="str">
        <f t="shared" si="5"/>
        <v/>
      </c>
    </row>
    <row r="360" spans="1:5" x14ac:dyDescent="0.25">
      <c r="A360" s="138">
        <v>114310</v>
      </c>
      <c r="B360">
        <v>99</v>
      </c>
      <c r="C360">
        <v>1</v>
      </c>
      <c r="D360">
        <v>4</v>
      </c>
      <c r="E360" s="2" t="str">
        <f t="shared" si="5"/>
        <v/>
      </c>
    </row>
    <row r="361" spans="1:5" x14ac:dyDescent="0.25">
      <c r="A361" s="138">
        <v>114311</v>
      </c>
      <c r="B361">
        <v>99</v>
      </c>
      <c r="C361">
        <v>1</v>
      </c>
      <c r="D361">
        <v>4</v>
      </c>
      <c r="E361" s="2" t="str">
        <f t="shared" si="5"/>
        <v/>
      </c>
    </row>
    <row r="362" spans="1:5" x14ac:dyDescent="0.25">
      <c r="A362" s="138">
        <v>114312</v>
      </c>
      <c r="B362">
        <v>99</v>
      </c>
      <c r="C362">
        <v>1</v>
      </c>
      <c r="D362">
        <v>4</v>
      </c>
      <c r="E362" s="2" t="str">
        <f t="shared" si="5"/>
        <v/>
      </c>
    </row>
    <row r="363" spans="1:5" x14ac:dyDescent="0.25">
      <c r="A363" s="138">
        <v>114313</v>
      </c>
      <c r="B363">
        <v>99</v>
      </c>
      <c r="C363">
        <v>1</v>
      </c>
      <c r="D363">
        <v>4</v>
      </c>
      <c r="E363" s="2" t="str">
        <f t="shared" si="5"/>
        <v/>
      </c>
    </row>
    <row r="364" spans="1:5" x14ac:dyDescent="0.25">
      <c r="A364" s="138">
        <v>114398</v>
      </c>
      <c r="B364">
        <v>99</v>
      </c>
      <c r="C364">
        <v>1</v>
      </c>
      <c r="D364">
        <v>4</v>
      </c>
      <c r="E364" s="2" t="str">
        <f t="shared" si="5"/>
        <v/>
      </c>
    </row>
    <row r="365" spans="1:5" x14ac:dyDescent="0.25">
      <c r="A365" s="138">
        <v>114399</v>
      </c>
      <c r="B365">
        <v>99</v>
      </c>
      <c r="C365">
        <v>1</v>
      </c>
      <c r="D365">
        <v>4</v>
      </c>
      <c r="E365" s="2" t="str">
        <f t="shared" si="5"/>
        <v/>
      </c>
    </row>
    <row r="366" spans="1:5" x14ac:dyDescent="0.25">
      <c r="A366" s="138">
        <v>114400</v>
      </c>
      <c r="B366">
        <v>61</v>
      </c>
      <c r="C366">
        <v>1</v>
      </c>
      <c r="D366">
        <v>4</v>
      </c>
      <c r="E366" s="2" t="str">
        <f t="shared" si="5"/>
        <v/>
      </c>
    </row>
    <row r="367" spans="1:5" x14ac:dyDescent="0.25">
      <c r="A367" s="138">
        <v>114401</v>
      </c>
      <c r="B367">
        <v>61</v>
      </c>
      <c r="C367">
        <v>1</v>
      </c>
      <c r="D367">
        <v>4</v>
      </c>
      <c r="E367" s="2" t="str">
        <f t="shared" si="5"/>
        <v/>
      </c>
    </row>
    <row r="368" spans="1:5" x14ac:dyDescent="0.25">
      <c r="A368" s="138">
        <v>114402</v>
      </c>
      <c r="B368">
        <v>61</v>
      </c>
      <c r="C368">
        <v>1</v>
      </c>
      <c r="D368">
        <v>4</v>
      </c>
      <c r="E368" s="2" t="str">
        <f t="shared" si="5"/>
        <v/>
      </c>
    </row>
    <row r="369" spans="1:5" x14ac:dyDescent="0.25">
      <c r="A369" s="138">
        <v>114403</v>
      </c>
      <c r="B369">
        <v>61</v>
      </c>
      <c r="C369">
        <v>1</v>
      </c>
      <c r="D369">
        <v>4</v>
      </c>
      <c r="E369" s="2" t="str">
        <f t="shared" si="5"/>
        <v/>
      </c>
    </row>
    <row r="370" spans="1:5" x14ac:dyDescent="0.25">
      <c r="A370" s="138">
        <v>114404</v>
      </c>
      <c r="B370">
        <v>61</v>
      </c>
      <c r="C370">
        <v>1</v>
      </c>
      <c r="D370">
        <v>4</v>
      </c>
      <c r="E370" s="2" t="str">
        <f t="shared" si="5"/>
        <v/>
      </c>
    </row>
    <row r="371" spans="1:5" x14ac:dyDescent="0.25">
      <c r="A371" s="138">
        <v>114405</v>
      </c>
      <c r="B371">
        <v>61</v>
      </c>
      <c r="C371">
        <v>1</v>
      </c>
      <c r="D371">
        <v>4</v>
      </c>
      <c r="E371" s="2" t="str">
        <f t="shared" si="5"/>
        <v/>
      </c>
    </row>
    <row r="372" spans="1:5" x14ac:dyDescent="0.25">
      <c r="A372" s="138">
        <v>114406</v>
      </c>
      <c r="B372">
        <v>61</v>
      </c>
      <c r="C372">
        <v>1</v>
      </c>
      <c r="D372">
        <v>4</v>
      </c>
      <c r="E372" s="2" t="str">
        <f t="shared" si="5"/>
        <v/>
      </c>
    </row>
    <row r="373" spans="1:5" x14ac:dyDescent="0.25">
      <c r="A373" s="138">
        <v>114499</v>
      </c>
      <c r="B373">
        <v>61</v>
      </c>
      <c r="C373">
        <v>1</v>
      </c>
      <c r="D373">
        <v>4</v>
      </c>
      <c r="E373" s="2" t="str">
        <f t="shared" si="5"/>
        <v/>
      </c>
    </row>
    <row r="374" spans="1:5" x14ac:dyDescent="0.25">
      <c r="A374" s="138">
        <v>115000</v>
      </c>
      <c r="B374">
        <v>95</v>
      </c>
      <c r="C374">
        <v>1</v>
      </c>
      <c r="D374">
        <v>5</v>
      </c>
      <c r="E374" s="2" t="str">
        <f t="shared" si="5"/>
        <v/>
      </c>
    </row>
    <row r="375" spans="1:5" x14ac:dyDescent="0.25">
      <c r="A375" s="138">
        <v>115001</v>
      </c>
      <c r="B375">
        <v>95</v>
      </c>
      <c r="C375">
        <v>1</v>
      </c>
      <c r="D375">
        <v>5</v>
      </c>
      <c r="E375" s="2" t="str">
        <f t="shared" si="5"/>
        <v/>
      </c>
    </row>
    <row r="376" spans="1:5" x14ac:dyDescent="0.25">
      <c r="A376" s="138">
        <v>115002</v>
      </c>
      <c r="B376">
        <v>95</v>
      </c>
      <c r="C376">
        <v>1</v>
      </c>
      <c r="D376">
        <v>5</v>
      </c>
      <c r="E376" s="2" t="str">
        <f t="shared" si="5"/>
        <v/>
      </c>
    </row>
    <row r="377" spans="1:5" x14ac:dyDescent="0.25">
      <c r="A377" s="138">
        <v>115003</v>
      </c>
      <c r="B377">
        <v>95</v>
      </c>
      <c r="C377">
        <v>1</v>
      </c>
      <c r="D377">
        <v>5</v>
      </c>
      <c r="E377" s="2" t="str">
        <f t="shared" si="5"/>
        <v/>
      </c>
    </row>
    <row r="378" spans="1:5" x14ac:dyDescent="0.25">
      <c r="A378" s="138">
        <v>115004</v>
      </c>
      <c r="B378">
        <v>95</v>
      </c>
      <c r="C378">
        <v>1</v>
      </c>
      <c r="D378">
        <v>5</v>
      </c>
      <c r="E378" s="2" t="str">
        <f t="shared" si="5"/>
        <v/>
      </c>
    </row>
    <row r="379" spans="1:5" x14ac:dyDescent="0.25">
      <c r="A379" s="138">
        <v>115005</v>
      </c>
      <c r="B379">
        <v>95</v>
      </c>
      <c r="C379">
        <v>1</v>
      </c>
      <c r="D379">
        <v>5</v>
      </c>
      <c r="E379" s="2" t="str">
        <f t="shared" si="5"/>
        <v/>
      </c>
    </row>
    <row r="380" spans="1:5" x14ac:dyDescent="0.25">
      <c r="A380" s="138">
        <v>115006</v>
      </c>
      <c r="B380">
        <v>95</v>
      </c>
      <c r="C380">
        <v>1</v>
      </c>
      <c r="D380">
        <v>5</v>
      </c>
      <c r="E380" s="2" t="str">
        <f t="shared" si="5"/>
        <v/>
      </c>
    </row>
    <row r="381" spans="1:5" x14ac:dyDescent="0.25">
      <c r="A381" s="138">
        <v>115007</v>
      </c>
      <c r="B381">
        <v>95</v>
      </c>
      <c r="C381">
        <v>1</v>
      </c>
      <c r="D381">
        <v>5</v>
      </c>
      <c r="E381" s="2" t="str">
        <f t="shared" si="5"/>
        <v/>
      </c>
    </row>
    <row r="382" spans="1:5" x14ac:dyDescent="0.25">
      <c r="A382" s="138">
        <v>115008</v>
      </c>
      <c r="B382">
        <v>95</v>
      </c>
      <c r="C382">
        <v>1</v>
      </c>
      <c r="D382">
        <v>5</v>
      </c>
      <c r="E382" s="2" t="str">
        <f t="shared" si="5"/>
        <v/>
      </c>
    </row>
    <row r="383" spans="1:5" x14ac:dyDescent="0.25">
      <c r="A383" s="138">
        <v>115009</v>
      </c>
      <c r="B383">
        <v>95</v>
      </c>
      <c r="C383">
        <v>1</v>
      </c>
      <c r="D383">
        <v>5</v>
      </c>
      <c r="E383" s="2" t="str">
        <f t="shared" si="5"/>
        <v/>
      </c>
    </row>
    <row r="384" spans="1:5" x14ac:dyDescent="0.25">
      <c r="A384" s="138">
        <v>115010</v>
      </c>
      <c r="B384">
        <v>95</v>
      </c>
      <c r="C384">
        <v>1</v>
      </c>
      <c r="D384">
        <v>5</v>
      </c>
      <c r="E384" s="2" t="str">
        <f t="shared" si="5"/>
        <v/>
      </c>
    </row>
    <row r="385" spans="1:5" x14ac:dyDescent="0.25">
      <c r="A385" s="138">
        <v>115011</v>
      </c>
      <c r="B385">
        <v>95</v>
      </c>
      <c r="C385">
        <v>1</v>
      </c>
      <c r="D385">
        <v>5</v>
      </c>
      <c r="E385" s="2" t="str">
        <f t="shared" si="5"/>
        <v/>
      </c>
    </row>
    <row r="386" spans="1:5" x14ac:dyDescent="0.25">
      <c r="A386" s="138">
        <v>115012</v>
      </c>
      <c r="B386">
        <v>95</v>
      </c>
      <c r="C386">
        <v>1</v>
      </c>
      <c r="D386">
        <v>5</v>
      </c>
      <c r="E386" s="2" t="str">
        <f t="shared" si="5"/>
        <v/>
      </c>
    </row>
    <row r="387" spans="1:5" x14ac:dyDescent="0.25">
      <c r="A387" s="138">
        <v>115013</v>
      </c>
      <c r="B387">
        <v>95</v>
      </c>
      <c r="C387">
        <v>1</v>
      </c>
      <c r="D387">
        <v>5</v>
      </c>
      <c r="E387" s="2" t="str">
        <f t="shared" ref="E387:E450" si="6">IF(B387=B386,IF(C386=C387,"",1),"")</f>
        <v/>
      </c>
    </row>
    <row r="388" spans="1:5" x14ac:dyDescent="0.25">
      <c r="A388" s="138">
        <v>115099</v>
      </c>
      <c r="B388">
        <v>95</v>
      </c>
      <c r="C388">
        <v>1</v>
      </c>
      <c r="D388">
        <v>5</v>
      </c>
      <c r="E388" s="2" t="str">
        <f t="shared" si="6"/>
        <v/>
      </c>
    </row>
    <row r="389" spans="1:5" x14ac:dyDescent="0.25">
      <c r="A389" s="138">
        <v>115100</v>
      </c>
      <c r="B389">
        <v>96</v>
      </c>
      <c r="C389">
        <v>1</v>
      </c>
      <c r="D389">
        <v>5</v>
      </c>
      <c r="E389" s="2" t="str">
        <f t="shared" si="6"/>
        <v/>
      </c>
    </row>
    <row r="390" spans="1:5" x14ac:dyDescent="0.25">
      <c r="A390" s="138">
        <v>115101</v>
      </c>
      <c r="B390">
        <v>96</v>
      </c>
      <c r="C390">
        <v>1</v>
      </c>
      <c r="D390">
        <v>5</v>
      </c>
      <c r="E390" s="2" t="str">
        <f t="shared" si="6"/>
        <v/>
      </c>
    </row>
    <row r="391" spans="1:5" x14ac:dyDescent="0.25">
      <c r="A391" s="138">
        <v>115102</v>
      </c>
      <c r="B391">
        <v>96</v>
      </c>
      <c r="C391">
        <v>1</v>
      </c>
      <c r="D391">
        <v>5</v>
      </c>
      <c r="E391" s="2" t="str">
        <f t="shared" si="6"/>
        <v/>
      </c>
    </row>
    <row r="392" spans="1:5" x14ac:dyDescent="0.25">
      <c r="A392" s="138">
        <v>115103</v>
      </c>
      <c r="B392">
        <v>96</v>
      </c>
      <c r="C392">
        <v>1</v>
      </c>
      <c r="D392">
        <v>5</v>
      </c>
      <c r="E392" s="2" t="str">
        <f t="shared" si="6"/>
        <v/>
      </c>
    </row>
    <row r="393" spans="1:5" x14ac:dyDescent="0.25">
      <c r="A393" s="138">
        <v>115104</v>
      </c>
      <c r="B393">
        <v>96</v>
      </c>
      <c r="C393">
        <v>1</v>
      </c>
      <c r="D393">
        <v>5</v>
      </c>
      <c r="E393" s="2" t="str">
        <f t="shared" si="6"/>
        <v/>
      </c>
    </row>
    <row r="394" spans="1:5" x14ac:dyDescent="0.25">
      <c r="A394" s="138">
        <v>115105</v>
      </c>
      <c r="B394">
        <v>96</v>
      </c>
      <c r="C394">
        <v>1</v>
      </c>
      <c r="D394">
        <v>5</v>
      </c>
      <c r="E394" s="2" t="str">
        <f t="shared" si="6"/>
        <v/>
      </c>
    </row>
    <row r="395" spans="1:5" x14ac:dyDescent="0.25">
      <c r="A395" s="138">
        <v>115106</v>
      </c>
      <c r="B395">
        <v>96</v>
      </c>
      <c r="C395">
        <v>1</v>
      </c>
      <c r="D395">
        <v>5</v>
      </c>
      <c r="E395" s="2" t="str">
        <f t="shared" si="6"/>
        <v/>
      </c>
    </row>
    <row r="396" spans="1:5" x14ac:dyDescent="0.25">
      <c r="A396" s="138">
        <v>115107</v>
      </c>
      <c r="B396">
        <v>96</v>
      </c>
      <c r="C396">
        <v>1</v>
      </c>
      <c r="D396">
        <v>5</v>
      </c>
      <c r="E396" s="2" t="str">
        <f t="shared" si="6"/>
        <v/>
      </c>
    </row>
    <row r="397" spans="1:5" x14ac:dyDescent="0.25">
      <c r="A397" s="138">
        <v>115108</v>
      </c>
      <c r="B397">
        <v>96</v>
      </c>
      <c r="C397">
        <v>1</v>
      </c>
      <c r="D397">
        <v>5</v>
      </c>
      <c r="E397" s="2" t="str">
        <f t="shared" si="6"/>
        <v/>
      </c>
    </row>
    <row r="398" spans="1:5" x14ac:dyDescent="0.25">
      <c r="A398" s="138">
        <v>115109</v>
      </c>
      <c r="B398">
        <v>96</v>
      </c>
      <c r="C398">
        <v>1</v>
      </c>
      <c r="D398">
        <v>5</v>
      </c>
      <c r="E398" s="2" t="str">
        <f t="shared" si="6"/>
        <v/>
      </c>
    </row>
    <row r="399" spans="1:5" x14ac:dyDescent="0.25">
      <c r="A399" s="138">
        <v>115110</v>
      </c>
      <c r="B399">
        <v>96</v>
      </c>
      <c r="C399">
        <v>1</v>
      </c>
      <c r="D399">
        <v>5</v>
      </c>
      <c r="E399" s="2" t="str">
        <f t="shared" si="6"/>
        <v/>
      </c>
    </row>
    <row r="400" spans="1:5" x14ac:dyDescent="0.25">
      <c r="A400" s="138">
        <v>115199</v>
      </c>
      <c r="B400">
        <v>96</v>
      </c>
      <c r="C400">
        <v>1</v>
      </c>
      <c r="D400">
        <v>5</v>
      </c>
      <c r="E400" s="2" t="str">
        <f t="shared" si="6"/>
        <v/>
      </c>
    </row>
    <row r="401" spans="1:5" x14ac:dyDescent="0.25">
      <c r="A401" s="138">
        <v>116000</v>
      </c>
      <c r="B401">
        <v>41</v>
      </c>
      <c r="C401">
        <v>1</v>
      </c>
      <c r="D401">
        <v>6</v>
      </c>
      <c r="E401" s="2" t="str">
        <f t="shared" si="6"/>
        <v/>
      </c>
    </row>
    <row r="402" spans="1:5" x14ac:dyDescent="0.25">
      <c r="A402" s="138">
        <v>116001</v>
      </c>
      <c r="B402">
        <v>41</v>
      </c>
      <c r="C402">
        <v>1</v>
      </c>
      <c r="D402">
        <v>6</v>
      </c>
      <c r="E402" s="2" t="str">
        <f t="shared" si="6"/>
        <v/>
      </c>
    </row>
    <row r="403" spans="1:5" x14ac:dyDescent="0.25">
      <c r="A403" s="138">
        <v>116002</v>
      </c>
      <c r="B403">
        <v>30</v>
      </c>
      <c r="C403">
        <v>1</v>
      </c>
      <c r="D403">
        <v>6</v>
      </c>
      <c r="E403" s="2" t="str">
        <f t="shared" si="6"/>
        <v/>
      </c>
    </row>
    <row r="404" spans="1:5" x14ac:dyDescent="0.25">
      <c r="A404" s="138">
        <v>116003</v>
      </c>
      <c r="B404">
        <v>41</v>
      </c>
      <c r="C404">
        <v>1</v>
      </c>
      <c r="D404">
        <v>6</v>
      </c>
      <c r="E404" s="2" t="str">
        <f t="shared" si="6"/>
        <v/>
      </c>
    </row>
    <row r="405" spans="1:5" x14ac:dyDescent="0.25">
      <c r="A405" s="138">
        <v>116004</v>
      </c>
      <c r="B405">
        <v>41</v>
      </c>
      <c r="C405">
        <v>1</v>
      </c>
      <c r="D405">
        <v>6</v>
      </c>
      <c r="E405" s="2" t="str">
        <f t="shared" si="6"/>
        <v/>
      </c>
    </row>
    <row r="406" spans="1:5" x14ac:dyDescent="0.25">
      <c r="A406" s="138">
        <v>116005</v>
      </c>
      <c r="B406">
        <v>41</v>
      </c>
      <c r="C406">
        <v>1</v>
      </c>
      <c r="D406">
        <v>6</v>
      </c>
      <c r="E406" s="2" t="str">
        <f t="shared" si="6"/>
        <v/>
      </c>
    </row>
    <row r="407" spans="1:5" x14ac:dyDescent="0.25">
      <c r="A407" s="138">
        <v>116006</v>
      </c>
      <c r="B407">
        <v>41</v>
      </c>
      <c r="C407">
        <v>1</v>
      </c>
      <c r="D407">
        <v>6</v>
      </c>
      <c r="E407" s="2" t="str">
        <f t="shared" si="6"/>
        <v/>
      </c>
    </row>
    <row r="408" spans="1:5" x14ac:dyDescent="0.25">
      <c r="A408" s="138">
        <v>116007</v>
      </c>
      <c r="B408">
        <v>41</v>
      </c>
      <c r="C408">
        <v>1</v>
      </c>
      <c r="D408">
        <v>6</v>
      </c>
      <c r="E408" s="2" t="str">
        <f t="shared" si="6"/>
        <v/>
      </c>
    </row>
    <row r="409" spans="1:5" x14ac:dyDescent="0.25">
      <c r="A409" s="138">
        <v>116008</v>
      </c>
      <c r="B409">
        <v>41</v>
      </c>
      <c r="C409">
        <v>1</v>
      </c>
      <c r="D409">
        <v>6</v>
      </c>
      <c r="E409" s="2" t="str">
        <f t="shared" si="6"/>
        <v/>
      </c>
    </row>
    <row r="410" spans="1:5" x14ac:dyDescent="0.25">
      <c r="A410" s="138">
        <v>116009</v>
      </c>
      <c r="B410">
        <v>41</v>
      </c>
      <c r="C410">
        <v>1</v>
      </c>
      <c r="D410">
        <v>6</v>
      </c>
      <c r="E410" s="2" t="str">
        <f t="shared" si="6"/>
        <v/>
      </c>
    </row>
    <row r="411" spans="1:5" x14ac:dyDescent="0.25">
      <c r="A411" s="138">
        <v>116010</v>
      </c>
      <c r="B411">
        <v>41</v>
      </c>
      <c r="C411">
        <v>1</v>
      </c>
      <c r="D411">
        <v>6</v>
      </c>
      <c r="E411" s="2" t="str">
        <f t="shared" si="6"/>
        <v/>
      </c>
    </row>
    <row r="412" spans="1:5" x14ac:dyDescent="0.25">
      <c r="A412" s="138">
        <v>116011</v>
      </c>
      <c r="B412">
        <v>41</v>
      </c>
      <c r="C412">
        <v>1</v>
      </c>
      <c r="D412">
        <v>6</v>
      </c>
      <c r="E412" s="2" t="str">
        <f t="shared" si="6"/>
        <v/>
      </c>
    </row>
    <row r="413" spans="1:5" x14ac:dyDescent="0.25">
      <c r="A413" s="138">
        <v>116012</v>
      </c>
      <c r="B413">
        <v>41</v>
      </c>
      <c r="C413">
        <v>1</v>
      </c>
      <c r="D413">
        <v>6</v>
      </c>
      <c r="E413" s="2" t="str">
        <f t="shared" si="6"/>
        <v/>
      </c>
    </row>
    <row r="414" spans="1:5" x14ac:dyDescent="0.25">
      <c r="A414" s="138">
        <v>116013</v>
      </c>
      <c r="B414">
        <v>41</v>
      </c>
      <c r="C414">
        <v>1</v>
      </c>
      <c r="D414">
        <v>6</v>
      </c>
      <c r="E414" s="2" t="str">
        <f t="shared" si="6"/>
        <v/>
      </c>
    </row>
    <row r="415" spans="1:5" x14ac:dyDescent="0.25">
      <c r="A415" s="138">
        <v>116014</v>
      </c>
      <c r="B415">
        <v>41</v>
      </c>
      <c r="C415">
        <v>1</v>
      </c>
      <c r="D415">
        <v>6</v>
      </c>
      <c r="E415" s="2" t="str">
        <f t="shared" si="6"/>
        <v/>
      </c>
    </row>
    <row r="416" spans="1:5" x14ac:dyDescent="0.25">
      <c r="A416" s="138">
        <v>116015</v>
      </c>
      <c r="B416">
        <v>41</v>
      </c>
      <c r="C416">
        <v>1</v>
      </c>
      <c r="D416">
        <v>6</v>
      </c>
      <c r="E416" s="2" t="str">
        <f t="shared" si="6"/>
        <v/>
      </c>
    </row>
    <row r="417" spans="1:5" x14ac:dyDescent="0.25">
      <c r="A417" s="138">
        <v>116016</v>
      </c>
      <c r="B417">
        <v>41</v>
      </c>
      <c r="C417">
        <v>1</v>
      </c>
      <c r="D417">
        <v>6</v>
      </c>
      <c r="E417" s="2" t="str">
        <f t="shared" si="6"/>
        <v/>
      </c>
    </row>
    <row r="418" spans="1:5" x14ac:dyDescent="0.25">
      <c r="A418" s="138">
        <v>116017</v>
      </c>
      <c r="B418">
        <v>41</v>
      </c>
      <c r="C418">
        <v>1</v>
      </c>
      <c r="D418">
        <v>6</v>
      </c>
      <c r="E418" s="2" t="str">
        <f t="shared" si="6"/>
        <v/>
      </c>
    </row>
    <row r="419" spans="1:5" x14ac:dyDescent="0.25">
      <c r="A419" s="138">
        <v>116018</v>
      </c>
      <c r="B419">
        <v>41</v>
      </c>
      <c r="C419">
        <v>1</v>
      </c>
      <c r="D419">
        <v>6</v>
      </c>
      <c r="E419" s="2" t="str">
        <f t="shared" si="6"/>
        <v/>
      </c>
    </row>
    <row r="420" spans="1:5" x14ac:dyDescent="0.25">
      <c r="A420" s="138">
        <v>116019</v>
      </c>
      <c r="B420">
        <v>41</v>
      </c>
      <c r="C420">
        <v>1</v>
      </c>
      <c r="D420">
        <v>6</v>
      </c>
      <c r="E420" s="2" t="str">
        <f t="shared" si="6"/>
        <v/>
      </c>
    </row>
    <row r="421" spans="1:5" x14ac:dyDescent="0.25">
      <c r="A421" s="138">
        <v>116020</v>
      </c>
      <c r="B421">
        <v>41</v>
      </c>
      <c r="C421">
        <v>1</v>
      </c>
      <c r="D421">
        <v>6</v>
      </c>
      <c r="E421" s="2" t="str">
        <f t="shared" si="6"/>
        <v/>
      </c>
    </row>
    <row r="422" spans="1:5" x14ac:dyDescent="0.25">
      <c r="A422" s="138">
        <v>116021</v>
      </c>
      <c r="B422">
        <v>41</v>
      </c>
      <c r="C422">
        <v>1</v>
      </c>
      <c r="D422">
        <v>6</v>
      </c>
      <c r="E422" s="2" t="str">
        <f t="shared" si="6"/>
        <v/>
      </c>
    </row>
    <row r="423" spans="1:5" x14ac:dyDescent="0.25">
      <c r="A423" s="138">
        <v>116022</v>
      </c>
      <c r="B423">
        <v>41</v>
      </c>
      <c r="C423">
        <v>1</v>
      </c>
      <c r="D423">
        <v>6</v>
      </c>
      <c r="E423" s="2" t="str">
        <f t="shared" si="6"/>
        <v/>
      </c>
    </row>
    <row r="424" spans="1:5" x14ac:dyDescent="0.25">
      <c r="A424" s="138">
        <v>116023</v>
      </c>
      <c r="B424">
        <v>41</v>
      </c>
      <c r="C424">
        <v>1</v>
      </c>
      <c r="D424">
        <v>6</v>
      </c>
      <c r="E424" s="2" t="str">
        <f t="shared" si="6"/>
        <v/>
      </c>
    </row>
    <row r="425" spans="1:5" x14ac:dyDescent="0.25">
      <c r="A425" s="138">
        <v>116024</v>
      </c>
      <c r="B425">
        <v>41</v>
      </c>
      <c r="C425">
        <v>1</v>
      </c>
      <c r="D425">
        <v>6</v>
      </c>
      <c r="E425" s="2" t="str">
        <f t="shared" si="6"/>
        <v/>
      </c>
    </row>
    <row r="426" spans="1:5" x14ac:dyDescent="0.25">
      <c r="A426" s="138">
        <v>116025</v>
      </c>
      <c r="B426">
        <v>41</v>
      </c>
      <c r="C426">
        <v>1</v>
      </c>
      <c r="D426">
        <v>6</v>
      </c>
      <c r="E426" s="2" t="str">
        <f t="shared" si="6"/>
        <v/>
      </c>
    </row>
    <row r="427" spans="1:5" x14ac:dyDescent="0.25">
      <c r="A427" s="138">
        <v>116026</v>
      </c>
      <c r="B427">
        <v>41</v>
      </c>
      <c r="C427">
        <v>1</v>
      </c>
      <c r="D427">
        <v>6</v>
      </c>
      <c r="E427" s="2" t="str">
        <f t="shared" si="6"/>
        <v/>
      </c>
    </row>
    <row r="428" spans="1:5" x14ac:dyDescent="0.25">
      <c r="A428" s="138">
        <v>116027</v>
      </c>
      <c r="B428">
        <v>41</v>
      </c>
      <c r="C428">
        <v>1</v>
      </c>
      <c r="D428">
        <v>6</v>
      </c>
      <c r="E428" s="2" t="str">
        <f t="shared" si="6"/>
        <v/>
      </c>
    </row>
    <row r="429" spans="1:5" x14ac:dyDescent="0.25">
      <c r="A429" s="138">
        <v>116028</v>
      </c>
      <c r="B429">
        <v>41</v>
      </c>
      <c r="C429">
        <v>1</v>
      </c>
      <c r="D429">
        <v>6</v>
      </c>
      <c r="E429" s="2" t="str">
        <f t="shared" si="6"/>
        <v/>
      </c>
    </row>
    <row r="430" spans="1:5" x14ac:dyDescent="0.25">
      <c r="A430" s="138">
        <v>116029</v>
      </c>
      <c r="B430">
        <v>41</v>
      </c>
      <c r="C430">
        <v>1</v>
      </c>
      <c r="D430">
        <v>6</v>
      </c>
      <c r="E430" s="2" t="str">
        <f t="shared" si="6"/>
        <v/>
      </c>
    </row>
    <row r="431" spans="1:5" x14ac:dyDescent="0.25">
      <c r="A431" s="138">
        <v>116030</v>
      </c>
      <c r="B431">
        <v>41</v>
      </c>
      <c r="C431">
        <v>1</v>
      </c>
      <c r="D431">
        <v>6</v>
      </c>
      <c r="E431" s="2" t="str">
        <f t="shared" si="6"/>
        <v/>
      </c>
    </row>
    <row r="432" spans="1:5" x14ac:dyDescent="0.25">
      <c r="A432" s="138">
        <v>116031</v>
      </c>
      <c r="B432">
        <v>41</v>
      </c>
      <c r="C432">
        <v>1</v>
      </c>
      <c r="D432">
        <v>6</v>
      </c>
      <c r="E432" s="2" t="str">
        <f t="shared" si="6"/>
        <v/>
      </c>
    </row>
    <row r="433" spans="1:5" x14ac:dyDescent="0.25">
      <c r="A433" s="138">
        <v>116032</v>
      </c>
      <c r="B433">
        <v>41</v>
      </c>
      <c r="C433">
        <v>1</v>
      </c>
      <c r="D433">
        <v>6</v>
      </c>
      <c r="E433" s="2" t="str">
        <f t="shared" si="6"/>
        <v/>
      </c>
    </row>
    <row r="434" spans="1:5" x14ac:dyDescent="0.25">
      <c r="A434" s="138">
        <v>116033</v>
      </c>
      <c r="B434">
        <v>41</v>
      </c>
      <c r="C434">
        <v>1</v>
      </c>
      <c r="D434">
        <v>6</v>
      </c>
      <c r="E434" s="2" t="str">
        <f t="shared" si="6"/>
        <v/>
      </c>
    </row>
    <row r="435" spans="1:5" x14ac:dyDescent="0.25">
      <c r="A435" s="138">
        <v>116034</v>
      </c>
      <c r="B435">
        <v>41</v>
      </c>
      <c r="C435">
        <v>1</v>
      </c>
      <c r="D435">
        <v>6</v>
      </c>
      <c r="E435" s="2" t="str">
        <f t="shared" si="6"/>
        <v/>
      </c>
    </row>
    <row r="436" spans="1:5" x14ac:dyDescent="0.25">
      <c r="A436" s="138">
        <v>116035</v>
      </c>
      <c r="B436">
        <v>41</v>
      </c>
      <c r="C436">
        <v>1</v>
      </c>
      <c r="D436">
        <v>6</v>
      </c>
      <c r="E436" s="2" t="str">
        <f t="shared" si="6"/>
        <v/>
      </c>
    </row>
    <row r="437" spans="1:5" x14ac:dyDescent="0.25">
      <c r="A437" s="138">
        <v>116036</v>
      </c>
      <c r="B437">
        <v>35</v>
      </c>
      <c r="C437">
        <v>1</v>
      </c>
      <c r="D437">
        <v>6</v>
      </c>
      <c r="E437" s="2" t="str">
        <f t="shared" si="6"/>
        <v/>
      </c>
    </row>
    <row r="438" spans="1:5" x14ac:dyDescent="0.25">
      <c r="A438" s="138">
        <v>116037</v>
      </c>
      <c r="B438">
        <v>35</v>
      </c>
      <c r="C438">
        <v>1</v>
      </c>
      <c r="D438">
        <v>6</v>
      </c>
      <c r="E438" s="2" t="str">
        <f t="shared" si="6"/>
        <v/>
      </c>
    </row>
    <row r="439" spans="1:5" x14ac:dyDescent="0.25">
      <c r="A439" s="138">
        <v>116038</v>
      </c>
      <c r="B439">
        <v>35</v>
      </c>
      <c r="C439">
        <v>1</v>
      </c>
      <c r="D439">
        <v>6</v>
      </c>
      <c r="E439" s="2" t="str">
        <f t="shared" si="6"/>
        <v/>
      </c>
    </row>
    <row r="440" spans="1:5" x14ac:dyDescent="0.25">
      <c r="A440" s="138">
        <v>116039</v>
      </c>
      <c r="B440">
        <v>41</v>
      </c>
      <c r="C440">
        <v>1</v>
      </c>
      <c r="D440">
        <v>6</v>
      </c>
      <c r="E440" s="2" t="str">
        <f t="shared" si="6"/>
        <v/>
      </c>
    </row>
    <row r="441" spans="1:5" x14ac:dyDescent="0.25">
      <c r="A441" s="138">
        <v>116040</v>
      </c>
      <c r="B441">
        <v>37</v>
      </c>
      <c r="C441">
        <v>1</v>
      </c>
      <c r="D441">
        <v>6</v>
      </c>
      <c r="E441" s="2" t="str">
        <f t="shared" si="6"/>
        <v/>
      </c>
    </row>
    <row r="442" spans="1:5" x14ac:dyDescent="0.25">
      <c r="A442" s="138">
        <v>116041</v>
      </c>
      <c r="B442">
        <v>31</v>
      </c>
      <c r="C442">
        <v>1</v>
      </c>
      <c r="D442">
        <v>6</v>
      </c>
      <c r="E442" s="2" t="str">
        <f t="shared" si="6"/>
        <v/>
      </c>
    </row>
    <row r="443" spans="1:5" x14ac:dyDescent="0.25">
      <c r="A443" s="138">
        <v>116042</v>
      </c>
      <c r="B443">
        <v>40</v>
      </c>
      <c r="C443">
        <v>1</v>
      </c>
      <c r="D443">
        <v>6</v>
      </c>
      <c r="E443" s="2" t="str">
        <f t="shared" si="6"/>
        <v/>
      </c>
    </row>
    <row r="444" spans="1:5" x14ac:dyDescent="0.25">
      <c r="A444" s="138">
        <v>116043</v>
      </c>
      <c r="B444">
        <v>41</v>
      </c>
      <c r="C444">
        <v>1</v>
      </c>
      <c r="D444">
        <v>6</v>
      </c>
      <c r="E444" s="2" t="str">
        <f t="shared" si="6"/>
        <v/>
      </c>
    </row>
    <row r="445" spans="1:5" x14ac:dyDescent="0.25">
      <c r="A445" s="138">
        <v>116044</v>
      </c>
      <c r="B445">
        <v>38</v>
      </c>
      <c r="C445">
        <v>1</v>
      </c>
      <c r="D445">
        <v>6</v>
      </c>
      <c r="E445" s="2" t="str">
        <f t="shared" si="6"/>
        <v/>
      </c>
    </row>
    <row r="446" spans="1:5" x14ac:dyDescent="0.25">
      <c r="A446" s="138">
        <v>116045</v>
      </c>
      <c r="B446">
        <v>41</v>
      </c>
      <c r="C446">
        <v>1</v>
      </c>
      <c r="D446">
        <v>6</v>
      </c>
      <c r="E446" s="2" t="str">
        <f t="shared" si="6"/>
        <v/>
      </c>
    </row>
    <row r="447" spans="1:5" x14ac:dyDescent="0.25">
      <c r="A447" s="138">
        <v>116046</v>
      </c>
      <c r="B447">
        <v>41</v>
      </c>
      <c r="C447">
        <v>1</v>
      </c>
      <c r="D447">
        <v>6</v>
      </c>
      <c r="E447" s="2" t="str">
        <f t="shared" si="6"/>
        <v/>
      </c>
    </row>
    <row r="448" spans="1:5" x14ac:dyDescent="0.25">
      <c r="A448" s="138">
        <v>116047</v>
      </c>
      <c r="B448">
        <v>39</v>
      </c>
      <c r="C448">
        <v>1</v>
      </c>
      <c r="D448">
        <v>6</v>
      </c>
      <c r="E448" s="2" t="str">
        <f t="shared" si="6"/>
        <v/>
      </c>
    </row>
    <row r="449" spans="1:5" x14ac:dyDescent="0.25">
      <c r="A449" s="138">
        <v>116048</v>
      </c>
      <c r="B449">
        <v>41</v>
      </c>
      <c r="C449">
        <v>1</v>
      </c>
      <c r="D449">
        <v>6</v>
      </c>
      <c r="E449" s="2" t="str">
        <f t="shared" si="6"/>
        <v/>
      </c>
    </row>
    <row r="450" spans="1:5" x14ac:dyDescent="0.25">
      <c r="A450" s="138">
        <v>116049</v>
      </c>
      <c r="B450">
        <v>36</v>
      </c>
      <c r="C450">
        <v>1</v>
      </c>
      <c r="D450">
        <v>6</v>
      </c>
      <c r="E450" s="2" t="str">
        <f t="shared" si="6"/>
        <v/>
      </c>
    </row>
    <row r="451" spans="1:5" x14ac:dyDescent="0.25">
      <c r="A451" s="138">
        <v>116050</v>
      </c>
      <c r="B451">
        <v>41</v>
      </c>
      <c r="C451">
        <v>1</v>
      </c>
      <c r="D451">
        <v>6</v>
      </c>
      <c r="E451" s="2" t="str">
        <f t="shared" ref="E451:E514" si="7">IF(B451=B450,IF(C450=C451,"",1),"")</f>
        <v/>
      </c>
    </row>
    <row r="452" spans="1:5" x14ac:dyDescent="0.25">
      <c r="A452" s="138">
        <v>116051</v>
      </c>
      <c r="B452">
        <v>41</v>
      </c>
      <c r="C452">
        <v>1</v>
      </c>
      <c r="D452">
        <v>6</v>
      </c>
      <c r="E452" s="2" t="str">
        <f t="shared" si="7"/>
        <v/>
      </c>
    </row>
    <row r="453" spans="1:5" x14ac:dyDescent="0.25">
      <c r="A453" s="138">
        <v>116052</v>
      </c>
      <c r="B453">
        <v>41</v>
      </c>
      <c r="C453">
        <v>1</v>
      </c>
      <c r="D453">
        <v>6</v>
      </c>
      <c r="E453" s="2" t="str">
        <f t="shared" si="7"/>
        <v/>
      </c>
    </row>
    <row r="454" spans="1:5" x14ac:dyDescent="0.25">
      <c r="A454" s="138">
        <v>116053</v>
      </c>
      <c r="B454">
        <v>41</v>
      </c>
      <c r="C454">
        <v>1</v>
      </c>
      <c r="D454">
        <v>6</v>
      </c>
      <c r="E454" s="2" t="str">
        <f t="shared" si="7"/>
        <v/>
      </c>
    </row>
    <row r="455" spans="1:5" x14ac:dyDescent="0.25">
      <c r="A455" s="138">
        <v>116054</v>
      </c>
      <c r="B455">
        <v>41</v>
      </c>
      <c r="C455">
        <v>1</v>
      </c>
      <c r="D455">
        <v>6</v>
      </c>
      <c r="E455" s="2" t="str">
        <f t="shared" si="7"/>
        <v/>
      </c>
    </row>
    <row r="456" spans="1:5" x14ac:dyDescent="0.25">
      <c r="A456" s="138">
        <v>116055</v>
      </c>
      <c r="B456">
        <v>41</v>
      </c>
      <c r="C456">
        <v>1</v>
      </c>
      <c r="D456">
        <v>6</v>
      </c>
      <c r="E456" s="2" t="str">
        <f t="shared" si="7"/>
        <v/>
      </c>
    </row>
    <row r="457" spans="1:5" x14ac:dyDescent="0.25">
      <c r="A457" s="138">
        <v>116056</v>
      </c>
      <c r="B457">
        <v>32</v>
      </c>
      <c r="C457">
        <v>1</v>
      </c>
      <c r="D457">
        <v>6</v>
      </c>
      <c r="E457" s="2" t="str">
        <f t="shared" si="7"/>
        <v/>
      </c>
    </row>
    <row r="458" spans="1:5" x14ac:dyDescent="0.25">
      <c r="A458" s="138">
        <v>116057</v>
      </c>
      <c r="B458">
        <v>41</v>
      </c>
      <c r="C458">
        <v>1</v>
      </c>
      <c r="D458">
        <v>6</v>
      </c>
      <c r="E458" s="2" t="str">
        <f t="shared" si="7"/>
        <v/>
      </c>
    </row>
    <row r="459" spans="1:5" x14ac:dyDescent="0.25">
      <c r="A459" s="138">
        <v>116058</v>
      </c>
      <c r="B459">
        <v>41</v>
      </c>
      <c r="C459">
        <v>1</v>
      </c>
      <c r="D459">
        <v>6</v>
      </c>
      <c r="E459" s="2" t="str">
        <f t="shared" si="7"/>
        <v/>
      </c>
    </row>
    <row r="460" spans="1:5" x14ac:dyDescent="0.25">
      <c r="A460" s="138">
        <v>116059</v>
      </c>
      <c r="B460">
        <v>41</v>
      </c>
      <c r="C460">
        <v>1</v>
      </c>
      <c r="D460">
        <v>6</v>
      </c>
      <c r="E460" s="2" t="str">
        <f t="shared" si="7"/>
        <v/>
      </c>
    </row>
    <row r="461" spans="1:5" x14ac:dyDescent="0.25">
      <c r="A461" s="138">
        <v>116060</v>
      </c>
      <c r="B461">
        <v>41</v>
      </c>
      <c r="C461">
        <v>1</v>
      </c>
      <c r="D461">
        <v>6</v>
      </c>
      <c r="E461" s="2" t="str">
        <f t="shared" si="7"/>
        <v/>
      </c>
    </row>
    <row r="462" spans="1:5" x14ac:dyDescent="0.25">
      <c r="A462" s="138">
        <v>116061</v>
      </c>
      <c r="B462">
        <v>33</v>
      </c>
      <c r="C462">
        <v>1</v>
      </c>
      <c r="D462">
        <v>6</v>
      </c>
      <c r="E462" s="2" t="str">
        <f t="shared" si="7"/>
        <v/>
      </c>
    </row>
    <row r="463" spans="1:5" x14ac:dyDescent="0.25">
      <c r="A463" s="138">
        <v>116062</v>
      </c>
      <c r="B463">
        <v>41</v>
      </c>
      <c r="C463">
        <v>1</v>
      </c>
      <c r="D463">
        <v>6</v>
      </c>
      <c r="E463" s="2" t="str">
        <f t="shared" si="7"/>
        <v/>
      </c>
    </row>
    <row r="464" spans="1:5" x14ac:dyDescent="0.25">
      <c r="A464" s="138">
        <v>116063</v>
      </c>
      <c r="B464">
        <v>41</v>
      </c>
      <c r="C464">
        <v>1</v>
      </c>
      <c r="D464">
        <v>6</v>
      </c>
      <c r="E464" s="2" t="str">
        <f t="shared" si="7"/>
        <v/>
      </c>
    </row>
    <row r="465" spans="1:5" x14ac:dyDescent="0.25">
      <c r="A465" s="138">
        <v>116064</v>
      </c>
      <c r="B465">
        <v>1</v>
      </c>
      <c r="C465">
        <v>1</v>
      </c>
      <c r="D465">
        <v>6</v>
      </c>
      <c r="E465" s="2" t="str">
        <f t="shared" si="7"/>
        <v/>
      </c>
    </row>
    <row r="466" spans="1:5" x14ac:dyDescent="0.25">
      <c r="A466" s="138">
        <v>116065</v>
      </c>
      <c r="B466">
        <v>1</v>
      </c>
      <c r="C466">
        <v>1</v>
      </c>
      <c r="D466">
        <v>6</v>
      </c>
      <c r="E466" s="2" t="str">
        <f t="shared" si="7"/>
        <v/>
      </c>
    </row>
    <row r="467" spans="1:5" x14ac:dyDescent="0.25">
      <c r="A467" s="138">
        <v>116066</v>
      </c>
      <c r="B467">
        <v>27</v>
      </c>
      <c r="C467">
        <v>1</v>
      </c>
      <c r="D467">
        <v>6</v>
      </c>
      <c r="E467" s="2" t="str">
        <f t="shared" si="7"/>
        <v/>
      </c>
    </row>
    <row r="468" spans="1:5" x14ac:dyDescent="0.25">
      <c r="A468" s="138">
        <v>116067</v>
      </c>
      <c r="B468">
        <v>41</v>
      </c>
      <c r="C468">
        <v>1</v>
      </c>
      <c r="D468">
        <v>6</v>
      </c>
      <c r="E468" s="2" t="str">
        <f t="shared" si="7"/>
        <v/>
      </c>
    </row>
    <row r="469" spans="1:5" x14ac:dyDescent="0.25">
      <c r="A469" s="138">
        <v>116068</v>
      </c>
      <c r="B469">
        <v>41</v>
      </c>
      <c r="C469">
        <v>1</v>
      </c>
      <c r="D469">
        <v>6</v>
      </c>
      <c r="E469" s="2" t="str">
        <f t="shared" si="7"/>
        <v/>
      </c>
    </row>
    <row r="470" spans="1:5" x14ac:dyDescent="0.25">
      <c r="A470" s="138">
        <v>116069</v>
      </c>
      <c r="B470">
        <v>34</v>
      </c>
      <c r="C470">
        <v>1</v>
      </c>
      <c r="D470">
        <v>6</v>
      </c>
      <c r="E470" s="2" t="str">
        <f t="shared" si="7"/>
        <v/>
      </c>
    </row>
    <row r="471" spans="1:5" x14ac:dyDescent="0.25">
      <c r="A471" s="138">
        <v>116070</v>
      </c>
      <c r="B471">
        <v>41</v>
      </c>
      <c r="C471">
        <v>1</v>
      </c>
      <c r="D471">
        <v>6</v>
      </c>
      <c r="E471" s="2" t="str">
        <f t="shared" si="7"/>
        <v/>
      </c>
    </row>
    <row r="472" spans="1:5" x14ac:dyDescent="0.25">
      <c r="A472" s="138">
        <v>116071</v>
      </c>
      <c r="B472">
        <v>41</v>
      </c>
      <c r="C472">
        <v>1</v>
      </c>
      <c r="D472">
        <v>6</v>
      </c>
      <c r="E472" s="2" t="str">
        <f t="shared" si="7"/>
        <v/>
      </c>
    </row>
    <row r="473" spans="1:5" x14ac:dyDescent="0.25">
      <c r="A473" s="138">
        <v>116072</v>
      </c>
      <c r="B473">
        <v>41</v>
      </c>
      <c r="C473">
        <v>1</v>
      </c>
      <c r="D473">
        <v>6</v>
      </c>
      <c r="E473" s="2" t="str">
        <f t="shared" si="7"/>
        <v/>
      </c>
    </row>
    <row r="474" spans="1:5" x14ac:dyDescent="0.25">
      <c r="A474" s="138">
        <v>116073</v>
      </c>
      <c r="B474">
        <v>41</v>
      </c>
      <c r="C474">
        <v>1</v>
      </c>
      <c r="D474">
        <v>6</v>
      </c>
      <c r="E474" s="2" t="str">
        <f t="shared" si="7"/>
        <v/>
      </c>
    </row>
    <row r="475" spans="1:5" x14ac:dyDescent="0.25">
      <c r="A475" s="138">
        <v>116074</v>
      </c>
      <c r="B475">
        <v>41</v>
      </c>
      <c r="C475">
        <v>1</v>
      </c>
      <c r="D475">
        <v>6</v>
      </c>
      <c r="E475" s="2" t="str">
        <f t="shared" si="7"/>
        <v/>
      </c>
    </row>
    <row r="476" spans="1:5" x14ac:dyDescent="0.25">
      <c r="A476" s="138">
        <v>116075</v>
      </c>
      <c r="B476">
        <v>41</v>
      </c>
      <c r="C476">
        <v>1</v>
      </c>
      <c r="D476">
        <v>6</v>
      </c>
      <c r="E476" s="2" t="str">
        <f t="shared" si="7"/>
        <v/>
      </c>
    </row>
    <row r="477" spans="1:5" x14ac:dyDescent="0.25">
      <c r="A477" s="138">
        <v>116076</v>
      </c>
      <c r="B477">
        <v>41</v>
      </c>
      <c r="C477">
        <v>1</v>
      </c>
      <c r="D477">
        <v>6</v>
      </c>
      <c r="E477" s="2" t="str">
        <f t="shared" si="7"/>
        <v/>
      </c>
    </row>
    <row r="478" spans="1:5" x14ac:dyDescent="0.25">
      <c r="A478" s="138">
        <v>116077</v>
      </c>
      <c r="B478">
        <v>41</v>
      </c>
      <c r="C478">
        <v>1</v>
      </c>
      <c r="D478">
        <v>6</v>
      </c>
      <c r="E478" s="2" t="str">
        <f t="shared" si="7"/>
        <v/>
      </c>
    </row>
    <row r="479" spans="1:5" x14ac:dyDescent="0.25">
      <c r="A479" s="138">
        <v>116099</v>
      </c>
      <c r="B479">
        <v>41</v>
      </c>
      <c r="C479">
        <v>1</v>
      </c>
      <c r="D479">
        <v>6</v>
      </c>
      <c r="E479" s="2" t="str">
        <f t="shared" si="7"/>
        <v/>
      </c>
    </row>
    <row r="480" spans="1:5" x14ac:dyDescent="0.25">
      <c r="A480" s="138">
        <v>116100</v>
      </c>
      <c r="B480">
        <v>45</v>
      </c>
      <c r="C480">
        <v>1</v>
      </c>
      <c r="D480">
        <v>6</v>
      </c>
      <c r="E480" s="2" t="str">
        <f t="shared" si="7"/>
        <v/>
      </c>
    </row>
    <row r="481" spans="1:5" x14ac:dyDescent="0.25">
      <c r="A481" s="138">
        <v>116101</v>
      </c>
      <c r="B481">
        <v>45</v>
      </c>
      <c r="C481">
        <v>1</v>
      </c>
      <c r="D481">
        <v>6</v>
      </c>
      <c r="E481" s="2" t="str">
        <f t="shared" si="7"/>
        <v/>
      </c>
    </row>
    <row r="482" spans="1:5" x14ac:dyDescent="0.25">
      <c r="A482" s="138">
        <v>116102</v>
      </c>
      <c r="B482">
        <v>45</v>
      </c>
      <c r="C482">
        <v>1</v>
      </c>
      <c r="D482">
        <v>6</v>
      </c>
      <c r="E482" s="2" t="str">
        <f t="shared" si="7"/>
        <v/>
      </c>
    </row>
    <row r="483" spans="1:5" x14ac:dyDescent="0.25">
      <c r="A483" s="138">
        <v>116103</v>
      </c>
      <c r="B483">
        <v>45</v>
      </c>
      <c r="C483">
        <v>1</v>
      </c>
      <c r="D483">
        <v>6</v>
      </c>
      <c r="E483" s="2" t="str">
        <f t="shared" si="7"/>
        <v/>
      </c>
    </row>
    <row r="484" spans="1:5" x14ac:dyDescent="0.25">
      <c r="A484" s="138">
        <v>116104</v>
      </c>
      <c r="B484">
        <v>45</v>
      </c>
      <c r="C484">
        <v>1</v>
      </c>
      <c r="D484">
        <v>6</v>
      </c>
      <c r="E484" s="2" t="str">
        <f t="shared" si="7"/>
        <v/>
      </c>
    </row>
    <row r="485" spans="1:5" x14ac:dyDescent="0.25">
      <c r="A485" s="138">
        <v>116105</v>
      </c>
      <c r="B485">
        <v>45</v>
      </c>
      <c r="C485">
        <v>1</v>
      </c>
      <c r="D485">
        <v>6</v>
      </c>
      <c r="E485" s="2" t="str">
        <f t="shared" si="7"/>
        <v/>
      </c>
    </row>
    <row r="486" spans="1:5" x14ac:dyDescent="0.25">
      <c r="A486" s="138">
        <v>116106</v>
      </c>
      <c r="B486">
        <v>45</v>
      </c>
      <c r="C486">
        <v>1</v>
      </c>
      <c r="D486">
        <v>6</v>
      </c>
      <c r="E486" s="2" t="str">
        <f t="shared" si="7"/>
        <v/>
      </c>
    </row>
    <row r="487" spans="1:5" x14ac:dyDescent="0.25">
      <c r="A487" s="138">
        <v>116107</v>
      </c>
      <c r="B487">
        <v>45</v>
      </c>
      <c r="C487">
        <v>1</v>
      </c>
      <c r="D487">
        <v>6</v>
      </c>
      <c r="E487" s="2" t="str">
        <f t="shared" si="7"/>
        <v/>
      </c>
    </row>
    <row r="488" spans="1:5" x14ac:dyDescent="0.25">
      <c r="A488" s="138">
        <v>116108</v>
      </c>
      <c r="B488">
        <v>45</v>
      </c>
      <c r="C488">
        <v>1</v>
      </c>
      <c r="D488">
        <v>6</v>
      </c>
      <c r="E488" s="2" t="str">
        <f t="shared" si="7"/>
        <v/>
      </c>
    </row>
    <row r="489" spans="1:5" x14ac:dyDescent="0.25">
      <c r="A489" s="138">
        <v>116109</v>
      </c>
      <c r="B489">
        <v>45</v>
      </c>
      <c r="C489">
        <v>1</v>
      </c>
      <c r="D489">
        <v>6</v>
      </c>
      <c r="E489" s="2" t="str">
        <f t="shared" si="7"/>
        <v/>
      </c>
    </row>
    <row r="490" spans="1:5" x14ac:dyDescent="0.25">
      <c r="A490" s="138">
        <v>116110</v>
      </c>
      <c r="B490">
        <v>45</v>
      </c>
      <c r="C490">
        <v>1</v>
      </c>
      <c r="D490">
        <v>6</v>
      </c>
      <c r="E490" s="2" t="str">
        <f t="shared" si="7"/>
        <v/>
      </c>
    </row>
    <row r="491" spans="1:5" x14ac:dyDescent="0.25">
      <c r="A491" s="138">
        <v>116111</v>
      </c>
      <c r="B491">
        <v>45</v>
      </c>
      <c r="C491">
        <v>1</v>
      </c>
      <c r="D491">
        <v>6</v>
      </c>
      <c r="E491" s="2" t="str">
        <f t="shared" si="7"/>
        <v/>
      </c>
    </row>
    <row r="492" spans="1:5" x14ac:dyDescent="0.25">
      <c r="A492" s="138">
        <v>116112</v>
      </c>
      <c r="B492">
        <v>45</v>
      </c>
      <c r="C492">
        <v>1</v>
      </c>
      <c r="D492">
        <v>6</v>
      </c>
      <c r="E492" s="2" t="str">
        <f t="shared" si="7"/>
        <v/>
      </c>
    </row>
    <row r="493" spans="1:5" x14ac:dyDescent="0.25">
      <c r="A493" s="138">
        <v>116113</v>
      </c>
      <c r="B493">
        <v>45</v>
      </c>
      <c r="C493">
        <v>1</v>
      </c>
      <c r="D493">
        <v>6</v>
      </c>
      <c r="E493" s="2" t="str">
        <f t="shared" si="7"/>
        <v/>
      </c>
    </row>
    <row r="494" spans="1:5" x14ac:dyDescent="0.25">
      <c r="A494" s="138">
        <v>116114</v>
      </c>
      <c r="B494">
        <v>45</v>
      </c>
      <c r="C494">
        <v>1</v>
      </c>
      <c r="D494">
        <v>6</v>
      </c>
      <c r="E494" s="2" t="str">
        <f t="shared" si="7"/>
        <v/>
      </c>
    </row>
    <row r="495" spans="1:5" x14ac:dyDescent="0.25">
      <c r="A495" s="138">
        <v>116115</v>
      </c>
      <c r="B495">
        <v>45</v>
      </c>
      <c r="C495">
        <v>1</v>
      </c>
      <c r="D495">
        <v>6</v>
      </c>
      <c r="E495" s="2" t="str">
        <f t="shared" si="7"/>
        <v/>
      </c>
    </row>
    <row r="496" spans="1:5" x14ac:dyDescent="0.25">
      <c r="A496" s="138">
        <v>116116</v>
      </c>
      <c r="B496">
        <v>45</v>
      </c>
      <c r="C496">
        <v>1</v>
      </c>
      <c r="D496">
        <v>6</v>
      </c>
      <c r="E496" s="2" t="str">
        <f t="shared" si="7"/>
        <v/>
      </c>
    </row>
    <row r="497" spans="1:5" x14ac:dyDescent="0.25">
      <c r="A497" s="138">
        <v>116117</v>
      </c>
      <c r="B497">
        <v>45</v>
      </c>
      <c r="C497">
        <v>1</v>
      </c>
      <c r="D497">
        <v>6</v>
      </c>
      <c r="E497" s="2" t="str">
        <f t="shared" si="7"/>
        <v/>
      </c>
    </row>
    <row r="498" spans="1:5" x14ac:dyDescent="0.25">
      <c r="A498" s="138">
        <v>116118</v>
      </c>
      <c r="B498">
        <v>45</v>
      </c>
      <c r="C498">
        <v>1</v>
      </c>
      <c r="D498">
        <v>6</v>
      </c>
      <c r="E498" s="2" t="str">
        <f t="shared" si="7"/>
        <v/>
      </c>
    </row>
    <row r="499" spans="1:5" x14ac:dyDescent="0.25">
      <c r="A499" s="138">
        <v>116119</v>
      </c>
      <c r="B499">
        <v>45</v>
      </c>
      <c r="C499">
        <v>1</v>
      </c>
      <c r="D499">
        <v>6</v>
      </c>
      <c r="E499" s="2" t="str">
        <f t="shared" si="7"/>
        <v/>
      </c>
    </row>
    <row r="500" spans="1:5" x14ac:dyDescent="0.25">
      <c r="A500" s="138">
        <v>116120</v>
      </c>
      <c r="B500">
        <v>45</v>
      </c>
      <c r="C500">
        <v>1</v>
      </c>
      <c r="D500">
        <v>6</v>
      </c>
      <c r="E500" s="2" t="str">
        <f t="shared" si="7"/>
        <v/>
      </c>
    </row>
    <row r="501" spans="1:5" x14ac:dyDescent="0.25">
      <c r="A501" s="138">
        <v>116121</v>
      </c>
      <c r="B501">
        <v>45</v>
      </c>
      <c r="C501">
        <v>1</v>
      </c>
      <c r="D501">
        <v>6</v>
      </c>
      <c r="E501" s="2" t="str">
        <f t="shared" si="7"/>
        <v/>
      </c>
    </row>
    <row r="502" spans="1:5" x14ac:dyDescent="0.25">
      <c r="A502" s="138">
        <v>116122</v>
      </c>
      <c r="B502">
        <v>45</v>
      </c>
      <c r="C502">
        <v>1</v>
      </c>
      <c r="D502">
        <v>6</v>
      </c>
      <c r="E502" s="2" t="str">
        <f t="shared" si="7"/>
        <v/>
      </c>
    </row>
    <row r="503" spans="1:5" x14ac:dyDescent="0.25">
      <c r="A503" s="138">
        <v>116123</v>
      </c>
      <c r="B503">
        <v>45</v>
      </c>
      <c r="C503">
        <v>1</v>
      </c>
      <c r="D503">
        <v>6</v>
      </c>
      <c r="E503" s="2" t="str">
        <f t="shared" si="7"/>
        <v/>
      </c>
    </row>
    <row r="504" spans="1:5" x14ac:dyDescent="0.25">
      <c r="A504" s="138">
        <v>116124</v>
      </c>
      <c r="B504">
        <v>45</v>
      </c>
      <c r="C504">
        <v>1</v>
      </c>
      <c r="D504">
        <v>6</v>
      </c>
      <c r="E504" s="2" t="str">
        <f t="shared" si="7"/>
        <v/>
      </c>
    </row>
    <row r="505" spans="1:5" x14ac:dyDescent="0.25">
      <c r="A505" s="138">
        <v>116125</v>
      </c>
      <c r="B505">
        <v>45</v>
      </c>
      <c r="C505">
        <v>1</v>
      </c>
      <c r="D505">
        <v>6</v>
      </c>
      <c r="E505" s="2" t="str">
        <f t="shared" si="7"/>
        <v/>
      </c>
    </row>
    <row r="506" spans="1:5" x14ac:dyDescent="0.25">
      <c r="A506" s="138">
        <v>116198</v>
      </c>
      <c r="B506">
        <v>45</v>
      </c>
      <c r="C506">
        <v>1</v>
      </c>
      <c r="D506">
        <v>6</v>
      </c>
      <c r="E506" s="2" t="str">
        <f t="shared" si="7"/>
        <v/>
      </c>
    </row>
    <row r="507" spans="1:5" x14ac:dyDescent="0.25">
      <c r="A507" s="138">
        <v>116199</v>
      </c>
      <c r="B507">
        <v>45</v>
      </c>
      <c r="C507">
        <v>1</v>
      </c>
      <c r="D507">
        <v>6</v>
      </c>
      <c r="E507" s="2" t="str">
        <f t="shared" si="7"/>
        <v/>
      </c>
    </row>
    <row r="508" spans="1:5" x14ac:dyDescent="0.25">
      <c r="A508" s="138">
        <v>117000</v>
      </c>
      <c r="B508">
        <v>29</v>
      </c>
      <c r="C508">
        <v>1</v>
      </c>
      <c r="D508">
        <v>7</v>
      </c>
      <c r="E508" s="2" t="str">
        <f t="shared" si="7"/>
        <v/>
      </c>
    </row>
    <row r="509" spans="1:5" x14ac:dyDescent="0.25">
      <c r="A509" s="138">
        <v>117001</v>
      </c>
      <c r="B509">
        <v>29</v>
      </c>
      <c r="C509">
        <v>1</v>
      </c>
      <c r="D509">
        <v>7</v>
      </c>
      <c r="E509" s="2" t="str">
        <f t="shared" si="7"/>
        <v/>
      </c>
    </row>
    <row r="510" spans="1:5" x14ac:dyDescent="0.25">
      <c r="A510" s="138">
        <v>117002</v>
      </c>
      <c r="B510">
        <v>29</v>
      </c>
      <c r="C510">
        <v>1</v>
      </c>
      <c r="D510">
        <v>7</v>
      </c>
      <c r="E510" s="2" t="str">
        <f t="shared" si="7"/>
        <v/>
      </c>
    </row>
    <row r="511" spans="1:5" x14ac:dyDescent="0.25">
      <c r="A511" s="138">
        <v>117003</v>
      </c>
      <c r="B511">
        <v>29</v>
      </c>
      <c r="C511">
        <v>1</v>
      </c>
      <c r="D511">
        <v>7</v>
      </c>
      <c r="E511" s="2" t="str">
        <f t="shared" si="7"/>
        <v/>
      </c>
    </row>
    <row r="512" spans="1:5" x14ac:dyDescent="0.25">
      <c r="A512" s="138">
        <v>117004</v>
      </c>
      <c r="B512">
        <v>29</v>
      </c>
      <c r="C512">
        <v>1</v>
      </c>
      <c r="D512">
        <v>7</v>
      </c>
      <c r="E512" s="2" t="str">
        <f t="shared" si="7"/>
        <v/>
      </c>
    </row>
    <row r="513" spans="1:5" x14ac:dyDescent="0.25">
      <c r="A513" s="138">
        <v>117005</v>
      </c>
      <c r="B513">
        <v>29</v>
      </c>
      <c r="C513">
        <v>1</v>
      </c>
      <c r="D513">
        <v>7</v>
      </c>
      <c r="E513" s="2" t="str">
        <f t="shared" si="7"/>
        <v/>
      </c>
    </row>
    <row r="514" spans="1:5" x14ac:dyDescent="0.25">
      <c r="A514" s="138">
        <v>117006</v>
      </c>
      <c r="B514">
        <v>29</v>
      </c>
      <c r="C514">
        <v>1</v>
      </c>
      <c r="D514">
        <v>7</v>
      </c>
      <c r="E514" s="2" t="str">
        <f t="shared" si="7"/>
        <v/>
      </c>
    </row>
    <row r="515" spans="1:5" x14ac:dyDescent="0.25">
      <c r="A515" s="138">
        <v>117007</v>
      </c>
      <c r="B515">
        <v>29</v>
      </c>
      <c r="C515">
        <v>1</v>
      </c>
      <c r="D515">
        <v>7</v>
      </c>
      <c r="E515" s="2" t="str">
        <f t="shared" ref="E515:E578" si="8">IF(B515=B514,IF(C514=C515,"",1),"")</f>
        <v/>
      </c>
    </row>
    <row r="516" spans="1:5" x14ac:dyDescent="0.25">
      <c r="A516" s="138">
        <v>117008</v>
      </c>
      <c r="B516">
        <v>29</v>
      </c>
      <c r="C516">
        <v>1</v>
      </c>
      <c r="D516">
        <v>7</v>
      </c>
      <c r="E516" s="2" t="str">
        <f t="shared" si="8"/>
        <v/>
      </c>
    </row>
    <row r="517" spans="1:5" x14ac:dyDescent="0.25">
      <c r="A517" s="138">
        <v>117009</v>
      </c>
      <c r="B517">
        <v>29</v>
      </c>
      <c r="C517">
        <v>1</v>
      </c>
      <c r="D517">
        <v>7</v>
      </c>
      <c r="E517" s="2" t="str">
        <f t="shared" si="8"/>
        <v/>
      </c>
    </row>
    <row r="518" spans="1:5" x14ac:dyDescent="0.25">
      <c r="A518" s="138">
        <v>117010</v>
      </c>
      <c r="B518">
        <v>19</v>
      </c>
      <c r="C518">
        <v>1</v>
      </c>
      <c r="D518">
        <v>7</v>
      </c>
      <c r="E518" s="2" t="str">
        <f t="shared" si="8"/>
        <v/>
      </c>
    </row>
    <row r="519" spans="1:5" x14ac:dyDescent="0.25">
      <c r="A519" s="138">
        <v>117011</v>
      </c>
      <c r="B519">
        <v>29</v>
      </c>
      <c r="C519">
        <v>1</v>
      </c>
      <c r="D519">
        <v>7</v>
      </c>
      <c r="E519" s="2" t="str">
        <f t="shared" si="8"/>
        <v/>
      </c>
    </row>
    <row r="520" spans="1:5" x14ac:dyDescent="0.25">
      <c r="A520" s="138">
        <v>117012</v>
      </c>
      <c r="B520">
        <v>26</v>
      </c>
      <c r="C520">
        <v>1</v>
      </c>
      <c r="D520">
        <v>7</v>
      </c>
      <c r="E520" s="2" t="str">
        <f t="shared" si="8"/>
        <v/>
      </c>
    </row>
    <row r="521" spans="1:5" x14ac:dyDescent="0.25">
      <c r="A521" s="138">
        <v>117013</v>
      </c>
      <c r="B521">
        <v>26</v>
      </c>
      <c r="C521">
        <v>1</v>
      </c>
      <c r="D521">
        <v>7</v>
      </c>
      <c r="E521" s="2" t="str">
        <f t="shared" si="8"/>
        <v/>
      </c>
    </row>
    <row r="522" spans="1:5" x14ac:dyDescent="0.25">
      <c r="A522" s="138">
        <v>117014</v>
      </c>
      <c r="B522">
        <v>26</v>
      </c>
      <c r="C522">
        <v>1</v>
      </c>
      <c r="D522">
        <v>7</v>
      </c>
      <c r="E522" s="2" t="str">
        <f t="shared" si="8"/>
        <v/>
      </c>
    </row>
    <row r="523" spans="1:5" x14ac:dyDescent="0.25">
      <c r="A523" s="138">
        <v>117015</v>
      </c>
      <c r="B523">
        <v>29</v>
      </c>
      <c r="C523">
        <v>1</v>
      </c>
      <c r="D523">
        <v>7</v>
      </c>
      <c r="E523" s="2" t="str">
        <f t="shared" si="8"/>
        <v/>
      </c>
    </row>
    <row r="524" spans="1:5" x14ac:dyDescent="0.25">
      <c r="A524" s="138">
        <v>117016</v>
      </c>
      <c r="B524">
        <v>29</v>
      </c>
      <c r="C524">
        <v>1</v>
      </c>
      <c r="D524">
        <v>7</v>
      </c>
      <c r="E524" s="2" t="str">
        <f t="shared" si="8"/>
        <v/>
      </c>
    </row>
    <row r="525" spans="1:5" x14ac:dyDescent="0.25">
      <c r="A525" s="138">
        <v>117017</v>
      </c>
      <c r="B525">
        <v>29</v>
      </c>
      <c r="C525">
        <v>1</v>
      </c>
      <c r="D525">
        <v>7</v>
      </c>
      <c r="E525" s="2" t="str">
        <f t="shared" si="8"/>
        <v/>
      </c>
    </row>
    <row r="526" spans="1:5" x14ac:dyDescent="0.25">
      <c r="A526" s="138">
        <v>117018</v>
      </c>
      <c r="B526">
        <v>29</v>
      </c>
      <c r="C526">
        <v>1</v>
      </c>
      <c r="D526">
        <v>7</v>
      </c>
      <c r="E526" s="2" t="str">
        <f t="shared" si="8"/>
        <v/>
      </c>
    </row>
    <row r="527" spans="1:5" x14ac:dyDescent="0.25">
      <c r="A527" s="138">
        <v>117019</v>
      </c>
      <c r="B527">
        <v>29</v>
      </c>
      <c r="C527">
        <v>1</v>
      </c>
      <c r="D527">
        <v>7</v>
      </c>
      <c r="E527" s="2" t="str">
        <f t="shared" si="8"/>
        <v/>
      </c>
    </row>
    <row r="528" spans="1:5" x14ac:dyDescent="0.25">
      <c r="A528" s="138">
        <v>117020</v>
      </c>
      <c r="B528">
        <v>29</v>
      </c>
      <c r="C528">
        <v>1</v>
      </c>
      <c r="D528">
        <v>7</v>
      </c>
      <c r="E528" s="2" t="str">
        <f t="shared" si="8"/>
        <v/>
      </c>
    </row>
    <row r="529" spans="1:5" x14ac:dyDescent="0.25">
      <c r="A529" s="138">
        <v>117021</v>
      </c>
      <c r="B529">
        <v>29</v>
      </c>
      <c r="C529">
        <v>1</v>
      </c>
      <c r="D529">
        <v>7</v>
      </c>
      <c r="E529" s="2" t="str">
        <f t="shared" si="8"/>
        <v/>
      </c>
    </row>
    <row r="530" spans="1:5" x14ac:dyDescent="0.25">
      <c r="A530" s="138">
        <v>117022</v>
      </c>
      <c r="B530">
        <v>29</v>
      </c>
      <c r="C530">
        <v>1</v>
      </c>
      <c r="D530">
        <v>7</v>
      </c>
      <c r="E530" s="2" t="str">
        <f t="shared" si="8"/>
        <v/>
      </c>
    </row>
    <row r="531" spans="1:5" x14ac:dyDescent="0.25">
      <c r="A531" s="138">
        <v>117023</v>
      </c>
      <c r="B531">
        <v>29</v>
      </c>
      <c r="C531">
        <v>1</v>
      </c>
      <c r="D531">
        <v>7</v>
      </c>
      <c r="E531" s="2" t="str">
        <f t="shared" si="8"/>
        <v/>
      </c>
    </row>
    <row r="532" spans="1:5" x14ac:dyDescent="0.25">
      <c r="A532" s="138">
        <v>117024</v>
      </c>
      <c r="B532">
        <v>29</v>
      </c>
      <c r="C532">
        <v>1</v>
      </c>
      <c r="D532">
        <v>7</v>
      </c>
      <c r="E532" s="2" t="str">
        <f t="shared" si="8"/>
        <v/>
      </c>
    </row>
    <row r="533" spans="1:5" x14ac:dyDescent="0.25">
      <c r="A533" s="138">
        <v>117025</v>
      </c>
      <c r="B533">
        <v>29</v>
      </c>
      <c r="C533">
        <v>1</v>
      </c>
      <c r="D533">
        <v>7</v>
      </c>
      <c r="E533" s="2" t="str">
        <f t="shared" si="8"/>
        <v/>
      </c>
    </row>
    <row r="534" spans="1:5" x14ac:dyDescent="0.25">
      <c r="A534" s="138">
        <v>117026</v>
      </c>
      <c r="B534">
        <v>29</v>
      </c>
      <c r="C534">
        <v>1</v>
      </c>
      <c r="D534">
        <v>7</v>
      </c>
      <c r="E534" s="2" t="str">
        <f t="shared" si="8"/>
        <v/>
      </c>
    </row>
    <row r="535" spans="1:5" x14ac:dyDescent="0.25">
      <c r="A535" s="138">
        <v>117027</v>
      </c>
      <c r="B535">
        <v>20</v>
      </c>
      <c r="C535">
        <v>1</v>
      </c>
      <c r="D535">
        <v>7</v>
      </c>
      <c r="E535" s="2" t="str">
        <f t="shared" si="8"/>
        <v/>
      </c>
    </row>
    <row r="536" spans="1:5" x14ac:dyDescent="0.25">
      <c r="A536" s="138">
        <v>117028</v>
      </c>
      <c r="B536">
        <v>20</v>
      </c>
      <c r="C536">
        <v>1</v>
      </c>
      <c r="D536">
        <v>7</v>
      </c>
      <c r="E536" s="2" t="str">
        <f t="shared" si="8"/>
        <v/>
      </c>
    </row>
    <row r="537" spans="1:5" x14ac:dyDescent="0.25">
      <c r="A537" s="138">
        <v>117029</v>
      </c>
      <c r="B537">
        <v>29</v>
      </c>
      <c r="C537">
        <v>1</v>
      </c>
      <c r="D537">
        <v>7</v>
      </c>
      <c r="E537" s="2" t="str">
        <f t="shared" si="8"/>
        <v/>
      </c>
    </row>
    <row r="538" spans="1:5" x14ac:dyDescent="0.25">
      <c r="A538" s="138">
        <v>117030</v>
      </c>
      <c r="B538">
        <v>29</v>
      </c>
      <c r="C538">
        <v>1</v>
      </c>
      <c r="D538">
        <v>7</v>
      </c>
      <c r="E538" s="2" t="str">
        <f t="shared" si="8"/>
        <v/>
      </c>
    </row>
    <row r="539" spans="1:5" x14ac:dyDescent="0.25">
      <c r="A539" s="138">
        <v>117031</v>
      </c>
      <c r="B539">
        <v>29</v>
      </c>
      <c r="C539">
        <v>1</v>
      </c>
      <c r="D539">
        <v>7</v>
      </c>
      <c r="E539" s="2" t="str">
        <f t="shared" si="8"/>
        <v/>
      </c>
    </row>
    <row r="540" spans="1:5" x14ac:dyDescent="0.25">
      <c r="A540" s="138">
        <v>117032</v>
      </c>
      <c r="B540">
        <v>29</v>
      </c>
      <c r="C540">
        <v>1</v>
      </c>
      <c r="D540">
        <v>7</v>
      </c>
      <c r="E540" s="2" t="str">
        <f t="shared" si="8"/>
        <v/>
      </c>
    </row>
    <row r="541" spans="1:5" x14ac:dyDescent="0.25">
      <c r="A541" s="138">
        <v>117033</v>
      </c>
      <c r="B541">
        <v>29</v>
      </c>
      <c r="C541">
        <v>1</v>
      </c>
      <c r="D541">
        <v>7</v>
      </c>
      <c r="E541" s="2" t="str">
        <f t="shared" si="8"/>
        <v/>
      </c>
    </row>
    <row r="542" spans="1:5" x14ac:dyDescent="0.25">
      <c r="A542" s="138">
        <v>117034</v>
      </c>
      <c r="B542">
        <v>28</v>
      </c>
      <c r="C542">
        <v>1</v>
      </c>
      <c r="D542">
        <v>7</v>
      </c>
      <c r="E542" s="2" t="str">
        <f t="shared" si="8"/>
        <v/>
      </c>
    </row>
    <row r="543" spans="1:5" x14ac:dyDescent="0.25">
      <c r="A543" s="138">
        <v>117035</v>
      </c>
      <c r="B543">
        <v>29</v>
      </c>
      <c r="C543">
        <v>1</v>
      </c>
      <c r="D543">
        <v>7</v>
      </c>
      <c r="E543" s="2" t="str">
        <f t="shared" si="8"/>
        <v/>
      </c>
    </row>
    <row r="544" spans="1:5" x14ac:dyDescent="0.25">
      <c r="A544" s="138">
        <v>117036</v>
      </c>
      <c r="B544">
        <v>29</v>
      </c>
      <c r="C544">
        <v>1</v>
      </c>
      <c r="D544">
        <v>7</v>
      </c>
      <c r="E544" s="2" t="str">
        <f t="shared" si="8"/>
        <v/>
      </c>
    </row>
    <row r="545" spans="1:5" x14ac:dyDescent="0.25">
      <c r="A545" s="138">
        <v>117037</v>
      </c>
      <c r="B545">
        <v>29</v>
      </c>
      <c r="C545">
        <v>1</v>
      </c>
      <c r="D545">
        <v>7</v>
      </c>
      <c r="E545" s="2" t="str">
        <f t="shared" si="8"/>
        <v/>
      </c>
    </row>
    <row r="546" spans="1:5" x14ac:dyDescent="0.25">
      <c r="A546" s="138">
        <v>117038</v>
      </c>
      <c r="B546">
        <v>21</v>
      </c>
      <c r="C546">
        <v>1</v>
      </c>
      <c r="D546">
        <v>7</v>
      </c>
      <c r="E546" s="2" t="str">
        <f t="shared" si="8"/>
        <v/>
      </c>
    </row>
    <row r="547" spans="1:5" x14ac:dyDescent="0.25">
      <c r="A547" s="138">
        <v>117039</v>
      </c>
      <c r="B547">
        <v>29</v>
      </c>
      <c r="C547">
        <v>1</v>
      </c>
      <c r="D547">
        <v>7</v>
      </c>
      <c r="E547" s="2" t="str">
        <f t="shared" si="8"/>
        <v/>
      </c>
    </row>
    <row r="548" spans="1:5" x14ac:dyDescent="0.25">
      <c r="A548" s="138">
        <v>117040</v>
      </c>
      <c r="B548">
        <v>29</v>
      </c>
      <c r="C548">
        <v>1</v>
      </c>
      <c r="D548">
        <v>7</v>
      </c>
      <c r="E548" s="2" t="str">
        <f t="shared" si="8"/>
        <v/>
      </c>
    </row>
    <row r="549" spans="1:5" x14ac:dyDescent="0.25">
      <c r="A549" s="138">
        <v>117041</v>
      </c>
      <c r="B549">
        <v>29</v>
      </c>
      <c r="C549">
        <v>1</v>
      </c>
      <c r="D549">
        <v>7</v>
      </c>
      <c r="E549" s="2" t="str">
        <f t="shared" si="8"/>
        <v/>
      </c>
    </row>
    <row r="550" spans="1:5" x14ac:dyDescent="0.25">
      <c r="A550" s="138">
        <v>117042</v>
      </c>
      <c r="B550">
        <v>29</v>
      </c>
      <c r="C550">
        <v>1</v>
      </c>
      <c r="D550">
        <v>7</v>
      </c>
      <c r="E550" s="2" t="str">
        <f t="shared" si="8"/>
        <v/>
      </c>
    </row>
    <row r="551" spans="1:5" x14ac:dyDescent="0.25">
      <c r="A551" s="138">
        <v>117043</v>
      </c>
      <c r="B551">
        <v>29</v>
      </c>
      <c r="C551">
        <v>1</v>
      </c>
      <c r="D551">
        <v>7</v>
      </c>
      <c r="E551" s="2" t="str">
        <f t="shared" si="8"/>
        <v/>
      </c>
    </row>
    <row r="552" spans="1:5" x14ac:dyDescent="0.25">
      <c r="A552" s="138">
        <v>117044</v>
      </c>
      <c r="B552">
        <v>29</v>
      </c>
      <c r="C552">
        <v>1</v>
      </c>
      <c r="D552">
        <v>7</v>
      </c>
      <c r="E552" s="2" t="str">
        <f t="shared" si="8"/>
        <v/>
      </c>
    </row>
    <row r="553" spans="1:5" x14ac:dyDescent="0.25">
      <c r="A553" s="138">
        <v>117045</v>
      </c>
      <c r="B553">
        <v>29</v>
      </c>
      <c r="C553">
        <v>1</v>
      </c>
      <c r="D553">
        <v>7</v>
      </c>
      <c r="E553" s="2" t="str">
        <f t="shared" si="8"/>
        <v/>
      </c>
    </row>
    <row r="554" spans="1:5" x14ac:dyDescent="0.25">
      <c r="A554" s="138">
        <v>117099</v>
      </c>
      <c r="B554">
        <v>29</v>
      </c>
      <c r="C554">
        <v>1</v>
      </c>
      <c r="D554">
        <v>7</v>
      </c>
      <c r="E554" s="2" t="str">
        <f t="shared" si="8"/>
        <v/>
      </c>
    </row>
    <row r="555" spans="1:5" x14ac:dyDescent="0.25">
      <c r="A555" s="138">
        <v>117100</v>
      </c>
      <c r="B555">
        <v>23</v>
      </c>
      <c r="C555">
        <v>1</v>
      </c>
      <c r="D555">
        <v>7</v>
      </c>
      <c r="E555" s="2" t="str">
        <f t="shared" si="8"/>
        <v/>
      </c>
    </row>
    <row r="556" spans="1:5" x14ac:dyDescent="0.25">
      <c r="A556" s="138">
        <v>117101</v>
      </c>
      <c r="B556">
        <v>24</v>
      </c>
      <c r="C556">
        <v>1</v>
      </c>
      <c r="D556">
        <v>7</v>
      </c>
      <c r="E556" s="2" t="str">
        <f t="shared" si="8"/>
        <v/>
      </c>
    </row>
    <row r="557" spans="1:5" x14ac:dyDescent="0.25">
      <c r="A557" s="138">
        <v>117102</v>
      </c>
      <c r="B557">
        <v>24</v>
      </c>
      <c r="C557">
        <v>1</v>
      </c>
      <c r="D557">
        <v>7</v>
      </c>
      <c r="E557" s="2" t="str">
        <f t="shared" si="8"/>
        <v/>
      </c>
    </row>
    <row r="558" spans="1:5" x14ac:dyDescent="0.25">
      <c r="A558" s="138">
        <v>117103</v>
      </c>
      <c r="B558">
        <v>22</v>
      </c>
      <c r="C558">
        <v>1</v>
      </c>
      <c r="D558">
        <v>7</v>
      </c>
      <c r="E558" s="2" t="str">
        <f t="shared" si="8"/>
        <v/>
      </c>
    </row>
    <row r="559" spans="1:5" x14ac:dyDescent="0.25">
      <c r="A559" s="138">
        <v>117104</v>
      </c>
      <c r="B559">
        <v>22</v>
      </c>
      <c r="C559">
        <v>1</v>
      </c>
      <c r="D559">
        <v>7</v>
      </c>
      <c r="E559" s="2" t="str">
        <f t="shared" si="8"/>
        <v/>
      </c>
    </row>
    <row r="560" spans="1:5" x14ac:dyDescent="0.25">
      <c r="A560" s="138">
        <v>117105</v>
      </c>
      <c r="B560">
        <v>23</v>
      </c>
      <c r="C560">
        <v>1</v>
      </c>
      <c r="D560">
        <v>7</v>
      </c>
      <c r="E560" s="2" t="str">
        <f t="shared" si="8"/>
        <v/>
      </c>
    </row>
    <row r="561" spans="1:5" x14ac:dyDescent="0.25">
      <c r="A561" s="138">
        <v>117106</v>
      </c>
      <c r="B561">
        <v>23</v>
      </c>
      <c r="C561">
        <v>1</v>
      </c>
      <c r="D561">
        <v>7</v>
      </c>
      <c r="E561" s="2" t="str">
        <f t="shared" si="8"/>
        <v/>
      </c>
    </row>
    <row r="562" spans="1:5" x14ac:dyDescent="0.25">
      <c r="A562" s="138">
        <v>117107</v>
      </c>
      <c r="B562">
        <v>44</v>
      </c>
      <c r="C562">
        <v>1</v>
      </c>
      <c r="D562">
        <v>7</v>
      </c>
      <c r="E562" s="2" t="str">
        <f t="shared" si="8"/>
        <v/>
      </c>
    </row>
    <row r="563" spans="1:5" x14ac:dyDescent="0.25">
      <c r="A563" s="138">
        <v>117199</v>
      </c>
      <c r="B563">
        <v>23</v>
      </c>
      <c r="C563">
        <v>1</v>
      </c>
      <c r="D563">
        <v>7</v>
      </c>
      <c r="E563" s="2" t="str">
        <f t="shared" si="8"/>
        <v/>
      </c>
    </row>
    <row r="564" spans="1:5" x14ac:dyDescent="0.25">
      <c r="A564" s="138">
        <v>117200</v>
      </c>
      <c r="B564">
        <v>18</v>
      </c>
      <c r="C564">
        <v>1</v>
      </c>
      <c r="D564">
        <v>7</v>
      </c>
      <c r="E564" s="2" t="str">
        <f t="shared" si="8"/>
        <v/>
      </c>
    </row>
    <row r="565" spans="1:5" x14ac:dyDescent="0.25">
      <c r="A565" s="138">
        <v>117201</v>
      </c>
      <c r="B565">
        <v>18</v>
      </c>
      <c r="C565">
        <v>1</v>
      </c>
      <c r="D565">
        <v>7</v>
      </c>
      <c r="E565" s="2" t="str">
        <f t="shared" si="8"/>
        <v/>
      </c>
    </row>
    <row r="566" spans="1:5" x14ac:dyDescent="0.25">
      <c r="A566" s="138">
        <v>117202</v>
      </c>
      <c r="B566">
        <v>18</v>
      </c>
      <c r="C566">
        <v>1</v>
      </c>
      <c r="D566">
        <v>7</v>
      </c>
      <c r="E566" s="2" t="str">
        <f t="shared" si="8"/>
        <v/>
      </c>
    </row>
    <row r="567" spans="1:5" x14ac:dyDescent="0.25">
      <c r="A567" s="138">
        <v>117203</v>
      </c>
      <c r="B567">
        <v>18</v>
      </c>
      <c r="C567">
        <v>1</v>
      </c>
      <c r="D567">
        <v>7</v>
      </c>
      <c r="E567" s="2" t="str">
        <f t="shared" si="8"/>
        <v/>
      </c>
    </row>
    <row r="568" spans="1:5" x14ac:dyDescent="0.25">
      <c r="A568" s="138">
        <v>117204</v>
      </c>
      <c r="B568">
        <v>16</v>
      </c>
      <c r="C568">
        <v>1</v>
      </c>
      <c r="D568">
        <v>7</v>
      </c>
      <c r="E568" s="2" t="str">
        <f t="shared" si="8"/>
        <v/>
      </c>
    </row>
    <row r="569" spans="1:5" x14ac:dyDescent="0.25">
      <c r="A569" s="138">
        <v>117205</v>
      </c>
      <c r="B569">
        <v>16</v>
      </c>
      <c r="C569">
        <v>1</v>
      </c>
      <c r="D569">
        <v>7</v>
      </c>
      <c r="E569" s="2" t="str">
        <f t="shared" si="8"/>
        <v/>
      </c>
    </row>
    <row r="570" spans="1:5" x14ac:dyDescent="0.25">
      <c r="A570" s="138">
        <v>117206</v>
      </c>
      <c r="B570">
        <v>16</v>
      </c>
      <c r="C570">
        <v>1</v>
      </c>
      <c r="D570">
        <v>7</v>
      </c>
      <c r="E570" s="2" t="str">
        <f t="shared" si="8"/>
        <v/>
      </c>
    </row>
    <row r="571" spans="1:5" x14ac:dyDescent="0.25">
      <c r="A571" s="138">
        <v>117207</v>
      </c>
      <c r="B571">
        <v>16</v>
      </c>
      <c r="C571">
        <v>1</v>
      </c>
      <c r="D571">
        <v>7</v>
      </c>
      <c r="E571" s="2" t="str">
        <f t="shared" si="8"/>
        <v/>
      </c>
    </row>
    <row r="572" spans="1:5" x14ac:dyDescent="0.25">
      <c r="A572" s="138">
        <v>117208</v>
      </c>
      <c r="B572">
        <v>16</v>
      </c>
      <c r="C572">
        <v>1</v>
      </c>
      <c r="D572">
        <v>7</v>
      </c>
      <c r="E572" s="2" t="str">
        <f t="shared" si="8"/>
        <v/>
      </c>
    </row>
    <row r="573" spans="1:5" x14ac:dyDescent="0.25">
      <c r="A573" s="138">
        <v>117209</v>
      </c>
      <c r="B573">
        <v>16</v>
      </c>
      <c r="C573">
        <v>1</v>
      </c>
      <c r="D573">
        <v>7</v>
      </c>
      <c r="E573" s="2" t="str">
        <f t="shared" si="8"/>
        <v/>
      </c>
    </row>
    <row r="574" spans="1:5" x14ac:dyDescent="0.25">
      <c r="A574" s="138">
        <v>117210</v>
      </c>
      <c r="B574">
        <v>16</v>
      </c>
      <c r="C574">
        <v>1</v>
      </c>
      <c r="D574">
        <v>7</v>
      </c>
      <c r="E574" s="2" t="str">
        <f t="shared" si="8"/>
        <v/>
      </c>
    </row>
    <row r="575" spans="1:5" x14ac:dyDescent="0.25">
      <c r="A575" s="138">
        <v>117211</v>
      </c>
      <c r="B575">
        <v>16</v>
      </c>
      <c r="C575">
        <v>1</v>
      </c>
      <c r="D575">
        <v>7</v>
      </c>
      <c r="E575" s="2" t="str">
        <f t="shared" si="8"/>
        <v/>
      </c>
    </row>
    <row r="576" spans="1:5" x14ac:dyDescent="0.25">
      <c r="A576" s="138">
        <v>117212</v>
      </c>
      <c r="B576">
        <v>16</v>
      </c>
      <c r="C576">
        <v>1</v>
      </c>
      <c r="D576">
        <v>7</v>
      </c>
      <c r="E576" s="2" t="str">
        <f t="shared" si="8"/>
        <v/>
      </c>
    </row>
    <row r="577" spans="1:5" x14ac:dyDescent="0.25">
      <c r="A577" s="138">
        <v>117213</v>
      </c>
      <c r="B577">
        <v>16</v>
      </c>
      <c r="C577">
        <v>1</v>
      </c>
      <c r="D577">
        <v>7</v>
      </c>
      <c r="E577" s="2" t="str">
        <f t="shared" si="8"/>
        <v/>
      </c>
    </row>
    <row r="578" spans="1:5" x14ac:dyDescent="0.25">
      <c r="A578" s="138">
        <v>117214</v>
      </c>
      <c r="B578">
        <v>17</v>
      </c>
      <c r="C578">
        <v>1</v>
      </c>
      <c r="D578">
        <v>7</v>
      </c>
      <c r="E578" s="2" t="str">
        <f t="shared" si="8"/>
        <v/>
      </c>
    </row>
    <row r="579" spans="1:5" x14ac:dyDescent="0.25">
      <c r="A579" s="138">
        <v>117299</v>
      </c>
      <c r="B579">
        <v>18</v>
      </c>
      <c r="C579">
        <v>1</v>
      </c>
      <c r="D579">
        <v>7</v>
      </c>
      <c r="E579" s="2" t="str">
        <f t="shared" ref="E579:E642" si="9">IF(B579=B578,IF(C578=C579,"",1),"")</f>
        <v/>
      </c>
    </row>
    <row r="580" spans="1:5" x14ac:dyDescent="0.25">
      <c r="A580" s="138">
        <v>117300</v>
      </c>
      <c r="B580">
        <v>29</v>
      </c>
      <c r="C580">
        <v>1</v>
      </c>
      <c r="D580">
        <v>7</v>
      </c>
      <c r="E580" s="2" t="str">
        <f t="shared" si="9"/>
        <v/>
      </c>
    </row>
    <row r="581" spans="1:5" x14ac:dyDescent="0.25">
      <c r="A581" s="138">
        <v>117301</v>
      </c>
      <c r="B581">
        <v>29</v>
      </c>
      <c r="C581">
        <v>1</v>
      </c>
      <c r="D581">
        <v>7</v>
      </c>
      <c r="E581" s="2" t="str">
        <f t="shared" si="9"/>
        <v/>
      </c>
    </row>
    <row r="582" spans="1:5" x14ac:dyDescent="0.25">
      <c r="A582" s="138">
        <v>117302</v>
      </c>
      <c r="B582">
        <v>29</v>
      </c>
      <c r="C582">
        <v>1</v>
      </c>
      <c r="D582">
        <v>7</v>
      </c>
      <c r="E582" s="2" t="str">
        <f t="shared" si="9"/>
        <v/>
      </c>
    </row>
    <row r="583" spans="1:5" x14ac:dyDescent="0.25">
      <c r="A583" s="138">
        <v>117303</v>
      </c>
      <c r="B583">
        <v>24</v>
      </c>
      <c r="C583">
        <v>1</v>
      </c>
      <c r="D583">
        <v>7</v>
      </c>
      <c r="E583" s="2" t="str">
        <f t="shared" si="9"/>
        <v/>
      </c>
    </row>
    <row r="584" spans="1:5" x14ac:dyDescent="0.25">
      <c r="A584" s="138">
        <v>117304</v>
      </c>
      <c r="B584">
        <v>24</v>
      </c>
      <c r="C584">
        <v>1</v>
      </c>
      <c r="D584">
        <v>7</v>
      </c>
      <c r="E584" s="2" t="str">
        <f t="shared" si="9"/>
        <v/>
      </c>
    </row>
    <row r="585" spans="1:5" x14ac:dyDescent="0.25">
      <c r="A585" s="138">
        <v>117305</v>
      </c>
      <c r="B585">
        <v>26</v>
      </c>
      <c r="C585">
        <v>1</v>
      </c>
      <c r="D585">
        <v>7</v>
      </c>
      <c r="E585" s="2" t="str">
        <f t="shared" si="9"/>
        <v/>
      </c>
    </row>
    <row r="586" spans="1:5" x14ac:dyDescent="0.25">
      <c r="A586" s="138">
        <v>117306</v>
      </c>
      <c r="B586">
        <v>29</v>
      </c>
      <c r="C586">
        <v>1</v>
      </c>
      <c r="D586">
        <v>7</v>
      </c>
      <c r="E586" s="2" t="str">
        <f t="shared" si="9"/>
        <v/>
      </c>
    </row>
    <row r="587" spans="1:5" x14ac:dyDescent="0.25">
      <c r="A587" s="138">
        <v>117307</v>
      </c>
      <c r="B587">
        <v>29</v>
      </c>
      <c r="C587">
        <v>1</v>
      </c>
      <c r="D587">
        <v>7</v>
      </c>
      <c r="E587" s="2" t="str">
        <f t="shared" si="9"/>
        <v/>
      </c>
    </row>
    <row r="588" spans="1:5" x14ac:dyDescent="0.25">
      <c r="A588" s="138">
        <v>117308</v>
      </c>
      <c r="B588">
        <v>29</v>
      </c>
      <c r="C588">
        <v>1</v>
      </c>
      <c r="D588">
        <v>7</v>
      </c>
      <c r="E588" s="2" t="str">
        <f t="shared" si="9"/>
        <v/>
      </c>
    </row>
    <row r="589" spans="1:5" x14ac:dyDescent="0.25">
      <c r="A589" s="138">
        <v>117309</v>
      </c>
      <c r="B589">
        <v>22</v>
      </c>
      <c r="C589">
        <v>1</v>
      </c>
      <c r="D589">
        <v>7</v>
      </c>
      <c r="E589" s="2" t="str">
        <f t="shared" si="9"/>
        <v/>
      </c>
    </row>
    <row r="590" spans="1:5" x14ac:dyDescent="0.25">
      <c r="A590" s="138">
        <v>117310</v>
      </c>
      <c r="B590">
        <v>22</v>
      </c>
      <c r="C590">
        <v>1</v>
      </c>
      <c r="D590">
        <v>7</v>
      </c>
      <c r="E590" s="2" t="str">
        <f t="shared" si="9"/>
        <v/>
      </c>
    </row>
    <row r="591" spans="1:5" x14ac:dyDescent="0.25">
      <c r="A591" s="138">
        <v>117311</v>
      </c>
      <c r="B591">
        <v>29</v>
      </c>
      <c r="C591">
        <v>1</v>
      </c>
      <c r="D591">
        <v>7</v>
      </c>
      <c r="E591" s="2" t="str">
        <f t="shared" si="9"/>
        <v/>
      </c>
    </row>
    <row r="592" spans="1:5" x14ac:dyDescent="0.25">
      <c r="A592" s="138">
        <v>117312</v>
      </c>
      <c r="B592">
        <v>29</v>
      </c>
      <c r="C592">
        <v>1</v>
      </c>
      <c r="D592">
        <v>7</v>
      </c>
      <c r="E592" s="2" t="str">
        <f t="shared" si="9"/>
        <v/>
      </c>
    </row>
    <row r="593" spans="1:5" x14ac:dyDescent="0.25">
      <c r="A593" s="138">
        <v>117313</v>
      </c>
      <c r="B593">
        <v>23</v>
      </c>
      <c r="C593">
        <v>1</v>
      </c>
      <c r="D593">
        <v>7</v>
      </c>
      <c r="E593" s="2" t="str">
        <f t="shared" si="9"/>
        <v/>
      </c>
    </row>
    <row r="594" spans="1:5" x14ac:dyDescent="0.25">
      <c r="A594" s="138">
        <v>117314</v>
      </c>
      <c r="B594">
        <v>23</v>
      </c>
      <c r="C594">
        <v>1</v>
      </c>
      <c r="D594">
        <v>7</v>
      </c>
      <c r="E594" s="2" t="str">
        <f t="shared" si="9"/>
        <v/>
      </c>
    </row>
    <row r="595" spans="1:5" x14ac:dyDescent="0.25">
      <c r="A595" s="138">
        <v>117315</v>
      </c>
      <c r="B595">
        <v>102</v>
      </c>
      <c r="C595">
        <v>1</v>
      </c>
      <c r="D595">
        <v>7</v>
      </c>
      <c r="E595" s="2" t="str">
        <f t="shared" si="9"/>
        <v/>
      </c>
    </row>
    <row r="596" spans="1:5" x14ac:dyDescent="0.25">
      <c r="A596" s="138">
        <v>117316</v>
      </c>
      <c r="B596">
        <v>102</v>
      </c>
      <c r="C596">
        <v>1</v>
      </c>
      <c r="D596">
        <v>7</v>
      </c>
      <c r="E596" s="2" t="str">
        <f t="shared" si="9"/>
        <v/>
      </c>
    </row>
    <row r="597" spans="1:5" x14ac:dyDescent="0.25">
      <c r="A597" s="138">
        <v>117317</v>
      </c>
      <c r="B597">
        <v>102</v>
      </c>
      <c r="C597">
        <v>1</v>
      </c>
      <c r="D597">
        <v>7</v>
      </c>
      <c r="E597" s="2" t="str">
        <f t="shared" si="9"/>
        <v/>
      </c>
    </row>
    <row r="598" spans="1:5" x14ac:dyDescent="0.25">
      <c r="A598" s="138">
        <v>117318</v>
      </c>
      <c r="B598">
        <v>29</v>
      </c>
      <c r="C598">
        <v>1</v>
      </c>
      <c r="D598">
        <v>7</v>
      </c>
      <c r="E598" s="2" t="str">
        <f t="shared" si="9"/>
        <v/>
      </c>
    </row>
    <row r="599" spans="1:5" x14ac:dyDescent="0.25">
      <c r="A599" s="138">
        <v>117319</v>
      </c>
      <c r="B599">
        <v>29</v>
      </c>
      <c r="C599">
        <v>1</v>
      </c>
      <c r="D599">
        <v>7</v>
      </c>
      <c r="E599" s="2" t="str">
        <f t="shared" si="9"/>
        <v/>
      </c>
    </row>
    <row r="600" spans="1:5" x14ac:dyDescent="0.25">
      <c r="A600" s="138">
        <v>117320</v>
      </c>
      <c r="B600">
        <v>25</v>
      </c>
      <c r="C600">
        <v>1</v>
      </c>
      <c r="D600">
        <v>7</v>
      </c>
      <c r="E600" s="2" t="str">
        <f t="shared" si="9"/>
        <v/>
      </c>
    </row>
    <row r="601" spans="1:5" x14ac:dyDescent="0.25">
      <c r="A601" s="138">
        <v>117321</v>
      </c>
      <c r="B601">
        <v>29</v>
      </c>
      <c r="C601">
        <v>1</v>
      </c>
      <c r="D601">
        <v>7</v>
      </c>
      <c r="E601" s="2" t="str">
        <f t="shared" si="9"/>
        <v/>
      </c>
    </row>
    <row r="602" spans="1:5" x14ac:dyDescent="0.25">
      <c r="A602" s="138">
        <v>117322</v>
      </c>
      <c r="B602">
        <v>22</v>
      </c>
      <c r="C602">
        <v>1</v>
      </c>
      <c r="D602">
        <v>7</v>
      </c>
      <c r="E602" s="2" t="str">
        <f t="shared" si="9"/>
        <v/>
      </c>
    </row>
    <row r="603" spans="1:5" x14ac:dyDescent="0.25">
      <c r="A603" s="138">
        <v>117323</v>
      </c>
      <c r="B603">
        <v>25</v>
      </c>
      <c r="C603">
        <v>1</v>
      </c>
      <c r="D603">
        <v>7</v>
      </c>
      <c r="E603" s="2" t="str">
        <f t="shared" si="9"/>
        <v/>
      </c>
    </row>
    <row r="604" spans="1:5" x14ac:dyDescent="0.25">
      <c r="A604" s="138">
        <v>117324</v>
      </c>
      <c r="B604">
        <v>29</v>
      </c>
      <c r="C604">
        <v>1</v>
      </c>
      <c r="D604">
        <v>7</v>
      </c>
      <c r="E604" s="2" t="str">
        <f t="shared" si="9"/>
        <v/>
      </c>
    </row>
    <row r="605" spans="1:5" x14ac:dyDescent="0.25">
      <c r="A605" s="138">
        <v>117325</v>
      </c>
      <c r="B605">
        <v>29</v>
      </c>
      <c r="C605">
        <v>1</v>
      </c>
      <c r="D605">
        <v>7</v>
      </c>
      <c r="E605" s="2" t="str">
        <f t="shared" si="9"/>
        <v/>
      </c>
    </row>
    <row r="606" spans="1:5" x14ac:dyDescent="0.25">
      <c r="A606" s="138">
        <v>117326</v>
      </c>
      <c r="B606">
        <v>43</v>
      </c>
      <c r="C606">
        <v>1</v>
      </c>
      <c r="D606">
        <v>7</v>
      </c>
      <c r="E606" s="2" t="str">
        <f t="shared" si="9"/>
        <v/>
      </c>
    </row>
    <row r="607" spans="1:5" x14ac:dyDescent="0.25">
      <c r="A607" s="138">
        <v>117327</v>
      </c>
      <c r="B607">
        <v>29</v>
      </c>
      <c r="C607">
        <v>1</v>
      </c>
      <c r="D607">
        <v>7</v>
      </c>
      <c r="E607" s="2" t="str">
        <f t="shared" si="9"/>
        <v/>
      </c>
    </row>
    <row r="608" spans="1:5" x14ac:dyDescent="0.25">
      <c r="A608" s="138">
        <v>117328</v>
      </c>
      <c r="B608">
        <v>29</v>
      </c>
      <c r="C608">
        <v>1</v>
      </c>
      <c r="D608">
        <v>7</v>
      </c>
      <c r="E608" s="2" t="str">
        <f t="shared" si="9"/>
        <v/>
      </c>
    </row>
    <row r="609" spans="1:5" x14ac:dyDescent="0.25">
      <c r="A609" s="138">
        <v>117329</v>
      </c>
      <c r="B609">
        <v>29</v>
      </c>
      <c r="C609">
        <v>1</v>
      </c>
      <c r="D609">
        <v>7</v>
      </c>
      <c r="E609" s="2" t="str">
        <f t="shared" si="9"/>
        <v/>
      </c>
    </row>
    <row r="610" spans="1:5" x14ac:dyDescent="0.25">
      <c r="A610" s="138">
        <v>117330</v>
      </c>
      <c r="B610">
        <v>29</v>
      </c>
      <c r="C610">
        <v>1</v>
      </c>
      <c r="D610">
        <v>7</v>
      </c>
      <c r="E610" s="2" t="str">
        <f t="shared" si="9"/>
        <v/>
      </c>
    </row>
    <row r="611" spans="1:5" x14ac:dyDescent="0.25">
      <c r="A611" s="138">
        <v>117331</v>
      </c>
      <c r="B611">
        <v>29</v>
      </c>
      <c r="C611">
        <v>1</v>
      </c>
      <c r="D611">
        <v>7</v>
      </c>
      <c r="E611" s="2" t="str">
        <f t="shared" si="9"/>
        <v/>
      </c>
    </row>
    <row r="612" spans="1:5" x14ac:dyDescent="0.25">
      <c r="A612" s="138">
        <v>117397</v>
      </c>
      <c r="B612">
        <v>29</v>
      </c>
      <c r="C612">
        <v>1</v>
      </c>
      <c r="D612">
        <v>7</v>
      </c>
      <c r="E612" s="2" t="str">
        <f t="shared" si="9"/>
        <v/>
      </c>
    </row>
    <row r="613" spans="1:5" x14ac:dyDescent="0.25">
      <c r="A613" s="138">
        <v>117398</v>
      </c>
      <c r="B613">
        <v>29</v>
      </c>
      <c r="C613">
        <v>1</v>
      </c>
      <c r="D613">
        <v>7</v>
      </c>
      <c r="E613" s="2" t="str">
        <f t="shared" si="9"/>
        <v/>
      </c>
    </row>
    <row r="614" spans="1:5" x14ac:dyDescent="0.25">
      <c r="A614" s="138">
        <v>117399</v>
      </c>
      <c r="B614">
        <v>29</v>
      </c>
      <c r="C614">
        <v>1</v>
      </c>
      <c r="D614">
        <v>7</v>
      </c>
      <c r="E614" s="2" t="str">
        <f t="shared" si="9"/>
        <v/>
      </c>
    </row>
    <row r="615" spans="1:5" x14ac:dyDescent="0.25">
      <c r="A615" s="138">
        <v>118000</v>
      </c>
      <c r="B615">
        <v>106</v>
      </c>
      <c r="C615">
        <v>1</v>
      </c>
      <c r="D615">
        <v>8</v>
      </c>
      <c r="E615" s="2" t="str">
        <f t="shared" si="9"/>
        <v/>
      </c>
    </row>
    <row r="616" spans="1:5" x14ac:dyDescent="0.25">
      <c r="A616" s="138">
        <v>118001</v>
      </c>
      <c r="B616">
        <v>106</v>
      </c>
      <c r="C616">
        <v>1</v>
      </c>
      <c r="D616">
        <v>8</v>
      </c>
      <c r="E616" s="2" t="str">
        <f t="shared" si="9"/>
        <v/>
      </c>
    </row>
    <row r="617" spans="1:5" x14ac:dyDescent="0.25">
      <c r="A617" s="138">
        <v>118002</v>
      </c>
      <c r="B617">
        <v>106</v>
      </c>
      <c r="C617">
        <v>1</v>
      </c>
      <c r="D617">
        <v>8</v>
      </c>
      <c r="E617" s="2" t="str">
        <f t="shared" si="9"/>
        <v/>
      </c>
    </row>
    <row r="618" spans="1:5" x14ac:dyDescent="0.25">
      <c r="A618" s="138">
        <v>118003</v>
      </c>
      <c r="B618">
        <v>106</v>
      </c>
      <c r="C618">
        <v>1</v>
      </c>
      <c r="D618">
        <v>8</v>
      </c>
      <c r="E618" s="2" t="str">
        <f t="shared" si="9"/>
        <v/>
      </c>
    </row>
    <row r="619" spans="1:5" x14ac:dyDescent="0.25">
      <c r="A619" s="138">
        <v>118004</v>
      </c>
      <c r="B619">
        <v>106</v>
      </c>
      <c r="C619">
        <v>1</v>
      </c>
      <c r="D619">
        <v>8</v>
      </c>
      <c r="E619" s="2" t="str">
        <f t="shared" si="9"/>
        <v/>
      </c>
    </row>
    <row r="620" spans="1:5" x14ac:dyDescent="0.25">
      <c r="A620" s="138">
        <v>118005</v>
      </c>
      <c r="B620">
        <v>106</v>
      </c>
      <c r="C620">
        <v>1</v>
      </c>
      <c r="D620">
        <v>8</v>
      </c>
      <c r="E620" s="2" t="str">
        <f t="shared" si="9"/>
        <v/>
      </c>
    </row>
    <row r="621" spans="1:5" x14ac:dyDescent="0.25">
      <c r="A621" s="138">
        <v>118006</v>
      </c>
      <c r="B621">
        <v>106</v>
      </c>
      <c r="C621">
        <v>1</v>
      </c>
      <c r="D621">
        <v>8</v>
      </c>
      <c r="E621" s="2" t="str">
        <f t="shared" si="9"/>
        <v/>
      </c>
    </row>
    <row r="622" spans="1:5" x14ac:dyDescent="0.25">
      <c r="A622" s="138">
        <v>118007</v>
      </c>
      <c r="B622">
        <v>106</v>
      </c>
      <c r="C622">
        <v>1</v>
      </c>
      <c r="D622">
        <v>8</v>
      </c>
      <c r="E622" s="2" t="str">
        <f t="shared" si="9"/>
        <v/>
      </c>
    </row>
    <row r="623" spans="1:5" x14ac:dyDescent="0.25">
      <c r="A623" s="138">
        <v>118008</v>
      </c>
      <c r="B623">
        <v>106</v>
      </c>
      <c r="C623">
        <v>1</v>
      </c>
      <c r="D623">
        <v>8</v>
      </c>
      <c r="E623" s="2" t="str">
        <f t="shared" si="9"/>
        <v/>
      </c>
    </row>
    <row r="624" spans="1:5" x14ac:dyDescent="0.25">
      <c r="A624" s="138">
        <v>118009</v>
      </c>
      <c r="B624">
        <v>106</v>
      </c>
      <c r="C624">
        <v>1</v>
      </c>
      <c r="D624">
        <v>8</v>
      </c>
      <c r="E624" s="2" t="str">
        <f t="shared" si="9"/>
        <v/>
      </c>
    </row>
    <row r="625" spans="1:5" x14ac:dyDescent="0.25">
      <c r="A625" s="138">
        <v>118010</v>
      </c>
      <c r="B625">
        <v>106</v>
      </c>
      <c r="C625">
        <v>1</v>
      </c>
      <c r="D625">
        <v>8</v>
      </c>
      <c r="E625" s="2" t="str">
        <f t="shared" si="9"/>
        <v/>
      </c>
    </row>
    <row r="626" spans="1:5" x14ac:dyDescent="0.25">
      <c r="A626" s="138">
        <v>118099</v>
      </c>
      <c r="B626">
        <v>106</v>
      </c>
      <c r="C626">
        <v>1</v>
      </c>
      <c r="D626">
        <v>8</v>
      </c>
      <c r="E626" s="2" t="str">
        <f t="shared" si="9"/>
        <v/>
      </c>
    </row>
    <row r="627" spans="1:5" x14ac:dyDescent="0.25">
      <c r="A627" s="138">
        <v>118100</v>
      </c>
      <c r="B627">
        <v>106</v>
      </c>
      <c r="C627">
        <v>1</v>
      </c>
      <c r="D627">
        <v>8</v>
      </c>
      <c r="E627" s="2" t="str">
        <f t="shared" si="9"/>
        <v/>
      </c>
    </row>
    <row r="628" spans="1:5" x14ac:dyDescent="0.25">
      <c r="A628" s="138">
        <v>118101</v>
      </c>
      <c r="B628">
        <v>106</v>
      </c>
      <c r="C628">
        <v>1</v>
      </c>
      <c r="D628">
        <v>8</v>
      </c>
      <c r="E628" s="2" t="str">
        <f t="shared" si="9"/>
        <v/>
      </c>
    </row>
    <row r="629" spans="1:5" x14ac:dyDescent="0.25">
      <c r="A629" s="138">
        <v>118102</v>
      </c>
      <c r="B629">
        <v>106</v>
      </c>
      <c r="C629">
        <v>1</v>
      </c>
      <c r="D629">
        <v>8</v>
      </c>
      <c r="E629" s="2" t="str">
        <f t="shared" si="9"/>
        <v/>
      </c>
    </row>
    <row r="630" spans="1:5" x14ac:dyDescent="0.25">
      <c r="A630" s="138">
        <v>118103</v>
      </c>
      <c r="B630">
        <v>106</v>
      </c>
      <c r="C630">
        <v>1</v>
      </c>
      <c r="D630">
        <v>8</v>
      </c>
      <c r="E630" s="2" t="str">
        <f t="shared" si="9"/>
        <v/>
      </c>
    </row>
    <row r="631" spans="1:5" x14ac:dyDescent="0.25">
      <c r="A631" s="138">
        <v>118104</v>
      </c>
      <c r="B631">
        <v>106</v>
      </c>
      <c r="C631">
        <v>1</v>
      </c>
      <c r="D631">
        <v>8</v>
      </c>
      <c r="E631" s="2" t="str">
        <f t="shared" si="9"/>
        <v/>
      </c>
    </row>
    <row r="632" spans="1:5" x14ac:dyDescent="0.25">
      <c r="A632" s="138">
        <v>118105</v>
      </c>
      <c r="B632">
        <v>106</v>
      </c>
      <c r="C632">
        <v>1</v>
      </c>
      <c r="D632">
        <v>8</v>
      </c>
      <c r="E632" s="2" t="str">
        <f t="shared" si="9"/>
        <v/>
      </c>
    </row>
    <row r="633" spans="1:5" x14ac:dyDescent="0.25">
      <c r="A633" s="138">
        <v>118106</v>
      </c>
      <c r="B633">
        <v>106</v>
      </c>
      <c r="C633">
        <v>1</v>
      </c>
      <c r="D633">
        <v>8</v>
      </c>
      <c r="E633" s="2" t="str">
        <f t="shared" si="9"/>
        <v/>
      </c>
    </row>
    <row r="634" spans="1:5" x14ac:dyDescent="0.25">
      <c r="A634" s="138">
        <v>118107</v>
      </c>
      <c r="B634">
        <v>106</v>
      </c>
      <c r="C634">
        <v>1</v>
      </c>
      <c r="D634">
        <v>8</v>
      </c>
      <c r="E634" s="2" t="str">
        <f t="shared" si="9"/>
        <v/>
      </c>
    </row>
    <row r="635" spans="1:5" x14ac:dyDescent="0.25">
      <c r="A635" s="138">
        <v>118108</v>
      </c>
      <c r="B635">
        <v>106</v>
      </c>
      <c r="C635">
        <v>1</v>
      </c>
      <c r="D635">
        <v>8</v>
      </c>
      <c r="E635" s="2" t="str">
        <f t="shared" si="9"/>
        <v/>
      </c>
    </row>
    <row r="636" spans="1:5" x14ac:dyDescent="0.25">
      <c r="A636" s="138">
        <v>118109</v>
      </c>
      <c r="B636">
        <v>106</v>
      </c>
      <c r="C636">
        <v>1</v>
      </c>
      <c r="D636">
        <v>8</v>
      </c>
      <c r="E636" s="2" t="str">
        <f t="shared" si="9"/>
        <v/>
      </c>
    </row>
    <row r="637" spans="1:5" x14ac:dyDescent="0.25">
      <c r="A637" s="138">
        <v>118110</v>
      </c>
      <c r="B637">
        <v>106</v>
      </c>
      <c r="C637">
        <v>1</v>
      </c>
      <c r="D637">
        <v>8</v>
      </c>
      <c r="E637" s="2" t="str">
        <f t="shared" si="9"/>
        <v/>
      </c>
    </row>
    <row r="638" spans="1:5" x14ac:dyDescent="0.25">
      <c r="A638" s="138">
        <v>118111</v>
      </c>
      <c r="B638">
        <v>106</v>
      </c>
      <c r="C638">
        <v>1</v>
      </c>
      <c r="D638">
        <v>8</v>
      </c>
      <c r="E638" s="2" t="str">
        <f t="shared" si="9"/>
        <v/>
      </c>
    </row>
    <row r="639" spans="1:5" x14ac:dyDescent="0.25">
      <c r="A639" s="138">
        <v>118112</v>
      </c>
      <c r="B639">
        <v>106</v>
      </c>
      <c r="C639">
        <v>1</v>
      </c>
      <c r="D639">
        <v>8</v>
      </c>
      <c r="E639" s="2" t="str">
        <f t="shared" si="9"/>
        <v/>
      </c>
    </row>
    <row r="640" spans="1:5" x14ac:dyDescent="0.25">
      <c r="A640" s="138">
        <v>118113</v>
      </c>
      <c r="B640">
        <v>106</v>
      </c>
      <c r="C640">
        <v>1</v>
      </c>
      <c r="D640">
        <v>8</v>
      </c>
      <c r="E640" s="2" t="str">
        <f t="shared" si="9"/>
        <v/>
      </c>
    </row>
    <row r="641" spans="1:5" x14ac:dyDescent="0.25">
      <c r="A641" s="138">
        <v>118199</v>
      </c>
      <c r="B641">
        <v>106</v>
      </c>
      <c r="C641">
        <v>1</v>
      </c>
      <c r="D641">
        <v>8</v>
      </c>
      <c r="E641" s="2" t="str">
        <f t="shared" si="9"/>
        <v/>
      </c>
    </row>
    <row r="642" spans="1:5" x14ac:dyDescent="0.25">
      <c r="A642" s="138">
        <v>118200</v>
      </c>
      <c r="B642">
        <v>106</v>
      </c>
      <c r="C642">
        <v>1</v>
      </c>
      <c r="D642">
        <v>8</v>
      </c>
      <c r="E642" s="2" t="str">
        <f t="shared" si="9"/>
        <v/>
      </c>
    </row>
    <row r="643" spans="1:5" x14ac:dyDescent="0.25">
      <c r="A643" s="138">
        <v>118201</v>
      </c>
      <c r="B643">
        <v>106</v>
      </c>
      <c r="C643">
        <v>1</v>
      </c>
      <c r="D643">
        <v>8</v>
      </c>
      <c r="E643" s="2" t="str">
        <f t="shared" ref="E643:E706" si="10">IF(B643=B642,IF(C642=C643,"",1),"")</f>
        <v/>
      </c>
    </row>
    <row r="644" spans="1:5" x14ac:dyDescent="0.25">
      <c r="A644" s="138">
        <v>118202</v>
      </c>
      <c r="B644">
        <v>106</v>
      </c>
      <c r="C644">
        <v>1</v>
      </c>
      <c r="D644">
        <v>8</v>
      </c>
      <c r="E644" s="2" t="str">
        <f t="shared" si="10"/>
        <v/>
      </c>
    </row>
    <row r="645" spans="1:5" x14ac:dyDescent="0.25">
      <c r="A645" s="138">
        <v>118203</v>
      </c>
      <c r="B645">
        <v>106</v>
      </c>
      <c r="C645">
        <v>1</v>
      </c>
      <c r="D645">
        <v>8</v>
      </c>
      <c r="E645" s="2" t="str">
        <f t="shared" si="10"/>
        <v/>
      </c>
    </row>
    <row r="646" spans="1:5" x14ac:dyDescent="0.25">
      <c r="A646" s="138">
        <v>118204</v>
      </c>
      <c r="B646">
        <v>106</v>
      </c>
      <c r="C646">
        <v>1</v>
      </c>
      <c r="D646">
        <v>8</v>
      </c>
      <c r="E646" s="2" t="str">
        <f t="shared" si="10"/>
        <v/>
      </c>
    </row>
    <row r="647" spans="1:5" x14ac:dyDescent="0.25">
      <c r="A647" s="138">
        <v>118205</v>
      </c>
      <c r="B647">
        <v>106</v>
      </c>
      <c r="C647">
        <v>1</v>
      </c>
      <c r="D647">
        <v>8</v>
      </c>
      <c r="E647" s="2" t="str">
        <f t="shared" si="10"/>
        <v/>
      </c>
    </row>
    <row r="648" spans="1:5" x14ac:dyDescent="0.25">
      <c r="A648" s="138">
        <v>118206</v>
      </c>
      <c r="B648">
        <v>106</v>
      </c>
      <c r="C648">
        <v>1</v>
      </c>
      <c r="D648">
        <v>8</v>
      </c>
      <c r="E648" s="2" t="str">
        <f t="shared" si="10"/>
        <v/>
      </c>
    </row>
    <row r="649" spans="1:5" x14ac:dyDescent="0.25">
      <c r="A649" s="138">
        <v>118299</v>
      </c>
      <c r="B649">
        <v>106</v>
      </c>
      <c r="C649">
        <v>1</v>
      </c>
      <c r="D649">
        <v>8</v>
      </c>
      <c r="E649" s="2" t="str">
        <f t="shared" si="10"/>
        <v/>
      </c>
    </row>
    <row r="650" spans="1:5" x14ac:dyDescent="0.25">
      <c r="A650" s="138">
        <v>118300</v>
      </c>
      <c r="B650">
        <v>109</v>
      </c>
      <c r="C650">
        <v>1</v>
      </c>
      <c r="D650">
        <v>8</v>
      </c>
      <c r="E650" s="2" t="str">
        <f t="shared" si="10"/>
        <v/>
      </c>
    </row>
    <row r="651" spans="1:5" x14ac:dyDescent="0.25">
      <c r="A651" s="138">
        <v>118301</v>
      </c>
      <c r="B651">
        <v>109</v>
      </c>
      <c r="C651">
        <v>1</v>
      </c>
      <c r="D651">
        <v>8</v>
      </c>
      <c r="E651" s="2" t="str">
        <f t="shared" si="10"/>
        <v/>
      </c>
    </row>
    <row r="652" spans="1:5" x14ac:dyDescent="0.25">
      <c r="A652" s="138">
        <v>118302</v>
      </c>
      <c r="B652">
        <v>109</v>
      </c>
      <c r="C652">
        <v>1</v>
      </c>
      <c r="D652">
        <v>8</v>
      </c>
      <c r="E652" s="2" t="str">
        <f t="shared" si="10"/>
        <v/>
      </c>
    </row>
    <row r="653" spans="1:5" x14ac:dyDescent="0.25">
      <c r="A653" s="138">
        <v>118303</v>
      </c>
      <c r="B653">
        <v>108</v>
      </c>
      <c r="C653">
        <v>1</v>
      </c>
      <c r="D653">
        <v>8</v>
      </c>
      <c r="E653" s="2" t="str">
        <f t="shared" si="10"/>
        <v/>
      </c>
    </row>
    <row r="654" spans="1:5" x14ac:dyDescent="0.25">
      <c r="A654" s="138">
        <v>118304</v>
      </c>
      <c r="B654">
        <v>109</v>
      </c>
      <c r="C654">
        <v>1</v>
      </c>
      <c r="D654">
        <v>8</v>
      </c>
      <c r="E654" s="2" t="str">
        <f t="shared" si="10"/>
        <v/>
      </c>
    </row>
    <row r="655" spans="1:5" x14ac:dyDescent="0.25">
      <c r="A655" s="138">
        <v>118305</v>
      </c>
      <c r="B655">
        <v>109</v>
      </c>
      <c r="C655">
        <v>1</v>
      </c>
      <c r="D655">
        <v>8</v>
      </c>
      <c r="E655" s="2" t="str">
        <f t="shared" si="10"/>
        <v/>
      </c>
    </row>
    <row r="656" spans="1:5" x14ac:dyDescent="0.25">
      <c r="A656" s="138">
        <v>118306</v>
      </c>
      <c r="B656">
        <v>109</v>
      </c>
      <c r="C656">
        <v>1</v>
      </c>
      <c r="D656">
        <v>8</v>
      </c>
      <c r="E656" s="2" t="str">
        <f t="shared" si="10"/>
        <v/>
      </c>
    </row>
    <row r="657" spans="1:5" x14ac:dyDescent="0.25">
      <c r="A657" s="138">
        <v>118307</v>
      </c>
      <c r="B657">
        <v>108</v>
      </c>
      <c r="C657">
        <v>1</v>
      </c>
      <c r="D657">
        <v>8</v>
      </c>
      <c r="E657" s="2" t="str">
        <f t="shared" si="10"/>
        <v/>
      </c>
    </row>
    <row r="658" spans="1:5" x14ac:dyDescent="0.25">
      <c r="A658" s="138">
        <v>118308</v>
      </c>
      <c r="B658">
        <v>109</v>
      </c>
      <c r="C658">
        <v>1</v>
      </c>
      <c r="D658">
        <v>8</v>
      </c>
      <c r="E658" s="2" t="str">
        <f t="shared" si="10"/>
        <v/>
      </c>
    </row>
    <row r="659" spans="1:5" x14ac:dyDescent="0.25">
      <c r="A659" s="138">
        <v>118309</v>
      </c>
      <c r="B659">
        <v>109</v>
      </c>
      <c r="C659">
        <v>1</v>
      </c>
      <c r="D659">
        <v>8</v>
      </c>
      <c r="E659" s="2" t="str">
        <f t="shared" si="10"/>
        <v/>
      </c>
    </row>
    <row r="660" spans="1:5" x14ac:dyDescent="0.25">
      <c r="A660" s="138">
        <v>118310</v>
      </c>
      <c r="B660">
        <v>109</v>
      </c>
      <c r="C660">
        <v>1</v>
      </c>
      <c r="D660">
        <v>8</v>
      </c>
      <c r="E660" s="2" t="str">
        <f t="shared" si="10"/>
        <v/>
      </c>
    </row>
    <row r="661" spans="1:5" x14ac:dyDescent="0.25">
      <c r="A661" s="138">
        <v>118311</v>
      </c>
      <c r="B661">
        <v>109</v>
      </c>
      <c r="C661">
        <v>1</v>
      </c>
      <c r="D661">
        <v>8</v>
      </c>
      <c r="E661" s="2" t="str">
        <f t="shared" si="10"/>
        <v/>
      </c>
    </row>
    <row r="662" spans="1:5" x14ac:dyDescent="0.25">
      <c r="A662" s="138">
        <v>118312</v>
      </c>
      <c r="B662">
        <v>109</v>
      </c>
      <c r="C662">
        <v>1</v>
      </c>
      <c r="D662">
        <v>8</v>
      </c>
      <c r="E662" s="2" t="str">
        <f t="shared" si="10"/>
        <v/>
      </c>
    </row>
    <row r="663" spans="1:5" x14ac:dyDescent="0.25">
      <c r="A663" s="138">
        <v>118313</v>
      </c>
      <c r="B663">
        <v>109</v>
      </c>
      <c r="C663">
        <v>1</v>
      </c>
      <c r="D663">
        <v>8</v>
      </c>
      <c r="E663" s="2" t="str">
        <f t="shared" si="10"/>
        <v/>
      </c>
    </row>
    <row r="664" spans="1:5" x14ac:dyDescent="0.25">
      <c r="A664" s="138">
        <v>118314</v>
      </c>
      <c r="B664">
        <v>109</v>
      </c>
      <c r="C664">
        <v>1</v>
      </c>
      <c r="D664">
        <v>8</v>
      </c>
      <c r="E664" s="2" t="str">
        <f t="shared" si="10"/>
        <v/>
      </c>
    </row>
    <row r="665" spans="1:5" x14ac:dyDescent="0.25">
      <c r="A665" s="138">
        <v>118315</v>
      </c>
      <c r="B665">
        <v>109</v>
      </c>
      <c r="C665">
        <v>1</v>
      </c>
      <c r="D665">
        <v>8</v>
      </c>
      <c r="E665" s="2" t="str">
        <f t="shared" si="10"/>
        <v/>
      </c>
    </row>
    <row r="666" spans="1:5" x14ac:dyDescent="0.25">
      <c r="A666" s="138">
        <v>118316</v>
      </c>
      <c r="B666">
        <v>109</v>
      </c>
      <c r="C666">
        <v>1</v>
      </c>
      <c r="D666">
        <v>8</v>
      </c>
      <c r="E666" s="2" t="str">
        <f t="shared" si="10"/>
        <v/>
      </c>
    </row>
    <row r="667" spans="1:5" x14ac:dyDescent="0.25">
      <c r="A667" s="138">
        <v>118317</v>
      </c>
      <c r="B667">
        <v>109</v>
      </c>
      <c r="C667">
        <v>1</v>
      </c>
      <c r="D667">
        <v>8</v>
      </c>
      <c r="E667" s="2" t="str">
        <f t="shared" si="10"/>
        <v/>
      </c>
    </row>
    <row r="668" spans="1:5" x14ac:dyDescent="0.25">
      <c r="A668" s="138">
        <v>118318</v>
      </c>
      <c r="B668">
        <v>109</v>
      </c>
      <c r="C668">
        <v>1</v>
      </c>
      <c r="D668">
        <v>8</v>
      </c>
      <c r="E668" s="2" t="str">
        <f t="shared" si="10"/>
        <v/>
      </c>
    </row>
    <row r="669" spans="1:5" x14ac:dyDescent="0.25">
      <c r="A669" s="138">
        <v>118319</v>
      </c>
      <c r="B669">
        <v>108</v>
      </c>
      <c r="C669">
        <v>1</v>
      </c>
      <c r="D669">
        <v>8</v>
      </c>
      <c r="E669" s="2" t="str">
        <f t="shared" si="10"/>
        <v/>
      </c>
    </row>
    <row r="670" spans="1:5" x14ac:dyDescent="0.25">
      <c r="A670" s="138">
        <v>118320</v>
      </c>
      <c r="B670">
        <v>108</v>
      </c>
      <c r="C670">
        <v>1</v>
      </c>
      <c r="D670">
        <v>8</v>
      </c>
      <c r="E670" s="2" t="str">
        <f t="shared" si="10"/>
        <v/>
      </c>
    </row>
    <row r="671" spans="1:5" x14ac:dyDescent="0.25">
      <c r="A671" s="138">
        <v>118321</v>
      </c>
      <c r="B671">
        <v>108</v>
      </c>
      <c r="C671">
        <v>1</v>
      </c>
      <c r="D671">
        <v>8</v>
      </c>
      <c r="E671" s="2" t="str">
        <f t="shared" si="10"/>
        <v/>
      </c>
    </row>
    <row r="672" spans="1:5" x14ac:dyDescent="0.25">
      <c r="A672" s="138">
        <v>118399</v>
      </c>
      <c r="B672">
        <v>109</v>
      </c>
      <c r="C672">
        <v>1</v>
      </c>
      <c r="D672">
        <v>8</v>
      </c>
      <c r="E672" s="2" t="str">
        <f t="shared" si="10"/>
        <v/>
      </c>
    </row>
    <row r="673" spans="1:5" x14ac:dyDescent="0.25">
      <c r="A673" s="138">
        <v>119000</v>
      </c>
      <c r="B673">
        <v>112</v>
      </c>
      <c r="C673">
        <v>1</v>
      </c>
      <c r="D673">
        <v>9</v>
      </c>
      <c r="E673" s="2" t="str">
        <f t="shared" si="10"/>
        <v/>
      </c>
    </row>
    <row r="674" spans="1:5" x14ac:dyDescent="0.25">
      <c r="A674" s="138">
        <v>119001</v>
      </c>
      <c r="B674">
        <v>112</v>
      </c>
      <c r="C674">
        <v>1</v>
      </c>
      <c r="D674">
        <v>9</v>
      </c>
      <c r="E674" s="2" t="str">
        <f t="shared" si="10"/>
        <v/>
      </c>
    </row>
    <row r="675" spans="1:5" x14ac:dyDescent="0.25">
      <c r="A675" s="138">
        <v>119002</v>
      </c>
      <c r="B675">
        <v>112</v>
      </c>
      <c r="C675">
        <v>1</v>
      </c>
      <c r="D675">
        <v>9</v>
      </c>
      <c r="E675" s="2" t="str">
        <f t="shared" si="10"/>
        <v/>
      </c>
    </row>
    <row r="676" spans="1:5" x14ac:dyDescent="0.25">
      <c r="A676" s="138">
        <v>119003</v>
      </c>
      <c r="B676">
        <v>112</v>
      </c>
      <c r="C676">
        <v>1</v>
      </c>
      <c r="D676">
        <v>9</v>
      </c>
      <c r="E676" s="2" t="str">
        <f t="shared" si="10"/>
        <v/>
      </c>
    </row>
    <row r="677" spans="1:5" x14ac:dyDescent="0.25">
      <c r="A677" s="138">
        <v>119004</v>
      </c>
      <c r="B677">
        <v>112</v>
      </c>
      <c r="C677">
        <v>1</v>
      </c>
      <c r="D677">
        <v>9</v>
      </c>
      <c r="E677" s="2" t="str">
        <f t="shared" si="10"/>
        <v/>
      </c>
    </row>
    <row r="678" spans="1:5" x14ac:dyDescent="0.25">
      <c r="A678" s="138">
        <v>119005</v>
      </c>
      <c r="B678">
        <v>112</v>
      </c>
      <c r="C678">
        <v>1</v>
      </c>
      <c r="D678">
        <v>9</v>
      </c>
      <c r="E678" s="2" t="str">
        <f t="shared" si="10"/>
        <v/>
      </c>
    </row>
    <row r="679" spans="1:5" x14ac:dyDescent="0.25">
      <c r="A679" s="138">
        <v>119006</v>
      </c>
      <c r="B679">
        <v>112</v>
      </c>
      <c r="C679">
        <v>1</v>
      </c>
      <c r="D679">
        <v>9</v>
      </c>
      <c r="E679" s="2" t="str">
        <f t="shared" si="10"/>
        <v/>
      </c>
    </row>
    <row r="680" spans="1:5" x14ac:dyDescent="0.25">
      <c r="A680" s="138">
        <v>119007</v>
      </c>
      <c r="B680">
        <v>112</v>
      </c>
      <c r="C680">
        <v>1</v>
      </c>
      <c r="D680">
        <v>9</v>
      </c>
      <c r="E680" s="2" t="str">
        <f t="shared" si="10"/>
        <v/>
      </c>
    </row>
    <row r="681" spans="1:5" x14ac:dyDescent="0.25">
      <c r="A681" s="138">
        <v>119008</v>
      </c>
      <c r="B681">
        <v>112</v>
      </c>
      <c r="C681">
        <v>1</v>
      </c>
      <c r="D681">
        <v>9</v>
      </c>
      <c r="E681" s="2" t="str">
        <f t="shared" si="10"/>
        <v/>
      </c>
    </row>
    <row r="682" spans="1:5" x14ac:dyDescent="0.25">
      <c r="A682" s="138">
        <v>119009</v>
      </c>
      <c r="B682">
        <v>112</v>
      </c>
      <c r="C682">
        <v>1</v>
      </c>
      <c r="D682">
        <v>9</v>
      </c>
      <c r="E682" s="2" t="str">
        <f t="shared" si="10"/>
        <v/>
      </c>
    </row>
    <row r="683" spans="1:5" x14ac:dyDescent="0.25">
      <c r="A683" s="138">
        <v>119010</v>
      </c>
      <c r="B683">
        <v>112</v>
      </c>
      <c r="C683">
        <v>1</v>
      </c>
      <c r="D683">
        <v>9</v>
      </c>
      <c r="E683" s="2" t="str">
        <f t="shared" si="10"/>
        <v/>
      </c>
    </row>
    <row r="684" spans="1:5" x14ac:dyDescent="0.25">
      <c r="A684" s="138">
        <v>119011</v>
      </c>
      <c r="B684">
        <v>112</v>
      </c>
      <c r="C684">
        <v>1</v>
      </c>
      <c r="D684">
        <v>9</v>
      </c>
      <c r="E684" s="2" t="str">
        <f t="shared" si="10"/>
        <v/>
      </c>
    </row>
    <row r="685" spans="1:5" x14ac:dyDescent="0.25">
      <c r="A685" s="138">
        <v>119012</v>
      </c>
      <c r="B685">
        <v>112</v>
      </c>
      <c r="C685">
        <v>1</v>
      </c>
      <c r="D685">
        <v>9</v>
      </c>
      <c r="E685" s="2" t="str">
        <f t="shared" si="10"/>
        <v/>
      </c>
    </row>
    <row r="686" spans="1:5" x14ac:dyDescent="0.25">
      <c r="A686" s="138">
        <v>119013</v>
      </c>
      <c r="B686">
        <v>112</v>
      </c>
      <c r="C686">
        <v>1</v>
      </c>
      <c r="D686">
        <v>9</v>
      </c>
      <c r="E686" s="2" t="str">
        <f t="shared" si="10"/>
        <v/>
      </c>
    </row>
    <row r="687" spans="1:5" x14ac:dyDescent="0.25">
      <c r="A687" s="138">
        <v>119014</v>
      </c>
      <c r="B687">
        <v>112</v>
      </c>
      <c r="C687">
        <v>1</v>
      </c>
      <c r="D687">
        <v>9</v>
      </c>
      <c r="E687" s="2" t="str">
        <f t="shared" si="10"/>
        <v/>
      </c>
    </row>
    <row r="688" spans="1:5" x14ac:dyDescent="0.25">
      <c r="A688" s="138">
        <v>119015</v>
      </c>
      <c r="B688">
        <v>112</v>
      </c>
      <c r="C688">
        <v>1</v>
      </c>
      <c r="D688">
        <v>9</v>
      </c>
      <c r="E688" s="2" t="str">
        <f t="shared" si="10"/>
        <v/>
      </c>
    </row>
    <row r="689" spans="1:5" x14ac:dyDescent="0.25">
      <c r="A689" s="138">
        <v>119016</v>
      </c>
      <c r="B689">
        <v>112</v>
      </c>
      <c r="C689">
        <v>1</v>
      </c>
      <c r="D689">
        <v>9</v>
      </c>
      <c r="E689" s="2" t="str">
        <f t="shared" si="10"/>
        <v/>
      </c>
    </row>
    <row r="690" spans="1:5" x14ac:dyDescent="0.25">
      <c r="A690" s="138">
        <v>119017</v>
      </c>
      <c r="B690">
        <v>112</v>
      </c>
      <c r="C690">
        <v>1</v>
      </c>
      <c r="D690">
        <v>9</v>
      </c>
      <c r="E690" s="2" t="str">
        <f t="shared" si="10"/>
        <v/>
      </c>
    </row>
    <row r="691" spans="1:5" x14ac:dyDescent="0.25">
      <c r="A691" s="138">
        <v>119018</v>
      </c>
      <c r="B691">
        <v>112</v>
      </c>
      <c r="C691">
        <v>1</v>
      </c>
      <c r="D691">
        <v>9</v>
      </c>
      <c r="E691" s="2" t="str">
        <f t="shared" si="10"/>
        <v/>
      </c>
    </row>
    <row r="692" spans="1:5" x14ac:dyDescent="0.25">
      <c r="A692" s="138">
        <v>119019</v>
      </c>
      <c r="B692">
        <v>112</v>
      </c>
      <c r="C692">
        <v>1</v>
      </c>
      <c r="D692">
        <v>9</v>
      </c>
      <c r="E692" s="2" t="str">
        <f t="shared" si="10"/>
        <v/>
      </c>
    </row>
    <row r="693" spans="1:5" x14ac:dyDescent="0.25">
      <c r="A693" s="138">
        <v>119020</v>
      </c>
      <c r="B693">
        <v>112</v>
      </c>
      <c r="C693">
        <v>1</v>
      </c>
      <c r="D693">
        <v>9</v>
      </c>
      <c r="E693" s="2" t="str">
        <f t="shared" si="10"/>
        <v/>
      </c>
    </row>
    <row r="694" spans="1:5" x14ac:dyDescent="0.25">
      <c r="A694" s="138">
        <v>119021</v>
      </c>
      <c r="B694">
        <v>112</v>
      </c>
      <c r="C694">
        <v>1</v>
      </c>
      <c r="D694">
        <v>9</v>
      </c>
      <c r="E694" s="2" t="str">
        <f t="shared" si="10"/>
        <v/>
      </c>
    </row>
    <row r="695" spans="1:5" x14ac:dyDescent="0.25">
      <c r="A695" s="138">
        <v>119022</v>
      </c>
      <c r="B695">
        <v>112</v>
      </c>
      <c r="C695">
        <v>1</v>
      </c>
      <c r="D695">
        <v>9</v>
      </c>
      <c r="E695" s="2" t="str">
        <f t="shared" si="10"/>
        <v/>
      </c>
    </row>
    <row r="696" spans="1:5" x14ac:dyDescent="0.25">
      <c r="A696" s="138">
        <v>119023</v>
      </c>
      <c r="B696">
        <v>112</v>
      </c>
      <c r="C696">
        <v>1</v>
      </c>
      <c r="D696">
        <v>9</v>
      </c>
      <c r="E696" s="2" t="str">
        <f t="shared" si="10"/>
        <v/>
      </c>
    </row>
    <row r="697" spans="1:5" x14ac:dyDescent="0.25">
      <c r="A697" s="138">
        <v>119024</v>
      </c>
      <c r="B697">
        <v>112</v>
      </c>
      <c r="C697">
        <v>1</v>
      </c>
      <c r="D697">
        <v>9</v>
      </c>
      <c r="E697" s="2" t="str">
        <f t="shared" si="10"/>
        <v/>
      </c>
    </row>
    <row r="698" spans="1:5" x14ac:dyDescent="0.25">
      <c r="A698" s="138">
        <v>119025</v>
      </c>
      <c r="B698">
        <v>112</v>
      </c>
      <c r="C698">
        <v>1</v>
      </c>
      <c r="D698">
        <v>9</v>
      </c>
      <c r="E698" s="2" t="str">
        <f t="shared" si="10"/>
        <v/>
      </c>
    </row>
    <row r="699" spans="1:5" x14ac:dyDescent="0.25">
      <c r="A699" s="138">
        <v>119026</v>
      </c>
      <c r="B699">
        <v>112</v>
      </c>
      <c r="C699">
        <v>1</v>
      </c>
      <c r="D699">
        <v>9</v>
      </c>
      <c r="E699" s="2" t="str">
        <f t="shared" si="10"/>
        <v/>
      </c>
    </row>
    <row r="700" spans="1:5" x14ac:dyDescent="0.25">
      <c r="A700" s="138">
        <v>119099</v>
      </c>
      <c r="B700">
        <v>112</v>
      </c>
      <c r="C700">
        <v>1</v>
      </c>
      <c r="D700">
        <v>9</v>
      </c>
      <c r="E700" s="2" t="str">
        <f t="shared" si="10"/>
        <v/>
      </c>
    </row>
    <row r="701" spans="1:5" x14ac:dyDescent="0.25">
      <c r="A701" s="138">
        <v>119100</v>
      </c>
      <c r="B701">
        <v>112</v>
      </c>
      <c r="C701">
        <v>1</v>
      </c>
      <c r="D701">
        <v>9</v>
      </c>
      <c r="E701" s="2" t="str">
        <f t="shared" si="10"/>
        <v/>
      </c>
    </row>
    <row r="702" spans="1:5" x14ac:dyDescent="0.25">
      <c r="A702" s="138">
        <v>119101</v>
      </c>
      <c r="B702">
        <v>112</v>
      </c>
      <c r="C702">
        <v>1</v>
      </c>
      <c r="D702">
        <v>9</v>
      </c>
      <c r="E702" s="2" t="str">
        <f t="shared" si="10"/>
        <v/>
      </c>
    </row>
    <row r="703" spans="1:5" x14ac:dyDescent="0.25">
      <c r="A703" s="138">
        <v>119102</v>
      </c>
      <c r="B703">
        <v>112</v>
      </c>
      <c r="C703">
        <v>1</v>
      </c>
      <c r="D703">
        <v>9</v>
      </c>
      <c r="E703" s="2" t="str">
        <f t="shared" si="10"/>
        <v/>
      </c>
    </row>
    <row r="704" spans="1:5" x14ac:dyDescent="0.25">
      <c r="A704" s="138">
        <v>119103</v>
      </c>
      <c r="B704">
        <v>112</v>
      </c>
      <c r="C704">
        <v>1</v>
      </c>
      <c r="D704">
        <v>9</v>
      </c>
      <c r="E704" s="2" t="str">
        <f t="shared" si="10"/>
        <v/>
      </c>
    </row>
    <row r="705" spans="1:5" x14ac:dyDescent="0.25">
      <c r="A705" s="138">
        <v>119104</v>
      </c>
      <c r="B705">
        <v>112</v>
      </c>
      <c r="C705">
        <v>1</v>
      </c>
      <c r="D705">
        <v>9</v>
      </c>
      <c r="E705" s="2" t="str">
        <f t="shared" si="10"/>
        <v/>
      </c>
    </row>
    <row r="706" spans="1:5" x14ac:dyDescent="0.25">
      <c r="A706" s="138">
        <v>119105</v>
      </c>
      <c r="B706">
        <v>112</v>
      </c>
      <c r="C706">
        <v>1</v>
      </c>
      <c r="D706">
        <v>9</v>
      </c>
      <c r="E706" s="2" t="str">
        <f t="shared" si="10"/>
        <v/>
      </c>
    </row>
    <row r="707" spans="1:5" x14ac:dyDescent="0.25">
      <c r="A707" s="138">
        <v>119106</v>
      </c>
      <c r="B707">
        <v>112</v>
      </c>
      <c r="C707">
        <v>1</v>
      </c>
      <c r="D707">
        <v>9</v>
      </c>
      <c r="E707" s="2" t="str">
        <f t="shared" ref="E707:E770" si="11">IF(B707=B706,IF(C706=C707,"",1),"")</f>
        <v/>
      </c>
    </row>
    <row r="708" spans="1:5" x14ac:dyDescent="0.25">
      <c r="A708" s="138">
        <v>119107</v>
      </c>
      <c r="B708">
        <v>112</v>
      </c>
      <c r="C708">
        <v>1</v>
      </c>
      <c r="D708">
        <v>9</v>
      </c>
      <c r="E708" s="2" t="str">
        <f t="shared" si="11"/>
        <v/>
      </c>
    </row>
    <row r="709" spans="1:5" x14ac:dyDescent="0.25">
      <c r="A709" s="138">
        <v>119108</v>
      </c>
      <c r="B709">
        <v>112</v>
      </c>
      <c r="C709">
        <v>1</v>
      </c>
      <c r="D709">
        <v>9</v>
      </c>
      <c r="E709" s="2" t="str">
        <f t="shared" si="11"/>
        <v/>
      </c>
    </row>
    <row r="710" spans="1:5" x14ac:dyDescent="0.25">
      <c r="A710" s="138">
        <v>119109</v>
      </c>
      <c r="B710">
        <v>112</v>
      </c>
      <c r="C710">
        <v>1</v>
      </c>
      <c r="D710">
        <v>9</v>
      </c>
      <c r="E710" s="2" t="str">
        <f t="shared" si="11"/>
        <v/>
      </c>
    </row>
    <row r="711" spans="1:5" x14ac:dyDescent="0.25">
      <c r="A711" s="138">
        <v>119110</v>
      </c>
      <c r="B711">
        <v>112</v>
      </c>
      <c r="C711">
        <v>1</v>
      </c>
      <c r="D711">
        <v>9</v>
      </c>
      <c r="E711" s="2" t="str">
        <f t="shared" si="11"/>
        <v/>
      </c>
    </row>
    <row r="712" spans="1:5" x14ac:dyDescent="0.25">
      <c r="A712" s="138">
        <v>119111</v>
      </c>
      <c r="B712">
        <v>112</v>
      </c>
      <c r="C712">
        <v>1</v>
      </c>
      <c r="D712">
        <v>9</v>
      </c>
      <c r="E712" s="2" t="str">
        <f t="shared" si="11"/>
        <v/>
      </c>
    </row>
    <row r="713" spans="1:5" x14ac:dyDescent="0.25">
      <c r="A713" s="138">
        <v>119112</v>
      </c>
      <c r="B713">
        <v>112</v>
      </c>
      <c r="C713">
        <v>1</v>
      </c>
      <c r="D713">
        <v>9</v>
      </c>
      <c r="E713" s="2" t="str">
        <f t="shared" si="11"/>
        <v/>
      </c>
    </row>
    <row r="714" spans="1:5" x14ac:dyDescent="0.25">
      <c r="A714" s="138">
        <v>119113</v>
      </c>
      <c r="B714">
        <v>112</v>
      </c>
      <c r="C714">
        <v>1</v>
      </c>
      <c r="D714">
        <v>9</v>
      </c>
      <c r="E714" s="2" t="str">
        <f t="shared" si="11"/>
        <v/>
      </c>
    </row>
    <row r="715" spans="1:5" x14ac:dyDescent="0.25">
      <c r="A715" s="138">
        <v>119114</v>
      </c>
      <c r="B715">
        <v>112</v>
      </c>
      <c r="C715">
        <v>1</v>
      </c>
      <c r="D715">
        <v>9</v>
      </c>
      <c r="E715" s="2" t="str">
        <f t="shared" si="11"/>
        <v/>
      </c>
    </row>
    <row r="716" spans="1:5" x14ac:dyDescent="0.25">
      <c r="A716" s="138">
        <v>119115</v>
      </c>
      <c r="B716">
        <v>112</v>
      </c>
      <c r="C716">
        <v>1</v>
      </c>
      <c r="D716">
        <v>9</v>
      </c>
      <c r="E716" s="2" t="str">
        <f t="shared" si="11"/>
        <v/>
      </c>
    </row>
    <row r="717" spans="1:5" x14ac:dyDescent="0.25">
      <c r="A717" s="138">
        <v>119116</v>
      </c>
      <c r="B717">
        <v>112</v>
      </c>
      <c r="C717">
        <v>1</v>
      </c>
      <c r="D717">
        <v>9</v>
      </c>
      <c r="E717" s="2" t="str">
        <f t="shared" si="11"/>
        <v/>
      </c>
    </row>
    <row r="718" spans="1:5" x14ac:dyDescent="0.25">
      <c r="A718" s="138">
        <v>119117</v>
      </c>
      <c r="B718">
        <v>112</v>
      </c>
      <c r="C718">
        <v>1</v>
      </c>
      <c r="D718">
        <v>9</v>
      </c>
      <c r="E718" s="2" t="str">
        <f t="shared" si="11"/>
        <v/>
      </c>
    </row>
    <row r="719" spans="1:5" x14ac:dyDescent="0.25">
      <c r="A719" s="138">
        <v>119118</v>
      </c>
      <c r="B719">
        <v>112</v>
      </c>
      <c r="C719">
        <v>1</v>
      </c>
      <c r="D719">
        <v>9</v>
      </c>
      <c r="E719" s="2" t="str">
        <f t="shared" si="11"/>
        <v/>
      </c>
    </row>
    <row r="720" spans="1:5" x14ac:dyDescent="0.25">
      <c r="A720" s="138">
        <v>119119</v>
      </c>
      <c r="B720">
        <v>112</v>
      </c>
      <c r="C720">
        <v>1</v>
      </c>
      <c r="D720">
        <v>9</v>
      </c>
      <c r="E720" s="2" t="str">
        <f t="shared" si="11"/>
        <v/>
      </c>
    </row>
    <row r="721" spans="1:5" x14ac:dyDescent="0.25">
      <c r="A721" s="138">
        <v>119120</v>
      </c>
      <c r="B721">
        <v>112</v>
      </c>
      <c r="C721">
        <v>1</v>
      </c>
      <c r="D721">
        <v>9</v>
      </c>
      <c r="E721" s="2" t="str">
        <f t="shared" si="11"/>
        <v/>
      </c>
    </row>
    <row r="722" spans="1:5" x14ac:dyDescent="0.25">
      <c r="A722" s="138">
        <v>119121</v>
      </c>
      <c r="B722">
        <v>112</v>
      </c>
      <c r="C722">
        <v>1</v>
      </c>
      <c r="D722">
        <v>9</v>
      </c>
      <c r="E722" s="2" t="str">
        <f t="shared" si="11"/>
        <v/>
      </c>
    </row>
    <row r="723" spans="1:5" x14ac:dyDescent="0.25">
      <c r="A723" s="138">
        <v>119122</v>
      </c>
      <c r="B723">
        <v>112</v>
      </c>
      <c r="C723">
        <v>1</v>
      </c>
      <c r="D723">
        <v>9</v>
      </c>
      <c r="E723" s="2" t="str">
        <f t="shared" si="11"/>
        <v/>
      </c>
    </row>
    <row r="724" spans="1:5" x14ac:dyDescent="0.25">
      <c r="A724" s="138">
        <v>119123</v>
      </c>
      <c r="B724">
        <v>112</v>
      </c>
      <c r="C724">
        <v>1</v>
      </c>
      <c r="D724">
        <v>9</v>
      </c>
      <c r="E724" s="2" t="str">
        <f t="shared" si="11"/>
        <v/>
      </c>
    </row>
    <row r="725" spans="1:5" x14ac:dyDescent="0.25">
      <c r="A725" s="138">
        <v>119124</v>
      </c>
      <c r="B725">
        <v>112</v>
      </c>
      <c r="C725">
        <v>1</v>
      </c>
      <c r="D725">
        <v>9</v>
      </c>
      <c r="E725" s="2" t="str">
        <f t="shared" si="11"/>
        <v/>
      </c>
    </row>
    <row r="726" spans="1:5" x14ac:dyDescent="0.25">
      <c r="A726" s="138">
        <v>119125</v>
      </c>
      <c r="B726">
        <v>112</v>
      </c>
      <c r="C726">
        <v>1</v>
      </c>
      <c r="D726">
        <v>9</v>
      </c>
      <c r="E726" s="2" t="str">
        <f t="shared" si="11"/>
        <v/>
      </c>
    </row>
    <row r="727" spans="1:5" x14ac:dyDescent="0.25">
      <c r="A727" s="138">
        <v>119126</v>
      </c>
      <c r="B727">
        <v>112</v>
      </c>
      <c r="C727">
        <v>1</v>
      </c>
      <c r="D727">
        <v>9</v>
      </c>
      <c r="E727" s="2" t="str">
        <f t="shared" si="11"/>
        <v/>
      </c>
    </row>
    <row r="728" spans="1:5" x14ac:dyDescent="0.25">
      <c r="A728" s="138">
        <v>119127</v>
      </c>
      <c r="B728">
        <v>112</v>
      </c>
      <c r="C728">
        <v>1</v>
      </c>
      <c r="D728">
        <v>9</v>
      </c>
      <c r="E728" s="2" t="str">
        <f t="shared" si="11"/>
        <v/>
      </c>
    </row>
    <row r="729" spans="1:5" x14ac:dyDescent="0.25">
      <c r="A729" s="138">
        <v>119128</v>
      </c>
      <c r="B729">
        <v>112</v>
      </c>
      <c r="C729">
        <v>1</v>
      </c>
      <c r="D729">
        <v>9</v>
      </c>
      <c r="E729" s="2" t="str">
        <f t="shared" si="11"/>
        <v/>
      </c>
    </row>
    <row r="730" spans="1:5" x14ac:dyDescent="0.25">
      <c r="A730" s="138">
        <v>119129</v>
      </c>
      <c r="B730">
        <v>112</v>
      </c>
      <c r="C730">
        <v>1</v>
      </c>
      <c r="D730">
        <v>9</v>
      </c>
      <c r="E730" s="2" t="str">
        <f t="shared" si="11"/>
        <v/>
      </c>
    </row>
    <row r="731" spans="1:5" x14ac:dyDescent="0.25">
      <c r="A731" s="138">
        <v>119130</v>
      </c>
      <c r="B731">
        <v>112</v>
      </c>
      <c r="C731">
        <v>1</v>
      </c>
      <c r="D731">
        <v>9</v>
      </c>
      <c r="E731" s="2" t="str">
        <f t="shared" si="11"/>
        <v/>
      </c>
    </row>
    <row r="732" spans="1:5" x14ac:dyDescent="0.25">
      <c r="A732" s="138">
        <v>119131</v>
      </c>
      <c r="B732">
        <v>112</v>
      </c>
      <c r="C732">
        <v>1</v>
      </c>
      <c r="D732">
        <v>9</v>
      </c>
      <c r="E732" s="2" t="str">
        <f t="shared" si="11"/>
        <v/>
      </c>
    </row>
    <row r="733" spans="1:5" x14ac:dyDescent="0.25">
      <c r="A733" s="138">
        <v>119132</v>
      </c>
      <c r="B733">
        <v>112</v>
      </c>
      <c r="C733">
        <v>1</v>
      </c>
      <c r="D733">
        <v>9</v>
      </c>
      <c r="E733" s="2" t="str">
        <f t="shared" si="11"/>
        <v/>
      </c>
    </row>
    <row r="734" spans="1:5" x14ac:dyDescent="0.25">
      <c r="A734" s="138">
        <v>119133</v>
      </c>
      <c r="B734">
        <v>112</v>
      </c>
      <c r="C734">
        <v>1</v>
      </c>
      <c r="D734">
        <v>9</v>
      </c>
      <c r="E734" s="2" t="str">
        <f t="shared" si="11"/>
        <v/>
      </c>
    </row>
    <row r="735" spans="1:5" x14ac:dyDescent="0.25">
      <c r="A735" s="138">
        <v>119134</v>
      </c>
      <c r="B735">
        <v>112</v>
      </c>
      <c r="C735">
        <v>1</v>
      </c>
      <c r="D735">
        <v>9</v>
      </c>
      <c r="E735" s="2" t="str">
        <f t="shared" si="11"/>
        <v/>
      </c>
    </row>
    <row r="736" spans="1:5" x14ac:dyDescent="0.25">
      <c r="A736" s="138">
        <v>119135</v>
      </c>
      <c r="B736">
        <v>112</v>
      </c>
      <c r="C736">
        <v>1</v>
      </c>
      <c r="D736">
        <v>9</v>
      </c>
      <c r="E736" s="2" t="str">
        <f t="shared" si="11"/>
        <v/>
      </c>
    </row>
    <row r="737" spans="1:5" x14ac:dyDescent="0.25">
      <c r="A737" s="138">
        <v>119136</v>
      </c>
      <c r="B737">
        <v>112</v>
      </c>
      <c r="C737">
        <v>1</v>
      </c>
      <c r="D737">
        <v>9</v>
      </c>
      <c r="E737" s="2" t="str">
        <f t="shared" si="11"/>
        <v/>
      </c>
    </row>
    <row r="738" spans="1:5" x14ac:dyDescent="0.25">
      <c r="A738" s="138">
        <v>119137</v>
      </c>
      <c r="B738">
        <v>112</v>
      </c>
      <c r="C738">
        <v>1</v>
      </c>
      <c r="D738">
        <v>9</v>
      </c>
      <c r="E738" s="2" t="str">
        <f t="shared" si="11"/>
        <v/>
      </c>
    </row>
    <row r="739" spans="1:5" x14ac:dyDescent="0.25">
      <c r="A739" s="138">
        <v>119138</v>
      </c>
      <c r="B739">
        <v>112</v>
      </c>
      <c r="C739">
        <v>1</v>
      </c>
      <c r="D739">
        <v>9</v>
      </c>
      <c r="E739" s="2" t="str">
        <f t="shared" si="11"/>
        <v/>
      </c>
    </row>
    <row r="740" spans="1:5" x14ac:dyDescent="0.25">
      <c r="A740" s="138">
        <v>119139</v>
      </c>
      <c r="B740">
        <v>112</v>
      </c>
      <c r="C740">
        <v>1</v>
      </c>
      <c r="D740">
        <v>9</v>
      </c>
      <c r="E740" s="2" t="str">
        <f t="shared" si="11"/>
        <v/>
      </c>
    </row>
    <row r="741" spans="1:5" x14ac:dyDescent="0.25">
      <c r="A741" s="138">
        <v>119140</v>
      </c>
      <c r="B741">
        <v>112</v>
      </c>
      <c r="C741">
        <v>1</v>
      </c>
      <c r="D741">
        <v>9</v>
      </c>
      <c r="E741" s="2" t="str">
        <f t="shared" si="11"/>
        <v/>
      </c>
    </row>
    <row r="742" spans="1:5" x14ac:dyDescent="0.25">
      <c r="A742" s="138">
        <v>119141</v>
      </c>
      <c r="B742">
        <v>112</v>
      </c>
      <c r="C742">
        <v>1</v>
      </c>
      <c r="D742">
        <v>9</v>
      </c>
      <c r="E742" s="2" t="str">
        <f t="shared" si="11"/>
        <v/>
      </c>
    </row>
    <row r="743" spans="1:5" x14ac:dyDescent="0.25">
      <c r="A743" s="138">
        <v>119142</v>
      </c>
      <c r="B743">
        <v>112</v>
      </c>
      <c r="C743">
        <v>1</v>
      </c>
      <c r="D743">
        <v>9</v>
      </c>
      <c r="E743" s="2" t="str">
        <f t="shared" si="11"/>
        <v/>
      </c>
    </row>
    <row r="744" spans="1:5" x14ac:dyDescent="0.25">
      <c r="A744" s="138">
        <v>119143</v>
      </c>
      <c r="B744">
        <v>112</v>
      </c>
      <c r="C744">
        <v>1</v>
      </c>
      <c r="D744">
        <v>9</v>
      </c>
      <c r="E744" s="2" t="str">
        <f t="shared" si="11"/>
        <v/>
      </c>
    </row>
    <row r="745" spans="1:5" x14ac:dyDescent="0.25">
      <c r="A745" s="138">
        <v>119144</v>
      </c>
      <c r="B745">
        <v>112</v>
      </c>
      <c r="C745">
        <v>1</v>
      </c>
      <c r="D745">
        <v>9</v>
      </c>
      <c r="E745" s="2" t="str">
        <f t="shared" si="11"/>
        <v/>
      </c>
    </row>
    <row r="746" spans="1:5" x14ac:dyDescent="0.25">
      <c r="A746" s="138">
        <v>119145</v>
      </c>
      <c r="B746">
        <v>112</v>
      </c>
      <c r="C746">
        <v>1</v>
      </c>
      <c r="D746">
        <v>9</v>
      </c>
      <c r="E746" s="2" t="str">
        <f t="shared" si="11"/>
        <v/>
      </c>
    </row>
    <row r="747" spans="1:5" x14ac:dyDescent="0.25">
      <c r="A747" s="138">
        <v>119146</v>
      </c>
      <c r="B747">
        <v>112</v>
      </c>
      <c r="C747">
        <v>1</v>
      </c>
      <c r="D747">
        <v>9</v>
      </c>
      <c r="E747" s="2" t="str">
        <f t="shared" si="11"/>
        <v/>
      </c>
    </row>
    <row r="748" spans="1:5" x14ac:dyDescent="0.25">
      <c r="A748" s="138">
        <v>119147</v>
      </c>
      <c r="B748">
        <v>112</v>
      </c>
      <c r="C748">
        <v>1</v>
      </c>
      <c r="D748">
        <v>9</v>
      </c>
      <c r="E748" s="2" t="str">
        <f t="shared" si="11"/>
        <v/>
      </c>
    </row>
    <row r="749" spans="1:5" x14ac:dyDescent="0.25">
      <c r="A749" s="138">
        <v>119196</v>
      </c>
      <c r="B749">
        <v>112</v>
      </c>
      <c r="C749">
        <v>1</v>
      </c>
      <c r="D749">
        <v>9</v>
      </c>
      <c r="E749" s="2" t="str">
        <f t="shared" si="11"/>
        <v/>
      </c>
    </row>
    <row r="750" spans="1:5" x14ac:dyDescent="0.25">
      <c r="A750" s="138">
        <v>119197</v>
      </c>
      <c r="B750">
        <v>112</v>
      </c>
      <c r="C750">
        <v>1</v>
      </c>
      <c r="D750">
        <v>9</v>
      </c>
      <c r="E750" s="2" t="str">
        <f t="shared" si="11"/>
        <v/>
      </c>
    </row>
    <row r="751" spans="1:5" x14ac:dyDescent="0.25">
      <c r="A751" s="138">
        <v>119198</v>
      </c>
      <c r="B751">
        <v>112</v>
      </c>
      <c r="C751">
        <v>1</v>
      </c>
      <c r="D751">
        <v>9</v>
      </c>
      <c r="E751" s="2" t="str">
        <f t="shared" si="11"/>
        <v/>
      </c>
    </row>
    <row r="752" spans="1:5" x14ac:dyDescent="0.25">
      <c r="A752" s="138">
        <v>119199</v>
      </c>
      <c r="B752">
        <v>112</v>
      </c>
      <c r="C752">
        <v>1</v>
      </c>
      <c r="D752">
        <v>9</v>
      </c>
      <c r="E752" s="2" t="str">
        <f t="shared" si="11"/>
        <v/>
      </c>
    </row>
    <row r="753" spans="1:5" x14ac:dyDescent="0.25">
      <c r="A753" s="138">
        <v>119200</v>
      </c>
      <c r="B753">
        <v>112</v>
      </c>
      <c r="C753">
        <v>1</v>
      </c>
      <c r="D753">
        <v>9</v>
      </c>
      <c r="E753" s="2" t="str">
        <f t="shared" si="11"/>
        <v/>
      </c>
    </row>
    <row r="754" spans="1:5" x14ac:dyDescent="0.25">
      <c r="A754" s="138">
        <v>119201</v>
      </c>
      <c r="B754">
        <v>112</v>
      </c>
      <c r="C754">
        <v>1</v>
      </c>
      <c r="D754">
        <v>9</v>
      </c>
      <c r="E754" s="2" t="str">
        <f t="shared" si="11"/>
        <v/>
      </c>
    </row>
    <row r="755" spans="1:5" x14ac:dyDescent="0.25">
      <c r="A755" s="138">
        <v>119202</v>
      </c>
      <c r="B755">
        <v>112</v>
      </c>
      <c r="C755">
        <v>1</v>
      </c>
      <c r="D755">
        <v>9</v>
      </c>
      <c r="E755" s="2" t="str">
        <f t="shared" si="11"/>
        <v/>
      </c>
    </row>
    <row r="756" spans="1:5" x14ac:dyDescent="0.25">
      <c r="A756" s="138">
        <v>119203</v>
      </c>
      <c r="B756">
        <v>112</v>
      </c>
      <c r="C756">
        <v>1</v>
      </c>
      <c r="D756">
        <v>9</v>
      </c>
      <c r="E756" s="2" t="str">
        <f t="shared" si="11"/>
        <v/>
      </c>
    </row>
    <row r="757" spans="1:5" x14ac:dyDescent="0.25">
      <c r="A757" s="138">
        <v>119204</v>
      </c>
      <c r="B757">
        <v>112</v>
      </c>
      <c r="C757">
        <v>1</v>
      </c>
      <c r="D757">
        <v>9</v>
      </c>
      <c r="E757" s="2" t="str">
        <f t="shared" si="11"/>
        <v/>
      </c>
    </row>
    <row r="758" spans="1:5" x14ac:dyDescent="0.25">
      <c r="A758" s="138">
        <v>119205</v>
      </c>
      <c r="B758">
        <v>112</v>
      </c>
      <c r="C758">
        <v>1</v>
      </c>
      <c r="D758">
        <v>9</v>
      </c>
      <c r="E758" s="2" t="str">
        <f t="shared" si="11"/>
        <v/>
      </c>
    </row>
    <row r="759" spans="1:5" x14ac:dyDescent="0.25">
      <c r="A759" s="138">
        <v>119206</v>
      </c>
      <c r="B759">
        <v>112</v>
      </c>
      <c r="C759">
        <v>1</v>
      </c>
      <c r="D759">
        <v>9</v>
      </c>
      <c r="E759" s="2" t="str">
        <f t="shared" si="11"/>
        <v/>
      </c>
    </row>
    <row r="760" spans="1:5" x14ac:dyDescent="0.25">
      <c r="A760" s="138">
        <v>119207</v>
      </c>
      <c r="B760">
        <v>112</v>
      </c>
      <c r="C760">
        <v>1</v>
      </c>
      <c r="D760">
        <v>9</v>
      </c>
      <c r="E760" s="2" t="str">
        <f t="shared" si="11"/>
        <v/>
      </c>
    </row>
    <row r="761" spans="1:5" x14ac:dyDescent="0.25">
      <c r="A761" s="138">
        <v>119208</v>
      </c>
      <c r="B761">
        <v>112</v>
      </c>
      <c r="C761">
        <v>1</v>
      </c>
      <c r="D761">
        <v>9</v>
      </c>
      <c r="E761" s="2" t="str">
        <f t="shared" si="11"/>
        <v/>
      </c>
    </row>
    <row r="762" spans="1:5" x14ac:dyDescent="0.25">
      <c r="A762" s="138">
        <v>119209</v>
      </c>
      <c r="B762">
        <v>112</v>
      </c>
      <c r="C762">
        <v>1</v>
      </c>
      <c r="D762">
        <v>9</v>
      </c>
      <c r="E762" s="2" t="str">
        <f t="shared" si="11"/>
        <v/>
      </c>
    </row>
    <row r="763" spans="1:5" x14ac:dyDescent="0.25">
      <c r="A763" s="138">
        <v>119210</v>
      </c>
      <c r="B763">
        <v>112</v>
      </c>
      <c r="C763">
        <v>1</v>
      </c>
      <c r="D763">
        <v>9</v>
      </c>
      <c r="E763" s="2" t="str">
        <f t="shared" si="11"/>
        <v/>
      </c>
    </row>
    <row r="764" spans="1:5" x14ac:dyDescent="0.25">
      <c r="A764" s="138">
        <v>119211</v>
      </c>
      <c r="B764">
        <v>112</v>
      </c>
      <c r="C764">
        <v>1</v>
      </c>
      <c r="D764">
        <v>9</v>
      </c>
      <c r="E764" s="2" t="str">
        <f t="shared" si="11"/>
        <v/>
      </c>
    </row>
    <row r="765" spans="1:5" x14ac:dyDescent="0.25">
      <c r="A765" s="138">
        <v>119212</v>
      </c>
      <c r="B765">
        <v>112</v>
      </c>
      <c r="C765">
        <v>1</v>
      </c>
      <c r="D765">
        <v>9</v>
      </c>
      <c r="E765" s="2" t="str">
        <f t="shared" si="11"/>
        <v/>
      </c>
    </row>
    <row r="766" spans="1:5" x14ac:dyDescent="0.25">
      <c r="A766" s="138">
        <v>119213</v>
      </c>
      <c r="B766">
        <v>112</v>
      </c>
      <c r="C766">
        <v>1</v>
      </c>
      <c r="D766">
        <v>9</v>
      </c>
      <c r="E766" s="2" t="str">
        <f t="shared" si="11"/>
        <v/>
      </c>
    </row>
    <row r="767" spans="1:5" x14ac:dyDescent="0.25">
      <c r="A767" s="138">
        <v>119214</v>
      </c>
      <c r="B767">
        <v>112</v>
      </c>
      <c r="C767">
        <v>1</v>
      </c>
      <c r="D767">
        <v>9</v>
      </c>
      <c r="E767" s="2" t="str">
        <f t="shared" si="11"/>
        <v/>
      </c>
    </row>
    <row r="768" spans="1:5" x14ac:dyDescent="0.25">
      <c r="A768" s="138">
        <v>119215</v>
      </c>
      <c r="B768">
        <v>112</v>
      </c>
      <c r="C768">
        <v>1</v>
      </c>
      <c r="D768">
        <v>9</v>
      </c>
      <c r="E768" s="2" t="str">
        <f t="shared" si="11"/>
        <v/>
      </c>
    </row>
    <row r="769" spans="1:5" x14ac:dyDescent="0.25">
      <c r="A769" s="138">
        <v>119216</v>
      </c>
      <c r="B769">
        <v>112</v>
      </c>
      <c r="C769">
        <v>1</v>
      </c>
      <c r="D769">
        <v>9</v>
      </c>
      <c r="E769" s="2" t="str">
        <f t="shared" si="11"/>
        <v/>
      </c>
    </row>
    <row r="770" spans="1:5" x14ac:dyDescent="0.25">
      <c r="A770" s="138">
        <v>119217</v>
      </c>
      <c r="B770">
        <v>112</v>
      </c>
      <c r="C770">
        <v>1</v>
      </c>
      <c r="D770">
        <v>9</v>
      </c>
      <c r="E770" s="2" t="str">
        <f t="shared" si="11"/>
        <v/>
      </c>
    </row>
    <row r="771" spans="1:5" x14ac:dyDescent="0.25">
      <c r="A771" s="138">
        <v>119218</v>
      </c>
      <c r="B771">
        <v>112</v>
      </c>
      <c r="C771">
        <v>1</v>
      </c>
      <c r="D771">
        <v>9</v>
      </c>
      <c r="E771" s="2" t="str">
        <f t="shared" ref="E771:E834" si="12">IF(B771=B770,IF(C770=C771,"",1),"")</f>
        <v/>
      </c>
    </row>
    <row r="772" spans="1:5" x14ac:dyDescent="0.25">
      <c r="A772" s="138">
        <v>119297</v>
      </c>
      <c r="B772">
        <v>112</v>
      </c>
      <c r="C772">
        <v>1</v>
      </c>
      <c r="D772">
        <v>9</v>
      </c>
      <c r="E772" s="2" t="str">
        <f t="shared" si="12"/>
        <v/>
      </c>
    </row>
    <row r="773" spans="1:5" x14ac:dyDescent="0.25">
      <c r="A773" s="138">
        <v>119298</v>
      </c>
      <c r="B773">
        <v>112</v>
      </c>
      <c r="C773">
        <v>1</v>
      </c>
      <c r="D773">
        <v>9</v>
      </c>
      <c r="E773" s="2" t="str">
        <f t="shared" si="12"/>
        <v/>
      </c>
    </row>
    <row r="774" spans="1:5" x14ac:dyDescent="0.25">
      <c r="A774" s="138">
        <v>119299</v>
      </c>
      <c r="B774">
        <v>112</v>
      </c>
      <c r="C774">
        <v>1</v>
      </c>
      <c r="D774">
        <v>9</v>
      </c>
      <c r="E774" s="2" t="str">
        <f t="shared" si="12"/>
        <v/>
      </c>
    </row>
    <row r="775" spans="1:5" x14ac:dyDescent="0.25">
      <c r="A775" s="138">
        <v>121000</v>
      </c>
      <c r="B775">
        <v>111</v>
      </c>
      <c r="C775">
        <v>2</v>
      </c>
      <c r="D775">
        <v>10</v>
      </c>
      <c r="E775" s="2" t="str">
        <f t="shared" si="12"/>
        <v/>
      </c>
    </row>
    <row r="776" spans="1:5" x14ac:dyDescent="0.25">
      <c r="A776" s="138">
        <v>121001</v>
      </c>
      <c r="B776">
        <v>111</v>
      </c>
      <c r="C776">
        <v>2</v>
      </c>
      <c r="D776">
        <v>10</v>
      </c>
      <c r="E776" s="2" t="str">
        <f t="shared" si="12"/>
        <v/>
      </c>
    </row>
    <row r="777" spans="1:5" x14ac:dyDescent="0.25">
      <c r="A777" s="138">
        <v>121002</v>
      </c>
      <c r="B777">
        <v>111</v>
      </c>
      <c r="C777">
        <v>2</v>
      </c>
      <c r="D777">
        <v>10</v>
      </c>
      <c r="E777" s="2" t="str">
        <f t="shared" si="12"/>
        <v/>
      </c>
    </row>
    <row r="778" spans="1:5" x14ac:dyDescent="0.25">
      <c r="A778" s="138">
        <v>121003</v>
      </c>
      <c r="B778">
        <v>111</v>
      </c>
      <c r="C778">
        <v>2</v>
      </c>
      <c r="D778">
        <v>10</v>
      </c>
      <c r="E778" s="2" t="str">
        <f t="shared" si="12"/>
        <v/>
      </c>
    </row>
    <row r="779" spans="1:5" x14ac:dyDescent="0.25">
      <c r="A779" s="138">
        <v>121004</v>
      </c>
      <c r="B779">
        <v>111</v>
      </c>
      <c r="C779">
        <v>2</v>
      </c>
      <c r="D779">
        <v>10</v>
      </c>
      <c r="E779" s="2" t="str">
        <f t="shared" si="12"/>
        <v/>
      </c>
    </row>
    <row r="780" spans="1:5" x14ac:dyDescent="0.25">
      <c r="A780" s="138">
        <v>121005</v>
      </c>
      <c r="B780">
        <v>111</v>
      </c>
      <c r="C780">
        <v>2</v>
      </c>
      <c r="D780">
        <v>10</v>
      </c>
      <c r="E780" s="2" t="str">
        <f t="shared" si="12"/>
        <v/>
      </c>
    </row>
    <row r="781" spans="1:5" x14ac:dyDescent="0.25">
      <c r="A781" s="138">
        <v>121006</v>
      </c>
      <c r="B781">
        <v>111</v>
      </c>
      <c r="C781">
        <v>2</v>
      </c>
      <c r="D781">
        <v>10</v>
      </c>
      <c r="E781" s="2" t="str">
        <f t="shared" si="12"/>
        <v/>
      </c>
    </row>
    <row r="782" spans="1:5" x14ac:dyDescent="0.25">
      <c r="A782" s="138">
        <v>121007</v>
      </c>
      <c r="B782">
        <v>111</v>
      </c>
      <c r="C782">
        <v>2</v>
      </c>
      <c r="D782">
        <v>10</v>
      </c>
      <c r="E782" s="2" t="str">
        <f t="shared" si="12"/>
        <v/>
      </c>
    </row>
    <row r="783" spans="1:5" x14ac:dyDescent="0.25">
      <c r="A783" s="138">
        <v>121008</v>
      </c>
      <c r="B783">
        <v>111</v>
      </c>
      <c r="C783">
        <v>2</v>
      </c>
      <c r="D783">
        <v>10</v>
      </c>
      <c r="E783" s="2" t="str">
        <f t="shared" si="12"/>
        <v/>
      </c>
    </row>
    <row r="784" spans="1:5" x14ac:dyDescent="0.25">
      <c r="A784" s="138">
        <v>121009</v>
      </c>
      <c r="B784">
        <v>111</v>
      </c>
      <c r="C784">
        <v>2</v>
      </c>
      <c r="D784">
        <v>10</v>
      </c>
      <c r="E784" s="2" t="str">
        <f t="shared" si="12"/>
        <v/>
      </c>
    </row>
    <row r="785" spans="1:5" x14ac:dyDescent="0.25">
      <c r="A785" s="138">
        <v>121010</v>
      </c>
      <c r="B785">
        <v>111</v>
      </c>
      <c r="C785">
        <v>2</v>
      </c>
      <c r="D785">
        <v>10</v>
      </c>
      <c r="E785" s="2" t="str">
        <f t="shared" si="12"/>
        <v/>
      </c>
    </row>
    <row r="786" spans="1:5" x14ac:dyDescent="0.25">
      <c r="A786" s="138">
        <v>121011</v>
      </c>
      <c r="B786">
        <v>111</v>
      </c>
      <c r="C786">
        <v>2</v>
      </c>
      <c r="D786">
        <v>10</v>
      </c>
      <c r="E786" s="2" t="str">
        <f t="shared" si="12"/>
        <v/>
      </c>
    </row>
    <row r="787" spans="1:5" x14ac:dyDescent="0.25">
      <c r="A787" s="138">
        <v>121012</v>
      </c>
      <c r="B787">
        <v>111</v>
      </c>
      <c r="C787">
        <v>2</v>
      </c>
      <c r="D787">
        <v>10</v>
      </c>
      <c r="E787" s="2" t="str">
        <f t="shared" si="12"/>
        <v/>
      </c>
    </row>
    <row r="788" spans="1:5" x14ac:dyDescent="0.25">
      <c r="A788" s="138">
        <v>121013</v>
      </c>
      <c r="B788">
        <v>111</v>
      </c>
      <c r="C788">
        <v>2</v>
      </c>
      <c r="D788">
        <v>10</v>
      </c>
      <c r="E788" s="2" t="str">
        <f t="shared" si="12"/>
        <v/>
      </c>
    </row>
    <row r="789" spans="1:5" x14ac:dyDescent="0.25">
      <c r="A789" s="138">
        <v>121014</v>
      </c>
      <c r="B789">
        <v>111</v>
      </c>
      <c r="C789">
        <v>2</v>
      </c>
      <c r="D789">
        <v>10</v>
      </c>
      <c r="E789" s="2" t="str">
        <f t="shared" si="12"/>
        <v/>
      </c>
    </row>
    <row r="790" spans="1:5" x14ac:dyDescent="0.25">
      <c r="A790" s="138">
        <v>121099</v>
      </c>
      <c r="B790">
        <v>111</v>
      </c>
      <c r="C790">
        <v>2</v>
      </c>
      <c r="D790">
        <v>10</v>
      </c>
      <c r="E790" s="2" t="str">
        <f t="shared" si="12"/>
        <v/>
      </c>
    </row>
    <row r="791" spans="1:5" x14ac:dyDescent="0.25">
      <c r="A791" s="138">
        <v>122000</v>
      </c>
      <c r="B791">
        <v>114</v>
      </c>
      <c r="C791">
        <v>2</v>
      </c>
      <c r="D791">
        <v>11</v>
      </c>
      <c r="E791" s="2" t="str">
        <f t="shared" si="12"/>
        <v/>
      </c>
    </row>
    <row r="792" spans="1:5" x14ac:dyDescent="0.25">
      <c r="A792" s="138">
        <v>122001</v>
      </c>
      <c r="B792">
        <v>114</v>
      </c>
      <c r="C792">
        <v>2</v>
      </c>
      <c r="D792">
        <v>11</v>
      </c>
      <c r="E792" s="2" t="str">
        <f t="shared" si="12"/>
        <v/>
      </c>
    </row>
    <row r="793" spans="1:5" x14ac:dyDescent="0.25">
      <c r="A793" s="138">
        <v>122002</v>
      </c>
      <c r="B793">
        <v>114</v>
      </c>
      <c r="C793">
        <v>2</v>
      </c>
      <c r="D793">
        <v>11</v>
      </c>
      <c r="E793" s="2" t="str">
        <f t="shared" si="12"/>
        <v/>
      </c>
    </row>
    <row r="794" spans="1:5" x14ac:dyDescent="0.25">
      <c r="A794" s="138">
        <v>122003</v>
      </c>
      <c r="B794">
        <v>114</v>
      </c>
      <c r="C794">
        <v>2</v>
      </c>
      <c r="D794">
        <v>11</v>
      </c>
      <c r="E794" s="2" t="str">
        <f t="shared" si="12"/>
        <v/>
      </c>
    </row>
    <row r="795" spans="1:5" x14ac:dyDescent="0.25">
      <c r="A795" s="138">
        <v>122004</v>
      </c>
      <c r="B795">
        <v>114</v>
      </c>
      <c r="C795">
        <v>2</v>
      </c>
      <c r="D795">
        <v>11</v>
      </c>
      <c r="E795" s="2" t="str">
        <f t="shared" si="12"/>
        <v/>
      </c>
    </row>
    <row r="796" spans="1:5" x14ac:dyDescent="0.25">
      <c r="A796" s="138">
        <v>122005</v>
      </c>
      <c r="B796">
        <v>114</v>
      </c>
      <c r="C796">
        <v>2</v>
      </c>
      <c r="D796">
        <v>11</v>
      </c>
      <c r="E796" s="2" t="str">
        <f t="shared" si="12"/>
        <v/>
      </c>
    </row>
    <row r="797" spans="1:5" x14ac:dyDescent="0.25">
      <c r="A797" s="138">
        <v>122006</v>
      </c>
      <c r="B797">
        <v>114</v>
      </c>
      <c r="C797">
        <v>2</v>
      </c>
      <c r="D797">
        <v>11</v>
      </c>
      <c r="E797" s="2" t="str">
        <f t="shared" si="12"/>
        <v/>
      </c>
    </row>
    <row r="798" spans="1:5" x14ac:dyDescent="0.25">
      <c r="A798" s="138">
        <v>122007</v>
      </c>
      <c r="B798">
        <v>114</v>
      </c>
      <c r="C798">
        <v>2</v>
      </c>
      <c r="D798">
        <v>11</v>
      </c>
      <c r="E798" s="2" t="str">
        <f t="shared" si="12"/>
        <v/>
      </c>
    </row>
    <row r="799" spans="1:5" x14ac:dyDescent="0.25">
      <c r="A799" s="138">
        <v>122008</v>
      </c>
      <c r="B799">
        <v>114</v>
      </c>
      <c r="C799">
        <v>2</v>
      </c>
      <c r="D799">
        <v>11</v>
      </c>
      <c r="E799" s="2" t="str">
        <f t="shared" si="12"/>
        <v/>
      </c>
    </row>
    <row r="800" spans="1:5" x14ac:dyDescent="0.25">
      <c r="A800" s="138">
        <v>122009</v>
      </c>
      <c r="B800">
        <v>114</v>
      </c>
      <c r="C800">
        <v>2</v>
      </c>
      <c r="D800">
        <v>11</v>
      </c>
      <c r="E800" s="2" t="str">
        <f t="shared" si="12"/>
        <v/>
      </c>
    </row>
    <row r="801" spans="1:5" x14ac:dyDescent="0.25">
      <c r="A801" s="138">
        <v>122097</v>
      </c>
      <c r="B801">
        <v>114</v>
      </c>
      <c r="C801">
        <v>2</v>
      </c>
      <c r="D801">
        <v>11</v>
      </c>
      <c r="E801" s="2" t="str">
        <f t="shared" si="12"/>
        <v/>
      </c>
    </row>
    <row r="802" spans="1:5" x14ac:dyDescent="0.25">
      <c r="A802" s="138">
        <v>122098</v>
      </c>
      <c r="B802">
        <v>114</v>
      </c>
      <c r="C802">
        <v>2</v>
      </c>
      <c r="D802">
        <v>11</v>
      </c>
      <c r="E802" s="2" t="str">
        <f t="shared" si="12"/>
        <v/>
      </c>
    </row>
    <row r="803" spans="1:5" x14ac:dyDescent="0.25">
      <c r="A803" s="138">
        <v>122099</v>
      </c>
      <c r="B803">
        <v>114</v>
      </c>
      <c r="C803">
        <v>2</v>
      </c>
      <c r="D803">
        <v>11</v>
      </c>
      <c r="E803" s="2" t="str">
        <f t="shared" si="12"/>
        <v/>
      </c>
    </row>
    <row r="804" spans="1:5" x14ac:dyDescent="0.25">
      <c r="A804" s="138">
        <v>122100</v>
      </c>
      <c r="B804">
        <v>114</v>
      </c>
      <c r="C804">
        <v>2</v>
      </c>
      <c r="D804">
        <v>11</v>
      </c>
      <c r="E804" s="2" t="str">
        <f t="shared" si="12"/>
        <v/>
      </c>
    </row>
    <row r="805" spans="1:5" x14ac:dyDescent="0.25">
      <c r="A805" s="138">
        <v>122101</v>
      </c>
      <c r="B805">
        <v>114</v>
      </c>
      <c r="C805">
        <v>2</v>
      </c>
      <c r="D805">
        <v>11</v>
      </c>
      <c r="E805" s="2" t="str">
        <f t="shared" si="12"/>
        <v/>
      </c>
    </row>
    <row r="806" spans="1:5" x14ac:dyDescent="0.25">
      <c r="A806" s="138">
        <v>122102</v>
      </c>
      <c r="B806">
        <v>114</v>
      </c>
      <c r="C806">
        <v>2</v>
      </c>
      <c r="D806">
        <v>11</v>
      </c>
      <c r="E806" s="2" t="str">
        <f t="shared" si="12"/>
        <v/>
      </c>
    </row>
    <row r="807" spans="1:5" x14ac:dyDescent="0.25">
      <c r="A807" s="138">
        <v>122103</v>
      </c>
      <c r="B807">
        <v>114</v>
      </c>
      <c r="C807">
        <v>2</v>
      </c>
      <c r="D807">
        <v>11</v>
      </c>
      <c r="E807" s="2" t="str">
        <f t="shared" si="12"/>
        <v/>
      </c>
    </row>
    <row r="808" spans="1:5" x14ac:dyDescent="0.25">
      <c r="A808" s="138">
        <v>122104</v>
      </c>
      <c r="B808">
        <v>114</v>
      </c>
      <c r="C808">
        <v>2</v>
      </c>
      <c r="D808">
        <v>11</v>
      </c>
      <c r="E808" s="2" t="str">
        <f t="shared" si="12"/>
        <v/>
      </c>
    </row>
    <row r="809" spans="1:5" x14ac:dyDescent="0.25">
      <c r="A809" s="138">
        <v>122105</v>
      </c>
      <c r="B809">
        <v>114</v>
      </c>
      <c r="C809">
        <v>2</v>
      </c>
      <c r="D809">
        <v>11</v>
      </c>
      <c r="E809" s="2" t="str">
        <f t="shared" si="12"/>
        <v/>
      </c>
    </row>
    <row r="810" spans="1:5" x14ac:dyDescent="0.25">
      <c r="A810" s="138">
        <v>122199</v>
      </c>
      <c r="B810">
        <v>114</v>
      </c>
      <c r="C810">
        <v>2</v>
      </c>
      <c r="D810">
        <v>11</v>
      </c>
      <c r="E810" s="2" t="str">
        <f t="shared" si="12"/>
        <v/>
      </c>
    </row>
    <row r="811" spans="1:5" x14ac:dyDescent="0.25">
      <c r="A811" s="138">
        <v>211000</v>
      </c>
      <c r="B811">
        <v>113</v>
      </c>
      <c r="C811">
        <v>2</v>
      </c>
      <c r="D811">
        <v>12</v>
      </c>
      <c r="E811" s="2" t="str">
        <f t="shared" si="12"/>
        <v/>
      </c>
    </row>
    <row r="812" spans="1:5" x14ac:dyDescent="0.25">
      <c r="A812" s="138">
        <v>211001</v>
      </c>
      <c r="B812">
        <v>113</v>
      </c>
      <c r="C812">
        <v>2</v>
      </c>
      <c r="D812">
        <v>12</v>
      </c>
      <c r="E812" s="2" t="str">
        <f t="shared" si="12"/>
        <v/>
      </c>
    </row>
    <row r="813" spans="1:5" x14ac:dyDescent="0.25">
      <c r="A813" s="138">
        <v>211002</v>
      </c>
      <c r="B813">
        <v>113</v>
      </c>
      <c r="C813">
        <v>2</v>
      </c>
      <c r="D813">
        <v>12</v>
      </c>
      <c r="E813" s="2" t="str">
        <f t="shared" si="12"/>
        <v/>
      </c>
    </row>
    <row r="814" spans="1:5" x14ac:dyDescent="0.25">
      <c r="A814" s="138">
        <v>211003</v>
      </c>
      <c r="B814">
        <v>113</v>
      </c>
      <c r="C814">
        <v>2</v>
      </c>
      <c r="D814">
        <v>12</v>
      </c>
      <c r="E814" s="2" t="str">
        <f t="shared" si="12"/>
        <v/>
      </c>
    </row>
    <row r="815" spans="1:5" x14ac:dyDescent="0.25">
      <c r="A815" s="138">
        <v>211004</v>
      </c>
      <c r="B815">
        <v>113</v>
      </c>
      <c r="C815">
        <v>2</v>
      </c>
      <c r="D815">
        <v>12</v>
      </c>
      <c r="E815" s="2" t="str">
        <f t="shared" si="12"/>
        <v/>
      </c>
    </row>
    <row r="816" spans="1:5" x14ac:dyDescent="0.25">
      <c r="A816" s="138">
        <v>211005</v>
      </c>
      <c r="B816">
        <v>113</v>
      </c>
      <c r="C816">
        <v>2</v>
      </c>
      <c r="D816">
        <v>12</v>
      </c>
      <c r="E816" s="2" t="str">
        <f t="shared" si="12"/>
        <v/>
      </c>
    </row>
    <row r="817" spans="1:5" x14ac:dyDescent="0.25">
      <c r="A817" s="138">
        <v>211006</v>
      </c>
      <c r="B817">
        <v>113</v>
      </c>
      <c r="C817">
        <v>2</v>
      </c>
      <c r="D817">
        <v>12</v>
      </c>
      <c r="E817" s="2" t="str">
        <f t="shared" si="12"/>
        <v/>
      </c>
    </row>
    <row r="818" spans="1:5" x14ac:dyDescent="0.25">
      <c r="A818" s="138">
        <v>211007</v>
      </c>
      <c r="B818">
        <v>113</v>
      </c>
      <c r="C818">
        <v>2</v>
      </c>
      <c r="D818">
        <v>12</v>
      </c>
      <c r="E818" s="2" t="str">
        <f t="shared" si="12"/>
        <v/>
      </c>
    </row>
    <row r="819" spans="1:5" x14ac:dyDescent="0.25">
      <c r="A819" s="138">
        <v>211008</v>
      </c>
      <c r="B819">
        <v>113</v>
      </c>
      <c r="C819">
        <v>2</v>
      </c>
      <c r="D819">
        <v>12</v>
      </c>
      <c r="E819" s="2" t="str">
        <f t="shared" si="12"/>
        <v/>
      </c>
    </row>
    <row r="820" spans="1:5" x14ac:dyDescent="0.25">
      <c r="A820" s="138">
        <v>211009</v>
      </c>
      <c r="B820">
        <v>113</v>
      </c>
      <c r="C820">
        <v>2</v>
      </c>
      <c r="D820">
        <v>12</v>
      </c>
      <c r="E820" s="2" t="str">
        <f t="shared" si="12"/>
        <v/>
      </c>
    </row>
    <row r="821" spans="1:5" x14ac:dyDescent="0.25">
      <c r="A821" s="138">
        <v>211010</v>
      </c>
      <c r="B821">
        <v>113</v>
      </c>
      <c r="C821">
        <v>2</v>
      </c>
      <c r="D821">
        <v>12</v>
      </c>
      <c r="E821" s="2" t="str">
        <f t="shared" si="12"/>
        <v/>
      </c>
    </row>
    <row r="822" spans="1:5" x14ac:dyDescent="0.25">
      <c r="A822" s="138">
        <v>211011</v>
      </c>
      <c r="B822">
        <v>113</v>
      </c>
      <c r="C822">
        <v>2</v>
      </c>
      <c r="D822">
        <v>12</v>
      </c>
      <c r="E822" s="2" t="str">
        <f t="shared" si="12"/>
        <v/>
      </c>
    </row>
    <row r="823" spans="1:5" x14ac:dyDescent="0.25">
      <c r="A823" s="138">
        <v>211012</v>
      </c>
      <c r="B823">
        <v>113</v>
      </c>
      <c r="C823">
        <v>2</v>
      </c>
      <c r="D823">
        <v>12</v>
      </c>
      <c r="E823" s="2" t="str">
        <f t="shared" si="12"/>
        <v/>
      </c>
    </row>
    <row r="824" spans="1:5" x14ac:dyDescent="0.25">
      <c r="A824" s="138">
        <v>211013</v>
      </c>
      <c r="B824">
        <v>113</v>
      </c>
      <c r="C824">
        <v>2</v>
      </c>
      <c r="D824">
        <v>12</v>
      </c>
      <c r="E824" s="2" t="str">
        <f t="shared" si="12"/>
        <v/>
      </c>
    </row>
    <row r="825" spans="1:5" x14ac:dyDescent="0.25">
      <c r="A825" s="138">
        <v>211014</v>
      </c>
      <c r="B825">
        <v>113</v>
      </c>
      <c r="C825">
        <v>2</v>
      </c>
      <c r="D825">
        <v>12</v>
      </c>
      <c r="E825" s="2" t="str">
        <f t="shared" si="12"/>
        <v/>
      </c>
    </row>
    <row r="826" spans="1:5" x14ac:dyDescent="0.25">
      <c r="A826" s="138">
        <v>211015</v>
      </c>
      <c r="B826">
        <v>113</v>
      </c>
      <c r="C826">
        <v>2</v>
      </c>
      <c r="D826">
        <v>12</v>
      </c>
      <c r="E826" s="2" t="str">
        <f t="shared" si="12"/>
        <v/>
      </c>
    </row>
    <row r="827" spans="1:5" x14ac:dyDescent="0.25">
      <c r="A827" s="138">
        <v>211099</v>
      </c>
      <c r="B827">
        <v>113</v>
      </c>
      <c r="C827">
        <v>2</v>
      </c>
      <c r="D827">
        <v>12</v>
      </c>
      <c r="E827" s="2" t="str">
        <f t="shared" si="12"/>
        <v/>
      </c>
    </row>
    <row r="828" spans="1:5" x14ac:dyDescent="0.25">
      <c r="A828" s="138">
        <v>212000</v>
      </c>
      <c r="B828">
        <v>113</v>
      </c>
      <c r="C828">
        <v>2</v>
      </c>
      <c r="D828">
        <v>13</v>
      </c>
      <c r="E828" s="2" t="str">
        <f t="shared" si="12"/>
        <v/>
      </c>
    </row>
    <row r="829" spans="1:5" x14ac:dyDescent="0.25">
      <c r="A829" s="138">
        <v>212001</v>
      </c>
      <c r="B829">
        <v>113</v>
      </c>
      <c r="C829">
        <v>2</v>
      </c>
      <c r="D829">
        <v>13</v>
      </c>
      <c r="E829" s="2" t="str">
        <f t="shared" si="12"/>
        <v/>
      </c>
    </row>
    <row r="830" spans="1:5" x14ac:dyDescent="0.25">
      <c r="A830" s="138">
        <v>212002</v>
      </c>
      <c r="B830">
        <v>113</v>
      </c>
      <c r="C830">
        <v>2</v>
      </c>
      <c r="D830">
        <v>13</v>
      </c>
      <c r="E830" s="2" t="str">
        <f t="shared" si="12"/>
        <v/>
      </c>
    </row>
    <row r="831" spans="1:5" x14ac:dyDescent="0.25">
      <c r="A831" s="138">
        <v>212003</v>
      </c>
      <c r="B831">
        <v>113</v>
      </c>
      <c r="C831">
        <v>2</v>
      </c>
      <c r="D831">
        <v>13</v>
      </c>
      <c r="E831" s="2" t="str">
        <f t="shared" si="12"/>
        <v/>
      </c>
    </row>
    <row r="832" spans="1:5" x14ac:dyDescent="0.25">
      <c r="A832" s="138">
        <v>212004</v>
      </c>
      <c r="B832">
        <v>113</v>
      </c>
      <c r="C832">
        <v>2</v>
      </c>
      <c r="D832">
        <v>13</v>
      </c>
      <c r="E832" s="2" t="str">
        <f t="shared" si="12"/>
        <v/>
      </c>
    </row>
    <row r="833" spans="1:5" x14ac:dyDescent="0.25">
      <c r="A833" s="138">
        <v>212005</v>
      </c>
      <c r="B833">
        <v>113</v>
      </c>
      <c r="C833">
        <v>2</v>
      </c>
      <c r="D833">
        <v>13</v>
      </c>
      <c r="E833" s="2" t="str">
        <f t="shared" si="12"/>
        <v/>
      </c>
    </row>
    <row r="834" spans="1:5" x14ac:dyDescent="0.25">
      <c r="A834" s="138">
        <v>212006</v>
      </c>
      <c r="B834">
        <v>113</v>
      </c>
      <c r="C834">
        <v>2</v>
      </c>
      <c r="D834">
        <v>13</v>
      </c>
      <c r="E834" s="2" t="str">
        <f t="shared" si="12"/>
        <v/>
      </c>
    </row>
    <row r="835" spans="1:5" x14ac:dyDescent="0.25">
      <c r="A835" s="138">
        <v>212007</v>
      </c>
      <c r="B835">
        <v>113</v>
      </c>
      <c r="C835">
        <v>2</v>
      </c>
      <c r="D835">
        <v>13</v>
      </c>
      <c r="E835" s="2" t="str">
        <f t="shared" ref="E835:E898" si="13">IF(B835=B834,IF(C834=C835,"",1),"")</f>
        <v/>
      </c>
    </row>
    <row r="836" spans="1:5" x14ac:dyDescent="0.25">
      <c r="A836" s="138">
        <v>212008</v>
      </c>
      <c r="B836">
        <v>113</v>
      </c>
      <c r="C836">
        <v>2</v>
      </c>
      <c r="D836">
        <v>13</v>
      </c>
      <c r="E836" s="2" t="str">
        <f t="shared" si="13"/>
        <v/>
      </c>
    </row>
    <row r="837" spans="1:5" x14ac:dyDescent="0.25">
      <c r="A837" s="138">
        <v>212009</v>
      </c>
      <c r="B837">
        <v>113</v>
      </c>
      <c r="C837">
        <v>2</v>
      </c>
      <c r="D837">
        <v>13</v>
      </c>
      <c r="E837" s="2" t="str">
        <f t="shared" si="13"/>
        <v/>
      </c>
    </row>
    <row r="838" spans="1:5" x14ac:dyDescent="0.25">
      <c r="A838" s="138">
        <v>212099</v>
      </c>
      <c r="B838">
        <v>113</v>
      </c>
      <c r="C838">
        <v>2</v>
      </c>
      <c r="D838">
        <v>13</v>
      </c>
      <c r="E838" s="2" t="str">
        <f t="shared" si="13"/>
        <v/>
      </c>
    </row>
    <row r="839" spans="1:5" x14ac:dyDescent="0.25">
      <c r="A839" s="138">
        <v>213000</v>
      </c>
      <c r="B839">
        <v>113</v>
      </c>
      <c r="C839">
        <v>2</v>
      </c>
      <c r="D839">
        <v>14</v>
      </c>
      <c r="E839" s="2" t="str">
        <f t="shared" si="13"/>
        <v/>
      </c>
    </row>
    <row r="840" spans="1:5" x14ac:dyDescent="0.25">
      <c r="A840" s="138">
        <v>213001</v>
      </c>
      <c r="B840">
        <v>113</v>
      </c>
      <c r="C840">
        <v>2</v>
      </c>
      <c r="D840">
        <v>14</v>
      </c>
      <c r="E840" s="2" t="str">
        <f t="shared" si="13"/>
        <v/>
      </c>
    </row>
    <row r="841" spans="1:5" x14ac:dyDescent="0.25">
      <c r="A841" s="138">
        <v>213002</v>
      </c>
      <c r="B841">
        <v>113</v>
      </c>
      <c r="C841">
        <v>2</v>
      </c>
      <c r="D841">
        <v>14</v>
      </c>
      <c r="E841" s="2" t="str">
        <f t="shared" si="13"/>
        <v/>
      </c>
    </row>
    <row r="842" spans="1:5" x14ac:dyDescent="0.25">
      <c r="A842" s="138">
        <v>213003</v>
      </c>
      <c r="B842">
        <v>113</v>
      </c>
      <c r="C842">
        <v>2</v>
      </c>
      <c r="D842">
        <v>14</v>
      </c>
      <c r="E842" s="2" t="str">
        <f t="shared" si="13"/>
        <v/>
      </c>
    </row>
    <row r="843" spans="1:5" x14ac:dyDescent="0.25">
      <c r="A843" s="138">
        <v>213004</v>
      </c>
      <c r="B843">
        <v>113</v>
      </c>
      <c r="C843">
        <v>2</v>
      </c>
      <c r="D843">
        <v>14</v>
      </c>
      <c r="E843" s="2" t="str">
        <f t="shared" si="13"/>
        <v/>
      </c>
    </row>
    <row r="844" spans="1:5" x14ac:dyDescent="0.25">
      <c r="A844" s="138">
        <v>221000</v>
      </c>
      <c r="B844">
        <v>115</v>
      </c>
      <c r="C844">
        <v>4</v>
      </c>
      <c r="D844">
        <v>47</v>
      </c>
      <c r="E844" s="2" t="str">
        <f t="shared" si="13"/>
        <v/>
      </c>
    </row>
    <row r="845" spans="1:5" x14ac:dyDescent="0.25">
      <c r="A845" s="138">
        <v>221001</v>
      </c>
      <c r="B845">
        <v>115</v>
      </c>
      <c r="C845">
        <v>4</v>
      </c>
      <c r="D845">
        <v>47</v>
      </c>
      <c r="E845" s="2" t="str">
        <f t="shared" si="13"/>
        <v/>
      </c>
    </row>
    <row r="846" spans="1:5" x14ac:dyDescent="0.25">
      <c r="A846" s="138">
        <v>221002</v>
      </c>
      <c r="B846">
        <v>115</v>
      </c>
      <c r="C846">
        <v>4</v>
      </c>
      <c r="D846">
        <v>47</v>
      </c>
      <c r="E846" s="2" t="str">
        <f t="shared" si="13"/>
        <v/>
      </c>
    </row>
    <row r="847" spans="1:5" x14ac:dyDescent="0.25">
      <c r="A847" s="138">
        <v>221003</v>
      </c>
      <c r="B847">
        <v>115</v>
      </c>
      <c r="C847">
        <v>4</v>
      </c>
      <c r="D847">
        <v>47</v>
      </c>
      <c r="E847" s="2" t="str">
        <f t="shared" si="13"/>
        <v/>
      </c>
    </row>
    <row r="848" spans="1:5" x14ac:dyDescent="0.25">
      <c r="A848" s="138">
        <v>221004</v>
      </c>
      <c r="B848">
        <v>115</v>
      </c>
      <c r="C848">
        <v>4</v>
      </c>
      <c r="D848">
        <v>47</v>
      </c>
      <c r="E848" s="2" t="str">
        <f t="shared" si="13"/>
        <v/>
      </c>
    </row>
    <row r="849" spans="1:5" x14ac:dyDescent="0.25">
      <c r="A849" s="138">
        <v>221005</v>
      </c>
      <c r="B849">
        <v>115</v>
      </c>
      <c r="C849">
        <v>4</v>
      </c>
      <c r="D849">
        <v>47</v>
      </c>
      <c r="E849" s="2" t="str">
        <f t="shared" si="13"/>
        <v/>
      </c>
    </row>
    <row r="850" spans="1:5" x14ac:dyDescent="0.25">
      <c r="A850" s="138">
        <v>221006</v>
      </c>
      <c r="B850">
        <v>115</v>
      </c>
      <c r="C850">
        <v>4</v>
      </c>
      <c r="D850">
        <v>47</v>
      </c>
      <c r="E850" s="2" t="str">
        <f t="shared" si="13"/>
        <v/>
      </c>
    </row>
    <row r="851" spans="1:5" x14ac:dyDescent="0.25">
      <c r="A851" s="138">
        <v>231000</v>
      </c>
      <c r="B851">
        <v>115</v>
      </c>
      <c r="C851">
        <v>4</v>
      </c>
      <c r="D851">
        <v>16</v>
      </c>
      <c r="E851" s="2" t="str">
        <f t="shared" si="13"/>
        <v/>
      </c>
    </row>
    <row r="852" spans="1:5" x14ac:dyDescent="0.25">
      <c r="A852" s="138">
        <v>231001</v>
      </c>
      <c r="B852">
        <v>115</v>
      </c>
      <c r="C852">
        <v>4</v>
      </c>
      <c r="D852">
        <v>16</v>
      </c>
      <c r="E852" s="2" t="str">
        <f t="shared" si="13"/>
        <v/>
      </c>
    </row>
    <row r="853" spans="1:5" x14ac:dyDescent="0.25">
      <c r="A853" s="138">
        <v>231002</v>
      </c>
      <c r="B853">
        <v>115</v>
      </c>
      <c r="C853">
        <v>4</v>
      </c>
      <c r="D853">
        <v>16</v>
      </c>
      <c r="E853" s="2" t="str">
        <f t="shared" si="13"/>
        <v/>
      </c>
    </row>
    <row r="854" spans="1:5" x14ac:dyDescent="0.25">
      <c r="A854" s="138">
        <v>231003</v>
      </c>
      <c r="B854">
        <v>115</v>
      </c>
      <c r="C854">
        <v>4</v>
      </c>
      <c r="D854">
        <v>16</v>
      </c>
      <c r="E854" s="2" t="str">
        <f t="shared" si="13"/>
        <v/>
      </c>
    </row>
    <row r="855" spans="1:5" x14ac:dyDescent="0.25">
      <c r="A855" s="138">
        <v>231004</v>
      </c>
      <c r="B855">
        <v>115</v>
      </c>
      <c r="C855">
        <v>4</v>
      </c>
      <c r="D855">
        <v>16</v>
      </c>
      <c r="E855" s="2" t="str">
        <f t="shared" si="13"/>
        <v/>
      </c>
    </row>
    <row r="856" spans="1:5" x14ac:dyDescent="0.25">
      <c r="A856" s="138">
        <v>231005</v>
      </c>
      <c r="B856">
        <v>115</v>
      </c>
      <c r="C856">
        <v>4</v>
      </c>
      <c r="D856">
        <v>16</v>
      </c>
      <c r="E856" s="2" t="str">
        <f t="shared" si="13"/>
        <v/>
      </c>
    </row>
    <row r="857" spans="1:5" x14ac:dyDescent="0.25">
      <c r="A857" s="138">
        <v>231006</v>
      </c>
      <c r="B857">
        <v>115</v>
      </c>
      <c r="C857">
        <v>4</v>
      </c>
      <c r="D857">
        <v>16</v>
      </c>
      <c r="E857" s="2" t="str">
        <f t="shared" si="13"/>
        <v/>
      </c>
    </row>
    <row r="858" spans="1:5" x14ac:dyDescent="0.25">
      <c r="A858" s="138">
        <v>231007</v>
      </c>
      <c r="B858">
        <v>115</v>
      </c>
      <c r="C858">
        <v>4</v>
      </c>
      <c r="D858">
        <v>16</v>
      </c>
      <c r="E858" s="2" t="str">
        <f t="shared" si="13"/>
        <v/>
      </c>
    </row>
    <row r="859" spans="1:5" x14ac:dyDescent="0.25">
      <c r="A859" s="138">
        <v>231008</v>
      </c>
      <c r="B859">
        <v>115</v>
      </c>
      <c r="C859">
        <v>4</v>
      </c>
      <c r="D859">
        <v>16</v>
      </c>
      <c r="E859" s="2" t="str">
        <f t="shared" si="13"/>
        <v/>
      </c>
    </row>
    <row r="860" spans="1:5" x14ac:dyDescent="0.25">
      <c r="A860" s="138">
        <v>231099</v>
      </c>
      <c r="B860">
        <v>115</v>
      </c>
      <c r="C860">
        <v>4</v>
      </c>
      <c r="D860">
        <v>16</v>
      </c>
      <c r="E860" s="2" t="str">
        <f t="shared" si="13"/>
        <v/>
      </c>
    </row>
    <row r="861" spans="1:5" x14ac:dyDescent="0.25">
      <c r="A861" s="138">
        <v>311000</v>
      </c>
      <c r="B861">
        <v>117</v>
      </c>
      <c r="C861">
        <v>5</v>
      </c>
      <c r="D861">
        <v>19</v>
      </c>
      <c r="E861" s="2" t="str">
        <f t="shared" si="13"/>
        <v/>
      </c>
    </row>
    <row r="862" spans="1:5" x14ac:dyDescent="0.25">
      <c r="A862" s="138">
        <v>311001</v>
      </c>
      <c r="B862">
        <v>117</v>
      </c>
      <c r="C862">
        <v>5</v>
      </c>
      <c r="D862">
        <v>19</v>
      </c>
      <c r="E862" s="2" t="str">
        <f t="shared" si="13"/>
        <v/>
      </c>
    </row>
    <row r="863" spans="1:5" x14ac:dyDescent="0.25">
      <c r="A863" s="138">
        <v>311002</v>
      </c>
      <c r="B863">
        <v>117</v>
      </c>
      <c r="C863">
        <v>5</v>
      </c>
      <c r="D863">
        <v>19</v>
      </c>
      <c r="E863" s="2" t="str">
        <f t="shared" si="13"/>
        <v/>
      </c>
    </row>
    <row r="864" spans="1:5" x14ac:dyDescent="0.25">
      <c r="A864" s="138">
        <v>311003</v>
      </c>
      <c r="B864">
        <v>117</v>
      </c>
      <c r="C864">
        <v>5</v>
      </c>
      <c r="D864">
        <v>19</v>
      </c>
      <c r="E864" s="2" t="str">
        <f t="shared" si="13"/>
        <v/>
      </c>
    </row>
    <row r="865" spans="1:5" x14ac:dyDescent="0.25">
      <c r="A865" s="138">
        <v>311004</v>
      </c>
      <c r="B865">
        <v>117</v>
      </c>
      <c r="C865">
        <v>5</v>
      </c>
      <c r="D865">
        <v>19</v>
      </c>
      <c r="E865" s="2" t="str">
        <f t="shared" si="13"/>
        <v/>
      </c>
    </row>
    <row r="866" spans="1:5" x14ac:dyDescent="0.25">
      <c r="A866" s="138">
        <v>311005</v>
      </c>
      <c r="B866">
        <v>117</v>
      </c>
      <c r="C866">
        <v>5</v>
      </c>
      <c r="D866">
        <v>19</v>
      </c>
      <c r="E866" s="2" t="str">
        <f t="shared" si="13"/>
        <v/>
      </c>
    </row>
    <row r="867" spans="1:5" x14ac:dyDescent="0.25">
      <c r="A867" s="138">
        <v>311006</v>
      </c>
      <c r="B867">
        <v>117</v>
      </c>
      <c r="C867">
        <v>5</v>
      </c>
      <c r="D867">
        <v>19</v>
      </c>
      <c r="E867" s="2" t="str">
        <f t="shared" si="13"/>
        <v/>
      </c>
    </row>
    <row r="868" spans="1:5" x14ac:dyDescent="0.25">
      <c r="A868" s="138">
        <v>311007</v>
      </c>
      <c r="B868">
        <v>117</v>
      </c>
      <c r="C868">
        <v>5</v>
      </c>
      <c r="D868">
        <v>19</v>
      </c>
      <c r="E868" s="2" t="str">
        <f t="shared" si="13"/>
        <v/>
      </c>
    </row>
    <row r="869" spans="1:5" x14ac:dyDescent="0.25">
      <c r="A869" s="138">
        <v>311008</v>
      </c>
      <c r="B869">
        <v>117</v>
      </c>
      <c r="C869">
        <v>5</v>
      </c>
      <c r="D869">
        <v>19</v>
      </c>
      <c r="E869" s="2" t="str">
        <f t="shared" si="13"/>
        <v/>
      </c>
    </row>
    <row r="870" spans="1:5" x14ac:dyDescent="0.25">
      <c r="A870" s="138">
        <v>311009</v>
      </c>
      <c r="B870">
        <v>117</v>
      </c>
      <c r="C870">
        <v>5</v>
      </c>
      <c r="D870">
        <v>19</v>
      </c>
      <c r="E870" s="2" t="str">
        <f t="shared" si="13"/>
        <v/>
      </c>
    </row>
    <row r="871" spans="1:5" x14ac:dyDescent="0.25">
      <c r="A871" s="138">
        <v>311010</v>
      </c>
      <c r="B871">
        <v>117</v>
      </c>
      <c r="C871">
        <v>5</v>
      </c>
      <c r="D871">
        <v>19</v>
      </c>
      <c r="E871" s="2" t="str">
        <f t="shared" si="13"/>
        <v/>
      </c>
    </row>
    <row r="872" spans="1:5" x14ac:dyDescent="0.25">
      <c r="A872" s="138">
        <v>311011</v>
      </c>
      <c r="B872">
        <v>117</v>
      </c>
      <c r="C872">
        <v>5</v>
      </c>
      <c r="D872">
        <v>19</v>
      </c>
      <c r="E872" s="2" t="str">
        <f t="shared" si="13"/>
        <v/>
      </c>
    </row>
    <row r="873" spans="1:5" x14ac:dyDescent="0.25">
      <c r="A873" s="138">
        <v>311012</v>
      </c>
      <c r="B873">
        <v>117</v>
      </c>
      <c r="C873">
        <v>5</v>
      </c>
      <c r="D873">
        <v>19</v>
      </c>
      <c r="E873" s="2" t="str">
        <f t="shared" si="13"/>
        <v/>
      </c>
    </row>
    <row r="874" spans="1:5" x14ac:dyDescent="0.25">
      <c r="A874" s="138">
        <v>311013</v>
      </c>
      <c r="B874">
        <v>117</v>
      </c>
      <c r="C874">
        <v>5</v>
      </c>
      <c r="D874">
        <v>19</v>
      </c>
      <c r="E874" s="2" t="str">
        <f t="shared" si="13"/>
        <v/>
      </c>
    </row>
    <row r="875" spans="1:5" x14ac:dyDescent="0.25">
      <c r="A875" s="138">
        <v>311014</v>
      </c>
      <c r="B875">
        <v>117</v>
      </c>
      <c r="C875">
        <v>5</v>
      </c>
      <c r="D875">
        <v>19</v>
      </c>
      <c r="E875" s="2" t="str">
        <f t="shared" si="13"/>
        <v/>
      </c>
    </row>
    <row r="876" spans="1:5" x14ac:dyDescent="0.25">
      <c r="A876" s="138">
        <v>311015</v>
      </c>
      <c r="B876">
        <v>117</v>
      </c>
      <c r="C876">
        <v>5</v>
      </c>
      <c r="D876">
        <v>19</v>
      </c>
      <c r="E876" s="2" t="str">
        <f t="shared" si="13"/>
        <v/>
      </c>
    </row>
    <row r="877" spans="1:5" x14ac:dyDescent="0.25">
      <c r="A877" s="138">
        <v>311016</v>
      </c>
      <c r="B877">
        <v>117</v>
      </c>
      <c r="C877">
        <v>5</v>
      </c>
      <c r="D877">
        <v>19</v>
      </c>
      <c r="E877" s="2" t="str">
        <f t="shared" si="13"/>
        <v/>
      </c>
    </row>
    <row r="878" spans="1:5" x14ac:dyDescent="0.25">
      <c r="A878" s="138">
        <v>311017</v>
      </c>
      <c r="B878">
        <v>117</v>
      </c>
      <c r="C878">
        <v>5</v>
      </c>
      <c r="D878">
        <v>19</v>
      </c>
      <c r="E878" s="2" t="str">
        <f t="shared" si="13"/>
        <v/>
      </c>
    </row>
    <row r="879" spans="1:5" x14ac:dyDescent="0.25">
      <c r="A879" s="138">
        <v>311018</v>
      </c>
      <c r="B879">
        <v>117</v>
      </c>
      <c r="C879">
        <v>5</v>
      </c>
      <c r="D879">
        <v>19</v>
      </c>
      <c r="E879" s="2" t="str">
        <f t="shared" si="13"/>
        <v/>
      </c>
    </row>
    <row r="880" spans="1:5" x14ac:dyDescent="0.25">
      <c r="A880" s="138">
        <v>311019</v>
      </c>
      <c r="B880">
        <v>117</v>
      </c>
      <c r="C880">
        <v>5</v>
      </c>
      <c r="D880">
        <v>19</v>
      </c>
      <c r="E880" s="2" t="str">
        <f t="shared" si="13"/>
        <v/>
      </c>
    </row>
    <row r="881" spans="1:5" x14ac:dyDescent="0.25">
      <c r="A881" s="138">
        <v>311020</v>
      </c>
      <c r="B881">
        <v>117</v>
      </c>
      <c r="C881">
        <v>5</v>
      </c>
      <c r="D881">
        <v>19</v>
      </c>
      <c r="E881" s="2" t="str">
        <f t="shared" si="13"/>
        <v/>
      </c>
    </row>
    <row r="882" spans="1:5" x14ac:dyDescent="0.25">
      <c r="A882" s="138">
        <v>311021</v>
      </c>
      <c r="B882">
        <v>117</v>
      </c>
      <c r="C882">
        <v>5</v>
      </c>
      <c r="D882">
        <v>19</v>
      </c>
      <c r="E882" s="2" t="str">
        <f t="shared" si="13"/>
        <v/>
      </c>
    </row>
    <row r="883" spans="1:5" x14ac:dyDescent="0.25">
      <c r="A883" s="138">
        <v>311022</v>
      </c>
      <c r="B883">
        <v>117</v>
      </c>
      <c r="C883">
        <v>5</v>
      </c>
      <c r="D883">
        <v>19</v>
      </c>
      <c r="E883" s="2" t="str">
        <f t="shared" si="13"/>
        <v/>
      </c>
    </row>
    <row r="884" spans="1:5" x14ac:dyDescent="0.25">
      <c r="A884" s="138">
        <v>311023</v>
      </c>
      <c r="B884">
        <v>117</v>
      </c>
      <c r="C884">
        <v>5</v>
      </c>
      <c r="D884">
        <v>19</v>
      </c>
      <c r="E884" s="2" t="str">
        <f t="shared" si="13"/>
        <v/>
      </c>
    </row>
    <row r="885" spans="1:5" x14ac:dyDescent="0.25">
      <c r="A885" s="138">
        <v>311024</v>
      </c>
      <c r="B885">
        <v>117</v>
      </c>
      <c r="C885">
        <v>5</v>
      </c>
      <c r="D885">
        <v>19</v>
      </c>
      <c r="E885" s="2" t="str">
        <f t="shared" si="13"/>
        <v/>
      </c>
    </row>
    <row r="886" spans="1:5" x14ac:dyDescent="0.25">
      <c r="A886" s="138">
        <v>311025</v>
      </c>
      <c r="B886">
        <v>117</v>
      </c>
      <c r="C886">
        <v>5</v>
      </c>
      <c r="D886">
        <v>19</v>
      </c>
      <c r="E886" s="2" t="str">
        <f t="shared" si="13"/>
        <v/>
      </c>
    </row>
    <row r="887" spans="1:5" x14ac:dyDescent="0.25">
      <c r="A887" s="138">
        <v>311026</v>
      </c>
      <c r="B887">
        <v>117</v>
      </c>
      <c r="C887">
        <v>5</v>
      </c>
      <c r="D887">
        <v>19</v>
      </c>
      <c r="E887" s="2" t="str">
        <f t="shared" si="13"/>
        <v/>
      </c>
    </row>
    <row r="888" spans="1:5" x14ac:dyDescent="0.25">
      <c r="A888" s="138">
        <v>311027</v>
      </c>
      <c r="B888">
        <v>117</v>
      </c>
      <c r="C888">
        <v>5</v>
      </c>
      <c r="D888">
        <v>19</v>
      </c>
      <c r="E888" s="2" t="str">
        <f t="shared" si="13"/>
        <v/>
      </c>
    </row>
    <row r="889" spans="1:5" x14ac:dyDescent="0.25">
      <c r="A889" s="138">
        <v>311028</v>
      </c>
      <c r="B889">
        <v>117</v>
      </c>
      <c r="C889">
        <v>5</v>
      </c>
      <c r="D889">
        <v>19</v>
      </c>
      <c r="E889" s="2" t="str">
        <f t="shared" si="13"/>
        <v/>
      </c>
    </row>
    <row r="890" spans="1:5" x14ac:dyDescent="0.25">
      <c r="A890" s="138">
        <v>311029</v>
      </c>
      <c r="B890">
        <v>117</v>
      </c>
      <c r="C890">
        <v>5</v>
      </c>
      <c r="D890">
        <v>19</v>
      </c>
      <c r="E890" s="2" t="str">
        <f t="shared" si="13"/>
        <v/>
      </c>
    </row>
    <row r="891" spans="1:5" x14ac:dyDescent="0.25">
      <c r="A891" s="138">
        <v>311030</v>
      </c>
      <c r="B891">
        <v>117</v>
      </c>
      <c r="C891">
        <v>5</v>
      </c>
      <c r="D891">
        <v>19</v>
      </c>
      <c r="E891" s="2" t="str">
        <f t="shared" si="13"/>
        <v/>
      </c>
    </row>
    <row r="892" spans="1:5" x14ac:dyDescent="0.25">
      <c r="A892" s="138">
        <v>311031</v>
      </c>
      <c r="B892">
        <v>117</v>
      </c>
      <c r="C892">
        <v>5</v>
      </c>
      <c r="D892">
        <v>19</v>
      </c>
      <c r="E892" s="2" t="str">
        <f t="shared" si="13"/>
        <v/>
      </c>
    </row>
    <row r="893" spans="1:5" x14ac:dyDescent="0.25">
      <c r="A893" s="138">
        <v>311032</v>
      </c>
      <c r="B893">
        <v>117</v>
      </c>
      <c r="C893">
        <v>5</v>
      </c>
      <c r="D893">
        <v>19</v>
      </c>
      <c r="E893" s="2" t="str">
        <f t="shared" si="13"/>
        <v/>
      </c>
    </row>
    <row r="894" spans="1:5" x14ac:dyDescent="0.25">
      <c r="A894" s="138">
        <v>311033</v>
      </c>
      <c r="B894">
        <v>117</v>
      </c>
      <c r="C894">
        <v>5</v>
      </c>
      <c r="D894">
        <v>19</v>
      </c>
      <c r="E894" s="2" t="str">
        <f t="shared" si="13"/>
        <v/>
      </c>
    </row>
    <row r="895" spans="1:5" x14ac:dyDescent="0.25">
      <c r="A895" s="138">
        <v>311034</v>
      </c>
      <c r="B895">
        <v>117</v>
      </c>
      <c r="C895">
        <v>5</v>
      </c>
      <c r="D895">
        <v>19</v>
      </c>
      <c r="E895" s="2" t="str">
        <f t="shared" si="13"/>
        <v/>
      </c>
    </row>
    <row r="896" spans="1:5" x14ac:dyDescent="0.25">
      <c r="A896" s="138">
        <v>311035</v>
      </c>
      <c r="B896">
        <v>117</v>
      </c>
      <c r="C896">
        <v>5</v>
      </c>
      <c r="D896">
        <v>19</v>
      </c>
      <c r="E896" s="2" t="str">
        <f t="shared" si="13"/>
        <v/>
      </c>
    </row>
    <row r="897" spans="1:5" x14ac:dyDescent="0.25">
      <c r="A897" s="138">
        <v>311036</v>
      </c>
      <c r="B897">
        <v>117</v>
      </c>
      <c r="C897">
        <v>5</v>
      </c>
      <c r="D897">
        <v>19</v>
      </c>
      <c r="E897" s="2" t="str">
        <f t="shared" si="13"/>
        <v/>
      </c>
    </row>
    <row r="898" spans="1:5" x14ac:dyDescent="0.25">
      <c r="A898" s="138">
        <v>311037</v>
      </c>
      <c r="B898">
        <v>117</v>
      </c>
      <c r="C898">
        <v>5</v>
      </c>
      <c r="D898">
        <v>19</v>
      </c>
      <c r="E898" s="2" t="str">
        <f t="shared" si="13"/>
        <v/>
      </c>
    </row>
    <row r="899" spans="1:5" x14ac:dyDescent="0.25">
      <c r="A899" s="138">
        <v>311038</v>
      </c>
      <c r="B899">
        <v>117</v>
      </c>
      <c r="C899">
        <v>5</v>
      </c>
      <c r="D899">
        <v>19</v>
      </c>
      <c r="E899" s="2" t="str">
        <f t="shared" ref="E899:E962" si="14">IF(B899=B898,IF(C898=C899,"",1),"")</f>
        <v/>
      </c>
    </row>
    <row r="900" spans="1:5" x14ac:dyDescent="0.25">
      <c r="A900" s="138">
        <v>311039</v>
      </c>
      <c r="B900">
        <v>117</v>
      </c>
      <c r="C900">
        <v>5</v>
      </c>
      <c r="D900">
        <v>19</v>
      </c>
      <c r="E900" s="2" t="str">
        <f t="shared" si="14"/>
        <v/>
      </c>
    </row>
    <row r="901" spans="1:5" x14ac:dyDescent="0.25">
      <c r="A901" s="138">
        <v>311040</v>
      </c>
      <c r="B901">
        <v>117</v>
      </c>
      <c r="C901">
        <v>5</v>
      </c>
      <c r="D901">
        <v>19</v>
      </c>
      <c r="E901" s="2" t="str">
        <f t="shared" si="14"/>
        <v/>
      </c>
    </row>
    <row r="902" spans="1:5" x14ac:dyDescent="0.25">
      <c r="A902" s="138">
        <v>311041</v>
      </c>
      <c r="B902">
        <v>117</v>
      </c>
      <c r="C902">
        <v>5</v>
      </c>
      <c r="D902">
        <v>19</v>
      </c>
      <c r="E902" s="2" t="str">
        <f t="shared" si="14"/>
        <v/>
      </c>
    </row>
    <row r="903" spans="1:5" x14ac:dyDescent="0.25">
      <c r="A903" s="138">
        <v>311042</v>
      </c>
      <c r="B903">
        <v>117</v>
      </c>
      <c r="C903">
        <v>5</v>
      </c>
      <c r="D903">
        <v>19</v>
      </c>
      <c r="E903" s="2" t="str">
        <f t="shared" si="14"/>
        <v/>
      </c>
    </row>
    <row r="904" spans="1:5" x14ac:dyDescent="0.25">
      <c r="A904" s="138">
        <v>311043</v>
      </c>
      <c r="B904">
        <v>117</v>
      </c>
      <c r="C904">
        <v>5</v>
      </c>
      <c r="D904">
        <v>19</v>
      </c>
      <c r="E904" s="2" t="str">
        <f t="shared" si="14"/>
        <v/>
      </c>
    </row>
    <row r="905" spans="1:5" x14ac:dyDescent="0.25">
      <c r="A905" s="138">
        <v>311044</v>
      </c>
      <c r="B905">
        <v>117</v>
      </c>
      <c r="C905">
        <v>5</v>
      </c>
      <c r="D905">
        <v>19</v>
      </c>
      <c r="E905" s="2" t="str">
        <f t="shared" si="14"/>
        <v/>
      </c>
    </row>
    <row r="906" spans="1:5" x14ac:dyDescent="0.25">
      <c r="A906" s="138">
        <v>311099</v>
      </c>
      <c r="B906">
        <v>117</v>
      </c>
      <c r="C906">
        <v>5</v>
      </c>
      <c r="D906">
        <v>19</v>
      </c>
      <c r="E906" s="2" t="str">
        <f t="shared" si="14"/>
        <v/>
      </c>
    </row>
    <row r="907" spans="1:5" x14ac:dyDescent="0.25">
      <c r="A907" s="138">
        <v>312000</v>
      </c>
      <c r="B907">
        <v>119</v>
      </c>
      <c r="C907">
        <v>5</v>
      </c>
      <c r="D907">
        <v>19</v>
      </c>
      <c r="E907" s="2" t="str">
        <f t="shared" si="14"/>
        <v/>
      </c>
    </row>
    <row r="908" spans="1:5" x14ac:dyDescent="0.25">
      <c r="A908" s="138">
        <v>312001</v>
      </c>
      <c r="B908">
        <v>119</v>
      </c>
      <c r="C908">
        <v>5</v>
      </c>
      <c r="D908">
        <v>19</v>
      </c>
      <c r="E908" s="2" t="str">
        <f t="shared" si="14"/>
        <v/>
      </c>
    </row>
    <row r="909" spans="1:5" x14ac:dyDescent="0.25">
      <c r="A909" s="138">
        <v>312002</v>
      </c>
      <c r="B909">
        <v>119</v>
      </c>
      <c r="C909">
        <v>5</v>
      </c>
      <c r="D909">
        <v>19</v>
      </c>
      <c r="E909" s="2" t="str">
        <f t="shared" si="14"/>
        <v/>
      </c>
    </row>
    <row r="910" spans="1:5" x14ac:dyDescent="0.25">
      <c r="A910" s="138">
        <v>312003</v>
      </c>
      <c r="B910">
        <v>119</v>
      </c>
      <c r="C910">
        <v>5</v>
      </c>
      <c r="D910">
        <v>19</v>
      </c>
      <c r="E910" s="2" t="str">
        <f t="shared" si="14"/>
        <v/>
      </c>
    </row>
    <row r="911" spans="1:5" x14ac:dyDescent="0.25">
      <c r="A911" s="138">
        <v>312004</v>
      </c>
      <c r="B911">
        <v>119</v>
      </c>
      <c r="C911">
        <v>5</v>
      </c>
      <c r="D911">
        <v>19</v>
      </c>
      <c r="E911" s="2" t="str">
        <f t="shared" si="14"/>
        <v/>
      </c>
    </row>
    <row r="912" spans="1:5" x14ac:dyDescent="0.25">
      <c r="A912" s="138">
        <v>312005</v>
      </c>
      <c r="B912">
        <v>119</v>
      </c>
      <c r="C912">
        <v>5</v>
      </c>
      <c r="D912">
        <v>19</v>
      </c>
      <c r="E912" s="2" t="str">
        <f t="shared" si="14"/>
        <v/>
      </c>
    </row>
    <row r="913" spans="1:5" x14ac:dyDescent="0.25">
      <c r="A913" s="138">
        <v>312006</v>
      </c>
      <c r="B913">
        <v>119</v>
      </c>
      <c r="C913">
        <v>5</v>
      </c>
      <c r="D913">
        <v>19</v>
      </c>
      <c r="E913" s="2" t="str">
        <f t="shared" si="14"/>
        <v/>
      </c>
    </row>
    <row r="914" spans="1:5" x14ac:dyDescent="0.25">
      <c r="A914" s="138">
        <v>312007</v>
      </c>
      <c r="B914">
        <v>119</v>
      </c>
      <c r="C914">
        <v>5</v>
      </c>
      <c r="D914">
        <v>19</v>
      </c>
      <c r="E914" s="2" t="str">
        <f t="shared" si="14"/>
        <v/>
      </c>
    </row>
    <row r="915" spans="1:5" x14ac:dyDescent="0.25">
      <c r="A915" s="138">
        <v>312008</v>
      </c>
      <c r="B915">
        <v>119</v>
      </c>
      <c r="C915">
        <v>5</v>
      </c>
      <c r="D915">
        <v>19</v>
      </c>
      <c r="E915" s="2" t="str">
        <f t="shared" si="14"/>
        <v/>
      </c>
    </row>
    <row r="916" spans="1:5" x14ac:dyDescent="0.25">
      <c r="A916" s="138">
        <v>312009</v>
      </c>
      <c r="B916">
        <v>119</v>
      </c>
      <c r="C916">
        <v>5</v>
      </c>
      <c r="D916">
        <v>19</v>
      </c>
      <c r="E916" s="2" t="str">
        <f t="shared" si="14"/>
        <v/>
      </c>
    </row>
    <row r="917" spans="1:5" x14ac:dyDescent="0.25">
      <c r="A917" s="138">
        <v>312010</v>
      </c>
      <c r="B917">
        <v>119</v>
      </c>
      <c r="C917">
        <v>5</v>
      </c>
      <c r="D917">
        <v>19</v>
      </c>
      <c r="E917" s="2" t="str">
        <f t="shared" si="14"/>
        <v/>
      </c>
    </row>
    <row r="918" spans="1:5" x14ac:dyDescent="0.25">
      <c r="A918" s="138">
        <v>312011</v>
      </c>
      <c r="B918">
        <v>119</v>
      </c>
      <c r="C918">
        <v>5</v>
      </c>
      <c r="D918">
        <v>19</v>
      </c>
      <c r="E918" s="2" t="str">
        <f t="shared" si="14"/>
        <v/>
      </c>
    </row>
    <row r="919" spans="1:5" x14ac:dyDescent="0.25">
      <c r="A919" s="138">
        <v>312012</v>
      </c>
      <c r="B919">
        <v>119</v>
      </c>
      <c r="C919">
        <v>5</v>
      </c>
      <c r="D919">
        <v>19</v>
      </c>
      <c r="E919" s="2" t="str">
        <f t="shared" si="14"/>
        <v/>
      </c>
    </row>
    <row r="920" spans="1:5" x14ac:dyDescent="0.25">
      <c r="A920" s="138">
        <v>312013</v>
      </c>
      <c r="B920">
        <v>119</v>
      </c>
      <c r="C920">
        <v>5</v>
      </c>
      <c r="D920">
        <v>19</v>
      </c>
      <c r="E920" s="2" t="str">
        <f t="shared" si="14"/>
        <v/>
      </c>
    </row>
    <row r="921" spans="1:5" x14ac:dyDescent="0.25">
      <c r="A921" s="138">
        <v>312014</v>
      </c>
      <c r="B921">
        <v>119</v>
      </c>
      <c r="C921">
        <v>5</v>
      </c>
      <c r="D921">
        <v>19</v>
      </c>
      <c r="E921" s="2" t="str">
        <f t="shared" si="14"/>
        <v/>
      </c>
    </row>
    <row r="922" spans="1:5" x14ac:dyDescent="0.25">
      <c r="A922" s="138">
        <v>312015</v>
      </c>
      <c r="B922">
        <v>119</v>
      </c>
      <c r="C922">
        <v>5</v>
      </c>
      <c r="D922">
        <v>19</v>
      </c>
      <c r="E922" s="2" t="str">
        <f t="shared" si="14"/>
        <v/>
      </c>
    </row>
    <row r="923" spans="1:5" x14ac:dyDescent="0.25">
      <c r="A923" s="138">
        <v>312016</v>
      </c>
      <c r="B923">
        <v>119</v>
      </c>
      <c r="C923">
        <v>5</v>
      </c>
      <c r="D923">
        <v>19</v>
      </c>
      <c r="E923" s="2" t="str">
        <f t="shared" si="14"/>
        <v/>
      </c>
    </row>
    <row r="924" spans="1:5" x14ac:dyDescent="0.25">
      <c r="A924" s="138">
        <v>312017</v>
      </c>
      <c r="B924">
        <v>119</v>
      </c>
      <c r="C924">
        <v>5</v>
      </c>
      <c r="D924">
        <v>19</v>
      </c>
      <c r="E924" s="2" t="str">
        <f t="shared" si="14"/>
        <v/>
      </c>
    </row>
    <row r="925" spans="1:5" x14ac:dyDescent="0.25">
      <c r="A925" s="138">
        <v>312018</v>
      </c>
      <c r="B925">
        <v>119</v>
      </c>
      <c r="C925">
        <v>5</v>
      </c>
      <c r="D925">
        <v>19</v>
      </c>
      <c r="E925" s="2" t="str">
        <f t="shared" si="14"/>
        <v/>
      </c>
    </row>
    <row r="926" spans="1:5" x14ac:dyDescent="0.25">
      <c r="A926" s="138">
        <v>312019</v>
      </c>
      <c r="B926">
        <v>119</v>
      </c>
      <c r="C926">
        <v>5</v>
      </c>
      <c r="D926">
        <v>19</v>
      </c>
      <c r="E926" s="2" t="str">
        <f t="shared" si="14"/>
        <v/>
      </c>
    </row>
    <row r="927" spans="1:5" x14ac:dyDescent="0.25">
      <c r="A927" s="138">
        <v>312020</v>
      </c>
      <c r="B927">
        <v>119</v>
      </c>
      <c r="C927">
        <v>5</v>
      </c>
      <c r="D927">
        <v>19</v>
      </c>
      <c r="E927" s="2" t="str">
        <f t="shared" si="14"/>
        <v/>
      </c>
    </row>
    <row r="928" spans="1:5" x14ac:dyDescent="0.25">
      <c r="A928" s="138">
        <v>312021</v>
      </c>
      <c r="B928">
        <v>119</v>
      </c>
      <c r="C928">
        <v>5</v>
      </c>
      <c r="D928">
        <v>19</v>
      </c>
      <c r="E928" s="2" t="str">
        <f t="shared" si="14"/>
        <v/>
      </c>
    </row>
    <row r="929" spans="1:5" x14ac:dyDescent="0.25">
      <c r="A929" s="138">
        <v>312022</v>
      </c>
      <c r="B929">
        <v>119</v>
      </c>
      <c r="C929">
        <v>5</v>
      </c>
      <c r="D929">
        <v>19</v>
      </c>
      <c r="E929" s="2" t="str">
        <f t="shared" si="14"/>
        <v/>
      </c>
    </row>
    <row r="930" spans="1:5" x14ac:dyDescent="0.25">
      <c r="A930" s="138">
        <v>312023</v>
      </c>
      <c r="B930">
        <v>119</v>
      </c>
      <c r="C930">
        <v>5</v>
      </c>
      <c r="D930">
        <v>19</v>
      </c>
      <c r="E930" s="2" t="str">
        <f t="shared" si="14"/>
        <v/>
      </c>
    </row>
    <row r="931" spans="1:5" x14ac:dyDescent="0.25">
      <c r="A931" s="138">
        <v>312024</v>
      </c>
      <c r="B931">
        <v>119</v>
      </c>
      <c r="C931">
        <v>5</v>
      </c>
      <c r="D931">
        <v>19</v>
      </c>
      <c r="E931" s="2" t="str">
        <f t="shared" si="14"/>
        <v/>
      </c>
    </row>
    <row r="932" spans="1:5" x14ac:dyDescent="0.25">
      <c r="A932" s="138">
        <v>312025</v>
      </c>
      <c r="B932">
        <v>119</v>
      </c>
      <c r="C932">
        <v>5</v>
      </c>
      <c r="D932">
        <v>19</v>
      </c>
      <c r="E932" s="2" t="str">
        <f t="shared" si="14"/>
        <v/>
      </c>
    </row>
    <row r="933" spans="1:5" x14ac:dyDescent="0.25">
      <c r="A933" s="138">
        <v>312026</v>
      </c>
      <c r="B933">
        <v>119</v>
      </c>
      <c r="C933">
        <v>5</v>
      </c>
      <c r="D933">
        <v>19</v>
      </c>
      <c r="E933" s="2" t="str">
        <f t="shared" si="14"/>
        <v/>
      </c>
    </row>
    <row r="934" spans="1:5" x14ac:dyDescent="0.25">
      <c r="A934" s="138">
        <v>312027</v>
      </c>
      <c r="B934">
        <v>119</v>
      </c>
      <c r="C934">
        <v>5</v>
      </c>
      <c r="D934">
        <v>19</v>
      </c>
      <c r="E934" s="2" t="str">
        <f t="shared" si="14"/>
        <v/>
      </c>
    </row>
    <row r="935" spans="1:5" x14ac:dyDescent="0.25">
      <c r="A935" s="138">
        <v>312028</v>
      </c>
      <c r="B935">
        <v>119</v>
      </c>
      <c r="C935">
        <v>5</v>
      </c>
      <c r="D935">
        <v>19</v>
      </c>
      <c r="E935" s="2" t="str">
        <f t="shared" si="14"/>
        <v/>
      </c>
    </row>
    <row r="936" spans="1:5" x14ac:dyDescent="0.25">
      <c r="A936" s="138">
        <v>312029</v>
      </c>
      <c r="B936">
        <v>119</v>
      </c>
      <c r="C936">
        <v>5</v>
      </c>
      <c r="D936">
        <v>19</v>
      </c>
      <c r="E936" s="2" t="str">
        <f t="shared" si="14"/>
        <v/>
      </c>
    </row>
    <row r="937" spans="1:5" x14ac:dyDescent="0.25">
      <c r="A937" s="138">
        <v>312030</v>
      </c>
      <c r="B937">
        <v>119</v>
      </c>
      <c r="C937">
        <v>5</v>
      </c>
      <c r="D937">
        <v>19</v>
      </c>
      <c r="E937" s="2" t="str">
        <f t="shared" si="14"/>
        <v/>
      </c>
    </row>
    <row r="938" spans="1:5" x14ac:dyDescent="0.25">
      <c r="A938" s="138">
        <v>312031</v>
      </c>
      <c r="B938">
        <v>119</v>
      </c>
      <c r="C938">
        <v>5</v>
      </c>
      <c r="D938">
        <v>19</v>
      </c>
      <c r="E938" s="2" t="str">
        <f t="shared" si="14"/>
        <v/>
      </c>
    </row>
    <row r="939" spans="1:5" x14ac:dyDescent="0.25">
      <c r="A939" s="138">
        <v>312032</v>
      </c>
      <c r="B939">
        <v>119</v>
      </c>
      <c r="C939">
        <v>5</v>
      </c>
      <c r="D939">
        <v>19</v>
      </c>
      <c r="E939" s="2" t="str">
        <f t="shared" si="14"/>
        <v/>
      </c>
    </row>
    <row r="940" spans="1:5" x14ac:dyDescent="0.25">
      <c r="A940" s="138">
        <v>312033</v>
      </c>
      <c r="B940">
        <v>119</v>
      </c>
      <c r="C940">
        <v>5</v>
      </c>
      <c r="D940">
        <v>19</v>
      </c>
      <c r="E940" s="2" t="str">
        <f t="shared" si="14"/>
        <v/>
      </c>
    </row>
    <row r="941" spans="1:5" x14ac:dyDescent="0.25">
      <c r="A941" s="138">
        <v>312034</v>
      </c>
      <c r="B941">
        <v>119</v>
      </c>
      <c r="C941">
        <v>5</v>
      </c>
      <c r="D941">
        <v>19</v>
      </c>
      <c r="E941" s="2" t="str">
        <f t="shared" si="14"/>
        <v/>
      </c>
    </row>
    <row r="942" spans="1:5" x14ac:dyDescent="0.25">
      <c r="A942" s="138">
        <v>312099</v>
      </c>
      <c r="B942">
        <v>119</v>
      </c>
      <c r="C942">
        <v>5</v>
      </c>
      <c r="D942">
        <v>19</v>
      </c>
      <c r="E942" s="2" t="str">
        <f t="shared" si="14"/>
        <v/>
      </c>
    </row>
    <row r="943" spans="1:5" x14ac:dyDescent="0.25">
      <c r="A943" s="138">
        <v>312100</v>
      </c>
      <c r="B943">
        <v>119</v>
      </c>
      <c r="C943">
        <v>5</v>
      </c>
      <c r="D943">
        <v>19</v>
      </c>
      <c r="E943" s="2" t="str">
        <f t="shared" si="14"/>
        <v/>
      </c>
    </row>
    <row r="944" spans="1:5" x14ac:dyDescent="0.25">
      <c r="A944" s="138">
        <v>312101</v>
      </c>
      <c r="B944">
        <v>119</v>
      </c>
      <c r="C944">
        <v>5</v>
      </c>
      <c r="D944">
        <v>19</v>
      </c>
      <c r="E944" s="2" t="str">
        <f t="shared" si="14"/>
        <v/>
      </c>
    </row>
    <row r="945" spans="1:5" x14ac:dyDescent="0.25">
      <c r="A945" s="138">
        <v>312102</v>
      </c>
      <c r="B945">
        <v>119</v>
      </c>
      <c r="C945">
        <v>5</v>
      </c>
      <c r="D945">
        <v>19</v>
      </c>
      <c r="E945" s="2" t="str">
        <f t="shared" si="14"/>
        <v/>
      </c>
    </row>
    <row r="946" spans="1:5" x14ac:dyDescent="0.25">
      <c r="A946" s="138">
        <v>312103</v>
      </c>
      <c r="B946">
        <v>119</v>
      </c>
      <c r="C946">
        <v>5</v>
      </c>
      <c r="D946">
        <v>19</v>
      </c>
      <c r="E946" s="2" t="str">
        <f t="shared" si="14"/>
        <v/>
      </c>
    </row>
    <row r="947" spans="1:5" x14ac:dyDescent="0.25">
      <c r="A947" s="138">
        <v>312104</v>
      </c>
      <c r="B947">
        <v>119</v>
      </c>
      <c r="C947">
        <v>5</v>
      </c>
      <c r="D947">
        <v>19</v>
      </c>
      <c r="E947" s="2" t="str">
        <f t="shared" si="14"/>
        <v/>
      </c>
    </row>
    <row r="948" spans="1:5" x14ac:dyDescent="0.25">
      <c r="A948" s="138">
        <v>312105</v>
      </c>
      <c r="B948">
        <v>119</v>
      </c>
      <c r="C948">
        <v>5</v>
      </c>
      <c r="D948">
        <v>19</v>
      </c>
      <c r="E948" s="2" t="str">
        <f t="shared" si="14"/>
        <v/>
      </c>
    </row>
    <row r="949" spans="1:5" x14ac:dyDescent="0.25">
      <c r="A949" s="138">
        <v>312106</v>
      </c>
      <c r="B949">
        <v>119</v>
      </c>
      <c r="C949">
        <v>5</v>
      </c>
      <c r="D949">
        <v>19</v>
      </c>
      <c r="E949" s="2" t="str">
        <f t="shared" si="14"/>
        <v/>
      </c>
    </row>
    <row r="950" spans="1:5" x14ac:dyDescent="0.25">
      <c r="A950" s="138">
        <v>312107</v>
      </c>
      <c r="B950">
        <v>119</v>
      </c>
      <c r="C950">
        <v>5</v>
      </c>
      <c r="D950">
        <v>19</v>
      </c>
      <c r="E950" s="2" t="str">
        <f t="shared" si="14"/>
        <v/>
      </c>
    </row>
    <row r="951" spans="1:5" x14ac:dyDescent="0.25">
      <c r="A951" s="138">
        <v>312108</v>
      </c>
      <c r="B951">
        <v>119</v>
      </c>
      <c r="C951">
        <v>5</v>
      </c>
      <c r="D951">
        <v>19</v>
      </c>
      <c r="E951" s="2" t="str">
        <f t="shared" si="14"/>
        <v/>
      </c>
    </row>
    <row r="952" spans="1:5" x14ac:dyDescent="0.25">
      <c r="A952" s="138">
        <v>312109</v>
      </c>
      <c r="B952">
        <v>119</v>
      </c>
      <c r="C952">
        <v>5</v>
      </c>
      <c r="D952">
        <v>19</v>
      </c>
      <c r="E952" s="2" t="str">
        <f t="shared" si="14"/>
        <v/>
      </c>
    </row>
    <row r="953" spans="1:5" x14ac:dyDescent="0.25">
      <c r="A953" s="138">
        <v>312110</v>
      </c>
      <c r="B953">
        <v>119</v>
      </c>
      <c r="C953">
        <v>5</v>
      </c>
      <c r="D953">
        <v>19</v>
      </c>
      <c r="E953" s="2" t="str">
        <f t="shared" si="14"/>
        <v/>
      </c>
    </row>
    <row r="954" spans="1:5" x14ac:dyDescent="0.25">
      <c r="A954" s="138">
        <v>312111</v>
      </c>
      <c r="B954">
        <v>119</v>
      </c>
      <c r="C954">
        <v>5</v>
      </c>
      <c r="D954">
        <v>19</v>
      </c>
      <c r="E954" s="2" t="str">
        <f t="shared" si="14"/>
        <v/>
      </c>
    </row>
    <row r="955" spans="1:5" x14ac:dyDescent="0.25">
      <c r="A955" s="138">
        <v>312112</v>
      </c>
      <c r="B955">
        <v>119</v>
      </c>
      <c r="C955">
        <v>5</v>
      </c>
      <c r="D955">
        <v>19</v>
      </c>
      <c r="E955" s="2" t="str">
        <f t="shared" si="14"/>
        <v/>
      </c>
    </row>
    <row r="956" spans="1:5" x14ac:dyDescent="0.25">
      <c r="A956" s="138">
        <v>312113</v>
      </c>
      <c r="B956">
        <v>119</v>
      </c>
      <c r="C956">
        <v>5</v>
      </c>
      <c r="D956">
        <v>19</v>
      </c>
      <c r="E956" s="2" t="str">
        <f t="shared" si="14"/>
        <v/>
      </c>
    </row>
    <row r="957" spans="1:5" x14ac:dyDescent="0.25">
      <c r="A957" s="138">
        <v>312114</v>
      </c>
      <c r="B957">
        <v>119</v>
      </c>
      <c r="C957">
        <v>5</v>
      </c>
      <c r="D957">
        <v>19</v>
      </c>
      <c r="E957" s="2" t="str">
        <f t="shared" si="14"/>
        <v/>
      </c>
    </row>
    <row r="958" spans="1:5" x14ac:dyDescent="0.25">
      <c r="A958" s="138">
        <v>312115</v>
      </c>
      <c r="B958">
        <v>119</v>
      </c>
      <c r="C958">
        <v>5</v>
      </c>
      <c r="D958">
        <v>19</v>
      </c>
      <c r="E958" s="2" t="str">
        <f t="shared" si="14"/>
        <v/>
      </c>
    </row>
    <row r="959" spans="1:5" x14ac:dyDescent="0.25">
      <c r="A959" s="138">
        <v>312116</v>
      </c>
      <c r="B959">
        <v>119</v>
      </c>
      <c r="C959">
        <v>5</v>
      </c>
      <c r="D959">
        <v>19</v>
      </c>
      <c r="E959" s="2" t="str">
        <f t="shared" si="14"/>
        <v/>
      </c>
    </row>
    <row r="960" spans="1:5" x14ac:dyDescent="0.25">
      <c r="A960" s="138">
        <v>312117</v>
      </c>
      <c r="B960">
        <v>119</v>
      </c>
      <c r="C960">
        <v>5</v>
      </c>
      <c r="D960">
        <v>19</v>
      </c>
      <c r="E960" s="2" t="str">
        <f t="shared" si="14"/>
        <v/>
      </c>
    </row>
    <row r="961" spans="1:5" x14ac:dyDescent="0.25">
      <c r="A961" s="138">
        <v>312118</v>
      </c>
      <c r="B961">
        <v>119</v>
      </c>
      <c r="C961">
        <v>5</v>
      </c>
      <c r="D961">
        <v>19</v>
      </c>
      <c r="E961" s="2" t="str">
        <f t="shared" si="14"/>
        <v/>
      </c>
    </row>
    <row r="962" spans="1:5" x14ac:dyDescent="0.25">
      <c r="A962" s="138">
        <v>312119</v>
      </c>
      <c r="B962">
        <v>119</v>
      </c>
      <c r="C962">
        <v>5</v>
      </c>
      <c r="D962">
        <v>19</v>
      </c>
      <c r="E962" s="2" t="str">
        <f t="shared" si="14"/>
        <v/>
      </c>
    </row>
    <row r="963" spans="1:5" x14ac:dyDescent="0.25">
      <c r="A963" s="138">
        <v>312120</v>
      </c>
      <c r="B963">
        <v>119</v>
      </c>
      <c r="C963">
        <v>5</v>
      </c>
      <c r="D963">
        <v>19</v>
      </c>
      <c r="E963" s="2" t="str">
        <f t="shared" ref="E963:E1026" si="15">IF(B963=B962,IF(C962=C963,"",1),"")</f>
        <v/>
      </c>
    </row>
    <row r="964" spans="1:5" x14ac:dyDescent="0.25">
      <c r="A964" s="138">
        <v>312121</v>
      </c>
      <c r="B964">
        <v>119</v>
      </c>
      <c r="C964">
        <v>5</v>
      </c>
      <c r="D964">
        <v>19</v>
      </c>
      <c r="E964" s="2" t="str">
        <f t="shared" si="15"/>
        <v/>
      </c>
    </row>
    <row r="965" spans="1:5" x14ac:dyDescent="0.25">
      <c r="A965" s="138">
        <v>312122</v>
      </c>
      <c r="B965">
        <v>119</v>
      </c>
      <c r="C965">
        <v>5</v>
      </c>
      <c r="D965">
        <v>19</v>
      </c>
      <c r="E965" s="2" t="str">
        <f t="shared" si="15"/>
        <v/>
      </c>
    </row>
    <row r="966" spans="1:5" x14ac:dyDescent="0.25">
      <c r="A966" s="138">
        <v>312123</v>
      </c>
      <c r="B966">
        <v>119</v>
      </c>
      <c r="C966">
        <v>5</v>
      </c>
      <c r="D966">
        <v>19</v>
      </c>
      <c r="E966" s="2" t="str">
        <f t="shared" si="15"/>
        <v/>
      </c>
    </row>
    <row r="967" spans="1:5" x14ac:dyDescent="0.25">
      <c r="A967" s="138">
        <v>312124</v>
      </c>
      <c r="B967">
        <v>119</v>
      </c>
      <c r="C967">
        <v>5</v>
      </c>
      <c r="D967">
        <v>19</v>
      </c>
      <c r="E967" s="2" t="str">
        <f t="shared" si="15"/>
        <v/>
      </c>
    </row>
    <row r="968" spans="1:5" x14ac:dyDescent="0.25">
      <c r="A968" s="138">
        <v>312125</v>
      </c>
      <c r="B968">
        <v>119</v>
      </c>
      <c r="C968">
        <v>5</v>
      </c>
      <c r="D968">
        <v>19</v>
      </c>
      <c r="E968" s="2" t="str">
        <f t="shared" si="15"/>
        <v/>
      </c>
    </row>
    <row r="969" spans="1:5" x14ac:dyDescent="0.25">
      <c r="A969" s="138">
        <v>312126</v>
      </c>
      <c r="B969">
        <v>119</v>
      </c>
      <c r="C969">
        <v>5</v>
      </c>
      <c r="D969">
        <v>19</v>
      </c>
      <c r="E969" s="2" t="str">
        <f t="shared" si="15"/>
        <v/>
      </c>
    </row>
    <row r="970" spans="1:5" x14ac:dyDescent="0.25">
      <c r="A970" s="138">
        <v>312127</v>
      </c>
      <c r="B970">
        <v>119</v>
      </c>
      <c r="C970">
        <v>5</v>
      </c>
      <c r="D970">
        <v>19</v>
      </c>
      <c r="E970" s="2" t="str">
        <f t="shared" si="15"/>
        <v/>
      </c>
    </row>
    <row r="971" spans="1:5" x14ac:dyDescent="0.25">
      <c r="A971" s="138">
        <v>312128</v>
      </c>
      <c r="B971">
        <v>119</v>
      </c>
      <c r="C971">
        <v>5</v>
      </c>
      <c r="D971">
        <v>19</v>
      </c>
      <c r="E971" s="2" t="str">
        <f t="shared" si="15"/>
        <v/>
      </c>
    </row>
    <row r="972" spans="1:5" x14ac:dyDescent="0.25">
      <c r="A972" s="138">
        <v>312129</v>
      </c>
      <c r="B972">
        <v>119</v>
      </c>
      <c r="C972">
        <v>5</v>
      </c>
      <c r="D972">
        <v>19</v>
      </c>
      <c r="E972" s="2" t="str">
        <f t="shared" si="15"/>
        <v/>
      </c>
    </row>
    <row r="973" spans="1:5" x14ac:dyDescent="0.25">
      <c r="A973" s="138">
        <v>312130</v>
      </c>
      <c r="B973">
        <v>119</v>
      </c>
      <c r="C973">
        <v>5</v>
      </c>
      <c r="D973">
        <v>19</v>
      </c>
      <c r="E973" s="2" t="str">
        <f t="shared" si="15"/>
        <v/>
      </c>
    </row>
    <row r="974" spans="1:5" x14ac:dyDescent="0.25">
      <c r="A974" s="138">
        <v>312131</v>
      </c>
      <c r="B974">
        <v>119</v>
      </c>
      <c r="C974">
        <v>5</v>
      </c>
      <c r="D974">
        <v>19</v>
      </c>
      <c r="E974" s="2" t="str">
        <f t="shared" si="15"/>
        <v/>
      </c>
    </row>
    <row r="975" spans="1:5" x14ac:dyDescent="0.25">
      <c r="A975" s="138">
        <v>312132</v>
      </c>
      <c r="B975">
        <v>119</v>
      </c>
      <c r="C975">
        <v>5</v>
      </c>
      <c r="D975">
        <v>19</v>
      </c>
      <c r="E975" s="2" t="str">
        <f t="shared" si="15"/>
        <v/>
      </c>
    </row>
    <row r="976" spans="1:5" x14ac:dyDescent="0.25">
      <c r="A976" s="138">
        <v>312133</v>
      </c>
      <c r="B976">
        <v>119</v>
      </c>
      <c r="C976">
        <v>5</v>
      </c>
      <c r="D976">
        <v>19</v>
      </c>
      <c r="E976" s="2" t="str">
        <f t="shared" si="15"/>
        <v/>
      </c>
    </row>
    <row r="977" spans="1:5" x14ac:dyDescent="0.25">
      <c r="A977" s="138">
        <v>312134</v>
      </c>
      <c r="B977">
        <v>119</v>
      </c>
      <c r="C977">
        <v>5</v>
      </c>
      <c r="D977">
        <v>19</v>
      </c>
      <c r="E977" s="2" t="str">
        <f t="shared" si="15"/>
        <v/>
      </c>
    </row>
    <row r="978" spans="1:5" x14ac:dyDescent="0.25">
      <c r="A978" s="138">
        <v>312135</v>
      </c>
      <c r="B978">
        <v>119</v>
      </c>
      <c r="C978">
        <v>5</v>
      </c>
      <c r="D978">
        <v>19</v>
      </c>
      <c r="E978" s="2" t="str">
        <f t="shared" si="15"/>
        <v/>
      </c>
    </row>
    <row r="979" spans="1:5" x14ac:dyDescent="0.25">
      <c r="A979" s="138">
        <v>312136</v>
      </c>
      <c r="B979">
        <v>119</v>
      </c>
      <c r="C979">
        <v>5</v>
      </c>
      <c r="D979">
        <v>19</v>
      </c>
      <c r="E979" s="2" t="str">
        <f t="shared" si="15"/>
        <v/>
      </c>
    </row>
    <row r="980" spans="1:5" x14ac:dyDescent="0.25">
      <c r="A980" s="138">
        <v>312137</v>
      </c>
      <c r="B980">
        <v>119</v>
      </c>
      <c r="C980">
        <v>5</v>
      </c>
      <c r="D980">
        <v>19</v>
      </c>
      <c r="E980" s="2" t="str">
        <f t="shared" si="15"/>
        <v/>
      </c>
    </row>
    <row r="981" spans="1:5" x14ac:dyDescent="0.25">
      <c r="A981" s="138">
        <v>312138</v>
      </c>
      <c r="B981">
        <v>119</v>
      </c>
      <c r="C981">
        <v>5</v>
      </c>
      <c r="D981">
        <v>19</v>
      </c>
      <c r="E981" s="2" t="str">
        <f t="shared" si="15"/>
        <v/>
      </c>
    </row>
    <row r="982" spans="1:5" x14ac:dyDescent="0.25">
      <c r="A982" s="138">
        <v>312139</v>
      </c>
      <c r="B982">
        <v>119</v>
      </c>
      <c r="C982">
        <v>5</v>
      </c>
      <c r="D982">
        <v>19</v>
      </c>
      <c r="E982" s="2" t="str">
        <f t="shared" si="15"/>
        <v/>
      </c>
    </row>
    <row r="983" spans="1:5" x14ac:dyDescent="0.25">
      <c r="A983" s="138">
        <v>312140</v>
      </c>
      <c r="B983">
        <v>119</v>
      </c>
      <c r="C983">
        <v>5</v>
      </c>
      <c r="D983">
        <v>19</v>
      </c>
      <c r="E983" s="2" t="str">
        <f t="shared" si="15"/>
        <v/>
      </c>
    </row>
    <row r="984" spans="1:5" x14ac:dyDescent="0.25">
      <c r="A984" s="138">
        <v>312141</v>
      </c>
      <c r="B984">
        <v>119</v>
      </c>
      <c r="C984">
        <v>5</v>
      </c>
      <c r="D984">
        <v>19</v>
      </c>
      <c r="E984" s="2" t="str">
        <f t="shared" si="15"/>
        <v/>
      </c>
    </row>
    <row r="985" spans="1:5" x14ac:dyDescent="0.25">
      <c r="A985" s="138">
        <v>312142</v>
      </c>
      <c r="B985">
        <v>119</v>
      </c>
      <c r="C985">
        <v>5</v>
      </c>
      <c r="D985">
        <v>19</v>
      </c>
      <c r="E985" s="2" t="str">
        <f t="shared" si="15"/>
        <v/>
      </c>
    </row>
    <row r="986" spans="1:5" x14ac:dyDescent="0.25">
      <c r="A986" s="138">
        <v>312143</v>
      </c>
      <c r="B986">
        <v>119</v>
      </c>
      <c r="C986">
        <v>5</v>
      </c>
      <c r="D986">
        <v>19</v>
      </c>
      <c r="E986" s="2" t="str">
        <f t="shared" si="15"/>
        <v/>
      </c>
    </row>
    <row r="987" spans="1:5" x14ac:dyDescent="0.25">
      <c r="A987" s="138">
        <v>312144</v>
      </c>
      <c r="B987">
        <v>119</v>
      </c>
      <c r="C987">
        <v>5</v>
      </c>
      <c r="D987">
        <v>19</v>
      </c>
      <c r="E987" s="2" t="str">
        <f t="shared" si="15"/>
        <v/>
      </c>
    </row>
    <row r="988" spans="1:5" x14ac:dyDescent="0.25">
      <c r="A988" s="138">
        <v>312145</v>
      </c>
      <c r="B988">
        <v>119</v>
      </c>
      <c r="C988">
        <v>5</v>
      </c>
      <c r="D988">
        <v>19</v>
      </c>
      <c r="E988" s="2" t="str">
        <f t="shared" si="15"/>
        <v/>
      </c>
    </row>
    <row r="989" spans="1:5" x14ac:dyDescent="0.25">
      <c r="A989" s="138">
        <v>312146</v>
      </c>
      <c r="B989">
        <v>119</v>
      </c>
      <c r="C989">
        <v>5</v>
      </c>
      <c r="D989">
        <v>19</v>
      </c>
      <c r="E989" s="2" t="str">
        <f t="shared" si="15"/>
        <v/>
      </c>
    </row>
    <row r="990" spans="1:5" x14ac:dyDescent="0.25">
      <c r="A990" s="138">
        <v>312147</v>
      </c>
      <c r="B990">
        <v>119</v>
      </c>
      <c r="C990">
        <v>5</v>
      </c>
      <c r="D990">
        <v>19</v>
      </c>
      <c r="E990" s="2" t="str">
        <f t="shared" si="15"/>
        <v/>
      </c>
    </row>
    <row r="991" spans="1:5" x14ac:dyDescent="0.25">
      <c r="A991" s="138">
        <v>312148</v>
      </c>
      <c r="B991">
        <v>119</v>
      </c>
      <c r="C991">
        <v>5</v>
      </c>
      <c r="D991">
        <v>19</v>
      </c>
      <c r="E991" s="2" t="str">
        <f t="shared" si="15"/>
        <v/>
      </c>
    </row>
    <row r="992" spans="1:5" x14ac:dyDescent="0.25">
      <c r="A992" s="138">
        <v>312149</v>
      </c>
      <c r="B992">
        <v>119</v>
      </c>
      <c r="C992">
        <v>5</v>
      </c>
      <c r="D992">
        <v>19</v>
      </c>
      <c r="E992" s="2" t="str">
        <f t="shared" si="15"/>
        <v/>
      </c>
    </row>
    <row r="993" spans="1:5" x14ac:dyDescent="0.25">
      <c r="A993" s="138">
        <v>312150</v>
      </c>
      <c r="B993">
        <v>119</v>
      </c>
      <c r="C993">
        <v>5</v>
      </c>
      <c r="D993">
        <v>19</v>
      </c>
      <c r="E993" s="2" t="str">
        <f t="shared" si="15"/>
        <v/>
      </c>
    </row>
    <row r="994" spans="1:5" x14ac:dyDescent="0.25">
      <c r="A994" s="138">
        <v>312151</v>
      </c>
      <c r="B994">
        <v>119</v>
      </c>
      <c r="C994">
        <v>5</v>
      </c>
      <c r="D994">
        <v>19</v>
      </c>
      <c r="E994" s="2" t="str">
        <f t="shared" si="15"/>
        <v/>
      </c>
    </row>
    <row r="995" spans="1:5" x14ac:dyDescent="0.25">
      <c r="A995" s="138">
        <v>312152</v>
      </c>
      <c r="B995">
        <v>119</v>
      </c>
      <c r="C995">
        <v>5</v>
      </c>
      <c r="D995">
        <v>19</v>
      </c>
      <c r="E995" s="2" t="str">
        <f t="shared" si="15"/>
        <v/>
      </c>
    </row>
    <row r="996" spans="1:5" x14ac:dyDescent="0.25">
      <c r="A996" s="138">
        <v>312153</v>
      </c>
      <c r="B996">
        <v>119</v>
      </c>
      <c r="C996">
        <v>5</v>
      </c>
      <c r="D996">
        <v>19</v>
      </c>
      <c r="E996" s="2" t="str">
        <f t="shared" si="15"/>
        <v/>
      </c>
    </row>
    <row r="997" spans="1:5" x14ac:dyDescent="0.25">
      <c r="A997" s="138">
        <v>312199</v>
      </c>
      <c r="B997">
        <v>119</v>
      </c>
      <c r="C997">
        <v>5</v>
      </c>
      <c r="D997">
        <v>19</v>
      </c>
      <c r="E997" s="2" t="str">
        <f t="shared" si="15"/>
        <v/>
      </c>
    </row>
    <row r="998" spans="1:5" x14ac:dyDescent="0.25">
      <c r="A998" s="138">
        <v>312200</v>
      </c>
      <c r="B998">
        <v>119</v>
      </c>
      <c r="C998">
        <v>5</v>
      </c>
      <c r="D998">
        <v>19</v>
      </c>
      <c r="E998" s="2" t="str">
        <f t="shared" si="15"/>
        <v/>
      </c>
    </row>
    <row r="999" spans="1:5" x14ac:dyDescent="0.25">
      <c r="A999" s="138">
        <v>312201</v>
      </c>
      <c r="B999">
        <v>119</v>
      </c>
      <c r="C999">
        <v>5</v>
      </c>
      <c r="D999">
        <v>19</v>
      </c>
      <c r="E999" s="2" t="str">
        <f t="shared" si="15"/>
        <v/>
      </c>
    </row>
    <row r="1000" spans="1:5" x14ac:dyDescent="0.25">
      <c r="A1000" s="138">
        <v>312202</v>
      </c>
      <c r="B1000">
        <v>119</v>
      </c>
      <c r="C1000">
        <v>5</v>
      </c>
      <c r="D1000">
        <v>19</v>
      </c>
      <c r="E1000" s="2" t="str">
        <f t="shared" si="15"/>
        <v/>
      </c>
    </row>
    <row r="1001" spans="1:5" x14ac:dyDescent="0.25">
      <c r="A1001" s="138">
        <v>312203</v>
      </c>
      <c r="B1001">
        <v>119</v>
      </c>
      <c r="C1001">
        <v>5</v>
      </c>
      <c r="D1001">
        <v>19</v>
      </c>
      <c r="E1001" s="2" t="str">
        <f t="shared" si="15"/>
        <v/>
      </c>
    </row>
    <row r="1002" spans="1:5" x14ac:dyDescent="0.25">
      <c r="A1002" s="138">
        <v>312204</v>
      </c>
      <c r="B1002">
        <v>119</v>
      </c>
      <c r="C1002">
        <v>5</v>
      </c>
      <c r="D1002">
        <v>19</v>
      </c>
      <c r="E1002" s="2" t="str">
        <f t="shared" si="15"/>
        <v/>
      </c>
    </row>
    <row r="1003" spans="1:5" x14ac:dyDescent="0.25">
      <c r="A1003" s="138">
        <v>312205</v>
      </c>
      <c r="B1003">
        <v>119</v>
      </c>
      <c r="C1003">
        <v>5</v>
      </c>
      <c r="D1003">
        <v>19</v>
      </c>
      <c r="E1003" s="2" t="str">
        <f t="shared" si="15"/>
        <v/>
      </c>
    </row>
    <row r="1004" spans="1:5" x14ac:dyDescent="0.25">
      <c r="A1004" s="138">
        <v>312206</v>
      </c>
      <c r="B1004">
        <v>119</v>
      </c>
      <c r="C1004">
        <v>5</v>
      </c>
      <c r="D1004">
        <v>19</v>
      </c>
      <c r="E1004" s="2" t="str">
        <f t="shared" si="15"/>
        <v/>
      </c>
    </row>
    <row r="1005" spans="1:5" x14ac:dyDescent="0.25">
      <c r="A1005" s="138">
        <v>312207</v>
      </c>
      <c r="B1005">
        <v>119</v>
      </c>
      <c r="C1005">
        <v>5</v>
      </c>
      <c r="D1005">
        <v>19</v>
      </c>
      <c r="E1005" s="2" t="str">
        <f t="shared" si="15"/>
        <v/>
      </c>
    </row>
    <row r="1006" spans="1:5" x14ac:dyDescent="0.25">
      <c r="A1006" s="138">
        <v>312208</v>
      </c>
      <c r="B1006">
        <v>119</v>
      </c>
      <c r="C1006">
        <v>5</v>
      </c>
      <c r="D1006">
        <v>19</v>
      </c>
      <c r="E1006" s="2" t="str">
        <f t="shared" si="15"/>
        <v/>
      </c>
    </row>
    <row r="1007" spans="1:5" x14ac:dyDescent="0.25">
      <c r="A1007" s="138">
        <v>312209</v>
      </c>
      <c r="B1007">
        <v>119</v>
      </c>
      <c r="C1007">
        <v>5</v>
      </c>
      <c r="D1007">
        <v>19</v>
      </c>
      <c r="E1007" s="2" t="str">
        <f t="shared" si="15"/>
        <v/>
      </c>
    </row>
    <row r="1008" spans="1:5" x14ac:dyDescent="0.25">
      <c r="A1008" s="138">
        <v>312210</v>
      </c>
      <c r="B1008">
        <v>119</v>
      </c>
      <c r="C1008">
        <v>5</v>
      </c>
      <c r="D1008">
        <v>19</v>
      </c>
      <c r="E1008" s="2" t="str">
        <f t="shared" si="15"/>
        <v/>
      </c>
    </row>
    <row r="1009" spans="1:5" x14ac:dyDescent="0.25">
      <c r="A1009" s="138">
        <v>312211</v>
      </c>
      <c r="B1009">
        <v>119</v>
      </c>
      <c r="C1009">
        <v>5</v>
      </c>
      <c r="D1009">
        <v>19</v>
      </c>
      <c r="E1009" s="2" t="str">
        <f t="shared" si="15"/>
        <v/>
      </c>
    </row>
    <row r="1010" spans="1:5" x14ac:dyDescent="0.25">
      <c r="A1010" s="138">
        <v>312212</v>
      </c>
      <c r="B1010">
        <v>119</v>
      </c>
      <c r="C1010">
        <v>5</v>
      </c>
      <c r="D1010">
        <v>19</v>
      </c>
      <c r="E1010" s="2" t="str">
        <f t="shared" si="15"/>
        <v/>
      </c>
    </row>
    <row r="1011" spans="1:5" x14ac:dyDescent="0.25">
      <c r="A1011" s="138">
        <v>312213</v>
      </c>
      <c r="B1011">
        <v>119</v>
      </c>
      <c r="C1011">
        <v>5</v>
      </c>
      <c r="D1011">
        <v>19</v>
      </c>
      <c r="E1011" s="2" t="str">
        <f t="shared" si="15"/>
        <v/>
      </c>
    </row>
    <row r="1012" spans="1:5" x14ac:dyDescent="0.25">
      <c r="A1012" s="138">
        <v>312214</v>
      </c>
      <c r="B1012">
        <v>119</v>
      </c>
      <c r="C1012">
        <v>5</v>
      </c>
      <c r="D1012">
        <v>19</v>
      </c>
      <c r="E1012" s="2" t="str">
        <f t="shared" si="15"/>
        <v/>
      </c>
    </row>
    <row r="1013" spans="1:5" x14ac:dyDescent="0.25">
      <c r="A1013" s="138">
        <v>312215</v>
      </c>
      <c r="B1013">
        <v>119</v>
      </c>
      <c r="C1013">
        <v>5</v>
      </c>
      <c r="D1013">
        <v>19</v>
      </c>
      <c r="E1013" s="2" t="str">
        <f t="shared" si="15"/>
        <v/>
      </c>
    </row>
    <row r="1014" spans="1:5" x14ac:dyDescent="0.25">
      <c r="A1014" s="138">
        <v>312216</v>
      </c>
      <c r="B1014">
        <v>119</v>
      </c>
      <c r="C1014">
        <v>5</v>
      </c>
      <c r="D1014">
        <v>19</v>
      </c>
      <c r="E1014" s="2" t="str">
        <f t="shared" si="15"/>
        <v/>
      </c>
    </row>
    <row r="1015" spans="1:5" x14ac:dyDescent="0.25">
      <c r="A1015" s="138">
        <v>312217</v>
      </c>
      <c r="B1015">
        <v>119</v>
      </c>
      <c r="C1015">
        <v>5</v>
      </c>
      <c r="D1015">
        <v>19</v>
      </c>
      <c r="E1015" s="2" t="str">
        <f t="shared" si="15"/>
        <v/>
      </c>
    </row>
    <row r="1016" spans="1:5" x14ac:dyDescent="0.25">
      <c r="A1016" s="138">
        <v>312218</v>
      </c>
      <c r="B1016">
        <v>119</v>
      </c>
      <c r="C1016">
        <v>5</v>
      </c>
      <c r="D1016">
        <v>19</v>
      </c>
      <c r="E1016" s="2" t="str">
        <f t="shared" si="15"/>
        <v/>
      </c>
    </row>
    <row r="1017" spans="1:5" x14ac:dyDescent="0.25">
      <c r="A1017" s="138">
        <v>312219</v>
      </c>
      <c r="B1017">
        <v>119</v>
      </c>
      <c r="C1017">
        <v>5</v>
      </c>
      <c r="D1017">
        <v>19</v>
      </c>
      <c r="E1017" s="2" t="str">
        <f t="shared" si="15"/>
        <v/>
      </c>
    </row>
    <row r="1018" spans="1:5" x14ac:dyDescent="0.25">
      <c r="A1018" s="138">
        <v>312220</v>
      </c>
      <c r="B1018">
        <v>119</v>
      </c>
      <c r="C1018">
        <v>5</v>
      </c>
      <c r="D1018">
        <v>19</v>
      </c>
      <c r="E1018" s="2" t="str">
        <f t="shared" si="15"/>
        <v/>
      </c>
    </row>
    <row r="1019" spans="1:5" x14ac:dyDescent="0.25">
      <c r="A1019" s="138">
        <v>312221</v>
      </c>
      <c r="B1019">
        <v>119</v>
      </c>
      <c r="C1019">
        <v>5</v>
      </c>
      <c r="D1019">
        <v>19</v>
      </c>
      <c r="E1019" s="2" t="str">
        <f t="shared" si="15"/>
        <v/>
      </c>
    </row>
    <row r="1020" spans="1:5" x14ac:dyDescent="0.25">
      <c r="A1020" s="138">
        <v>312222</v>
      </c>
      <c r="B1020">
        <v>119</v>
      </c>
      <c r="C1020">
        <v>5</v>
      </c>
      <c r="D1020">
        <v>19</v>
      </c>
      <c r="E1020" s="2" t="str">
        <f t="shared" si="15"/>
        <v/>
      </c>
    </row>
    <row r="1021" spans="1:5" x14ac:dyDescent="0.25">
      <c r="A1021" s="138">
        <v>312223</v>
      </c>
      <c r="B1021">
        <v>119</v>
      </c>
      <c r="C1021">
        <v>5</v>
      </c>
      <c r="D1021">
        <v>19</v>
      </c>
      <c r="E1021" s="2" t="str">
        <f t="shared" si="15"/>
        <v/>
      </c>
    </row>
    <row r="1022" spans="1:5" x14ac:dyDescent="0.25">
      <c r="A1022" s="138">
        <v>312224</v>
      </c>
      <c r="B1022">
        <v>119</v>
      </c>
      <c r="C1022">
        <v>5</v>
      </c>
      <c r="D1022">
        <v>19</v>
      </c>
      <c r="E1022" s="2" t="str">
        <f t="shared" si="15"/>
        <v/>
      </c>
    </row>
    <row r="1023" spans="1:5" x14ac:dyDescent="0.25">
      <c r="A1023" s="138">
        <v>312225</v>
      </c>
      <c r="B1023">
        <v>119</v>
      </c>
      <c r="C1023">
        <v>5</v>
      </c>
      <c r="D1023">
        <v>19</v>
      </c>
      <c r="E1023" s="2" t="str">
        <f t="shared" si="15"/>
        <v/>
      </c>
    </row>
    <row r="1024" spans="1:5" x14ac:dyDescent="0.25">
      <c r="A1024" s="138">
        <v>312226</v>
      </c>
      <c r="B1024">
        <v>119</v>
      </c>
      <c r="C1024">
        <v>5</v>
      </c>
      <c r="D1024">
        <v>19</v>
      </c>
      <c r="E1024" s="2" t="str">
        <f t="shared" si="15"/>
        <v/>
      </c>
    </row>
    <row r="1025" spans="1:5" x14ac:dyDescent="0.25">
      <c r="A1025" s="138">
        <v>312227</v>
      </c>
      <c r="B1025">
        <v>119</v>
      </c>
      <c r="C1025">
        <v>5</v>
      </c>
      <c r="D1025">
        <v>19</v>
      </c>
      <c r="E1025" s="2" t="str">
        <f t="shared" si="15"/>
        <v/>
      </c>
    </row>
    <row r="1026" spans="1:5" x14ac:dyDescent="0.25">
      <c r="A1026" s="138">
        <v>312228</v>
      </c>
      <c r="B1026">
        <v>119</v>
      </c>
      <c r="C1026">
        <v>5</v>
      </c>
      <c r="D1026">
        <v>19</v>
      </c>
      <c r="E1026" s="2" t="str">
        <f t="shared" si="15"/>
        <v/>
      </c>
    </row>
    <row r="1027" spans="1:5" x14ac:dyDescent="0.25">
      <c r="A1027" s="138">
        <v>312229</v>
      </c>
      <c r="B1027">
        <v>119</v>
      </c>
      <c r="C1027">
        <v>5</v>
      </c>
      <c r="D1027">
        <v>19</v>
      </c>
      <c r="E1027" s="2" t="str">
        <f t="shared" ref="E1027:E1090" si="16">IF(B1027=B1026,IF(C1026=C1027,"",1),"")</f>
        <v/>
      </c>
    </row>
    <row r="1028" spans="1:5" x14ac:dyDescent="0.25">
      <c r="A1028" s="138">
        <v>312230</v>
      </c>
      <c r="B1028">
        <v>119</v>
      </c>
      <c r="C1028">
        <v>5</v>
      </c>
      <c r="D1028">
        <v>19</v>
      </c>
      <c r="E1028" s="2" t="str">
        <f t="shared" si="16"/>
        <v/>
      </c>
    </row>
    <row r="1029" spans="1:5" x14ac:dyDescent="0.25">
      <c r="A1029" s="138">
        <v>312231</v>
      </c>
      <c r="B1029">
        <v>119</v>
      </c>
      <c r="C1029">
        <v>5</v>
      </c>
      <c r="D1029">
        <v>19</v>
      </c>
      <c r="E1029" s="2" t="str">
        <f t="shared" si="16"/>
        <v/>
      </c>
    </row>
    <row r="1030" spans="1:5" x14ac:dyDescent="0.25">
      <c r="A1030" s="138">
        <v>312232</v>
      </c>
      <c r="B1030">
        <v>119</v>
      </c>
      <c r="C1030">
        <v>5</v>
      </c>
      <c r="D1030">
        <v>19</v>
      </c>
      <c r="E1030" s="2" t="str">
        <f t="shared" si="16"/>
        <v/>
      </c>
    </row>
    <row r="1031" spans="1:5" x14ac:dyDescent="0.25">
      <c r="A1031" s="138">
        <v>312233</v>
      </c>
      <c r="B1031">
        <v>119</v>
      </c>
      <c r="C1031">
        <v>5</v>
      </c>
      <c r="D1031">
        <v>19</v>
      </c>
      <c r="E1031" s="2" t="str">
        <f t="shared" si="16"/>
        <v/>
      </c>
    </row>
    <row r="1032" spans="1:5" x14ac:dyDescent="0.25">
      <c r="A1032" s="138">
        <v>312234</v>
      </c>
      <c r="B1032">
        <v>119</v>
      </c>
      <c r="C1032">
        <v>5</v>
      </c>
      <c r="D1032">
        <v>19</v>
      </c>
      <c r="E1032" s="2" t="str">
        <f t="shared" si="16"/>
        <v/>
      </c>
    </row>
    <row r="1033" spans="1:5" x14ac:dyDescent="0.25">
      <c r="A1033" s="138">
        <v>312235</v>
      </c>
      <c r="B1033">
        <v>119</v>
      </c>
      <c r="C1033">
        <v>5</v>
      </c>
      <c r="D1033">
        <v>19</v>
      </c>
      <c r="E1033" s="2" t="str">
        <f t="shared" si="16"/>
        <v/>
      </c>
    </row>
    <row r="1034" spans="1:5" x14ac:dyDescent="0.25">
      <c r="A1034" s="138">
        <v>312236</v>
      </c>
      <c r="B1034">
        <v>119</v>
      </c>
      <c r="C1034">
        <v>5</v>
      </c>
      <c r="D1034">
        <v>19</v>
      </c>
      <c r="E1034" s="2" t="str">
        <f t="shared" si="16"/>
        <v/>
      </c>
    </row>
    <row r="1035" spans="1:5" x14ac:dyDescent="0.25">
      <c r="A1035" s="138">
        <v>312237</v>
      </c>
      <c r="B1035">
        <v>119</v>
      </c>
      <c r="C1035">
        <v>5</v>
      </c>
      <c r="D1035">
        <v>19</v>
      </c>
      <c r="E1035" s="2" t="str">
        <f t="shared" si="16"/>
        <v/>
      </c>
    </row>
    <row r="1036" spans="1:5" x14ac:dyDescent="0.25">
      <c r="A1036" s="138">
        <v>312238</v>
      </c>
      <c r="B1036">
        <v>119</v>
      </c>
      <c r="C1036">
        <v>5</v>
      </c>
      <c r="D1036">
        <v>19</v>
      </c>
      <c r="E1036" s="2" t="str">
        <f t="shared" si="16"/>
        <v/>
      </c>
    </row>
    <row r="1037" spans="1:5" x14ac:dyDescent="0.25">
      <c r="A1037" s="138">
        <v>312239</v>
      </c>
      <c r="B1037">
        <v>119</v>
      </c>
      <c r="C1037">
        <v>5</v>
      </c>
      <c r="D1037">
        <v>19</v>
      </c>
      <c r="E1037" s="2" t="str">
        <f t="shared" si="16"/>
        <v/>
      </c>
    </row>
    <row r="1038" spans="1:5" x14ac:dyDescent="0.25">
      <c r="A1038" s="138">
        <v>312240</v>
      </c>
      <c r="B1038">
        <v>119</v>
      </c>
      <c r="C1038">
        <v>5</v>
      </c>
      <c r="D1038">
        <v>19</v>
      </c>
      <c r="E1038" s="2" t="str">
        <f t="shared" si="16"/>
        <v/>
      </c>
    </row>
    <row r="1039" spans="1:5" x14ac:dyDescent="0.25">
      <c r="A1039" s="138">
        <v>312241</v>
      </c>
      <c r="B1039">
        <v>119</v>
      </c>
      <c r="C1039">
        <v>5</v>
      </c>
      <c r="D1039">
        <v>19</v>
      </c>
      <c r="E1039" s="2" t="str">
        <f t="shared" si="16"/>
        <v/>
      </c>
    </row>
    <row r="1040" spans="1:5" x14ac:dyDescent="0.25">
      <c r="A1040" s="138">
        <v>312242</v>
      </c>
      <c r="B1040">
        <v>119</v>
      </c>
      <c r="C1040">
        <v>5</v>
      </c>
      <c r="D1040">
        <v>19</v>
      </c>
      <c r="E1040" s="2" t="str">
        <f t="shared" si="16"/>
        <v/>
      </c>
    </row>
    <row r="1041" spans="1:5" x14ac:dyDescent="0.25">
      <c r="A1041" s="138">
        <v>312243</v>
      </c>
      <c r="B1041">
        <v>119</v>
      </c>
      <c r="C1041">
        <v>5</v>
      </c>
      <c r="D1041">
        <v>19</v>
      </c>
      <c r="E1041" s="2" t="str">
        <f t="shared" si="16"/>
        <v/>
      </c>
    </row>
    <row r="1042" spans="1:5" x14ac:dyDescent="0.25">
      <c r="A1042" s="138">
        <v>312244</v>
      </c>
      <c r="B1042">
        <v>119</v>
      </c>
      <c r="C1042">
        <v>5</v>
      </c>
      <c r="D1042">
        <v>19</v>
      </c>
      <c r="E1042" s="2" t="str">
        <f t="shared" si="16"/>
        <v/>
      </c>
    </row>
    <row r="1043" spans="1:5" x14ac:dyDescent="0.25">
      <c r="A1043" s="138">
        <v>312245</v>
      </c>
      <c r="B1043">
        <v>119</v>
      </c>
      <c r="C1043">
        <v>5</v>
      </c>
      <c r="D1043">
        <v>19</v>
      </c>
      <c r="E1043" s="2" t="str">
        <f t="shared" si="16"/>
        <v/>
      </c>
    </row>
    <row r="1044" spans="1:5" x14ac:dyDescent="0.25">
      <c r="A1044" s="138">
        <v>312246</v>
      </c>
      <c r="B1044">
        <v>119</v>
      </c>
      <c r="C1044">
        <v>5</v>
      </c>
      <c r="D1044">
        <v>19</v>
      </c>
      <c r="E1044" s="2" t="str">
        <f t="shared" si="16"/>
        <v/>
      </c>
    </row>
    <row r="1045" spans="1:5" x14ac:dyDescent="0.25">
      <c r="A1045" s="138">
        <v>312247</v>
      </c>
      <c r="B1045">
        <v>119</v>
      </c>
      <c r="C1045">
        <v>5</v>
      </c>
      <c r="D1045">
        <v>19</v>
      </c>
      <c r="E1045" s="2" t="str">
        <f t="shared" si="16"/>
        <v/>
      </c>
    </row>
    <row r="1046" spans="1:5" x14ac:dyDescent="0.25">
      <c r="A1046" s="138">
        <v>312248</v>
      </c>
      <c r="B1046">
        <v>119</v>
      </c>
      <c r="C1046">
        <v>5</v>
      </c>
      <c r="D1046">
        <v>19</v>
      </c>
      <c r="E1046" s="2" t="str">
        <f t="shared" si="16"/>
        <v/>
      </c>
    </row>
    <row r="1047" spans="1:5" x14ac:dyDescent="0.25">
      <c r="A1047" s="138">
        <v>312249</v>
      </c>
      <c r="B1047">
        <v>119</v>
      </c>
      <c r="C1047">
        <v>5</v>
      </c>
      <c r="D1047">
        <v>19</v>
      </c>
      <c r="E1047" s="2" t="str">
        <f t="shared" si="16"/>
        <v/>
      </c>
    </row>
    <row r="1048" spans="1:5" x14ac:dyDescent="0.25">
      <c r="A1048" s="138">
        <v>312250</v>
      </c>
      <c r="B1048">
        <v>119</v>
      </c>
      <c r="C1048">
        <v>5</v>
      </c>
      <c r="D1048">
        <v>19</v>
      </c>
      <c r="E1048" s="2" t="str">
        <f t="shared" si="16"/>
        <v/>
      </c>
    </row>
    <row r="1049" spans="1:5" x14ac:dyDescent="0.25">
      <c r="A1049" s="138">
        <v>312299</v>
      </c>
      <c r="B1049">
        <v>119</v>
      </c>
      <c r="C1049">
        <v>5</v>
      </c>
      <c r="D1049">
        <v>19</v>
      </c>
      <c r="E1049" s="2" t="str">
        <f t="shared" si="16"/>
        <v/>
      </c>
    </row>
    <row r="1050" spans="1:5" x14ac:dyDescent="0.25">
      <c r="A1050" s="138">
        <v>312300</v>
      </c>
      <c r="B1050">
        <v>119</v>
      </c>
      <c r="C1050">
        <v>5</v>
      </c>
      <c r="D1050">
        <v>19</v>
      </c>
      <c r="E1050" s="2" t="str">
        <f t="shared" si="16"/>
        <v/>
      </c>
    </row>
    <row r="1051" spans="1:5" x14ac:dyDescent="0.25">
      <c r="A1051" s="138">
        <v>312301</v>
      </c>
      <c r="B1051">
        <v>119</v>
      </c>
      <c r="C1051">
        <v>5</v>
      </c>
      <c r="D1051">
        <v>19</v>
      </c>
      <c r="E1051" s="2" t="str">
        <f t="shared" si="16"/>
        <v/>
      </c>
    </row>
    <row r="1052" spans="1:5" x14ac:dyDescent="0.25">
      <c r="A1052" s="138">
        <v>312302</v>
      </c>
      <c r="B1052">
        <v>119</v>
      </c>
      <c r="C1052">
        <v>5</v>
      </c>
      <c r="D1052">
        <v>19</v>
      </c>
      <c r="E1052" s="2" t="str">
        <f t="shared" si="16"/>
        <v/>
      </c>
    </row>
    <row r="1053" spans="1:5" x14ac:dyDescent="0.25">
      <c r="A1053" s="138">
        <v>312303</v>
      </c>
      <c r="B1053">
        <v>119</v>
      </c>
      <c r="C1053">
        <v>5</v>
      </c>
      <c r="D1053">
        <v>19</v>
      </c>
      <c r="E1053" s="2" t="str">
        <f t="shared" si="16"/>
        <v/>
      </c>
    </row>
    <row r="1054" spans="1:5" x14ac:dyDescent="0.25">
      <c r="A1054" s="138">
        <v>312304</v>
      </c>
      <c r="B1054">
        <v>119</v>
      </c>
      <c r="C1054">
        <v>5</v>
      </c>
      <c r="D1054">
        <v>19</v>
      </c>
      <c r="E1054" s="2" t="str">
        <f t="shared" si="16"/>
        <v/>
      </c>
    </row>
    <row r="1055" spans="1:5" x14ac:dyDescent="0.25">
      <c r="A1055" s="138">
        <v>312305</v>
      </c>
      <c r="B1055">
        <v>119</v>
      </c>
      <c r="C1055">
        <v>5</v>
      </c>
      <c r="D1055">
        <v>19</v>
      </c>
      <c r="E1055" s="2" t="str">
        <f t="shared" si="16"/>
        <v/>
      </c>
    </row>
    <row r="1056" spans="1:5" x14ac:dyDescent="0.25">
      <c r="A1056" s="138">
        <v>312306</v>
      </c>
      <c r="B1056">
        <v>119</v>
      </c>
      <c r="C1056">
        <v>5</v>
      </c>
      <c r="D1056">
        <v>19</v>
      </c>
      <c r="E1056" s="2" t="str">
        <f t="shared" si="16"/>
        <v/>
      </c>
    </row>
    <row r="1057" spans="1:5" x14ac:dyDescent="0.25">
      <c r="A1057" s="138">
        <v>312307</v>
      </c>
      <c r="B1057">
        <v>119</v>
      </c>
      <c r="C1057">
        <v>5</v>
      </c>
      <c r="D1057">
        <v>19</v>
      </c>
      <c r="E1057" s="2" t="str">
        <f t="shared" si="16"/>
        <v/>
      </c>
    </row>
    <row r="1058" spans="1:5" x14ac:dyDescent="0.25">
      <c r="A1058" s="138">
        <v>312308</v>
      </c>
      <c r="B1058">
        <v>119</v>
      </c>
      <c r="C1058">
        <v>5</v>
      </c>
      <c r="D1058">
        <v>19</v>
      </c>
      <c r="E1058" s="2" t="str">
        <f t="shared" si="16"/>
        <v/>
      </c>
    </row>
    <row r="1059" spans="1:5" x14ac:dyDescent="0.25">
      <c r="A1059" s="138">
        <v>312309</v>
      </c>
      <c r="B1059">
        <v>119</v>
      </c>
      <c r="C1059">
        <v>5</v>
      </c>
      <c r="D1059">
        <v>19</v>
      </c>
      <c r="E1059" s="2" t="str">
        <f t="shared" si="16"/>
        <v/>
      </c>
    </row>
    <row r="1060" spans="1:5" x14ac:dyDescent="0.25">
      <c r="A1060" s="138">
        <v>312310</v>
      </c>
      <c r="B1060">
        <v>119</v>
      </c>
      <c r="C1060">
        <v>5</v>
      </c>
      <c r="D1060">
        <v>19</v>
      </c>
      <c r="E1060" s="2" t="str">
        <f t="shared" si="16"/>
        <v/>
      </c>
    </row>
    <row r="1061" spans="1:5" x14ac:dyDescent="0.25">
      <c r="A1061" s="138">
        <v>312311</v>
      </c>
      <c r="B1061">
        <v>119</v>
      </c>
      <c r="C1061">
        <v>5</v>
      </c>
      <c r="D1061">
        <v>19</v>
      </c>
      <c r="E1061" s="2" t="str">
        <f t="shared" si="16"/>
        <v/>
      </c>
    </row>
    <row r="1062" spans="1:5" x14ac:dyDescent="0.25">
      <c r="A1062" s="138">
        <v>312312</v>
      </c>
      <c r="B1062">
        <v>119</v>
      </c>
      <c r="C1062">
        <v>5</v>
      </c>
      <c r="D1062">
        <v>19</v>
      </c>
      <c r="E1062" s="2" t="str">
        <f t="shared" si="16"/>
        <v/>
      </c>
    </row>
    <row r="1063" spans="1:5" x14ac:dyDescent="0.25">
      <c r="A1063" s="138">
        <v>312313</v>
      </c>
      <c r="B1063">
        <v>119</v>
      </c>
      <c r="C1063">
        <v>5</v>
      </c>
      <c r="D1063">
        <v>19</v>
      </c>
      <c r="E1063" s="2" t="str">
        <f t="shared" si="16"/>
        <v/>
      </c>
    </row>
    <row r="1064" spans="1:5" x14ac:dyDescent="0.25">
      <c r="A1064" s="138">
        <v>312314</v>
      </c>
      <c r="B1064">
        <v>119</v>
      </c>
      <c r="C1064">
        <v>5</v>
      </c>
      <c r="D1064">
        <v>19</v>
      </c>
      <c r="E1064" s="2" t="str">
        <f t="shared" si="16"/>
        <v/>
      </c>
    </row>
    <row r="1065" spans="1:5" x14ac:dyDescent="0.25">
      <c r="A1065" s="138">
        <v>312315</v>
      </c>
      <c r="B1065">
        <v>119</v>
      </c>
      <c r="C1065">
        <v>5</v>
      </c>
      <c r="D1065">
        <v>19</v>
      </c>
      <c r="E1065" s="2" t="str">
        <f t="shared" si="16"/>
        <v/>
      </c>
    </row>
    <row r="1066" spans="1:5" x14ac:dyDescent="0.25">
      <c r="A1066" s="138">
        <v>312316</v>
      </c>
      <c r="B1066">
        <v>119</v>
      </c>
      <c r="C1066">
        <v>5</v>
      </c>
      <c r="D1066">
        <v>19</v>
      </c>
      <c r="E1066" s="2" t="str">
        <f t="shared" si="16"/>
        <v/>
      </c>
    </row>
    <row r="1067" spans="1:5" x14ac:dyDescent="0.25">
      <c r="A1067" s="138">
        <v>312317</v>
      </c>
      <c r="B1067">
        <v>119</v>
      </c>
      <c r="C1067">
        <v>5</v>
      </c>
      <c r="D1067">
        <v>19</v>
      </c>
      <c r="E1067" s="2" t="str">
        <f t="shared" si="16"/>
        <v/>
      </c>
    </row>
    <row r="1068" spans="1:5" x14ac:dyDescent="0.25">
      <c r="A1068" s="138">
        <v>312318</v>
      </c>
      <c r="B1068">
        <v>119</v>
      </c>
      <c r="C1068">
        <v>5</v>
      </c>
      <c r="D1068">
        <v>19</v>
      </c>
      <c r="E1068" s="2" t="str">
        <f t="shared" si="16"/>
        <v/>
      </c>
    </row>
    <row r="1069" spans="1:5" x14ac:dyDescent="0.25">
      <c r="A1069" s="138">
        <v>312319</v>
      </c>
      <c r="B1069">
        <v>119</v>
      </c>
      <c r="C1069">
        <v>5</v>
      </c>
      <c r="D1069">
        <v>19</v>
      </c>
      <c r="E1069" s="2" t="str">
        <f t="shared" si="16"/>
        <v/>
      </c>
    </row>
    <row r="1070" spans="1:5" x14ac:dyDescent="0.25">
      <c r="A1070" s="138">
        <v>312320</v>
      </c>
      <c r="B1070">
        <v>119</v>
      </c>
      <c r="C1070">
        <v>5</v>
      </c>
      <c r="D1070">
        <v>19</v>
      </c>
      <c r="E1070" s="2" t="str">
        <f t="shared" si="16"/>
        <v/>
      </c>
    </row>
    <row r="1071" spans="1:5" x14ac:dyDescent="0.25">
      <c r="A1071" s="138">
        <v>312321</v>
      </c>
      <c r="B1071">
        <v>119</v>
      </c>
      <c r="C1071">
        <v>5</v>
      </c>
      <c r="D1071">
        <v>19</v>
      </c>
      <c r="E1071" s="2" t="str">
        <f t="shared" si="16"/>
        <v/>
      </c>
    </row>
    <row r="1072" spans="1:5" x14ac:dyDescent="0.25">
      <c r="A1072" s="138">
        <v>312322</v>
      </c>
      <c r="B1072">
        <v>119</v>
      </c>
      <c r="C1072">
        <v>5</v>
      </c>
      <c r="D1072">
        <v>19</v>
      </c>
      <c r="E1072" s="2" t="str">
        <f t="shared" si="16"/>
        <v/>
      </c>
    </row>
    <row r="1073" spans="1:5" x14ac:dyDescent="0.25">
      <c r="A1073" s="138">
        <v>312323</v>
      </c>
      <c r="B1073">
        <v>119</v>
      </c>
      <c r="C1073">
        <v>5</v>
      </c>
      <c r="D1073">
        <v>19</v>
      </c>
      <c r="E1073" s="2" t="str">
        <f t="shared" si="16"/>
        <v/>
      </c>
    </row>
    <row r="1074" spans="1:5" x14ac:dyDescent="0.25">
      <c r="A1074" s="138">
        <v>312324</v>
      </c>
      <c r="B1074">
        <v>119</v>
      </c>
      <c r="C1074">
        <v>5</v>
      </c>
      <c r="D1074">
        <v>19</v>
      </c>
      <c r="E1074" s="2" t="str">
        <f t="shared" si="16"/>
        <v/>
      </c>
    </row>
    <row r="1075" spans="1:5" x14ac:dyDescent="0.25">
      <c r="A1075" s="138">
        <v>312325</v>
      </c>
      <c r="B1075">
        <v>119</v>
      </c>
      <c r="C1075">
        <v>5</v>
      </c>
      <c r="D1075">
        <v>19</v>
      </c>
      <c r="E1075" s="2" t="str">
        <f t="shared" si="16"/>
        <v/>
      </c>
    </row>
    <row r="1076" spans="1:5" x14ac:dyDescent="0.25">
      <c r="A1076" s="138">
        <v>312326</v>
      </c>
      <c r="B1076">
        <v>119</v>
      </c>
      <c r="C1076">
        <v>5</v>
      </c>
      <c r="D1076">
        <v>19</v>
      </c>
      <c r="E1076" s="2" t="str">
        <f t="shared" si="16"/>
        <v/>
      </c>
    </row>
    <row r="1077" spans="1:5" x14ac:dyDescent="0.25">
      <c r="A1077" s="138">
        <v>312327</v>
      </c>
      <c r="B1077">
        <v>119</v>
      </c>
      <c r="C1077">
        <v>5</v>
      </c>
      <c r="D1077">
        <v>19</v>
      </c>
      <c r="E1077" s="2" t="str">
        <f t="shared" si="16"/>
        <v/>
      </c>
    </row>
    <row r="1078" spans="1:5" x14ac:dyDescent="0.25">
      <c r="A1078" s="138">
        <v>312328</v>
      </c>
      <c r="B1078">
        <v>119</v>
      </c>
      <c r="C1078">
        <v>5</v>
      </c>
      <c r="D1078">
        <v>19</v>
      </c>
      <c r="E1078" s="2" t="str">
        <f t="shared" si="16"/>
        <v/>
      </c>
    </row>
    <row r="1079" spans="1:5" x14ac:dyDescent="0.25">
      <c r="A1079" s="138">
        <v>312329</v>
      </c>
      <c r="B1079">
        <v>119</v>
      </c>
      <c r="C1079">
        <v>5</v>
      </c>
      <c r="D1079">
        <v>19</v>
      </c>
      <c r="E1079" s="2" t="str">
        <f t="shared" si="16"/>
        <v/>
      </c>
    </row>
    <row r="1080" spans="1:5" x14ac:dyDescent="0.25">
      <c r="A1080" s="138">
        <v>312330</v>
      </c>
      <c r="B1080">
        <v>119</v>
      </c>
      <c r="C1080">
        <v>5</v>
      </c>
      <c r="D1080">
        <v>19</v>
      </c>
      <c r="E1080" s="2" t="str">
        <f t="shared" si="16"/>
        <v/>
      </c>
    </row>
    <row r="1081" spans="1:5" x14ac:dyDescent="0.25">
      <c r="A1081" s="138">
        <v>312331</v>
      </c>
      <c r="B1081">
        <v>119</v>
      </c>
      <c r="C1081">
        <v>5</v>
      </c>
      <c r="D1081">
        <v>19</v>
      </c>
      <c r="E1081" s="2" t="str">
        <f t="shared" si="16"/>
        <v/>
      </c>
    </row>
    <row r="1082" spans="1:5" x14ac:dyDescent="0.25">
      <c r="A1082" s="138">
        <v>312332</v>
      </c>
      <c r="B1082">
        <v>119</v>
      </c>
      <c r="C1082">
        <v>5</v>
      </c>
      <c r="D1082">
        <v>19</v>
      </c>
      <c r="E1082" s="2" t="str">
        <f t="shared" si="16"/>
        <v/>
      </c>
    </row>
    <row r="1083" spans="1:5" x14ac:dyDescent="0.25">
      <c r="A1083" s="138">
        <v>312333</v>
      </c>
      <c r="B1083">
        <v>119</v>
      </c>
      <c r="C1083">
        <v>5</v>
      </c>
      <c r="D1083">
        <v>19</v>
      </c>
      <c r="E1083" s="2" t="str">
        <f t="shared" si="16"/>
        <v/>
      </c>
    </row>
    <row r="1084" spans="1:5" x14ac:dyDescent="0.25">
      <c r="A1084" s="138">
        <v>312334</v>
      </c>
      <c r="B1084">
        <v>119</v>
      </c>
      <c r="C1084">
        <v>5</v>
      </c>
      <c r="D1084">
        <v>19</v>
      </c>
      <c r="E1084" s="2" t="str">
        <f t="shared" si="16"/>
        <v/>
      </c>
    </row>
    <row r="1085" spans="1:5" x14ac:dyDescent="0.25">
      <c r="A1085" s="138">
        <v>312335</v>
      </c>
      <c r="B1085">
        <v>119</v>
      </c>
      <c r="C1085">
        <v>5</v>
      </c>
      <c r="D1085">
        <v>19</v>
      </c>
      <c r="E1085" s="2" t="str">
        <f t="shared" si="16"/>
        <v/>
      </c>
    </row>
    <row r="1086" spans="1:5" x14ac:dyDescent="0.25">
      <c r="A1086" s="138">
        <v>312336</v>
      </c>
      <c r="B1086">
        <v>119</v>
      </c>
      <c r="C1086">
        <v>5</v>
      </c>
      <c r="D1086">
        <v>19</v>
      </c>
      <c r="E1086" s="2" t="str">
        <f t="shared" si="16"/>
        <v/>
      </c>
    </row>
    <row r="1087" spans="1:5" x14ac:dyDescent="0.25">
      <c r="A1087" s="138">
        <v>312337</v>
      </c>
      <c r="B1087">
        <v>119</v>
      </c>
      <c r="C1087">
        <v>5</v>
      </c>
      <c r="D1087">
        <v>19</v>
      </c>
      <c r="E1087" s="2" t="str">
        <f t="shared" si="16"/>
        <v/>
      </c>
    </row>
    <row r="1088" spans="1:5" x14ac:dyDescent="0.25">
      <c r="A1088" s="138">
        <v>312338</v>
      </c>
      <c r="B1088">
        <v>119</v>
      </c>
      <c r="C1088">
        <v>5</v>
      </c>
      <c r="D1088">
        <v>19</v>
      </c>
      <c r="E1088" s="2" t="str">
        <f t="shared" si="16"/>
        <v/>
      </c>
    </row>
    <row r="1089" spans="1:5" x14ac:dyDescent="0.25">
      <c r="A1089" s="138">
        <v>312339</v>
      </c>
      <c r="B1089">
        <v>119</v>
      </c>
      <c r="C1089">
        <v>5</v>
      </c>
      <c r="D1089">
        <v>19</v>
      </c>
      <c r="E1089" s="2" t="str">
        <f t="shared" si="16"/>
        <v/>
      </c>
    </row>
    <row r="1090" spans="1:5" x14ac:dyDescent="0.25">
      <c r="A1090" s="138">
        <v>312399</v>
      </c>
      <c r="B1090">
        <v>119</v>
      </c>
      <c r="C1090">
        <v>5</v>
      </c>
      <c r="D1090">
        <v>19</v>
      </c>
      <c r="E1090" s="2" t="str">
        <f t="shared" si="16"/>
        <v/>
      </c>
    </row>
    <row r="1091" spans="1:5" x14ac:dyDescent="0.25">
      <c r="A1091" s="138">
        <v>313000</v>
      </c>
      <c r="B1091">
        <v>119</v>
      </c>
      <c r="C1091">
        <v>5</v>
      </c>
      <c r="D1091">
        <v>19</v>
      </c>
      <c r="E1091" s="2" t="str">
        <f t="shared" ref="E1091:E1154" si="17">IF(B1091=B1090,IF(C1090=C1091,"",1),"")</f>
        <v/>
      </c>
    </row>
    <row r="1092" spans="1:5" x14ac:dyDescent="0.25">
      <c r="A1092" s="138">
        <v>313001</v>
      </c>
      <c r="B1092">
        <v>119</v>
      </c>
      <c r="C1092">
        <v>5</v>
      </c>
      <c r="D1092">
        <v>19</v>
      </c>
      <c r="E1092" s="2" t="str">
        <f t="shared" si="17"/>
        <v/>
      </c>
    </row>
    <row r="1093" spans="1:5" x14ac:dyDescent="0.25">
      <c r="A1093" s="138">
        <v>313002</v>
      </c>
      <c r="B1093">
        <v>119</v>
      </c>
      <c r="C1093">
        <v>5</v>
      </c>
      <c r="D1093">
        <v>19</v>
      </c>
      <c r="E1093" s="2" t="str">
        <f t="shared" si="17"/>
        <v/>
      </c>
    </row>
    <row r="1094" spans="1:5" x14ac:dyDescent="0.25">
      <c r="A1094" s="138">
        <v>313003</v>
      </c>
      <c r="B1094">
        <v>119</v>
      </c>
      <c r="C1094">
        <v>5</v>
      </c>
      <c r="D1094">
        <v>19</v>
      </c>
      <c r="E1094" s="2" t="str">
        <f t="shared" si="17"/>
        <v/>
      </c>
    </row>
    <row r="1095" spans="1:5" x14ac:dyDescent="0.25">
      <c r="A1095" s="138">
        <v>313004</v>
      </c>
      <c r="B1095">
        <v>119</v>
      </c>
      <c r="C1095">
        <v>5</v>
      </c>
      <c r="D1095">
        <v>19</v>
      </c>
      <c r="E1095" s="2" t="str">
        <f t="shared" si="17"/>
        <v/>
      </c>
    </row>
    <row r="1096" spans="1:5" x14ac:dyDescent="0.25">
      <c r="A1096" s="138">
        <v>313005</v>
      </c>
      <c r="B1096">
        <v>119</v>
      </c>
      <c r="C1096">
        <v>5</v>
      </c>
      <c r="D1096">
        <v>19</v>
      </c>
      <c r="E1096" s="2" t="str">
        <f t="shared" si="17"/>
        <v/>
      </c>
    </row>
    <row r="1097" spans="1:5" x14ac:dyDescent="0.25">
      <c r="A1097" s="138">
        <v>313006</v>
      </c>
      <c r="B1097">
        <v>119</v>
      </c>
      <c r="C1097">
        <v>5</v>
      </c>
      <c r="D1097">
        <v>19</v>
      </c>
      <c r="E1097" s="2" t="str">
        <f t="shared" si="17"/>
        <v/>
      </c>
    </row>
    <row r="1098" spans="1:5" x14ac:dyDescent="0.25">
      <c r="A1098" s="138">
        <v>313007</v>
      </c>
      <c r="B1098">
        <v>119</v>
      </c>
      <c r="C1098">
        <v>5</v>
      </c>
      <c r="D1098">
        <v>19</v>
      </c>
      <c r="E1098" s="2" t="str">
        <f t="shared" si="17"/>
        <v/>
      </c>
    </row>
    <row r="1099" spans="1:5" x14ac:dyDescent="0.25">
      <c r="A1099" s="138">
        <v>313008</v>
      </c>
      <c r="B1099">
        <v>119</v>
      </c>
      <c r="C1099">
        <v>5</v>
      </c>
      <c r="D1099">
        <v>19</v>
      </c>
      <c r="E1099" s="2" t="str">
        <f t="shared" si="17"/>
        <v/>
      </c>
    </row>
    <row r="1100" spans="1:5" x14ac:dyDescent="0.25">
      <c r="A1100" s="138">
        <v>313009</v>
      </c>
      <c r="B1100">
        <v>119</v>
      </c>
      <c r="C1100">
        <v>5</v>
      </c>
      <c r="D1100">
        <v>19</v>
      </c>
      <c r="E1100" s="2" t="str">
        <f t="shared" si="17"/>
        <v/>
      </c>
    </row>
    <row r="1101" spans="1:5" x14ac:dyDescent="0.25">
      <c r="A1101" s="138">
        <v>313010</v>
      </c>
      <c r="B1101">
        <v>119</v>
      </c>
      <c r="C1101">
        <v>5</v>
      </c>
      <c r="D1101">
        <v>19</v>
      </c>
      <c r="E1101" s="2" t="str">
        <f t="shared" si="17"/>
        <v/>
      </c>
    </row>
    <row r="1102" spans="1:5" x14ac:dyDescent="0.25">
      <c r="A1102" s="138">
        <v>313011</v>
      </c>
      <c r="B1102">
        <v>119</v>
      </c>
      <c r="C1102">
        <v>5</v>
      </c>
      <c r="D1102">
        <v>19</v>
      </c>
      <c r="E1102" s="2" t="str">
        <f t="shared" si="17"/>
        <v/>
      </c>
    </row>
    <row r="1103" spans="1:5" x14ac:dyDescent="0.25">
      <c r="A1103" s="138">
        <v>313012</v>
      </c>
      <c r="B1103">
        <v>119</v>
      </c>
      <c r="C1103">
        <v>5</v>
      </c>
      <c r="D1103">
        <v>19</v>
      </c>
      <c r="E1103" s="2" t="str">
        <f t="shared" si="17"/>
        <v/>
      </c>
    </row>
    <row r="1104" spans="1:5" x14ac:dyDescent="0.25">
      <c r="A1104" s="138">
        <v>313013</v>
      </c>
      <c r="B1104">
        <v>119</v>
      </c>
      <c r="C1104">
        <v>5</v>
      </c>
      <c r="D1104">
        <v>19</v>
      </c>
      <c r="E1104" s="2" t="str">
        <f t="shared" si="17"/>
        <v/>
      </c>
    </row>
    <row r="1105" spans="1:5" x14ac:dyDescent="0.25">
      <c r="A1105" s="138">
        <v>313014</v>
      </c>
      <c r="B1105">
        <v>119</v>
      </c>
      <c r="C1105">
        <v>5</v>
      </c>
      <c r="D1105">
        <v>19</v>
      </c>
      <c r="E1105" s="2" t="str">
        <f t="shared" si="17"/>
        <v/>
      </c>
    </row>
    <row r="1106" spans="1:5" x14ac:dyDescent="0.25">
      <c r="A1106" s="138">
        <v>313015</v>
      </c>
      <c r="B1106">
        <v>119</v>
      </c>
      <c r="C1106">
        <v>5</v>
      </c>
      <c r="D1106">
        <v>19</v>
      </c>
      <c r="E1106" s="2" t="str">
        <f t="shared" si="17"/>
        <v/>
      </c>
    </row>
    <row r="1107" spans="1:5" x14ac:dyDescent="0.25">
      <c r="A1107" s="138">
        <v>313016</v>
      </c>
      <c r="B1107">
        <v>119</v>
      </c>
      <c r="C1107">
        <v>5</v>
      </c>
      <c r="D1107">
        <v>19</v>
      </c>
      <c r="E1107" s="2" t="str">
        <f t="shared" si="17"/>
        <v/>
      </c>
    </row>
    <row r="1108" spans="1:5" x14ac:dyDescent="0.25">
      <c r="A1108" s="138">
        <v>313017</v>
      </c>
      <c r="B1108">
        <v>119</v>
      </c>
      <c r="C1108">
        <v>5</v>
      </c>
      <c r="D1108">
        <v>19</v>
      </c>
      <c r="E1108" s="2" t="str">
        <f t="shared" si="17"/>
        <v/>
      </c>
    </row>
    <row r="1109" spans="1:5" x14ac:dyDescent="0.25">
      <c r="A1109" s="138">
        <v>313018</v>
      </c>
      <c r="B1109">
        <v>119</v>
      </c>
      <c r="C1109">
        <v>5</v>
      </c>
      <c r="D1109">
        <v>19</v>
      </c>
      <c r="E1109" s="2" t="str">
        <f t="shared" si="17"/>
        <v/>
      </c>
    </row>
    <row r="1110" spans="1:5" x14ac:dyDescent="0.25">
      <c r="A1110" s="138">
        <v>313019</v>
      </c>
      <c r="B1110">
        <v>119</v>
      </c>
      <c r="C1110">
        <v>5</v>
      </c>
      <c r="D1110">
        <v>19</v>
      </c>
      <c r="E1110" s="2" t="str">
        <f t="shared" si="17"/>
        <v/>
      </c>
    </row>
    <row r="1111" spans="1:5" x14ac:dyDescent="0.25">
      <c r="A1111" s="138">
        <v>313020</v>
      </c>
      <c r="B1111">
        <v>119</v>
      </c>
      <c r="C1111">
        <v>5</v>
      </c>
      <c r="D1111">
        <v>19</v>
      </c>
      <c r="E1111" s="2" t="str">
        <f t="shared" si="17"/>
        <v/>
      </c>
    </row>
    <row r="1112" spans="1:5" x14ac:dyDescent="0.25">
      <c r="A1112" s="138">
        <v>313021</v>
      </c>
      <c r="B1112">
        <v>119</v>
      </c>
      <c r="C1112">
        <v>5</v>
      </c>
      <c r="D1112">
        <v>19</v>
      </c>
      <c r="E1112" s="2" t="str">
        <f t="shared" si="17"/>
        <v/>
      </c>
    </row>
    <row r="1113" spans="1:5" x14ac:dyDescent="0.25">
      <c r="A1113" s="138">
        <v>313022</v>
      </c>
      <c r="B1113">
        <v>119</v>
      </c>
      <c r="C1113">
        <v>5</v>
      </c>
      <c r="D1113">
        <v>19</v>
      </c>
      <c r="E1113" s="2" t="str">
        <f t="shared" si="17"/>
        <v/>
      </c>
    </row>
    <row r="1114" spans="1:5" x14ac:dyDescent="0.25">
      <c r="A1114" s="138">
        <v>313023</v>
      </c>
      <c r="B1114">
        <v>119</v>
      </c>
      <c r="C1114">
        <v>5</v>
      </c>
      <c r="D1114">
        <v>19</v>
      </c>
      <c r="E1114" s="2" t="str">
        <f t="shared" si="17"/>
        <v/>
      </c>
    </row>
    <row r="1115" spans="1:5" x14ac:dyDescent="0.25">
      <c r="A1115" s="138">
        <v>313024</v>
      </c>
      <c r="B1115">
        <v>119</v>
      </c>
      <c r="C1115">
        <v>5</v>
      </c>
      <c r="D1115">
        <v>19</v>
      </c>
      <c r="E1115" s="2" t="str">
        <f t="shared" si="17"/>
        <v/>
      </c>
    </row>
    <row r="1116" spans="1:5" x14ac:dyDescent="0.25">
      <c r="A1116" s="138">
        <v>313025</v>
      </c>
      <c r="B1116">
        <v>119</v>
      </c>
      <c r="C1116">
        <v>5</v>
      </c>
      <c r="D1116">
        <v>19</v>
      </c>
      <c r="E1116" s="2" t="str">
        <f t="shared" si="17"/>
        <v/>
      </c>
    </row>
    <row r="1117" spans="1:5" x14ac:dyDescent="0.25">
      <c r="A1117" s="138">
        <v>313026</v>
      </c>
      <c r="B1117">
        <v>119</v>
      </c>
      <c r="C1117">
        <v>5</v>
      </c>
      <c r="D1117">
        <v>19</v>
      </c>
      <c r="E1117" s="2" t="str">
        <f t="shared" si="17"/>
        <v/>
      </c>
    </row>
    <row r="1118" spans="1:5" x14ac:dyDescent="0.25">
      <c r="A1118" s="138">
        <v>313027</v>
      </c>
      <c r="B1118">
        <v>119</v>
      </c>
      <c r="C1118">
        <v>5</v>
      </c>
      <c r="D1118">
        <v>19</v>
      </c>
      <c r="E1118" s="2" t="str">
        <f t="shared" si="17"/>
        <v/>
      </c>
    </row>
    <row r="1119" spans="1:5" x14ac:dyDescent="0.25">
      <c r="A1119" s="138">
        <v>313028</v>
      </c>
      <c r="B1119">
        <v>119</v>
      </c>
      <c r="C1119">
        <v>5</v>
      </c>
      <c r="D1119">
        <v>19</v>
      </c>
      <c r="E1119" s="2" t="str">
        <f t="shared" si="17"/>
        <v/>
      </c>
    </row>
    <row r="1120" spans="1:5" x14ac:dyDescent="0.25">
      <c r="A1120" s="138">
        <v>313029</v>
      </c>
      <c r="B1120">
        <v>119</v>
      </c>
      <c r="C1120">
        <v>5</v>
      </c>
      <c r="D1120">
        <v>19</v>
      </c>
      <c r="E1120" s="2" t="str">
        <f t="shared" si="17"/>
        <v/>
      </c>
    </row>
    <row r="1121" spans="1:5" x14ac:dyDescent="0.25">
      <c r="A1121" s="138">
        <v>313030</v>
      </c>
      <c r="B1121">
        <v>119</v>
      </c>
      <c r="C1121">
        <v>5</v>
      </c>
      <c r="D1121">
        <v>19</v>
      </c>
      <c r="E1121" s="2" t="str">
        <f t="shared" si="17"/>
        <v/>
      </c>
    </row>
    <row r="1122" spans="1:5" x14ac:dyDescent="0.25">
      <c r="A1122" s="138">
        <v>313031</v>
      </c>
      <c r="B1122">
        <v>119</v>
      </c>
      <c r="C1122">
        <v>5</v>
      </c>
      <c r="D1122">
        <v>19</v>
      </c>
      <c r="E1122" s="2" t="str">
        <f t="shared" si="17"/>
        <v/>
      </c>
    </row>
    <row r="1123" spans="1:5" x14ac:dyDescent="0.25">
      <c r="A1123" s="138">
        <v>313032</v>
      </c>
      <c r="B1123">
        <v>119</v>
      </c>
      <c r="C1123">
        <v>5</v>
      </c>
      <c r="D1123">
        <v>19</v>
      </c>
      <c r="E1123" s="2" t="str">
        <f t="shared" si="17"/>
        <v/>
      </c>
    </row>
    <row r="1124" spans="1:5" x14ac:dyDescent="0.25">
      <c r="A1124" s="138">
        <v>313033</v>
      </c>
      <c r="B1124">
        <v>119</v>
      </c>
      <c r="C1124">
        <v>5</v>
      </c>
      <c r="D1124">
        <v>19</v>
      </c>
      <c r="E1124" s="2" t="str">
        <f t="shared" si="17"/>
        <v/>
      </c>
    </row>
    <row r="1125" spans="1:5" x14ac:dyDescent="0.25">
      <c r="A1125" s="138">
        <v>313034</v>
      </c>
      <c r="B1125">
        <v>119</v>
      </c>
      <c r="C1125">
        <v>5</v>
      </c>
      <c r="D1125">
        <v>19</v>
      </c>
      <c r="E1125" s="2" t="str">
        <f t="shared" si="17"/>
        <v/>
      </c>
    </row>
    <row r="1126" spans="1:5" x14ac:dyDescent="0.25">
      <c r="A1126" s="138">
        <v>313035</v>
      </c>
      <c r="B1126">
        <v>119</v>
      </c>
      <c r="C1126">
        <v>5</v>
      </c>
      <c r="D1126">
        <v>19</v>
      </c>
      <c r="E1126" s="2" t="str">
        <f t="shared" si="17"/>
        <v/>
      </c>
    </row>
    <row r="1127" spans="1:5" x14ac:dyDescent="0.25">
      <c r="A1127" s="138">
        <v>313098</v>
      </c>
      <c r="B1127">
        <v>119</v>
      </c>
      <c r="C1127">
        <v>5</v>
      </c>
      <c r="D1127">
        <v>19</v>
      </c>
      <c r="E1127" s="2" t="str">
        <f t="shared" si="17"/>
        <v/>
      </c>
    </row>
    <row r="1128" spans="1:5" x14ac:dyDescent="0.25">
      <c r="A1128" s="138">
        <v>313099</v>
      </c>
      <c r="B1128">
        <v>119</v>
      </c>
      <c r="C1128">
        <v>5</v>
      </c>
      <c r="D1128">
        <v>19</v>
      </c>
      <c r="E1128" s="2" t="str">
        <f t="shared" si="17"/>
        <v/>
      </c>
    </row>
    <row r="1129" spans="1:5" x14ac:dyDescent="0.25">
      <c r="A1129" s="138">
        <v>314000</v>
      </c>
      <c r="B1129">
        <v>217</v>
      </c>
      <c r="C1129">
        <v>5</v>
      </c>
      <c r="D1129">
        <v>19</v>
      </c>
      <c r="E1129" s="2" t="str">
        <f t="shared" si="17"/>
        <v/>
      </c>
    </row>
    <row r="1130" spans="1:5" x14ac:dyDescent="0.25">
      <c r="A1130" s="138">
        <v>314001</v>
      </c>
      <c r="B1130">
        <v>217</v>
      </c>
      <c r="C1130">
        <v>5</v>
      </c>
      <c r="D1130">
        <v>19</v>
      </c>
      <c r="E1130" s="2" t="str">
        <f t="shared" si="17"/>
        <v/>
      </c>
    </row>
    <row r="1131" spans="1:5" x14ac:dyDescent="0.25">
      <c r="A1131" s="138">
        <v>314002</v>
      </c>
      <c r="B1131">
        <v>217</v>
      </c>
      <c r="C1131">
        <v>5</v>
      </c>
      <c r="D1131">
        <v>19</v>
      </c>
      <c r="E1131" s="2" t="str">
        <f t="shared" si="17"/>
        <v/>
      </c>
    </row>
    <row r="1132" spans="1:5" x14ac:dyDescent="0.25">
      <c r="A1132" s="138">
        <v>314003</v>
      </c>
      <c r="B1132">
        <v>217</v>
      </c>
      <c r="C1132">
        <v>5</v>
      </c>
      <c r="D1132">
        <v>19</v>
      </c>
      <c r="E1132" s="2" t="str">
        <f t="shared" si="17"/>
        <v/>
      </c>
    </row>
    <row r="1133" spans="1:5" x14ac:dyDescent="0.25">
      <c r="A1133" s="138">
        <v>314004</v>
      </c>
      <c r="B1133">
        <v>217</v>
      </c>
      <c r="C1133">
        <v>5</v>
      </c>
      <c r="D1133">
        <v>19</v>
      </c>
      <c r="E1133" s="2" t="str">
        <f t="shared" si="17"/>
        <v/>
      </c>
    </row>
    <row r="1134" spans="1:5" x14ac:dyDescent="0.25">
      <c r="A1134" s="138">
        <v>314005</v>
      </c>
      <c r="B1134">
        <v>217</v>
      </c>
      <c r="C1134">
        <v>5</v>
      </c>
      <c r="D1134">
        <v>19</v>
      </c>
      <c r="E1134" s="2" t="str">
        <f t="shared" si="17"/>
        <v/>
      </c>
    </row>
    <row r="1135" spans="1:5" x14ac:dyDescent="0.25">
      <c r="A1135" s="138">
        <v>314006</v>
      </c>
      <c r="B1135">
        <v>217</v>
      </c>
      <c r="C1135">
        <v>5</v>
      </c>
      <c r="D1135">
        <v>19</v>
      </c>
      <c r="E1135" s="2" t="str">
        <f t="shared" si="17"/>
        <v/>
      </c>
    </row>
    <row r="1136" spans="1:5" x14ac:dyDescent="0.25">
      <c r="A1136" s="138">
        <v>315000</v>
      </c>
      <c r="B1136">
        <v>119</v>
      </c>
      <c r="C1136">
        <v>5</v>
      </c>
      <c r="D1136">
        <v>19</v>
      </c>
      <c r="E1136" s="2" t="str">
        <f t="shared" si="17"/>
        <v/>
      </c>
    </row>
    <row r="1137" spans="1:5" x14ac:dyDescent="0.25">
      <c r="A1137" s="138">
        <v>315001</v>
      </c>
      <c r="B1137">
        <v>119</v>
      </c>
      <c r="C1137">
        <v>5</v>
      </c>
      <c r="D1137">
        <v>19</v>
      </c>
      <c r="E1137" s="2" t="str">
        <f t="shared" si="17"/>
        <v/>
      </c>
    </row>
    <row r="1138" spans="1:5" x14ac:dyDescent="0.25">
      <c r="A1138" s="138">
        <v>315002</v>
      </c>
      <c r="B1138">
        <v>119</v>
      </c>
      <c r="C1138">
        <v>5</v>
      </c>
      <c r="D1138">
        <v>19</v>
      </c>
      <c r="E1138" s="2" t="str">
        <f t="shared" si="17"/>
        <v/>
      </c>
    </row>
    <row r="1139" spans="1:5" x14ac:dyDescent="0.25">
      <c r="A1139" s="138">
        <v>315003</v>
      </c>
      <c r="B1139">
        <v>119</v>
      </c>
      <c r="C1139">
        <v>5</v>
      </c>
      <c r="D1139">
        <v>19</v>
      </c>
      <c r="E1139" s="2" t="str">
        <f t="shared" si="17"/>
        <v/>
      </c>
    </row>
    <row r="1140" spans="1:5" x14ac:dyDescent="0.25">
      <c r="A1140" s="138">
        <v>315004</v>
      </c>
      <c r="B1140">
        <v>119</v>
      </c>
      <c r="C1140">
        <v>5</v>
      </c>
      <c r="D1140">
        <v>19</v>
      </c>
      <c r="E1140" s="2" t="str">
        <f t="shared" si="17"/>
        <v/>
      </c>
    </row>
    <row r="1141" spans="1:5" x14ac:dyDescent="0.25">
      <c r="A1141" s="138">
        <v>315005</v>
      </c>
      <c r="B1141">
        <v>119</v>
      </c>
      <c r="C1141">
        <v>5</v>
      </c>
      <c r="D1141">
        <v>19</v>
      </c>
      <c r="E1141" s="2" t="str">
        <f t="shared" si="17"/>
        <v/>
      </c>
    </row>
    <row r="1142" spans="1:5" x14ac:dyDescent="0.25">
      <c r="A1142" s="138">
        <v>315006</v>
      </c>
      <c r="B1142">
        <v>119</v>
      </c>
      <c r="C1142">
        <v>5</v>
      </c>
      <c r="D1142">
        <v>19</v>
      </c>
      <c r="E1142" s="2" t="str">
        <f t="shared" si="17"/>
        <v/>
      </c>
    </row>
    <row r="1143" spans="1:5" x14ac:dyDescent="0.25">
      <c r="A1143" s="138">
        <v>315007</v>
      </c>
      <c r="B1143">
        <v>119</v>
      </c>
      <c r="C1143">
        <v>5</v>
      </c>
      <c r="D1143">
        <v>19</v>
      </c>
      <c r="E1143" s="2" t="str">
        <f t="shared" si="17"/>
        <v/>
      </c>
    </row>
    <row r="1144" spans="1:5" x14ac:dyDescent="0.25">
      <c r="A1144" s="138">
        <v>315008</v>
      </c>
      <c r="B1144">
        <v>119</v>
      </c>
      <c r="C1144">
        <v>5</v>
      </c>
      <c r="D1144">
        <v>19</v>
      </c>
      <c r="E1144" s="2" t="str">
        <f t="shared" si="17"/>
        <v/>
      </c>
    </row>
    <row r="1145" spans="1:5" x14ac:dyDescent="0.25">
      <c r="A1145" s="138">
        <v>315009</v>
      </c>
      <c r="B1145">
        <v>119</v>
      </c>
      <c r="C1145">
        <v>5</v>
      </c>
      <c r="D1145">
        <v>19</v>
      </c>
      <c r="E1145" s="2" t="str">
        <f t="shared" si="17"/>
        <v/>
      </c>
    </row>
    <row r="1146" spans="1:5" x14ac:dyDescent="0.25">
      <c r="A1146" s="138">
        <v>315010</v>
      </c>
      <c r="B1146">
        <v>119</v>
      </c>
      <c r="C1146">
        <v>5</v>
      </c>
      <c r="D1146">
        <v>19</v>
      </c>
      <c r="E1146" s="2" t="str">
        <f t="shared" si="17"/>
        <v/>
      </c>
    </row>
    <row r="1147" spans="1:5" x14ac:dyDescent="0.25">
      <c r="A1147" s="138">
        <v>315011</v>
      </c>
      <c r="B1147">
        <v>119</v>
      </c>
      <c r="C1147">
        <v>5</v>
      </c>
      <c r="D1147">
        <v>19</v>
      </c>
      <c r="E1147" s="2" t="str">
        <f t="shared" si="17"/>
        <v/>
      </c>
    </row>
    <row r="1148" spans="1:5" x14ac:dyDescent="0.25">
      <c r="A1148" s="138">
        <v>315012</v>
      </c>
      <c r="B1148">
        <v>119</v>
      </c>
      <c r="C1148">
        <v>5</v>
      </c>
      <c r="D1148">
        <v>19</v>
      </c>
      <c r="E1148" s="2" t="str">
        <f t="shared" si="17"/>
        <v/>
      </c>
    </row>
    <row r="1149" spans="1:5" x14ac:dyDescent="0.25">
      <c r="A1149" s="138">
        <v>315013</v>
      </c>
      <c r="B1149">
        <v>119</v>
      </c>
      <c r="C1149">
        <v>5</v>
      </c>
      <c r="D1149">
        <v>19</v>
      </c>
      <c r="E1149" s="2" t="str">
        <f t="shared" si="17"/>
        <v/>
      </c>
    </row>
    <row r="1150" spans="1:5" x14ac:dyDescent="0.25">
      <c r="A1150" s="138">
        <v>315014</v>
      </c>
      <c r="B1150">
        <v>119</v>
      </c>
      <c r="C1150">
        <v>5</v>
      </c>
      <c r="D1150">
        <v>19</v>
      </c>
      <c r="E1150" s="2" t="str">
        <f t="shared" si="17"/>
        <v/>
      </c>
    </row>
    <row r="1151" spans="1:5" x14ac:dyDescent="0.25">
      <c r="A1151" s="138">
        <v>315015</v>
      </c>
      <c r="B1151">
        <v>119</v>
      </c>
      <c r="C1151">
        <v>5</v>
      </c>
      <c r="D1151">
        <v>19</v>
      </c>
      <c r="E1151" s="2" t="str">
        <f t="shared" si="17"/>
        <v/>
      </c>
    </row>
    <row r="1152" spans="1:5" x14ac:dyDescent="0.25">
      <c r="A1152" s="138">
        <v>315016</v>
      </c>
      <c r="B1152">
        <v>119</v>
      </c>
      <c r="C1152">
        <v>5</v>
      </c>
      <c r="D1152">
        <v>19</v>
      </c>
      <c r="E1152" s="2" t="str">
        <f t="shared" si="17"/>
        <v/>
      </c>
    </row>
    <row r="1153" spans="1:5" x14ac:dyDescent="0.25">
      <c r="A1153" s="138">
        <v>315017</v>
      </c>
      <c r="B1153">
        <v>119</v>
      </c>
      <c r="C1153">
        <v>5</v>
      </c>
      <c r="D1153">
        <v>19</v>
      </c>
      <c r="E1153" s="2" t="str">
        <f t="shared" si="17"/>
        <v/>
      </c>
    </row>
    <row r="1154" spans="1:5" x14ac:dyDescent="0.25">
      <c r="A1154" s="138">
        <v>315018</v>
      </c>
      <c r="B1154">
        <v>119</v>
      </c>
      <c r="C1154">
        <v>5</v>
      </c>
      <c r="D1154">
        <v>19</v>
      </c>
      <c r="E1154" s="2" t="str">
        <f t="shared" si="17"/>
        <v/>
      </c>
    </row>
    <row r="1155" spans="1:5" x14ac:dyDescent="0.25">
      <c r="A1155" s="138">
        <v>315019</v>
      </c>
      <c r="B1155">
        <v>119</v>
      </c>
      <c r="C1155">
        <v>5</v>
      </c>
      <c r="D1155">
        <v>19</v>
      </c>
      <c r="E1155" s="2" t="str">
        <f t="shared" ref="E1155:E1218" si="18">IF(B1155=B1154,IF(C1154=C1155,"",1),"")</f>
        <v/>
      </c>
    </row>
    <row r="1156" spans="1:5" x14ac:dyDescent="0.25">
      <c r="A1156" s="138">
        <v>315020</v>
      </c>
      <c r="B1156">
        <v>119</v>
      </c>
      <c r="C1156">
        <v>5</v>
      </c>
      <c r="D1156">
        <v>19</v>
      </c>
      <c r="E1156" s="2" t="str">
        <f t="shared" si="18"/>
        <v/>
      </c>
    </row>
    <row r="1157" spans="1:5" x14ac:dyDescent="0.25">
      <c r="A1157" s="138">
        <v>315021</v>
      </c>
      <c r="B1157">
        <v>119</v>
      </c>
      <c r="C1157">
        <v>5</v>
      </c>
      <c r="D1157">
        <v>19</v>
      </c>
      <c r="E1157" s="2" t="str">
        <f t="shared" si="18"/>
        <v/>
      </c>
    </row>
    <row r="1158" spans="1:5" x14ac:dyDescent="0.25">
      <c r="A1158" s="138">
        <v>315022</v>
      </c>
      <c r="B1158">
        <v>119</v>
      </c>
      <c r="C1158">
        <v>5</v>
      </c>
      <c r="D1158">
        <v>19</v>
      </c>
      <c r="E1158" s="2" t="str">
        <f t="shared" si="18"/>
        <v/>
      </c>
    </row>
    <row r="1159" spans="1:5" x14ac:dyDescent="0.25">
      <c r="A1159" s="138">
        <v>315023</v>
      </c>
      <c r="B1159">
        <v>119</v>
      </c>
      <c r="C1159">
        <v>5</v>
      </c>
      <c r="D1159">
        <v>19</v>
      </c>
      <c r="E1159" s="2" t="str">
        <f t="shared" si="18"/>
        <v/>
      </c>
    </row>
    <row r="1160" spans="1:5" x14ac:dyDescent="0.25">
      <c r="A1160" s="138">
        <v>315024</v>
      </c>
      <c r="B1160">
        <v>119</v>
      </c>
      <c r="C1160">
        <v>5</v>
      </c>
      <c r="D1160">
        <v>19</v>
      </c>
      <c r="E1160" s="2" t="str">
        <f t="shared" si="18"/>
        <v/>
      </c>
    </row>
    <row r="1161" spans="1:5" x14ac:dyDescent="0.25">
      <c r="A1161" s="138">
        <v>315025</v>
      </c>
      <c r="B1161">
        <v>119</v>
      </c>
      <c r="C1161">
        <v>5</v>
      </c>
      <c r="D1161">
        <v>19</v>
      </c>
      <c r="E1161" s="2" t="str">
        <f t="shared" si="18"/>
        <v/>
      </c>
    </row>
    <row r="1162" spans="1:5" x14ac:dyDescent="0.25">
      <c r="A1162" s="138">
        <v>315026</v>
      </c>
      <c r="B1162">
        <v>119</v>
      </c>
      <c r="C1162">
        <v>5</v>
      </c>
      <c r="D1162">
        <v>19</v>
      </c>
      <c r="E1162" s="2" t="str">
        <f t="shared" si="18"/>
        <v/>
      </c>
    </row>
    <row r="1163" spans="1:5" x14ac:dyDescent="0.25">
      <c r="A1163" s="138">
        <v>315099</v>
      </c>
      <c r="B1163">
        <v>119</v>
      </c>
      <c r="C1163">
        <v>5</v>
      </c>
      <c r="D1163">
        <v>19</v>
      </c>
      <c r="E1163" s="2" t="str">
        <f t="shared" si="18"/>
        <v/>
      </c>
    </row>
    <row r="1164" spans="1:5" x14ac:dyDescent="0.25">
      <c r="A1164" s="138">
        <v>321000</v>
      </c>
      <c r="B1164">
        <v>122</v>
      </c>
      <c r="C1164">
        <v>5</v>
      </c>
      <c r="D1164">
        <v>19</v>
      </c>
      <c r="E1164" s="2" t="str">
        <f t="shared" si="18"/>
        <v/>
      </c>
    </row>
    <row r="1165" spans="1:5" x14ac:dyDescent="0.25">
      <c r="A1165" s="138">
        <v>321001</v>
      </c>
      <c r="B1165">
        <v>122</v>
      </c>
      <c r="C1165">
        <v>5</v>
      </c>
      <c r="D1165">
        <v>19</v>
      </c>
      <c r="E1165" s="2" t="str">
        <f t="shared" si="18"/>
        <v/>
      </c>
    </row>
    <row r="1166" spans="1:5" x14ac:dyDescent="0.25">
      <c r="A1166" s="138">
        <v>321002</v>
      </c>
      <c r="B1166">
        <v>122</v>
      </c>
      <c r="C1166">
        <v>5</v>
      </c>
      <c r="D1166">
        <v>19</v>
      </c>
      <c r="E1166" s="2" t="str">
        <f t="shared" si="18"/>
        <v/>
      </c>
    </row>
    <row r="1167" spans="1:5" x14ac:dyDescent="0.25">
      <c r="A1167" s="138">
        <v>321003</v>
      </c>
      <c r="B1167">
        <v>122</v>
      </c>
      <c r="C1167">
        <v>5</v>
      </c>
      <c r="D1167">
        <v>19</v>
      </c>
      <c r="E1167" s="2" t="str">
        <f t="shared" si="18"/>
        <v/>
      </c>
    </row>
    <row r="1168" spans="1:5" x14ac:dyDescent="0.25">
      <c r="A1168" s="138">
        <v>321004</v>
      </c>
      <c r="B1168">
        <v>122</v>
      </c>
      <c r="C1168">
        <v>5</v>
      </c>
      <c r="D1168">
        <v>19</v>
      </c>
      <c r="E1168" s="2" t="str">
        <f t="shared" si="18"/>
        <v/>
      </c>
    </row>
    <row r="1169" spans="1:5" x14ac:dyDescent="0.25">
      <c r="A1169" s="138">
        <v>321005</v>
      </c>
      <c r="B1169">
        <v>122</v>
      </c>
      <c r="C1169">
        <v>5</v>
      </c>
      <c r="D1169">
        <v>19</v>
      </c>
      <c r="E1169" s="2" t="str">
        <f t="shared" si="18"/>
        <v/>
      </c>
    </row>
    <row r="1170" spans="1:5" x14ac:dyDescent="0.25">
      <c r="A1170" s="138">
        <v>321006</v>
      </c>
      <c r="B1170">
        <v>122</v>
      </c>
      <c r="C1170">
        <v>5</v>
      </c>
      <c r="D1170">
        <v>19</v>
      </c>
      <c r="E1170" s="2" t="str">
        <f t="shared" si="18"/>
        <v/>
      </c>
    </row>
    <row r="1171" spans="1:5" x14ac:dyDescent="0.25">
      <c r="A1171" s="138">
        <v>321007</v>
      </c>
      <c r="B1171">
        <v>122</v>
      </c>
      <c r="C1171">
        <v>5</v>
      </c>
      <c r="D1171">
        <v>19</v>
      </c>
      <c r="E1171" s="2" t="str">
        <f t="shared" si="18"/>
        <v/>
      </c>
    </row>
    <row r="1172" spans="1:5" x14ac:dyDescent="0.25">
      <c r="A1172" s="138">
        <v>321008</v>
      </c>
      <c r="B1172">
        <v>122</v>
      </c>
      <c r="C1172">
        <v>5</v>
      </c>
      <c r="D1172">
        <v>19</v>
      </c>
      <c r="E1172" s="2" t="str">
        <f t="shared" si="18"/>
        <v/>
      </c>
    </row>
    <row r="1173" spans="1:5" x14ac:dyDescent="0.25">
      <c r="A1173" s="138">
        <v>321009</v>
      </c>
      <c r="B1173">
        <v>122</v>
      </c>
      <c r="C1173">
        <v>5</v>
      </c>
      <c r="D1173">
        <v>19</v>
      </c>
      <c r="E1173" s="2" t="str">
        <f t="shared" si="18"/>
        <v/>
      </c>
    </row>
    <row r="1174" spans="1:5" x14ac:dyDescent="0.25">
      <c r="A1174" s="138">
        <v>321010</v>
      </c>
      <c r="B1174">
        <v>122</v>
      </c>
      <c r="C1174">
        <v>5</v>
      </c>
      <c r="D1174">
        <v>19</v>
      </c>
      <c r="E1174" s="2" t="str">
        <f t="shared" si="18"/>
        <v/>
      </c>
    </row>
    <row r="1175" spans="1:5" x14ac:dyDescent="0.25">
      <c r="A1175" s="138">
        <v>321011</v>
      </c>
      <c r="B1175">
        <v>122</v>
      </c>
      <c r="C1175">
        <v>5</v>
      </c>
      <c r="D1175">
        <v>19</v>
      </c>
      <c r="E1175" s="2" t="str">
        <f t="shared" si="18"/>
        <v/>
      </c>
    </row>
    <row r="1176" spans="1:5" x14ac:dyDescent="0.25">
      <c r="A1176" s="138">
        <v>321012</v>
      </c>
      <c r="B1176">
        <v>122</v>
      </c>
      <c r="C1176">
        <v>5</v>
      </c>
      <c r="D1176">
        <v>19</v>
      </c>
      <c r="E1176" s="2" t="str">
        <f t="shared" si="18"/>
        <v/>
      </c>
    </row>
    <row r="1177" spans="1:5" x14ac:dyDescent="0.25">
      <c r="A1177" s="138">
        <v>321013</v>
      </c>
      <c r="B1177">
        <v>122</v>
      </c>
      <c r="C1177">
        <v>5</v>
      </c>
      <c r="D1177">
        <v>19</v>
      </c>
      <c r="E1177" s="2" t="str">
        <f t="shared" si="18"/>
        <v/>
      </c>
    </row>
    <row r="1178" spans="1:5" x14ac:dyDescent="0.25">
      <c r="A1178" s="138">
        <v>321014</v>
      </c>
      <c r="B1178">
        <v>122</v>
      </c>
      <c r="C1178">
        <v>5</v>
      </c>
      <c r="D1178">
        <v>19</v>
      </c>
      <c r="E1178" s="2" t="str">
        <f t="shared" si="18"/>
        <v/>
      </c>
    </row>
    <row r="1179" spans="1:5" x14ac:dyDescent="0.25">
      <c r="A1179" s="138">
        <v>321015</v>
      </c>
      <c r="B1179">
        <v>122</v>
      </c>
      <c r="C1179">
        <v>5</v>
      </c>
      <c r="D1179">
        <v>19</v>
      </c>
      <c r="E1179" s="2" t="str">
        <f t="shared" si="18"/>
        <v/>
      </c>
    </row>
    <row r="1180" spans="1:5" x14ac:dyDescent="0.25">
      <c r="A1180" s="138">
        <v>321099</v>
      </c>
      <c r="B1180">
        <v>122</v>
      </c>
      <c r="C1180">
        <v>5</v>
      </c>
      <c r="D1180">
        <v>19</v>
      </c>
      <c r="E1180" s="2" t="str">
        <f t="shared" si="18"/>
        <v/>
      </c>
    </row>
    <row r="1181" spans="1:5" x14ac:dyDescent="0.25">
      <c r="A1181" s="138">
        <v>321100</v>
      </c>
      <c r="B1181">
        <v>122</v>
      </c>
      <c r="C1181">
        <v>5</v>
      </c>
      <c r="D1181">
        <v>19</v>
      </c>
      <c r="E1181" s="2" t="str">
        <f t="shared" si="18"/>
        <v/>
      </c>
    </row>
    <row r="1182" spans="1:5" x14ac:dyDescent="0.25">
      <c r="A1182" s="138">
        <v>321101</v>
      </c>
      <c r="B1182">
        <v>122</v>
      </c>
      <c r="C1182">
        <v>5</v>
      </c>
      <c r="D1182">
        <v>19</v>
      </c>
      <c r="E1182" s="2" t="str">
        <f t="shared" si="18"/>
        <v/>
      </c>
    </row>
    <row r="1183" spans="1:5" x14ac:dyDescent="0.25">
      <c r="A1183" s="138">
        <v>321102</v>
      </c>
      <c r="B1183">
        <v>122</v>
      </c>
      <c r="C1183">
        <v>5</v>
      </c>
      <c r="D1183">
        <v>19</v>
      </c>
      <c r="E1183" s="2" t="str">
        <f t="shared" si="18"/>
        <v/>
      </c>
    </row>
    <row r="1184" spans="1:5" x14ac:dyDescent="0.25">
      <c r="A1184" s="138">
        <v>321103</v>
      </c>
      <c r="B1184">
        <v>122</v>
      </c>
      <c r="C1184">
        <v>5</v>
      </c>
      <c r="D1184">
        <v>19</v>
      </c>
      <c r="E1184" s="2" t="str">
        <f t="shared" si="18"/>
        <v/>
      </c>
    </row>
    <row r="1185" spans="1:5" x14ac:dyDescent="0.25">
      <c r="A1185" s="138">
        <v>321104</v>
      </c>
      <c r="B1185">
        <v>122</v>
      </c>
      <c r="C1185">
        <v>5</v>
      </c>
      <c r="D1185">
        <v>19</v>
      </c>
      <c r="E1185" s="2" t="str">
        <f t="shared" si="18"/>
        <v/>
      </c>
    </row>
    <row r="1186" spans="1:5" x14ac:dyDescent="0.25">
      <c r="A1186" s="138">
        <v>321105</v>
      </c>
      <c r="B1186">
        <v>122</v>
      </c>
      <c r="C1186">
        <v>5</v>
      </c>
      <c r="D1186">
        <v>19</v>
      </c>
      <c r="E1186" s="2" t="str">
        <f t="shared" si="18"/>
        <v/>
      </c>
    </row>
    <row r="1187" spans="1:5" x14ac:dyDescent="0.25">
      <c r="A1187" s="138">
        <v>321106</v>
      </c>
      <c r="B1187">
        <v>122</v>
      </c>
      <c r="C1187">
        <v>5</v>
      </c>
      <c r="D1187">
        <v>19</v>
      </c>
      <c r="E1187" s="2" t="str">
        <f t="shared" si="18"/>
        <v/>
      </c>
    </row>
    <row r="1188" spans="1:5" x14ac:dyDescent="0.25">
      <c r="A1188" s="138">
        <v>321107</v>
      </c>
      <c r="B1188">
        <v>122</v>
      </c>
      <c r="C1188">
        <v>5</v>
      </c>
      <c r="D1188">
        <v>19</v>
      </c>
      <c r="E1188" s="2" t="str">
        <f t="shared" si="18"/>
        <v/>
      </c>
    </row>
    <row r="1189" spans="1:5" x14ac:dyDescent="0.25">
      <c r="A1189" s="138">
        <v>321108</v>
      </c>
      <c r="B1189">
        <v>122</v>
      </c>
      <c r="C1189">
        <v>5</v>
      </c>
      <c r="D1189">
        <v>19</v>
      </c>
      <c r="E1189" s="2" t="str">
        <f t="shared" si="18"/>
        <v/>
      </c>
    </row>
    <row r="1190" spans="1:5" x14ac:dyDescent="0.25">
      <c r="A1190" s="138">
        <v>321109</v>
      </c>
      <c r="B1190">
        <v>122</v>
      </c>
      <c r="C1190">
        <v>5</v>
      </c>
      <c r="D1190">
        <v>19</v>
      </c>
      <c r="E1190" s="2" t="str">
        <f t="shared" si="18"/>
        <v/>
      </c>
    </row>
    <row r="1191" spans="1:5" x14ac:dyDescent="0.25">
      <c r="A1191" s="138">
        <v>321110</v>
      </c>
      <c r="B1191">
        <v>122</v>
      </c>
      <c r="C1191">
        <v>5</v>
      </c>
      <c r="D1191">
        <v>19</v>
      </c>
      <c r="E1191" s="2" t="str">
        <f t="shared" si="18"/>
        <v/>
      </c>
    </row>
    <row r="1192" spans="1:5" x14ac:dyDescent="0.25">
      <c r="A1192" s="138">
        <v>321111</v>
      </c>
      <c r="B1192">
        <v>122</v>
      </c>
      <c r="C1192">
        <v>5</v>
      </c>
      <c r="D1192">
        <v>19</v>
      </c>
      <c r="E1192" s="2" t="str">
        <f t="shared" si="18"/>
        <v/>
      </c>
    </row>
    <row r="1193" spans="1:5" x14ac:dyDescent="0.25">
      <c r="A1193" s="138">
        <v>321112</v>
      </c>
      <c r="B1193">
        <v>122</v>
      </c>
      <c r="C1193">
        <v>5</v>
      </c>
      <c r="D1193">
        <v>19</v>
      </c>
      <c r="E1193" s="2" t="str">
        <f t="shared" si="18"/>
        <v/>
      </c>
    </row>
    <row r="1194" spans="1:5" x14ac:dyDescent="0.25">
      <c r="A1194" s="138">
        <v>321113</v>
      </c>
      <c r="B1194">
        <v>122</v>
      </c>
      <c r="C1194">
        <v>5</v>
      </c>
      <c r="D1194">
        <v>19</v>
      </c>
      <c r="E1194" s="2" t="str">
        <f t="shared" si="18"/>
        <v/>
      </c>
    </row>
    <row r="1195" spans="1:5" x14ac:dyDescent="0.25">
      <c r="A1195" s="138">
        <v>321114</v>
      </c>
      <c r="B1195">
        <v>122</v>
      </c>
      <c r="C1195">
        <v>5</v>
      </c>
      <c r="D1195">
        <v>19</v>
      </c>
      <c r="E1195" s="2" t="str">
        <f t="shared" si="18"/>
        <v/>
      </c>
    </row>
    <row r="1196" spans="1:5" x14ac:dyDescent="0.25">
      <c r="A1196" s="138">
        <v>321115</v>
      </c>
      <c r="B1196">
        <v>122</v>
      </c>
      <c r="C1196">
        <v>5</v>
      </c>
      <c r="D1196">
        <v>19</v>
      </c>
      <c r="E1196" s="2" t="str">
        <f t="shared" si="18"/>
        <v/>
      </c>
    </row>
    <row r="1197" spans="1:5" x14ac:dyDescent="0.25">
      <c r="A1197" s="138">
        <v>321116</v>
      </c>
      <c r="B1197">
        <v>122</v>
      </c>
      <c r="C1197">
        <v>5</v>
      </c>
      <c r="D1197">
        <v>19</v>
      </c>
      <c r="E1197" s="2" t="str">
        <f t="shared" si="18"/>
        <v/>
      </c>
    </row>
    <row r="1198" spans="1:5" x14ac:dyDescent="0.25">
      <c r="A1198" s="138">
        <v>321199</v>
      </c>
      <c r="B1198">
        <v>122</v>
      </c>
      <c r="C1198">
        <v>5</v>
      </c>
      <c r="D1198">
        <v>19</v>
      </c>
      <c r="E1198" s="2" t="str">
        <f t="shared" si="18"/>
        <v/>
      </c>
    </row>
    <row r="1199" spans="1:5" x14ac:dyDescent="0.25">
      <c r="A1199" s="138">
        <v>321200</v>
      </c>
      <c r="B1199">
        <v>122</v>
      </c>
      <c r="C1199">
        <v>5</v>
      </c>
      <c r="D1199">
        <v>19</v>
      </c>
      <c r="E1199" s="2" t="str">
        <f t="shared" si="18"/>
        <v/>
      </c>
    </row>
    <row r="1200" spans="1:5" x14ac:dyDescent="0.25">
      <c r="A1200" s="138">
        <v>321201</v>
      </c>
      <c r="B1200">
        <v>122</v>
      </c>
      <c r="C1200">
        <v>5</v>
      </c>
      <c r="D1200">
        <v>19</v>
      </c>
      <c r="E1200" s="2" t="str">
        <f t="shared" si="18"/>
        <v/>
      </c>
    </row>
    <row r="1201" spans="1:5" x14ac:dyDescent="0.25">
      <c r="A1201" s="138">
        <v>321202</v>
      </c>
      <c r="B1201">
        <v>122</v>
      </c>
      <c r="C1201">
        <v>5</v>
      </c>
      <c r="D1201">
        <v>19</v>
      </c>
      <c r="E1201" s="2" t="str">
        <f t="shared" si="18"/>
        <v/>
      </c>
    </row>
    <row r="1202" spans="1:5" x14ac:dyDescent="0.25">
      <c r="A1202" s="138">
        <v>321203</v>
      </c>
      <c r="B1202">
        <v>122</v>
      </c>
      <c r="C1202">
        <v>5</v>
      </c>
      <c r="D1202">
        <v>19</v>
      </c>
      <c r="E1202" s="2" t="str">
        <f t="shared" si="18"/>
        <v/>
      </c>
    </row>
    <row r="1203" spans="1:5" x14ac:dyDescent="0.25">
      <c r="A1203" s="138">
        <v>321204</v>
      </c>
      <c r="B1203">
        <v>122</v>
      </c>
      <c r="C1203">
        <v>5</v>
      </c>
      <c r="D1203">
        <v>19</v>
      </c>
      <c r="E1203" s="2" t="str">
        <f t="shared" si="18"/>
        <v/>
      </c>
    </row>
    <row r="1204" spans="1:5" x14ac:dyDescent="0.25">
      <c r="A1204" s="138">
        <v>321205</v>
      </c>
      <c r="B1204">
        <v>122</v>
      </c>
      <c r="C1204">
        <v>5</v>
      </c>
      <c r="D1204">
        <v>19</v>
      </c>
      <c r="E1204" s="2" t="str">
        <f t="shared" si="18"/>
        <v/>
      </c>
    </row>
    <row r="1205" spans="1:5" x14ac:dyDescent="0.25">
      <c r="A1205" s="138">
        <v>321206</v>
      </c>
      <c r="B1205">
        <v>122</v>
      </c>
      <c r="C1205">
        <v>5</v>
      </c>
      <c r="D1205">
        <v>19</v>
      </c>
      <c r="E1205" s="2" t="str">
        <f t="shared" si="18"/>
        <v/>
      </c>
    </row>
    <row r="1206" spans="1:5" x14ac:dyDescent="0.25">
      <c r="A1206" s="138">
        <v>321207</v>
      </c>
      <c r="B1206">
        <v>122</v>
      </c>
      <c r="C1206">
        <v>5</v>
      </c>
      <c r="D1206">
        <v>19</v>
      </c>
      <c r="E1206" s="2" t="str">
        <f t="shared" si="18"/>
        <v/>
      </c>
    </row>
    <row r="1207" spans="1:5" x14ac:dyDescent="0.25">
      <c r="A1207" s="138">
        <v>321208</v>
      </c>
      <c r="B1207">
        <v>122</v>
      </c>
      <c r="C1207">
        <v>5</v>
      </c>
      <c r="D1207">
        <v>19</v>
      </c>
      <c r="E1207" s="2" t="str">
        <f t="shared" si="18"/>
        <v/>
      </c>
    </row>
    <row r="1208" spans="1:5" x14ac:dyDescent="0.25">
      <c r="A1208" s="138">
        <v>321209</v>
      </c>
      <c r="B1208">
        <v>122</v>
      </c>
      <c r="C1208">
        <v>5</v>
      </c>
      <c r="D1208">
        <v>19</v>
      </c>
      <c r="E1208" s="2" t="str">
        <f t="shared" si="18"/>
        <v/>
      </c>
    </row>
    <row r="1209" spans="1:5" x14ac:dyDescent="0.25">
      <c r="A1209" s="138">
        <v>321210</v>
      </c>
      <c r="B1209">
        <v>122</v>
      </c>
      <c r="C1209">
        <v>5</v>
      </c>
      <c r="D1209">
        <v>19</v>
      </c>
      <c r="E1209" s="2" t="str">
        <f t="shared" si="18"/>
        <v/>
      </c>
    </row>
    <row r="1210" spans="1:5" x14ac:dyDescent="0.25">
      <c r="A1210" s="138">
        <v>321211</v>
      </c>
      <c r="B1210">
        <v>122</v>
      </c>
      <c r="C1210">
        <v>5</v>
      </c>
      <c r="D1210">
        <v>19</v>
      </c>
      <c r="E1210" s="2" t="str">
        <f t="shared" si="18"/>
        <v/>
      </c>
    </row>
    <row r="1211" spans="1:5" x14ac:dyDescent="0.25">
      <c r="A1211" s="138">
        <v>321212</v>
      </c>
      <c r="B1211">
        <v>122</v>
      </c>
      <c r="C1211">
        <v>5</v>
      </c>
      <c r="D1211">
        <v>19</v>
      </c>
      <c r="E1211" s="2" t="str">
        <f t="shared" si="18"/>
        <v/>
      </c>
    </row>
    <row r="1212" spans="1:5" x14ac:dyDescent="0.25">
      <c r="A1212" s="138">
        <v>321213</v>
      </c>
      <c r="B1212">
        <v>122</v>
      </c>
      <c r="C1212">
        <v>5</v>
      </c>
      <c r="D1212">
        <v>19</v>
      </c>
      <c r="E1212" s="2" t="str">
        <f t="shared" si="18"/>
        <v/>
      </c>
    </row>
    <row r="1213" spans="1:5" x14ac:dyDescent="0.25">
      <c r="A1213" s="138">
        <v>321214</v>
      </c>
      <c r="B1213">
        <v>122</v>
      </c>
      <c r="C1213">
        <v>5</v>
      </c>
      <c r="D1213">
        <v>19</v>
      </c>
      <c r="E1213" s="2" t="str">
        <f t="shared" si="18"/>
        <v/>
      </c>
    </row>
    <row r="1214" spans="1:5" x14ac:dyDescent="0.25">
      <c r="A1214" s="138">
        <v>321215</v>
      </c>
      <c r="B1214">
        <v>122</v>
      </c>
      <c r="C1214">
        <v>5</v>
      </c>
      <c r="D1214">
        <v>19</v>
      </c>
      <c r="E1214" s="2" t="str">
        <f t="shared" si="18"/>
        <v/>
      </c>
    </row>
    <row r="1215" spans="1:5" x14ac:dyDescent="0.25">
      <c r="A1215" s="138">
        <v>321216</v>
      </c>
      <c r="B1215">
        <v>122</v>
      </c>
      <c r="C1215">
        <v>5</v>
      </c>
      <c r="D1215">
        <v>19</v>
      </c>
      <c r="E1215" s="2" t="str">
        <f t="shared" si="18"/>
        <v/>
      </c>
    </row>
    <row r="1216" spans="1:5" x14ac:dyDescent="0.25">
      <c r="A1216" s="138">
        <v>321299</v>
      </c>
      <c r="B1216">
        <v>122</v>
      </c>
      <c r="C1216">
        <v>5</v>
      </c>
      <c r="D1216">
        <v>19</v>
      </c>
      <c r="E1216" s="2" t="str">
        <f t="shared" si="18"/>
        <v/>
      </c>
    </row>
    <row r="1217" spans="1:5" x14ac:dyDescent="0.25">
      <c r="A1217" s="138">
        <v>321300</v>
      </c>
      <c r="B1217">
        <v>122</v>
      </c>
      <c r="C1217">
        <v>5</v>
      </c>
      <c r="D1217">
        <v>19</v>
      </c>
      <c r="E1217" s="2" t="str">
        <f t="shared" si="18"/>
        <v/>
      </c>
    </row>
    <row r="1218" spans="1:5" x14ac:dyDescent="0.25">
      <c r="A1218" s="138">
        <v>321301</v>
      </c>
      <c r="B1218">
        <v>122</v>
      </c>
      <c r="C1218">
        <v>5</v>
      </c>
      <c r="D1218">
        <v>19</v>
      </c>
      <c r="E1218" s="2" t="str">
        <f t="shared" si="18"/>
        <v/>
      </c>
    </row>
    <row r="1219" spans="1:5" x14ac:dyDescent="0.25">
      <c r="A1219" s="138">
        <v>321302</v>
      </c>
      <c r="B1219">
        <v>122</v>
      </c>
      <c r="C1219">
        <v>5</v>
      </c>
      <c r="D1219">
        <v>19</v>
      </c>
      <c r="E1219" s="2" t="str">
        <f t="shared" ref="E1219:E1282" si="19">IF(B1219=B1218,IF(C1218=C1219,"",1),"")</f>
        <v/>
      </c>
    </row>
    <row r="1220" spans="1:5" x14ac:dyDescent="0.25">
      <c r="A1220" s="138">
        <v>321303</v>
      </c>
      <c r="B1220">
        <v>122</v>
      </c>
      <c r="C1220">
        <v>5</v>
      </c>
      <c r="D1220">
        <v>19</v>
      </c>
      <c r="E1220" s="2" t="str">
        <f t="shared" si="19"/>
        <v/>
      </c>
    </row>
    <row r="1221" spans="1:5" x14ac:dyDescent="0.25">
      <c r="A1221" s="138">
        <v>321304</v>
      </c>
      <c r="B1221">
        <v>122</v>
      </c>
      <c r="C1221">
        <v>5</v>
      </c>
      <c r="D1221">
        <v>19</v>
      </c>
      <c r="E1221" s="2" t="str">
        <f t="shared" si="19"/>
        <v/>
      </c>
    </row>
    <row r="1222" spans="1:5" x14ac:dyDescent="0.25">
      <c r="A1222" s="138">
        <v>321305</v>
      </c>
      <c r="B1222">
        <v>122</v>
      </c>
      <c r="C1222">
        <v>5</v>
      </c>
      <c r="D1222">
        <v>19</v>
      </c>
      <c r="E1222" s="2" t="str">
        <f t="shared" si="19"/>
        <v/>
      </c>
    </row>
    <row r="1223" spans="1:5" x14ac:dyDescent="0.25">
      <c r="A1223" s="138">
        <v>321306</v>
      </c>
      <c r="B1223">
        <v>122</v>
      </c>
      <c r="C1223">
        <v>5</v>
      </c>
      <c r="D1223">
        <v>19</v>
      </c>
      <c r="E1223" s="2" t="str">
        <f t="shared" si="19"/>
        <v/>
      </c>
    </row>
    <row r="1224" spans="1:5" x14ac:dyDescent="0.25">
      <c r="A1224" s="138">
        <v>321307</v>
      </c>
      <c r="B1224">
        <v>122</v>
      </c>
      <c r="C1224">
        <v>5</v>
      </c>
      <c r="D1224">
        <v>19</v>
      </c>
      <c r="E1224" s="2" t="str">
        <f t="shared" si="19"/>
        <v/>
      </c>
    </row>
    <row r="1225" spans="1:5" x14ac:dyDescent="0.25">
      <c r="A1225" s="138">
        <v>321308</v>
      </c>
      <c r="B1225">
        <v>122</v>
      </c>
      <c r="C1225">
        <v>5</v>
      </c>
      <c r="D1225">
        <v>19</v>
      </c>
      <c r="E1225" s="2" t="str">
        <f t="shared" si="19"/>
        <v/>
      </c>
    </row>
    <row r="1226" spans="1:5" x14ac:dyDescent="0.25">
      <c r="A1226" s="138">
        <v>321309</v>
      </c>
      <c r="B1226">
        <v>122</v>
      </c>
      <c r="C1226">
        <v>5</v>
      </c>
      <c r="D1226">
        <v>19</v>
      </c>
      <c r="E1226" s="2" t="str">
        <f t="shared" si="19"/>
        <v/>
      </c>
    </row>
    <row r="1227" spans="1:5" x14ac:dyDescent="0.25">
      <c r="A1227" s="138">
        <v>321310</v>
      </c>
      <c r="B1227">
        <v>122</v>
      </c>
      <c r="C1227">
        <v>5</v>
      </c>
      <c r="D1227">
        <v>19</v>
      </c>
      <c r="E1227" s="2" t="str">
        <f t="shared" si="19"/>
        <v/>
      </c>
    </row>
    <row r="1228" spans="1:5" x14ac:dyDescent="0.25">
      <c r="A1228" s="138">
        <v>321311</v>
      </c>
      <c r="B1228">
        <v>122</v>
      </c>
      <c r="C1228">
        <v>5</v>
      </c>
      <c r="D1228">
        <v>19</v>
      </c>
      <c r="E1228" s="2" t="str">
        <f t="shared" si="19"/>
        <v/>
      </c>
    </row>
    <row r="1229" spans="1:5" x14ac:dyDescent="0.25">
      <c r="A1229" s="138">
        <v>321312</v>
      </c>
      <c r="B1229">
        <v>122</v>
      </c>
      <c r="C1229">
        <v>5</v>
      </c>
      <c r="D1229">
        <v>19</v>
      </c>
      <c r="E1229" s="2" t="str">
        <f t="shared" si="19"/>
        <v/>
      </c>
    </row>
    <row r="1230" spans="1:5" x14ac:dyDescent="0.25">
      <c r="A1230" s="138">
        <v>321313</v>
      </c>
      <c r="B1230">
        <v>122</v>
      </c>
      <c r="C1230">
        <v>5</v>
      </c>
      <c r="D1230">
        <v>19</v>
      </c>
      <c r="E1230" s="2" t="str">
        <f t="shared" si="19"/>
        <v/>
      </c>
    </row>
    <row r="1231" spans="1:5" x14ac:dyDescent="0.25">
      <c r="A1231" s="138">
        <v>321314</v>
      </c>
      <c r="B1231">
        <v>122</v>
      </c>
      <c r="C1231">
        <v>5</v>
      </c>
      <c r="D1231">
        <v>19</v>
      </c>
      <c r="E1231" s="2" t="str">
        <f t="shared" si="19"/>
        <v/>
      </c>
    </row>
    <row r="1232" spans="1:5" x14ac:dyDescent="0.25">
      <c r="A1232" s="138">
        <v>321315</v>
      </c>
      <c r="B1232">
        <v>122</v>
      </c>
      <c r="C1232">
        <v>5</v>
      </c>
      <c r="D1232">
        <v>19</v>
      </c>
      <c r="E1232" s="2" t="str">
        <f t="shared" si="19"/>
        <v/>
      </c>
    </row>
    <row r="1233" spans="1:5" x14ac:dyDescent="0.25">
      <c r="A1233" s="138">
        <v>321399</v>
      </c>
      <c r="B1233">
        <v>122</v>
      </c>
      <c r="C1233">
        <v>5</v>
      </c>
      <c r="D1233">
        <v>19</v>
      </c>
      <c r="E1233" s="2" t="str">
        <f t="shared" si="19"/>
        <v/>
      </c>
    </row>
    <row r="1234" spans="1:5" x14ac:dyDescent="0.25">
      <c r="A1234" s="138">
        <v>322000</v>
      </c>
      <c r="B1234">
        <v>217</v>
      </c>
      <c r="C1234">
        <v>5</v>
      </c>
      <c r="D1234">
        <v>19</v>
      </c>
      <c r="E1234" s="2" t="str">
        <f t="shared" si="19"/>
        <v/>
      </c>
    </row>
    <row r="1235" spans="1:5" x14ac:dyDescent="0.25">
      <c r="A1235" s="138">
        <v>322001</v>
      </c>
      <c r="B1235">
        <v>217</v>
      </c>
      <c r="C1235">
        <v>5</v>
      </c>
      <c r="D1235">
        <v>19</v>
      </c>
      <c r="E1235" s="2" t="str">
        <f t="shared" si="19"/>
        <v/>
      </c>
    </row>
    <row r="1236" spans="1:5" x14ac:dyDescent="0.25">
      <c r="A1236" s="138">
        <v>322002</v>
      </c>
      <c r="B1236">
        <v>217</v>
      </c>
      <c r="C1236">
        <v>5</v>
      </c>
      <c r="D1236">
        <v>19</v>
      </c>
      <c r="E1236" s="2" t="str">
        <f t="shared" si="19"/>
        <v/>
      </c>
    </row>
    <row r="1237" spans="1:5" x14ac:dyDescent="0.25">
      <c r="A1237" s="138">
        <v>322003</v>
      </c>
      <c r="B1237">
        <v>217</v>
      </c>
      <c r="C1237">
        <v>5</v>
      </c>
      <c r="D1237">
        <v>19</v>
      </c>
      <c r="E1237" s="2" t="str">
        <f t="shared" si="19"/>
        <v/>
      </c>
    </row>
    <row r="1238" spans="1:5" x14ac:dyDescent="0.25">
      <c r="A1238" s="138">
        <v>411000</v>
      </c>
      <c r="B1238">
        <v>206</v>
      </c>
      <c r="C1238">
        <v>3</v>
      </c>
      <c r="D1238">
        <v>15</v>
      </c>
      <c r="E1238" s="2" t="str">
        <f t="shared" si="19"/>
        <v/>
      </c>
    </row>
    <row r="1239" spans="1:5" x14ac:dyDescent="0.25">
      <c r="A1239" s="138">
        <v>411001</v>
      </c>
      <c r="B1239">
        <v>206</v>
      </c>
      <c r="C1239">
        <v>3</v>
      </c>
      <c r="D1239">
        <v>15</v>
      </c>
      <c r="E1239" s="2" t="str">
        <f t="shared" si="19"/>
        <v/>
      </c>
    </row>
    <row r="1240" spans="1:5" x14ac:dyDescent="0.25">
      <c r="A1240" s="138">
        <v>411002</v>
      </c>
      <c r="B1240">
        <v>206</v>
      </c>
      <c r="C1240">
        <v>3</v>
      </c>
      <c r="D1240">
        <v>15</v>
      </c>
      <c r="E1240" s="2" t="str">
        <f t="shared" si="19"/>
        <v/>
      </c>
    </row>
    <row r="1241" spans="1:5" x14ac:dyDescent="0.25">
      <c r="A1241" s="138">
        <v>411003</v>
      </c>
      <c r="B1241">
        <v>206</v>
      </c>
      <c r="C1241">
        <v>3</v>
      </c>
      <c r="D1241">
        <v>15</v>
      </c>
      <c r="E1241" s="2" t="str">
        <f t="shared" si="19"/>
        <v/>
      </c>
    </row>
    <row r="1242" spans="1:5" x14ac:dyDescent="0.25">
      <c r="A1242" s="138">
        <v>412000</v>
      </c>
      <c r="B1242">
        <v>206</v>
      </c>
      <c r="C1242">
        <v>3</v>
      </c>
      <c r="D1242">
        <v>15</v>
      </c>
      <c r="E1242" s="2" t="str">
        <f t="shared" si="19"/>
        <v/>
      </c>
    </row>
    <row r="1243" spans="1:5" x14ac:dyDescent="0.25">
      <c r="A1243" s="138">
        <v>412001</v>
      </c>
      <c r="B1243">
        <v>206</v>
      </c>
      <c r="C1243">
        <v>3</v>
      </c>
      <c r="D1243">
        <v>15</v>
      </c>
      <c r="E1243" s="2" t="str">
        <f t="shared" si="19"/>
        <v/>
      </c>
    </row>
    <row r="1244" spans="1:5" x14ac:dyDescent="0.25">
      <c r="A1244" s="138">
        <v>412002</v>
      </c>
      <c r="B1244">
        <v>206</v>
      </c>
      <c r="C1244">
        <v>3</v>
      </c>
      <c r="D1244">
        <v>15</v>
      </c>
      <c r="E1244" s="2" t="str">
        <f t="shared" si="19"/>
        <v/>
      </c>
    </row>
    <row r="1245" spans="1:5" x14ac:dyDescent="0.25">
      <c r="A1245" s="138">
        <v>412003</v>
      </c>
      <c r="B1245">
        <v>206</v>
      </c>
      <c r="C1245">
        <v>3</v>
      </c>
      <c r="D1245">
        <v>15</v>
      </c>
      <c r="E1245" s="2" t="str">
        <f t="shared" si="19"/>
        <v/>
      </c>
    </row>
    <row r="1246" spans="1:5" x14ac:dyDescent="0.25">
      <c r="A1246" s="138">
        <v>421000</v>
      </c>
      <c r="B1246">
        <v>207</v>
      </c>
      <c r="C1246">
        <v>4</v>
      </c>
      <c r="D1246">
        <v>16</v>
      </c>
      <c r="E1246" s="2" t="str">
        <f t="shared" si="19"/>
        <v/>
      </c>
    </row>
    <row r="1247" spans="1:5" x14ac:dyDescent="0.25">
      <c r="A1247" s="138">
        <v>421001</v>
      </c>
      <c r="B1247">
        <v>207</v>
      </c>
      <c r="C1247">
        <v>4</v>
      </c>
      <c r="D1247">
        <v>16</v>
      </c>
      <c r="E1247" s="2" t="str">
        <f t="shared" si="19"/>
        <v/>
      </c>
    </row>
    <row r="1248" spans="1:5" x14ac:dyDescent="0.25">
      <c r="A1248" s="138">
        <v>422000</v>
      </c>
      <c r="B1248">
        <v>207</v>
      </c>
      <c r="C1248">
        <v>4</v>
      </c>
      <c r="D1248">
        <v>16</v>
      </c>
      <c r="E1248" s="2" t="str">
        <f t="shared" si="19"/>
        <v/>
      </c>
    </row>
    <row r="1249" spans="1:5" x14ac:dyDescent="0.25">
      <c r="A1249" s="138">
        <v>422001</v>
      </c>
      <c r="B1249">
        <v>207</v>
      </c>
      <c r="C1249">
        <v>4</v>
      </c>
      <c r="D1249">
        <v>16</v>
      </c>
      <c r="E1249" s="2" t="str">
        <f t="shared" si="19"/>
        <v/>
      </c>
    </row>
    <row r="1250" spans="1:5" x14ac:dyDescent="0.25">
      <c r="A1250" s="138">
        <v>422002</v>
      </c>
      <c r="B1250">
        <v>207</v>
      </c>
      <c r="C1250">
        <v>4</v>
      </c>
      <c r="D1250">
        <v>16</v>
      </c>
      <c r="E1250" s="2" t="str">
        <f t="shared" si="19"/>
        <v/>
      </c>
    </row>
    <row r="1251" spans="1:5" x14ac:dyDescent="0.25">
      <c r="A1251" s="138">
        <v>423000</v>
      </c>
      <c r="B1251">
        <v>207</v>
      </c>
      <c r="C1251">
        <v>4</v>
      </c>
      <c r="D1251">
        <v>16</v>
      </c>
      <c r="E1251" s="2" t="str">
        <f t="shared" si="19"/>
        <v/>
      </c>
    </row>
    <row r="1252" spans="1:5" x14ac:dyDescent="0.25">
      <c r="A1252" s="138">
        <v>423001</v>
      </c>
      <c r="B1252">
        <v>207</v>
      </c>
      <c r="C1252">
        <v>4</v>
      </c>
      <c r="D1252">
        <v>16</v>
      </c>
      <c r="E1252" s="2" t="str">
        <f t="shared" si="19"/>
        <v/>
      </c>
    </row>
    <row r="1253" spans="1:5" x14ac:dyDescent="0.25">
      <c r="A1253" s="138">
        <v>431000</v>
      </c>
      <c r="B1253">
        <v>124</v>
      </c>
      <c r="C1253">
        <v>3</v>
      </c>
      <c r="D1253">
        <v>17</v>
      </c>
      <c r="E1253" s="2" t="str">
        <f t="shared" si="19"/>
        <v/>
      </c>
    </row>
    <row r="1254" spans="1:5" x14ac:dyDescent="0.25">
      <c r="A1254" s="138">
        <v>431001</v>
      </c>
      <c r="B1254">
        <v>124</v>
      </c>
      <c r="C1254">
        <v>3</v>
      </c>
      <c r="D1254">
        <v>17</v>
      </c>
      <c r="E1254" s="2" t="str">
        <f t="shared" si="19"/>
        <v/>
      </c>
    </row>
    <row r="1255" spans="1:5" x14ac:dyDescent="0.25">
      <c r="A1255" s="138">
        <v>431002</v>
      </c>
      <c r="B1255">
        <v>124</v>
      </c>
      <c r="C1255">
        <v>3</v>
      </c>
      <c r="D1255">
        <v>17</v>
      </c>
      <c r="E1255" s="2" t="str">
        <f t="shared" si="19"/>
        <v/>
      </c>
    </row>
    <row r="1256" spans="1:5" x14ac:dyDescent="0.25">
      <c r="A1256" s="138">
        <v>431003</v>
      </c>
      <c r="B1256">
        <v>124</v>
      </c>
      <c r="C1256">
        <v>3</v>
      </c>
      <c r="D1256">
        <v>17</v>
      </c>
      <c r="E1256" s="2" t="str">
        <f t="shared" si="19"/>
        <v/>
      </c>
    </row>
    <row r="1257" spans="1:5" x14ac:dyDescent="0.25">
      <c r="A1257" s="138">
        <v>431004</v>
      </c>
      <c r="B1257">
        <v>124</v>
      </c>
      <c r="C1257">
        <v>3</v>
      </c>
      <c r="D1257">
        <v>17</v>
      </c>
      <c r="E1257" s="2" t="str">
        <f t="shared" si="19"/>
        <v/>
      </c>
    </row>
    <row r="1258" spans="1:5" x14ac:dyDescent="0.25">
      <c r="A1258" s="138">
        <v>431005</v>
      </c>
      <c r="B1258">
        <v>124</v>
      </c>
      <c r="C1258">
        <v>3</v>
      </c>
      <c r="D1258">
        <v>17</v>
      </c>
      <c r="E1258" s="2" t="str">
        <f t="shared" si="19"/>
        <v/>
      </c>
    </row>
    <row r="1259" spans="1:5" x14ac:dyDescent="0.25">
      <c r="A1259" s="138">
        <v>431006</v>
      </c>
      <c r="B1259">
        <v>124</v>
      </c>
      <c r="C1259">
        <v>3</v>
      </c>
      <c r="D1259">
        <v>17</v>
      </c>
      <c r="E1259" s="2" t="str">
        <f t="shared" si="19"/>
        <v/>
      </c>
    </row>
    <row r="1260" spans="1:5" x14ac:dyDescent="0.25">
      <c r="A1260" s="138">
        <v>431007</v>
      </c>
      <c r="B1260">
        <v>124</v>
      </c>
      <c r="C1260">
        <v>3</v>
      </c>
      <c r="D1260">
        <v>17</v>
      </c>
      <c r="E1260" s="2" t="str">
        <f t="shared" si="19"/>
        <v/>
      </c>
    </row>
    <row r="1261" spans="1:5" x14ac:dyDescent="0.25">
      <c r="A1261" s="138">
        <v>431008</v>
      </c>
      <c r="B1261">
        <v>124</v>
      </c>
      <c r="C1261">
        <v>3</v>
      </c>
      <c r="D1261">
        <v>17</v>
      </c>
      <c r="E1261" s="2" t="str">
        <f t="shared" si="19"/>
        <v/>
      </c>
    </row>
    <row r="1262" spans="1:5" x14ac:dyDescent="0.25">
      <c r="A1262" s="138">
        <v>431009</v>
      </c>
      <c r="B1262">
        <v>124</v>
      </c>
      <c r="C1262">
        <v>3</v>
      </c>
      <c r="D1262">
        <v>17</v>
      </c>
      <c r="E1262" s="2" t="str">
        <f t="shared" si="19"/>
        <v/>
      </c>
    </row>
    <row r="1263" spans="1:5" x14ac:dyDescent="0.25">
      <c r="A1263" s="138">
        <v>431010</v>
      </c>
      <c r="B1263">
        <v>124</v>
      </c>
      <c r="C1263">
        <v>3</v>
      </c>
      <c r="D1263">
        <v>17</v>
      </c>
      <c r="E1263" s="2" t="str">
        <f t="shared" si="19"/>
        <v/>
      </c>
    </row>
    <row r="1264" spans="1:5" x14ac:dyDescent="0.25">
      <c r="A1264" s="138">
        <v>431011</v>
      </c>
      <c r="B1264">
        <v>124</v>
      </c>
      <c r="C1264">
        <v>3</v>
      </c>
      <c r="D1264">
        <v>17</v>
      </c>
      <c r="E1264" s="2" t="str">
        <f t="shared" si="19"/>
        <v/>
      </c>
    </row>
    <row r="1265" spans="1:5" x14ac:dyDescent="0.25">
      <c r="A1265" s="138">
        <v>431012</v>
      </c>
      <c r="B1265">
        <v>124</v>
      </c>
      <c r="C1265">
        <v>3</v>
      </c>
      <c r="D1265">
        <v>17</v>
      </c>
      <c r="E1265" s="2" t="str">
        <f t="shared" si="19"/>
        <v/>
      </c>
    </row>
    <row r="1266" spans="1:5" x14ac:dyDescent="0.25">
      <c r="A1266" s="138">
        <v>431013</v>
      </c>
      <c r="B1266">
        <v>124</v>
      </c>
      <c r="C1266">
        <v>3</v>
      </c>
      <c r="D1266">
        <v>17</v>
      </c>
      <c r="E1266" s="2" t="str">
        <f t="shared" si="19"/>
        <v/>
      </c>
    </row>
    <row r="1267" spans="1:5" x14ac:dyDescent="0.25">
      <c r="A1267" s="138">
        <v>431014</v>
      </c>
      <c r="B1267">
        <v>124</v>
      </c>
      <c r="C1267">
        <v>3</v>
      </c>
      <c r="D1267">
        <v>17</v>
      </c>
      <c r="E1267" s="2" t="str">
        <f t="shared" si="19"/>
        <v/>
      </c>
    </row>
    <row r="1268" spans="1:5" x14ac:dyDescent="0.25">
      <c r="A1268" s="138">
        <v>431015</v>
      </c>
      <c r="B1268">
        <v>124</v>
      </c>
      <c r="C1268">
        <v>3</v>
      </c>
      <c r="D1268">
        <v>17</v>
      </c>
      <c r="E1268" s="2" t="str">
        <f t="shared" si="19"/>
        <v/>
      </c>
    </row>
    <row r="1269" spans="1:5" x14ac:dyDescent="0.25">
      <c r="A1269" s="138">
        <v>431016</v>
      </c>
      <c r="B1269">
        <v>124</v>
      </c>
      <c r="C1269">
        <v>3</v>
      </c>
      <c r="D1269">
        <v>17</v>
      </c>
      <c r="E1269" s="2" t="str">
        <f t="shared" si="19"/>
        <v/>
      </c>
    </row>
    <row r="1270" spans="1:5" x14ac:dyDescent="0.25">
      <c r="A1270" s="138">
        <v>431017</v>
      </c>
      <c r="B1270">
        <v>124</v>
      </c>
      <c r="C1270">
        <v>3</v>
      </c>
      <c r="D1270">
        <v>17</v>
      </c>
      <c r="E1270" s="2" t="str">
        <f t="shared" si="19"/>
        <v/>
      </c>
    </row>
    <row r="1271" spans="1:5" x14ac:dyDescent="0.25">
      <c r="A1271" s="138">
        <v>431018</v>
      </c>
      <c r="B1271">
        <v>124</v>
      </c>
      <c r="C1271">
        <v>3</v>
      </c>
      <c r="D1271">
        <v>17</v>
      </c>
      <c r="E1271" s="2" t="str">
        <f t="shared" si="19"/>
        <v/>
      </c>
    </row>
    <row r="1272" spans="1:5" x14ac:dyDescent="0.25">
      <c r="A1272" s="138">
        <v>431019</v>
      </c>
      <c r="B1272">
        <v>124</v>
      </c>
      <c r="C1272">
        <v>3</v>
      </c>
      <c r="D1272">
        <v>17</v>
      </c>
      <c r="E1272" s="2" t="str">
        <f t="shared" si="19"/>
        <v/>
      </c>
    </row>
    <row r="1273" spans="1:5" x14ac:dyDescent="0.25">
      <c r="A1273" s="138">
        <v>431020</v>
      </c>
      <c r="B1273">
        <v>124</v>
      </c>
      <c r="C1273">
        <v>3</v>
      </c>
      <c r="D1273">
        <v>17</v>
      </c>
      <c r="E1273" s="2" t="str">
        <f t="shared" si="19"/>
        <v/>
      </c>
    </row>
    <row r="1274" spans="1:5" x14ac:dyDescent="0.25">
      <c r="A1274" s="138">
        <v>431021</v>
      </c>
      <c r="B1274">
        <v>124</v>
      </c>
      <c r="C1274">
        <v>3</v>
      </c>
      <c r="D1274">
        <v>17</v>
      </c>
      <c r="E1274" s="2" t="str">
        <f t="shared" si="19"/>
        <v/>
      </c>
    </row>
    <row r="1275" spans="1:5" x14ac:dyDescent="0.25">
      <c r="A1275" s="138">
        <v>431022</v>
      </c>
      <c r="B1275">
        <v>124</v>
      </c>
      <c r="C1275">
        <v>3</v>
      </c>
      <c r="D1275">
        <v>17</v>
      </c>
      <c r="E1275" s="2" t="str">
        <f t="shared" si="19"/>
        <v/>
      </c>
    </row>
    <row r="1276" spans="1:5" x14ac:dyDescent="0.25">
      <c r="A1276" s="138">
        <v>431023</v>
      </c>
      <c r="B1276">
        <v>124</v>
      </c>
      <c r="C1276">
        <v>3</v>
      </c>
      <c r="D1276">
        <v>17</v>
      </c>
      <c r="E1276" s="2" t="str">
        <f t="shared" si="19"/>
        <v/>
      </c>
    </row>
    <row r="1277" spans="1:5" x14ac:dyDescent="0.25">
      <c r="A1277" s="138">
        <v>431024</v>
      </c>
      <c r="B1277">
        <v>124</v>
      </c>
      <c r="C1277">
        <v>3</v>
      </c>
      <c r="D1277">
        <v>17</v>
      </c>
      <c r="E1277" s="2" t="str">
        <f t="shared" si="19"/>
        <v/>
      </c>
    </row>
    <row r="1278" spans="1:5" x14ac:dyDescent="0.25">
      <c r="A1278" s="138">
        <v>431025</v>
      </c>
      <c r="B1278">
        <v>124</v>
      </c>
      <c r="C1278">
        <v>3</v>
      </c>
      <c r="D1278">
        <v>17</v>
      </c>
      <c r="E1278" s="2" t="str">
        <f t="shared" si="19"/>
        <v/>
      </c>
    </row>
    <row r="1279" spans="1:5" x14ac:dyDescent="0.25">
      <c r="A1279" s="138">
        <v>431026</v>
      </c>
      <c r="B1279">
        <v>124</v>
      </c>
      <c r="C1279">
        <v>3</v>
      </c>
      <c r="D1279">
        <v>17</v>
      </c>
      <c r="E1279" s="2" t="str">
        <f t="shared" si="19"/>
        <v/>
      </c>
    </row>
    <row r="1280" spans="1:5" x14ac:dyDescent="0.25">
      <c r="A1280" s="138">
        <v>431027</v>
      </c>
      <c r="B1280">
        <v>124</v>
      </c>
      <c r="C1280">
        <v>3</v>
      </c>
      <c r="D1280">
        <v>17</v>
      </c>
      <c r="E1280" s="2" t="str">
        <f t="shared" si="19"/>
        <v/>
      </c>
    </row>
    <row r="1281" spans="1:5" x14ac:dyDescent="0.25">
      <c r="A1281" s="138">
        <v>431028</v>
      </c>
      <c r="B1281">
        <v>124</v>
      </c>
      <c r="C1281">
        <v>3</v>
      </c>
      <c r="D1281">
        <v>17</v>
      </c>
      <c r="E1281" s="2" t="str">
        <f t="shared" si="19"/>
        <v/>
      </c>
    </row>
    <row r="1282" spans="1:5" x14ac:dyDescent="0.25">
      <c r="A1282" s="138">
        <v>431029</v>
      </c>
      <c r="B1282">
        <v>124</v>
      </c>
      <c r="C1282">
        <v>3</v>
      </c>
      <c r="D1282">
        <v>17</v>
      </c>
      <c r="E1282" s="2" t="str">
        <f t="shared" si="19"/>
        <v/>
      </c>
    </row>
    <row r="1283" spans="1:5" x14ac:dyDescent="0.25">
      <c r="A1283" s="138">
        <v>431030</v>
      </c>
      <c r="B1283">
        <v>124</v>
      </c>
      <c r="C1283">
        <v>3</v>
      </c>
      <c r="D1283">
        <v>17</v>
      </c>
      <c r="E1283" s="2" t="str">
        <f t="shared" ref="E1283:E1346" si="20">IF(B1283=B1282,IF(C1282=C1283,"",1),"")</f>
        <v/>
      </c>
    </row>
    <row r="1284" spans="1:5" x14ac:dyDescent="0.25">
      <c r="A1284" s="138">
        <v>431031</v>
      </c>
      <c r="B1284">
        <v>124</v>
      </c>
      <c r="C1284">
        <v>3</v>
      </c>
      <c r="D1284">
        <v>17</v>
      </c>
      <c r="E1284" s="2" t="str">
        <f t="shared" si="20"/>
        <v/>
      </c>
    </row>
    <row r="1285" spans="1:5" x14ac:dyDescent="0.25">
      <c r="A1285" s="138">
        <v>431032</v>
      </c>
      <c r="B1285">
        <v>124</v>
      </c>
      <c r="C1285">
        <v>3</v>
      </c>
      <c r="D1285">
        <v>17</v>
      </c>
      <c r="E1285" s="2" t="str">
        <f t="shared" si="20"/>
        <v/>
      </c>
    </row>
    <row r="1286" spans="1:5" x14ac:dyDescent="0.25">
      <c r="A1286" s="138">
        <v>431033</v>
      </c>
      <c r="B1286">
        <v>124</v>
      </c>
      <c r="C1286">
        <v>3</v>
      </c>
      <c r="D1286">
        <v>17</v>
      </c>
      <c r="E1286" s="2" t="str">
        <f t="shared" si="20"/>
        <v/>
      </c>
    </row>
    <row r="1287" spans="1:5" x14ac:dyDescent="0.25">
      <c r="A1287" s="138">
        <v>431034</v>
      </c>
      <c r="B1287">
        <v>124</v>
      </c>
      <c r="C1287">
        <v>3</v>
      </c>
      <c r="D1287">
        <v>17</v>
      </c>
      <c r="E1287" s="2" t="str">
        <f t="shared" si="20"/>
        <v/>
      </c>
    </row>
    <row r="1288" spans="1:5" x14ac:dyDescent="0.25">
      <c r="A1288" s="138">
        <v>431035</v>
      </c>
      <c r="B1288">
        <v>124</v>
      </c>
      <c r="C1288">
        <v>3</v>
      </c>
      <c r="D1288">
        <v>17</v>
      </c>
      <c r="E1288" s="2" t="str">
        <f t="shared" si="20"/>
        <v/>
      </c>
    </row>
    <row r="1289" spans="1:5" x14ac:dyDescent="0.25">
      <c r="A1289" s="138">
        <v>431036</v>
      </c>
      <c r="B1289">
        <v>124</v>
      </c>
      <c r="C1289">
        <v>3</v>
      </c>
      <c r="D1289">
        <v>17</v>
      </c>
      <c r="E1289" s="2" t="str">
        <f t="shared" si="20"/>
        <v/>
      </c>
    </row>
    <row r="1290" spans="1:5" x14ac:dyDescent="0.25">
      <c r="A1290" s="138">
        <v>431037</v>
      </c>
      <c r="B1290">
        <v>124</v>
      </c>
      <c r="C1290">
        <v>3</v>
      </c>
      <c r="D1290">
        <v>17</v>
      </c>
      <c r="E1290" s="2" t="str">
        <f t="shared" si="20"/>
        <v/>
      </c>
    </row>
    <row r="1291" spans="1:5" x14ac:dyDescent="0.25">
      <c r="A1291" s="138">
        <v>431038</v>
      </c>
      <c r="B1291">
        <v>124</v>
      </c>
      <c r="C1291">
        <v>3</v>
      </c>
      <c r="D1291">
        <v>17</v>
      </c>
      <c r="E1291" s="2" t="str">
        <f t="shared" si="20"/>
        <v/>
      </c>
    </row>
    <row r="1292" spans="1:5" x14ac:dyDescent="0.25">
      <c r="A1292" s="138">
        <v>431039</v>
      </c>
      <c r="B1292">
        <v>124</v>
      </c>
      <c r="C1292">
        <v>3</v>
      </c>
      <c r="D1292">
        <v>17</v>
      </c>
      <c r="E1292" s="2" t="str">
        <f t="shared" si="20"/>
        <v/>
      </c>
    </row>
    <row r="1293" spans="1:5" x14ac:dyDescent="0.25">
      <c r="A1293" s="138">
        <v>431040</v>
      </c>
      <c r="B1293">
        <v>124</v>
      </c>
      <c r="C1293">
        <v>3</v>
      </c>
      <c r="D1293">
        <v>17</v>
      </c>
      <c r="E1293" s="2" t="str">
        <f t="shared" si="20"/>
        <v/>
      </c>
    </row>
    <row r="1294" spans="1:5" x14ac:dyDescent="0.25">
      <c r="A1294" s="138">
        <v>431041</v>
      </c>
      <c r="B1294">
        <v>124</v>
      </c>
      <c r="C1294">
        <v>3</v>
      </c>
      <c r="D1294">
        <v>17</v>
      </c>
      <c r="E1294" s="2" t="str">
        <f t="shared" si="20"/>
        <v/>
      </c>
    </row>
    <row r="1295" spans="1:5" x14ac:dyDescent="0.25">
      <c r="A1295" s="138">
        <v>431042</v>
      </c>
      <c r="B1295">
        <v>124</v>
      </c>
      <c r="C1295">
        <v>3</v>
      </c>
      <c r="D1295">
        <v>17</v>
      </c>
      <c r="E1295" s="2" t="str">
        <f t="shared" si="20"/>
        <v/>
      </c>
    </row>
    <row r="1296" spans="1:5" x14ac:dyDescent="0.25">
      <c r="A1296" s="138">
        <v>431043</v>
      </c>
      <c r="B1296">
        <v>124</v>
      </c>
      <c r="C1296">
        <v>3</v>
      </c>
      <c r="D1296">
        <v>17</v>
      </c>
      <c r="E1296" s="2" t="str">
        <f t="shared" si="20"/>
        <v/>
      </c>
    </row>
    <row r="1297" spans="1:5" x14ac:dyDescent="0.25">
      <c r="A1297" s="138">
        <v>431044</v>
      </c>
      <c r="B1297">
        <v>124</v>
      </c>
      <c r="C1297">
        <v>3</v>
      </c>
      <c r="D1297">
        <v>17</v>
      </c>
      <c r="E1297" s="2" t="str">
        <f t="shared" si="20"/>
        <v/>
      </c>
    </row>
    <row r="1298" spans="1:5" x14ac:dyDescent="0.25">
      <c r="A1298" s="138">
        <v>431045</v>
      </c>
      <c r="B1298">
        <v>124</v>
      </c>
      <c r="C1298">
        <v>3</v>
      </c>
      <c r="D1298">
        <v>17</v>
      </c>
      <c r="E1298" s="2" t="str">
        <f t="shared" si="20"/>
        <v/>
      </c>
    </row>
    <row r="1299" spans="1:5" x14ac:dyDescent="0.25">
      <c r="A1299" s="138">
        <v>431046</v>
      </c>
      <c r="B1299">
        <v>124</v>
      </c>
      <c r="C1299">
        <v>3</v>
      </c>
      <c r="D1299">
        <v>17</v>
      </c>
      <c r="E1299" s="2" t="str">
        <f t="shared" si="20"/>
        <v/>
      </c>
    </row>
    <row r="1300" spans="1:5" x14ac:dyDescent="0.25">
      <c r="A1300" s="138">
        <v>431047</v>
      </c>
      <c r="B1300">
        <v>124</v>
      </c>
      <c r="C1300">
        <v>3</v>
      </c>
      <c r="D1300">
        <v>17</v>
      </c>
      <c r="E1300" s="2" t="str">
        <f t="shared" si="20"/>
        <v/>
      </c>
    </row>
    <row r="1301" spans="1:5" x14ac:dyDescent="0.25">
      <c r="A1301" s="138">
        <v>431048</v>
      </c>
      <c r="B1301">
        <v>124</v>
      </c>
      <c r="C1301">
        <v>3</v>
      </c>
      <c r="D1301">
        <v>17</v>
      </c>
      <c r="E1301" s="2" t="str">
        <f t="shared" si="20"/>
        <v/>
      </c>
    </row>
    <row r="1302" spans="1:5" x14ac:dyDescent="0.25">
      <c r="A1302" s="138">
        <v>431049</v>
      </c>
      <c r="B1302">
        <v>124</v>
      </c>
      <c r="C1302">
        <v>3</v>
      </c>
      <c r="D1302">
        <v>17</v>
      </c>
      <c r="E1302" s="2" t="str">
        <f t="shared" si="20"/>
        <v/>
      </c>
    </row>
    <row r="1303" spans="1:5" x14ac:dyDescent="0.25">
      <c r="A1303" s="138">
        <v>431050</v>
      </c>
      <c r="B1303">
        <v>124</v>
      </c>
      <c r="C1303">
        <v>3</v>
      </c>
      <c r="D1303">
        <v>17</v>
      </c>
      <c r="E1303" s="2" t="str">
        <f t="shared" si="20"/>
        <v/>
      </c>
    </row>
    <row r="1304" spans="1:5" x14ac:dyDescent="0.25">
      <c r="A1304" s="138">
        <v>431051</v>
      </c>
      <c r="B1304">
        <v>124</v>
      </c>
      <c r="C1304">
        <v>3</v>
      </c>
      <c r="D1304">
        <v>17</v>
      </c>
      <c r="E1304" s="2" t="str">
        <f t="shared" si="20"/>
        <v/>
      </c>
    </row>
    <row r="1305" spans="1:5" x14ac:dyDescent="0.25">
      <c r="A1305" s="138">
        <v>431052</v>
      </c>
      <c r="B1305">
        <v>124</v>
      </c>
      <c r="C1305">
        <v>3</v>
      </c>
      <c r="D1305">
        <v>17</v>
      </c>
      <c r="E1305" s="2" t="str">
        <f t="shared" si="20"/>
        <v/>
      </c>
    </row>
    <row r="1306" spans="1:5" x14ac:dyDescent="0.25">
      <c r="A1306" s="138">
        <v>431053</v>
      </c>
      <c r="B1306">
        <v>124</v>
      </c>
      <c r="C1306">
        <v>3</v>
      </c>
      <c r="D1306">
        <v>17</v>
      </c>
      <c r="E1306" s="2" t="str">
        <f t="shared" si="20"/>
        <v/>
      </c>
    </row>
    <row r="1307" spans="1:5" x14ac:dyDescent="0.25">
      <c r="A1307" s="138">
        <v>431054</v>
      </c>
      <c r="B1307">
        <v>124</v>
      </c>
      <c r="C1307">
        <v>3</v>
      </c>
      <c r="D1307">
        <v>17</v>
      </c>
      <c r="E1307" s="2" t="str">
        <f t="shared" si="20"/>
        <v/>
      </c>
    </row>
    <row r="1308" spans="1:5" x14ac:dyDescent="0.25">
      <c r="A1308" s="138">
        <v>431055</v>
      </c>
      <c r="B1308">
        <v>124</v>
      </c>
      <c r="C1308">
        <v>3</v>
      </c>
      <c r="D1308">
        <v>17</v>
      </c>
      <c r="E1308" s="2" t="str">
        <f t="shared" si="20"/>
        <v/>
      </c>
    </row>
    <row r="1309" spans="1:5" x14ac:dyDescent="0.25">
      <c r="A1309" s="138">
        <v>431056</v>
      </c>
      <c r="B1309">
        <v>124</v>
      </c>
      <c r="C1309">
        <v>3</v>
      </c>
      <c r="D1309">
        <v>17</v>
      </c>
      <c r="E1309" s="2" t="str">
        <f t="shared" si="20"/>
        <v/>
      </c>
    </row>
    <row r="1310" spans="1:5" x14ac:dyDescent="0.25">
      <c r="A1310" s="138">
        <v>431057</v>
      </c>
      <c r="B1310">
        <v>124</v>
      </c>
      <c r="C1310">
        <v>3</v>
      </c>
      <c r="D1310">
        <v>17</v>
      </c>
      <c r="E1310" s="2" t="str">
        <f t="shared" si="20"/>
        <v/>
      </c>
    </row>
    <row r="1311" spans="1:5" x14ac:dyDescent="0.25">
      <c r="A1311" s="138">
        <v>431058</v>
      </c>
      <c r="B1311">
        <v>124</v>
      </c>
      <c r="C1311">
        <v>3</v>
      </c>
      <c r="D1311">
        <v>17</v>
      </c>
      <c r="E1311" s="2" t="str">
        <f t="shared" si="20"/>
        <v/>
      </c>
    </row>
    <row r="1312" spans="1:5" x14ac:dyDescent="0.25">
      <c r="A1312" s="138">
        <v>431059</v>
      </c>
      <c r="B1312">
        <v>124</v>
      </c>
      <c r="C1312">
        <v>3</v>
      </c>
      <c r="D1312">
        <v>17</v>
      </c>
      <c r="E1312" s="2" t="str">
        <f t="shared" si="20"/>
        <v/>
      </c>
    </row>
    <row r="1313" spans="1:5" x14ac:dyDescent="0.25">
      <c r="A1313" s="138">
        <v>431060</v>
      </c>
      <c r="B1313">
        <v>124</v>
      </c>
      <c r="C1313">
        <v>3</v>
      </c>
      <c r="D1313">
        <v>17</v>
      </c>
      <c r="E1313" s="2" t="str">
        <f t="shared" si="20"/>
        <v/>
      </c>
    </row>
    <row r="1314" spans="1:5" x14ac:dyDescent="0.25">
      <c r="A1314" s="138">
        <v>431061</v>
      </c>
      <c r="B1314">
        <v>124</v>
      </c>
      <c r="C1314">
        <v>3</v>
      </c>
      <c r="D1314">
        <v>17</v>
      </c>
      <c r="E1314" s="2" t="str">
        <f t="shared" si="20"/>
        <v/>
      </c>
    </row>
    <row r="1315" spans="1:5" x14ac:dyDescent="0.25">
      <c r="A1315" s="138">
        <v>431062</v>
      </c>
      <c r="B1315">
        <v>124</v>
      </c>
      <c r="C1315">
        <v>3</v>
      </c>
      <c r="D1315">
        <v>17</v>
      </c>
      <c r="E1315" s="2" t="str">
        <f t="shared" si="20"/>
        <v/>
      </c>
    </row>
    <row r="1316" spans="1:5" x14ac:dyDescent="0.25">
      <c r="A1316" s="138">
        <v>431063</v>
      </c>
      <c r="B1316">
        <v>124</v>
      </c>
      <c r="C1316">
        <v>3</v>
      </c>
      <c r="D1316">
        <v>17</v>
      </c>
      <c r="E1316" s="2" t="str">
        <f t="shared" si="20"/>
        <v/>
      </c>
    </row>
    <row r="1317" spans="1:5" x14ac:dyDescent="0.25">
      <c r="A1317" s="138">
        <v>431064</v>
      </c>
      <c r="B1317">
        <v>124</v>
      </c>
      <c r="C1317">
        <v>3</v>
      </c>
      <c r="D1317">
        <v>17</v>
      </c>
      <c r="E1317" s="2" t="str">
        <f t="shared" si="20"/>
        <v/>
      </c>
    </row>
    <row r="1318" spans="1:5" x14ac:dyDescent="0.25">
      <c r="A1318" s="138">
        <v>431065</v>
      </c>
      <c r="B1318">
        <v>124</v>
      </c>
      <c r="C1318">
        <v>3</v>
      </c>
      <c r="D1318">
        <v>17</v>
      </c>
      <c r="E1318" s="2" t="str">
        <f t="shared" si="20"/>
        <v/>
      </c>
    </row>
    <row r="1319" spans="1:5" x14ac:dyDescent="0.25">
      <c r="A1319" s="138">
        <v>431099</v>
      </c>
      <c r="B1319">
        <v>124</v>
      </c>
      <c r="C1319">
        <v>3</v>
      </c>
      <c r="D1319">
        <v>17</v>
      </c>
      <c r="E1319" s="2" t="str">
        <f t="shared" si="20"/>
        <v/>
      </c>
    </row>
    <row r="1320" spans="1:5" x14ac:dyDescent="0.25">
      <c r="A1320" s="138">
        <v>432000</v>
      </c>
      <c r="B1320">
        <v>217</v>
      </c>
      <c r="C1320">
        <v>3</v>
      </c>
      <c r="D1320">
        <v>17</v>
      </c>
      <c r="E1320" s="2" t="str">
        <f t="shared" si="20"/>
        <v/>
      </c>
    </row>
    <row r="1321" spans="1:5" x14ac:dyDescent="0.25">
      <c r="A1321" s="138">
        <v>432001</v>
      </c>
      <c r="B1321">
        <v>217</v>
      </c>
      <c r="C1321">
        <v>3</v>
      </c>
      <c r="D1321">
        <v>17</v>
      </c>
      <c r="E1321" s="2" t="str">
        <f t="shared" si="20"/>
        <v/>
      </c>
    </row>
    <row r="1322" spans="1:5" x14ac:dyDescent="0.25">
      <c r="A1322" s="138">
        <v>432002</v>
      </c>
      <c r="B1322">
        <v>217</v>
      </c>
      <c r="C1322">
        <v>3</v>
      </c>
      <c r="D1322">
        <v>17</v>
      </c>
      <c r="E1322" s="2" t="str">
        <f t="shared" si="20"/>
        <v/>
      </c>
    </row>
    <row r="1323" spans="1:5" x14ac:dyDescent="0.25">
      <c r="A1323" s="138">
        <v>432003</v>
      </c>
      <c r="B1323">
        <v>217</v>
      </c>
      <c r="C1323">
        <v>3</v>
      </c>
      <c r="D1323">
        <v>17</v>
      </c>
      <c r="E1323" s="2" t="str">
        <f t="shared" si="20"/>
        <v/>
      </c>
    </row>
    <row r="1324" spans="1:5" x14ac:dyDescent="0.25">
      <c r="A1324" s="138">
        <v>432004</v>
      </c>
      <c r="B1324">
        <v>217</v>
      </c>
      <c r="C1324">
        <v>3</v>
      </c>
      <c r="D1324">
        <v>17</v>
      </c>
      <c r="E1324" s="2" t="str">
        <f t="shared" si="20"/>
        <v/>
      </c>
    </row>
    <row r="1325" spans="1:5" x14ac:dyDescent="0.25">
      <c r="A1325" s="138">
        <v>432005</v>
      </c>
      <c r="B1325">
        <v>217</v>
      </c>
      <c r="C1325">
        <v>3</v>
      </c>
      <c r="D1325">
        <v>17</v>
      </c>
      <c r="E1325" s="2" t="str">
        <f t="shared" si="20"/>
        <v/>
      </c>
    </row>
    <row r="1326" spans="1:5" x14ac:dyDescent="0.25">
      <c r="A1326" s="138">
        <v>432006</v>
      </c>
      <c r="B1326">
        <v>217</v>
      </c>
      <c r="C1326">
        <v>3</v>
      </c>
      <c r="D1326">
        <v>17</v>
      </c>
      <c r="E1326" s="2" t="str">
        <f t="shared" si="20"/>
        <v/>
      </c>
    </row>
    <row r="1327" spans="1:5" x14ac:dyDescent="0.25">
      <c r="A1327" s="138">
        <v>432007</v>
      </c>
      <c r="B1327">
        <v>217</v>
      </c>
      <c r="C1327">
        <v>3</v>
      </c>
      <c r="D1327">
        <v>17</v>
      </c>
      <c r="E1327" s="2" t="str">
        <f t="shared" si="20"/>
        <v/>
      </c>
    </row>
    <row r="1328" spans="1:5" x14ac:dyDescent="0.25">
      <c r="A1328" s="138">
        <v>432008</v>
      </c>
      <c r="B1328">
        <v>217</v>
      </c>
      <c r="C1328">
        <v>3</v>
      </c>
      <c r="D1328">
        <v>17</v>
      </c>
      <c r="E1328" s="2" t="str">
        <f t="shared" si="20"/>
        <v/>
      </c>
    </row>
    <row r="1329" spans="1:5" x14ac:dyDescent="0.25">
      <c r="A1329" s="138">
        <v>432099</v>
      </c>
      <c r="B1329">
        <v>217</v>
      </c>
      <c r="C1329">
        <v>3</v>
      </c>
      <c r="D1329">
        <v>17</v>
      </c>
      <c r="E1329" s="2" t="str">
        <f t="shared" si="20"/>
        <v/>
      </c>
    </row>
    <row r="1330" spans="1:5" x14ac:dyDescent="0.25">
      <c r="A1330" s="138">
        <v>441000</v>
      </c>
      <c r="B1330">
        <v>177</v>
      </c>
      <c r="C1330">
        <v>3</v>
      </c>
      <c r="D1330">
        <v>18</v>
      </c>
      <c r="E1330" s="2" t="str">
        <f t="shared" si="20"/>
        <v/>
      </c>
    </row>
    <row r="1331" spans="1:5" x14ac:dyDescent="0.25">
      <c r="A1331" s="138">
        <v>441001</v>
      </c>
      <c r="B1331">
        <v>177</v>
      </c>
      <c r="C1331">
        <v>3</v>
      </c>
      <c r="D1331">
        <v>18</v>
      </c>
      <c r="E1331" s="2" t="str">
        <f t="shared" si="20"/>
        <v/>
      </c>
    </row>
    <row r="1332" spans="1:5" x14ac:dyDescent="0.25">
      <c r="A1332" s="138">
        <v>441002</v>
      </c>
      <c r="B1332">
        <v>177</v>
      </c>
      <c r="C1332">
        <v>3</v>
      </c>
      <c r="D1332">
        <v>18</v>
      </c>
      <c r="E1332" s="2" t="str">
        <f t="shared" si="20"/>
        <v/>
      </c>
    </row>
    <row r="1333" spans="1:5" x14ac:dyDescent="0.25">
      <c r="A1333" s="138">
        <v>441003</v>
      </c>
      <c r="B1333">
        <v>177</v>
      </c>
      <c r="C1333">
        <v>3</v>
      </c>
      <c r="D1333">
        <v>18</v>
      </c>
      <c r="E1333" s="2" t="str">
        <f t="shared" si="20"/>
        <v/>
      </c>
    </row>
    <row r="1334" spans="1:5" x14ac:dyDescent="0.25">
      <c r="A1334" s="138">
        <v>441004</v>
      </c>
      <c r="B1334">
        <v>177</v>
      </c>
      <c r="C1334">
        <v>3</v>
      </c>
      <c r="D1334">
        <v>18</v>
      </c>
      <c r="E1334" s="2" t="str">
        <f t="shared" si="20"/>
        <v/>
      </c>
    </row>
    <row r="1335" spans="1:5" x14ac:dyDescent="0.25">
      <c r="A1335" s="138">
        <v>441099</v>
      </c>
      <c r="B1335">
        <v>177</v>
      </c>
      <c r="C1335">
        <v>3</v>
      </c>
      <c r="D1335">
        <v>18</v>
      </c>
      <c r="E1335" s="2" t="str">
        <f t="shared" si="20"/>
        <v/>
      </c>
    </row>
    <row r="1336" spans="1:5" x14ac:dyDescent="0.25">
      <c r="A1336" s="138">
        <v>442000</v>
      </c>
      <c r="B1336">
        <v>245</v>
      </c>
      <c r="C1336">
        <v>3</v>
      </c>
      <c r="D1336">
        <v>18</v>
      </c>
      <c r="E1336" s="2" t="str">
        <f t="shared" si="20"/>
        <v/>
      </c>
    </row>
    <row r="1337" spans="1:5" x14ac:dyDescent="0.25">
      <c r="A1337" s="138">
        <v>442001</v>
      </c>
      <c r="B1337">
        <v>245</v>
      </c>
      <c r="C1337">
        <v>3</v>
      </c>
      <c r="D1337">
        <v>18</v>
      </c>
      <c r="E1337" s="2" t="str">
        <f t="shared" si="20"/>
        <v/>
      </c>
    </row>
    <row r="1338" spans="1:5" x14ac:dyDescent="0.25">
      <c r="A1338" s="138">
        <v>442002</v>
      </c>
      <c r="B1338">
        <v>245</v>
      </c>
      <c r="C1338">
        <v>3</v>
      </c>
      <c r="D1338">
        <v>18</v>
      </c>
      <c r="E1338" s="2" t="str">
        <f t="shared" si="20"/>
        <v/>
      </c>
    </row>
    <row r="1339" spans="1:5" x14ac:dyDescent="0.25">
      <c r="A1339" s="138">
        <v>442099</v>
      </c>
      <c r="B1339">
        <v>245</v>
      </c>
      <c r="C1339">
        <v>3</v>
      </c>
      <c r="D1339">
        <v>18</v>
      </c>
      <c r="E1339" s="2" t="str">
        <f t="shared" si="20"/>
        <v/>
      </c>
    </row>
    <row r="1340" spans="1:5" x14ac:dyDescent="0.25">
      <c r="A1340" s="138">
        <v>443000</v>
      </c>
      <c r="B1340">
        <v>245</v>
      </c>
      <c r="C1340">
        <v>3</v>
      </c>
      <c r="D1340">
        <v>18</v>
      </c>
      <c r="E1340" s="2" t="str">
        <f t="shared" si="20"/>
        <v/>
      </c>
    </row>
    <row r="1341" spans="1:5" x14ac:dyDescent="0.25">
      <c r="A1341" s="138">
        <v>443001</v>
      </c>
      <c r="B1341">
        <v>245</v>
      </c>
      <c r="C1341">
        <v>3</v>
      </c>
      <c r="D1341">
        <v>18</v>
      </c>
      <c r="E1341" s="2" t="str">
        <f t="shared" si="20"/>
        <v/>
      </c>
    </row>
    <row r="1342" spans="1:5" x14ac:dyDescent="0.25">
      <c r="A1342" s="138">
        <v>443002</v>
      </c>
      <c r="B1342">
        <v>245</v>
      </c>
      <c r="C1342">
        <v>3</v>
      </c>
      <c r="D1342">
        <v>18</v>
      </c>
      <c r="E1342" s="2" t="str">
        <f t="shared" si="20"/>
        <v/>
      </c>
    </row>
    <row r="1343" spans="1:5" x14ac:dyDescent="0.25">
      <c r="A1343" s="138">
        <v>444000</v>
      </c>
      <c r="B1343">
        <v>245</v>
      </c>
      <c r="C1343">
        <v>3</v>
      </c>
      <c r="D1343">
        <v>18</v>
      </c>
      <c r="E1343" s="2" t="str">
        <f t="shared" si="20"/>
        <v/>
      </c>
    </row>
    <row r="1344" spans="1:5" x14ac:dyDescent="0.25">
      <c r="A1344" s="138">
        <v>444001</v>
      </c>
      <c r="B1344">
        <v>245</v>
      </c>
      <c r="C1344">
        <v>3</v>
      </c>
      <c r="D1344">
        <v>18</v>
      </c>
      <c r="E1344" s="2" t="str">
        <f t="shared" si="20"/>
        <v/>
      </c>
    </row>
    <row r="1345" spans="1:5" x14ac:dyDescent="0.25">
      <c r="A1345" s="138">
        <v>444002</v>
      </c>
      <c r="B1345">
        <v>245</v>
      </c>
      <c r="C1345">
        <v>3</v>
      </c>
      <c r="D1345">
        <v>18</v>
      </c>
      <c r="E1345" s="2" t="str">
        <f t="shared" si="20"/>
        <v/>
      </c>
    </row>
    <row r="1346" spans="1:5" x14ac:dyDescent="0.25">
      <c r="A1346" s="138">
        <v>444003</v>
      </c>
      <c r="B1346">
        <v>245</v>
      </c>
      <c r="C1346">
        <v>3</v>
      </c>
      <c r="D1346">
        <v>18</v>
      </c>
      <c r="E1346" s="2" t="str">
        <f t="shared" si="20"/>
        <v/>
      </c>
    </row>
    <row r="1347" spans="1:5" x14ac:dyDescent="0.25">
      <c r="A1347" s="138">
        <v>444004</v>
      </c>
      <c r="B1347">
        <v>245</v>
      </c>
      <c r="C1347">
        <v>3</v>
      </c>
      <c r="D1347">
        <v>18</v>
      </c>
      <c r="E1347" s="2" t="str">
        <f t="shared" ref="E1347:E1410" si="21">IF(B1347=B1346,IF(C1346=C1347,"",1),"")</f>
        <v/>
      </c>
    </row>
    <row r="1348" spans="1:5" x14ac:dyDescent="0.25">
      <c r="A1348" s="138">
        <v>444005</v>
      </c>
      <c r="B1348">
        <v>245</v>
      </c>
      <c r="C1348">
        <v>3</v>
      </c>
      <c r="D1348">
        <v>18</v>
      </c>
      <c r="E1348" s="2" t="str">
        <f t="shared" si="21"/>
        <v/>
      </c>
    </row>
    <row r="1349" spans="1:5" x14ac:dyDescent="0.25">
      <c r="A1349" s="138">
        <v>444006</v>
      </c>
      <c r="B1349">
        <v>245</v>
      </c>
      <c r="C1349">
        <v>3</v>
      </c>
      <c r="D1349">
        <v>18</v>
      </c>
      <c r="E1349" s="2" t="str">
        <f t="shared" si="21"/>
        <v/>
      </c>
    </row>
    <row r="1350" spans="1:5" x14ac:dyDescent="0.25">
      <c r="A1350" s="138">
        <v>444007</v>
      </c>
      <c r="B1350">
        <v>245</v>
      </c>
      <c r="C1350">
        <v>3</v>
      </c>
      <c r="D1350">
        <v>18</v>
      </c>
      <c r="E1350" s="2" t="str">
        <f t="shared" si="21"/>
        <v/>
      </c>
    </row>
    <row r="1351" spans="1:5" x14ac:dyDescent="0.25">
      <c r="A1351" s="138">
        <v>444008</v>
      </c>
      <c r="B1351">
        <v>245</v>
      </c>
      <c r="C1351">
        <v>3</v>
      </c>
      <c r="D1351">
        <v>18</v>
      </c>
      <c r="E1351" s="2" t="str">
        <f t="shared" si="21"/>
        <v/>
      </c>
    </row>
    <row r="1352" spans="1:5" x14ac:dyDescent="0.25">
      <c r="A1352" s="138">
        <v>444009</v>
      </c>
      <c r="B1352">
        <v>245</v>
      </c>
      <c r="C1352">
        <v>3</v>
      </c>
      <c r="D1352">
        <v>18</v>
      </c>
      <c r="E1352" s="2" t="str">
        <f t="shared" si="21"/>
        <v/>
      </c>
    </row>
    <row r="1353" spans="1:5" x14ac:dyDescent="0.25">
      <c r="A1353" s="138">
        <v>444010</v>
      </c>
      <c r="B1353">
        <v>245</v>
      </c>
      <c r="C1353">
        <v>3</v>
      </c>
      <c r="D1353">
        <v>18</v>
      </c>
      <c r="E1353" s="2" t="str">
        <f t="shared" si="21"/>
        <v/>
      </c>
    </row>
    <row r="1354" spans="1:5" x14ac:dyDescent="0.25">
      <c r="A1354" s="138">
        <v>444099</v>
      </c>
      <c r="B1354">
        <v>245</v>
      </c>
      <c r="C1354">
        <v>3</v>
      </c>
      <c r="D1354">
        <v>18</v>
      </c>
      <c r="E1354" s="2" t="str">
        <f t="shared" si="21"/>
        <v/>
      </c>
    </row>
    <row r="1355" spans="1:5" x14ac:dyDescent="0.25">
      <c r="A1355" s="138">
        <v>451000</v>
      </c>
      <c r="B1355">
        <v>176</v>
      </c>
      <c r="C1355">
        <v>8</v>
      </c>
      <c r="D1355">
        <v>23</v>
      </c>
      <c r="E1355" s="2" t="str">
        <f t="shared" si="21"/>
        <v/>
      </c>
    </row>
    <row r="1356" spans="1:5" x14ac:dyDescent="0.25">
      <c r="A1356" s="138">
        <v>451001</v>
      </c>
      <c r="B1356">
        <v>165</v>
      </c>
      <c r="C1356">
        <v>4</v>
      </c>
      <c r="D1356">
        <v>16</v>
      </c>
      <c r="E1356" s="2" t="str">
        <f t="shared" si="21"/>
        <v/>
      </c>
    </row>
    <row r="1357" spans="1:5" x14ac:dyDescent="0.25">
      <c r="A1357" s="138">
        <v>451002</v>
      </c>
      <c r="B1357">
        <v>176</v>
      </c>
      <c r="C1357">
        <v>8</v>
      </c>
      <c r="D1357">
        <v>23</v>
      </c>
      <c r="E1357" s="2" t="str">
        <f t="shared" si="21"/>
        <v/>
      </c>
    </row>
    <row r="1358" spans="1:5" x14ac:dyDescent="0.25">
      <c r="A1358" s="138">
        <v>452000</v>
      </c>
      <c r="B1358">
        <v>134</v>
      </c>
      <c r="C1358">
        <v>9</v>
      </c>
      <c r="D1358">
        <v>24</v>
      </c>
      <c r="E1358" s="2" t="str">
        <f t="shared" si="21"/>
        <v/>
      </c>
    </row>
    <row r="1359" spans="1:5" x14ac:dyDescent="0.25">
      <c r="A1359" s="138">
        <v>452001</v>
      </c>
      <c r="B1359">
        <v>134</v>
      </c>
      <c r="C1359">
        <v>9</v>
      </c>
      <c r="D1359">
        <v>24</v>
      </c>
      <c r="E1359" s="2" t="str">
        <f t="shared" si="21"/>
        <v/>
      </c>
    </row>
    <row r="1360" spans="1:5" x14ac:dyDescent="0.25">
      <c r="A1360" s="138">
        <v>452002</v>
      </c>
      <c r="B1360">
        <v>134</v>
      </c>
      <c r="C1360">
        <v>9</v>
      </c>
      <c r="D1360">
        <v>24</v>
      </c>
      <c r="E1360" s="2" t="str">
        <f t="shared" si="21"/>
        <v/>
      </c>
    </row>
    <row r="1361" spans="1:5" x14ac:dyDescent="0.25">
      <c r="A1361" s="138">
        <v>452003</v>
      </c>
      <c r="B1361">
        <v>134</v>
      </c>
      <c r="C1361">
        <v>9</v>
      </c>
      <c r="D1361">
        <v>24</v>
      </c>
      <c r="E1361" s="2" t="str">
        <f t="shared" si="21"/>
        <v/>
      </c>
    </row>
    <row r="1362" spans="1:5" x14ac:dyDescent="0.25">
      <c r="A1362" s="138">
        <v>452099</v>
      </c>
      <c r="B1362">
        <v>76</v>
      </c>
      <c r="C1362">
        <v>4</v>
      </c>
      <c r="D1362">
        <v>16</v>
      </c>
      <c r="E1362" s="2" t="str">
        <f t="shared" si="21"/>
        <v/>
      </c>
    </row>
    <row r="1363" spans="1:5" x14ac:dyDescent="0.25">
      <c r="A1363" s="138">
        <v>453000</v>
      </c>
      <c r="B1363">
        <v>76</v>
      </c>
      <c r="C1363">
        <v>4</v>
      </c>
      <c r="D1363">
        <v>16</v>
      </c>
      <c r="E1363" s="2" t="str">
        <f t="shared" si="21"/>
        <v/>
      </c>
    </row>
    <row r="1364" spans="1:5" x14ac:dyDescent="0.25">
      <c r="A1364" s="138">
        <v>453001</v>
      </c>
      <c r="B1364">
        <v>76</v>
      </c>
      <c r="C1364">
        <v>4</v>
      </c>
      <c r="D1364">
        <v>16</v>
      </c>
      <c r="E1364" s="2" t="str">
        <f t="shared" si="21"/>
        <v/>
      </c>
    </row>
    <row r="1365" spans="1:5" x14ac:dyDescent="0.25">
      <c r="A1365" s="138">
        <v>453002</v>
      </c>
      <c r="B1365">
        <v>76</v>
      </c>
      <c r="C1365">
        <v>4</v>
      </c>
      <c r="D1365">
        <v>16</v>
      </c>
      <c r="E1365" s="2" t="str">
        <f t="shared" si="21"/>
        <v/>
      </c>
    </row>
    <row r="1366" spans="1:5" x14ac:dyDescent="0.25">
      <c r="A1366" s="138">
        <v>453003</v>
      </c>
      <c r="B1366">
        <v>76</v>
      </c>
      <c r="C1366">
        <v>4</v>
      </c>
      <c r="D1366">
        <v>16</v>
      </c>
      <c r="E1366" s="2" t="str">
        <f t="shared" si="21"/>
        <v/>
      </c>
    </row>
    <row r="1367" spans="1:5" x14ac:dyDescent="0.25">
      <c r="A1367" s="138">
        <v>453099</v>
      </c>
      <c r="B1367">
        <v>76</v>
      </c>
      <c r="C1367">
        <v>4</v>
      </c>
      <c r="D1367">
        <v>16</v>
      </c>
      <c r="E1367" s="2" t="str">
        <f t="shared" si="21"/>
        <v/>
      </c>
    </row>
    <row r="1368" spans="1:5" x14ac:dyDescent="0.25">
      <c r="A1368" s="138">
        <v>454000</v>
      </c>
      <c r="B1368">
        <v>64</v>
      </c>
      <c r="C1368">
        <v>4</v>
      </c>
      <c r="D1368">
        <v>16</v>
      </c>
      <c r="E1368" s="2" t="str">
        <f t="shared" si="21"/>
        <v/>
      </c>
    </row>
    <row r="1369" spans="1:5" x14ac:dyDescent="0.25">
      <c r="A1369" s="138">
        <v>454001</v>
      </c>
      <c r="B1369">
        <v>64</v>
      </c>
      <c r="C1369">
        <v>4</v>
      </c>
      <c r="D1369">
        <v>16</v>
      </c>
      <c r="E1369" s="2" t="str">
        <f t="shared" si="21"/>
        <v/>
      </c>
    </row>
    <row r="1370" spans="1:5" x14ac:dyDescent="0.25">
      <c r="A1370" s="138">
        <v>454002</v>
      </c>
      <c r="B1370">
        <v>64</v>
      </c>
      <c r="C1370">
        <v>4</v>
      </c>
      <c r="D1370">
        <v>16</v>
      </c>
      <c r="E1370" s="2" t="str">
        <f t="shared" si="21"/>
        <v/>
      </c>
    </row>
    <row r="1371" spans="1:5" x14ac:dyDescent="0.25">
      <c r="A1371" s="138">
        <v>454003</v>
      </c>
      <c r="B1371">
        <v>64</v>
      </c>
      <c r="C1371">
        <v>4</v>
      </c>
      <c r="D1371">
        <v>16</v>
      </c>
      <c r="E1371" s="2" t="str">
        <f t="shared" si="21"/>
        <v/>
      </c>
    </row>
    <row r="1372" spans="1:5" x14ac:dyDescent="0.25">
      <c r="A1372" s="138">
        <v>454004</v>
      </c>
      <c r="B1372">
        <v>64</v>
      </c>
      <c r="C1372">
        <v>4</v>
      </c>
      <c r="D1372">
        <v>16</v>
      </c>
      <c r="E1372" s="2" t="str">
        <f t="shared" si="21"/>
        <v/>
      </c>
    </row>
    <row r="1373" spans="1:5" x14ac:dyDescent="0.25">
      <c r="A1373" s="138">
        <v>454005</v>
      </c>
      <c r="B1373">
        <v>64</v>
      </c>
      <c r="C1373">
        <v>4</v>
      </c>
      <c r="D1373">
        <v>16</v>
      </c>
      <c r="E1373" s="2" t="str">
        <f t="shared" si="21"/>
        <v/>
      </c>
    </row>
    <row r="1374" spans="1:5" x14ac:dyDescent="0.25">
      <c r="A1374" s="138">
        <v>454099</v>
      </c>
      <c r="B1374">
        <v>64</v>
      </c>
      <c r="C1374">
        <v>4</v>
      </c>
      <c r="D1374">
        <v>16</v>
      </c>
      <c r="E1374" s="2" t="str">
        <f t="shared" si="21"/>
        <v/>
      </c>
    </row>
    <row r="1375" spans="1:5" x14ac:dyDescent="0.25">
      <c r="A1375" s="138">
        <v>455000</v>
      </c>
      <c r="B1375">
        <v>177</v>
      </c>
      <c r="C1375">
        <v>4</v>
      </c>
      <c r="D1375">
        <v>16</v>
      </c>
      <c r="E1375" s="2" t="str">
        <f t="shared" si="21"/>
        <v/>
      </c>
    </row>
    <row r="1376" spans="1:5" x14ac:dyDescent="0.25">
      <c r="A1376" s="138">
        <v>455001</v>
      </c>
      <c r="B1376">
        <v>177</v>
      </c>
      <c r="C1376">
        <v>4</v>
      </c>
      <c r="D1376">
        <v>16</v>
      </c>
      <c r="E1376" s="2" t="str">
        <f t="shared" si="21"/>
        <v/>
      </c>
    </row>
    <row r="1377" spans="1:5" x14ac:dyDescent="0.25">
      <c r="A1377" s="138">
        <v>455002</v>
      </c>
      <c r="B1377">
        <v>177</v>
      </c>
      <c r="C1377">
        <v>4</v>
      </c>
      <c r="D1377">
        <v>16</v>
      </c>
      <c r="E1377" s="2" t="str">
        <f t="shared" si="21"/>
        <v/>
      </c>
    </row>
    <row r="1378" spans="1:5" x14ac:dyDescent="0.25">
      <c r="A1378" s="138">
        <v>455003</v>
      </c>
      <c r="B1378">
        <v>177</v>
      </c>
      <c r="C1378">
        <v>4</v>
      </c>
      <c r="D1378">
        <v>16</v>
      </c>
      <c r="E1378" s="2" t="str">
        <f t="shared" si="21"/>
        <v/>
      </c>
    </row>
    <row r="1379" spans="1:5" x14ac:dyDescent="0.25">
      <c r="A1379" s="138">
        <v>455004</v>
      </c>
      <c r="B1379">
        <v>177</v>
      </c>
      <c r="C1379">
        <v>4</v>
      </c>
      <c r="D1379">
        <v>16</v>
      </c>
      <c r="E1379" s="2" t="str">
        <f t="shared" si="21"/>
        <v/>
      </c>
    </row>
    <row r="1380" spans="1:5" x14ac:dyDescent="0.25">
      <c r="A1380" s="138">
        <v>511000</v>
      </c>
      <c r="B1380">
        <v>170</v>
      </c>
      <c r="C1380">
        <v>6</v>
      </c>
      <c r="D1380">
        <v>20</v>
      </c>
      <c r="E1380" s="2" t="str">
        <f t="shared" si="21"/>
        <v/>
      </c>
    </row>
    <row r="1381" spans="1:5" x14ac:dyDescent="0.25">
      <c r="A1381" s="138">
        <v>511001</v>
      </c>
      <c r="B1381">
        <v>170</v>
      </c>
      <c r="C1381">
        <v>6</v>
      </c>
      <c r="D1381">
        <v>20</v>
      </c>
      <c r="E1381" s="2" t="str">
        <f t="shared" si="21"/>
        <v/>
      </c>
    </row>
    <row r="1382" spans="1:5" x14ac:dyDescent="0.25">
      <c r="A1382" s="138">
        <v>511002</v>
      </c>
      <c r="B1382">
        <v>170</v>
      </c>
      <c r="C1382">
        <v>6</v>
      </c>
      <c r="D1382">
        <v>20</v>
      </c>
      <c r="E1382" s="2" t="str">
        <f t="shared" si="21"/>
        <v/>
      </c>
    </row>
    <row r="1383" spans="1:5" x14ac:dyDescent="0.25">
      <c r="A1383" s="138">
        <v>511003</v>
      </c>
      <c r="B1383">
        <v>170</v>
      </c>
      <c r="C1383">
        <v>6</v>
      </c>
      <c r="D1383">
        <v>20</v>
      </c>
      <c r="E1383" s="2" t="str">
        <f t="shared" si="21"/>
        <v/>
      </c>
    </row>
    <row r="1384" spans="1:5" x14ac:dyDescent="0.25">
      <c r="A1384" s="138">
        <v>511004</v>
      </c>
      <c r="B1384">
        <v>170</v>
      </c>
      <c r="C1384">
        <v>6</v>
      </c>
      <c r="D1384">
        <v>20</v>
      </c>
      <c r="E1384" s="2" t="str">
        <f t="shared" si="21"/>
        <v/>
      </c>
    </row>
    <row r="1385" spans="1:5" x14ac:dyDescent="0.25">
      <c r="A1385" s="138">
        <v>511005</v>
      </c>
      <c r="B1385">
        <v>170</v>
      </c>
      <c r="C1385">
        <v>6</v>
      </c>
      <c r="D1385">
        <v>20</v>
      </c>
      <c r="E1385" s="2" t="str">
        <f t="shared" si="21"/>
        <v/>
      </c>
    </row>
    <row r="1386" spans="1:5" x14ac:dyDescent="0.25">
      <c r="A1386" s="138">
        <v>511006</v>
      </c>
      <c r="B1386">
        <v>170</v>
      </c>
      <c r="C1386">
        <v>6</v>
      </c>
      <c r="D1386">
        <v>20</v>
      </c>
      <c r="E1386" s="2" t="str">
        <f t="shared" si="21"/>
        <v/>
      </c>
    </row>
    <row r="1387" spans="1:5" x14ac:dyDescent="0.25">
      <c r="A1387" s="138">
        <v>511007</v>
      </c>
      <c r="B1387">
        <v>170</v>
      </c>
      <c r="C1387">
        <v>6</v>
      </c>
      <c r="D1387">
        <v>20</v>
      </c>
      <c r="E1387" s="2" t="str">
        <f t="shared" si="21"/>
        <v/>
      </c>
    </row>
    <row r="1388" spans="1:5" x14ac:dyDescent="0.25">
      <c r="A1388" s="138">
        <v>511008</v>
      </c>
      <c r="B1388">
        <v>170</v>
      </c>
      <c r="C1388">
        <v>6</v>
      </c>
      <c r="D1388">
        <v>20</v>
      </c>
      <c r="E1388" s="2" t="str">
        <f t="shared" si="21"/>
        <v/>
      </c>
    </row>
    <row r="1389" spans="1:5" x14ac:dyDescent="0.25">
      <c r="A1389" s="138">
        <v>511009</v>
      </c>
      <c r="B1389">
        <v>170</v>
      </c>
      <c r="C1389">
        <v>6</v>
      </c>
      <c r="D1389">
        <v>20</v>
      </c>
      <c r="E1389" s="2" t="str">
        <f t="shared" si="21"/>
        <v/>
      </c>
    </row>
    <row r="1390" spans="1:5" x14ac:dyDescent="0.25">
      <c r="A1390" s="138">
        <v>511010</v>
      </c>
      <c r="B1390">
        <v>170</v>
      </c>
      <c r="C1390">
        <v>6</v>
      </c>
      <c r="D1390">
        <v>20</v>
      </c>
      <c r="E1390" s="2" t="str">
        <f t="shared" si="21"/>
        <v/>
      </c>
    </row>
    <row r="1391" spans="1:5" x14ac:dyDescent="0.25">
      <c r="A1391" s="138">
        <v>511011</v>
      </c>
      <c r="B1391">
        <v>170</v>
      </c>
      <c r="C1391">
        <v>6</v>
      </c>
      <c r="D1391">
        <v>20</v>
      </c>
      <c r="E1391" s="2" t="str">
        <f t="shared" si="21"/>
        <v/>
      </c>
    </row>
    <row r="1392" spans="1:5" x14ac:dyDescent="0.25">
      <c r="A1392" s="138">
        <v>511012</v>
      </c>
      <c r="B1392">
        <v>170</v>
      </c>
      <c r="C1392">
        <v>6</v>
      </c>
      <c r="D1392">
        <v>20</v>
      </c>
      <c r="E1392" s="2" t="str">
        <f t="shared" si="21"/>
        <v/>
      </c>
    </row>
    <row r="1393" spans="1:5" x14ac:dyDescent="0.25">
      <c r="A1393" s="138">
        <v>511013</v>
      </c>
      <c r="B1393">
        <v>170</v>
      </c>
      <c r="C1393">
        <v>6</v>
      </c>
      <c r="D1393">
        <v>20</v>
      </c>
      <c r="E1393" s="2" t="str">
        <f t="shared" si="21"/>
        <v/>
      </c>
    </row>
    <row r="1394" spans="1:5" x14ac:dyDescent="0.25">
      <c r="A1394" s="138">
        <v>511014</v>
      </c>
      <c r="B1394">
        <v>170</v>
      </c>
      <c r="C1394">
        <v>6</v>
      </c>
      <c r="D1394">
        <v>20</v>
      </c>
      <c r="E1394" s="2" t="str">
        <f t="shared" si="21"/>
        <v/>
      </c>
    </row>
    <row r="1395" spans="1:5" x14ac:dyDescent="0.25">
      <c r="A1395" s="138">
        <v>511015</v>
      </c>
      <c r="B1395">
        <v>170</v>
      </c>
      <c r="C1395">
        <v>6</v>
      </c>
      <c r="D1395">
        <v>20</v>
      </c>
      <c r="E1395" s="2" t="str">
        <f t="shared" si="21"/>
        <v/>
      </c>
    </row>
    <row r="1396" spans="1:5" x14ac:dyDescent="0.25">
      <c r="A1396" s="138">
        <v>511016</v>
      </c>
      <c r="B1396">
        <v>170</v>
      </c>
      <c r="C1396">
        <v>6</v>
      </c>
      <c r="D1396">
        <v>20</v>
      </c>
      <c r="E1396" s="2" t="str">
        <f t="shared" si="21"/>
        <v/>
      </c>
    </row>
    <row r="1397" spans="1:5" x14ac:dyDescent="0.25">
      <c r="A1397" s="138">
        <v>511099</v>
      </c>
      <c r="B1397">
        <v>170</v>
      </c>
      <c r="C1397">
        <v>6</v>
      </c>
      <c r="D1397">
        <v>20</v>
      </c>
      <c r="E1397" s="2" t="str">
        <f t="shared" si="21"/>
        <v/>
      </c>
    </row>
    <row r="1398" spans="1:5" x14ac:dyDescent="0.25">
      <c r="A1398" s="138">
        <v>511100</v>
      </c>
      <c r="B1398">
        <v>170</v>
      </c>
      <c r="C1398">
        <v>6</v>
      </c>
      <c r="D1398">
        <v>20</v>
      </c>
      <c r="E1398" s="2" t="str">
        <f t="shared" si="21"/>
        <v/>
      </c>
    </row>
    <row r="1399" spans="1:5" x14ac:dyDescent="0.25">
      <c r="A1399" s="138">
        <v>511101</v>
      </c>
      <c r="B1399">
        <v>170</v>
      </c>
      <c r="C1399">
        <v>6</v>
      </c>
      <c r="D1399">
        <v>20</v>
      </c>
      <c r="E1399" s="2" t="str">
        <f t="shared" si="21"/>
        <v/>
      </c>
    </row>
    <row r="1400" spans="1:5" x14ac:dyDescent="0.25">
      <c r="A1400" s="138">
        <v>511102</v>
      </c>
      <c r="B1400">
        <v>170</v>
      </c>
      <c r="C1400">
        <v>6</v>
      </c>
      <c r="D1400">
        <v>20</v>
      </c>
      <c r="E1400" s="2" t="str">
        <f t="shared" si="21"/>
        <v/>
      </c>
    </row>
    <row r="1401" spans="1:5" x14ac:dyDescent="0.25">
      <c r="A1401" s="138">
        <v>511103</v>
      </c>
      <c r="B1401">
        <v>170</v>
      </c>
      <c r="C1401">
        <v>6</v>
      </c>
      <c r="D1401">
        <v>20</v>
      </c>
      <c r="E1401" s="2" t="str">
        <f t="shared" si="21"/>
        <v/>
      </c>
    </row>
    <row r="1402" spans="1:5" x14ac:dyDescent="0.25">
      <c r="A1402" s="138">
        <v>511104</v>
      </c>
      <c r="B1402">
        <v>170</v>
      </c>
      <c r="C1402">
        <v>6</v>
      </c>
      <c r="D1402">
        <v>20</v>
      </c>
      <c r="E1402" s="2" t="str">
        <f t="shared" si="21"/>
        <v/>
      </c>
    </row>
    <row r="1403" spans="1:5" x14ac:dyDescent="0.25">
      <c r="A1403" s="138">
        <v>511105</v>
      </c>
      <c r="B1403">
        <v>170</v>
      </c>
      <c r="C1403">
        <v>6</v>
      </c>
      <c r="D1403">
        <v>20</v>
      </c>
      <c r="E1403" s="2" t="str">
        <f t="shared" si="21"/>
        <v/>
      </c>
    </row>
    <row r="1404" spans="1:5" x14ac:dyDescent="0.25">
      <c r="A1404" s="138">
        <v>511106</v>
      </c>
      <c r="B1404">
        <v>170</v>
      </c>
      <c r="C1404">
        <v>6</v>
      </c>
      <c r="D1404">
        <v>20</v>
      </c>
      <c r="E1404" s="2" t="str">
        <f t="shared" si="21"/>
        <v/>
      </c>
    </row>
    <row r="1405" spans="1:5" x14ac:dyDescent="0.25">
      <c r="A1405" s="138">
        <v>511107</v>
      </c>
      <c r="B1405">
        <v>170</v>
      </c>
      <c r="C1405">
        <v>6</v>
      </c>
      <c r="D1405">
        <v>20</v>
      </c>
      <c r="E1405" s="2" t="str">
        <f t="shared" si="21"/>
        <v/>
      </c>
    </row>
    <row r="1406" spans="1:5" x14ac:dyDescent="0.25">
      <c r="A1406" s="138">
        <v>511108</v>
      </c>
      <c r="B1406">
        <v>170</v>
      </c>
      <c r="C1406">
        <v>6</v>
      </c>
      <c r="D1406">
        <v>20</v>
      </c>
      <c r="E1406" s="2" t="str">
        <f t="shared" si="21"/>
        <v/>
      </c>
    </row>
    <row r="1407" spans="1:5" x14ac:dyDescent="0.25">
      <c r="A1407" s="138">
        <v>511109</v>
      </c>
      <c r="B1407">
        <v>170</v>
      </c>
      <c r="C1407">
        <v>6</v>
      </c>
      <c r="D1407">
        <v>20</v>
      </c>
      <c r="E1407" s="2" t="str">
        <f t="shared" si="21"/>
        <v/>
      </c>
    </row>
    <row r="1408" spans="1:5" x14ac:dyDescent="0.25">
      <c r="A1408" s="138">
        <v>511110</v>
      </c>
      <c r="B1408">
        <v>170</v>
      </c>
      <c r="C1408">
        <v>6</v>
      </c>
      <c r="D1408">
        <v>20</v>
      </c>
      <c r="E1408" s="2" t="str">
        <f t="shared" si="21"/>
        <v/>
      </c>
    </row>
    <row r="1409" spans="1:5" x14ac:dyDescent="0.25">
      <c r="A1409" s="138">
        <v>511111</v>
      </c>
      <c r="B1409">
        <v>170</v>
      </c>
      <c r="C1409">
        <v>6</v>
      </c>
      <c r="D1409">
        <v>20</v>
      </c>
      <c r="E1409" s="2" t="str">
        <f t="shared" si="21"/>
        <v/>
      </c>
    </row>
    <row r="1410" spans="1:5" x14ac:dyDescent="0.25">
      <c r="A1410" s="138">
        <v>511112</v>
      </c>
      <c r="B1410">
        <v>170</v>
      </c>
      <c r="C1410">
        <v>6</v>
      </c>
      <c r="D1410">
        <v>20</v>
      </c>
      <c r="E1410" s="2" t="str">
        <f t="shared" si="21"/>
        <v/>
      </c>
    </row>
    <row r="1411" spans="1:5" x14ac:dyDescent="0.25">
      <c r="A1411" s="138">
        <v>511113</v>
      </c>
      <c r="B1411">
        <v>170</v>
      </c>
      <c r="C1411">
        <v>6</v>
      </c>
      <c r="D1411">
        <v>20</v>
      </c>
      <c r="E1411" s="2" t="str">
        <f t="shared" ref="E1411:E1474" si="22">IF(B1411=B1410,IF(C1410=C1411,"",1),"")</f>
        <v/>
      </c>
    </row>
    <row r="1412" spans="1:5" x14ac:dyDescent="0.25">
      <c r="A1412" s="138">
        <v>511114</v>
      </c>
      <c r="B1412">
        <v>170</v>
      </c>
      <c r="C1412">
        <v>6</v>
      </c>
      <c r="D1412">
        <v>20</v>
      </c>
      <c r="E1412" s="2" t="str">
        <f t="shared" si="22"/>
        <v/>
      </c>
    </row>
    <row r="1413" spans="1:5" x14ac:dyDescent="0.25">
      <c r="A1413" s="138">
        <v>511199</v>
      </c>
      <c r="B1413">
        <v>170</v>
      </c>
      <c r="C1413">
        <v>6</v>
      </c>
      <c r="D1413">
        <v>20</v>
      </c>
      <c r="E1413" s="2" t="str">
        <f t="shared" si="22"/>
        <v/>
      </c>
    </row>
    <row r="1414" spans="1:5" x14ac:dyDescent="0.25">
      <c r="A1414" s="138">
        <v>511200</v>
      </c>
      <c r="B1414">
        <v>170</v>
      </c>
      <c r="C1414">
        <v>6</v>
      </c>
      <c r="D1414">
        <v>20</v>
      </c>
      <c r="E1414" s="2" t="str">
        <f t="shared" si="22"/>
        <v/>
      </c>
    </row>
    <row r="1415" spans="1:5" x14ac:dyDescent="0.25">
      <c r="A1415" s="138">
        <v>511201</v>
      </c>
      <c r="B1415">
        <v>170</v>
      </c>
      <c r="C1415">
        <v>6</v>
      </c>
      <c r="D1415">
        <v>20</v>
      </c>
      <c r="E1415" s="2" t="str">
        <f t="shared" si="22"/>
        <v/>
      </c>
    </row>
    <row r="1416" spans="1:5" x14ac:dyDescent="0.25">
      <c r="A1416" s="138">
        <v>511202</v>
      </c>
      <c r="B1416">
        <v>170</v>
      </c>
      <c r="C1416">
        <v>6</v>
      </c>
      <c r="D1416">
        <v>20</v>
      </c>
      <c r="E1416" s="2" t="str">
        <f t="shared" si="22"/>
        <v/>
      </c>
    </row>
    <row r="1417" spans="1:5" x14ac:dyDescent="0.25">
      <c r="A1417" s="138">
        <v>511203</v>
      </c>
      <c r="B1417">
        <v>170</v>
      </c>
      <c r="C1417">
        <v>6</v>
      </c>
      <c r="D1417">
        <v>20</v>
      </c>
      <c r="E1417" s="2" t="str">
        <f t="shared" si="22"/>
        <v/>
      </c>
    </row>
    <row r="1418" spans="1:5" x14ac:dyDescent="0.25">
      <c r="A1418" s="138">
        <v>511204</v>
      </c>
      <c r="B1418">
        <v>170</v>
      </c>
      <c r="C1418">
        <v>6</v>
      </c>
      <c r="D1418">
        <v>20</v>
      </c>
      <c r="E1418" s="2" t="str">
        <f t="shared" si="22"/>
        <v/>
      </c>
    </row>
    <row r="1419" spans="1:5" x14ac:dyDescent="0.25">
      <c r="A1419" s="138">
        <v>511205</v>
      </c>
      <c r="B1419">
        <v>170</v>
      </c>
      <c r="C1419">
        <v>6</v>
      </c>
      <c r="D1419">
        <v>20</v>
      </c>
      <c r="E1419" s="2" t="str">
        <f t="shared" si="22"/>
        <v/>
      </c>
    </row>
    <row r="1420" spans="1:5" x14ac:dyDescent="0.25">
      <c r="A1420" s="138">
        <v>511206</v>
      </c>
      <c r="B1420">
        <v>170</v>
      </c>
      <c r="C1420">
        <v>6</v>
      </c>
      <c r="D1420">
        <v>20</v>
      </c>
      <c r="E1420" s="2" t="str">
        <f t="shared" si="22"/>
        <v/>
      </c>
    </row>
    <row r="1421" spans="1:5" x14ac:dyDescent="0.25">
      <c r="A1421" s="138">
        <v>511207</v>
      </c>
      <c r="B1421">
        <v>170</v>
      </c>
      <c r="C1421">
        <v>6</v>
      </c>
      <c r="D1421">
        <v>20</v>
      </c>
      <c r="E1421" s="2" t="str">
        <f t="shared" si="22"/>
        <v/>
      </c>
    </row>
    <row r="1422" spans="1:5" x14ac:dyDescent="0.25">
      <c r="A1422" s="138">
        <v>511208</v>
      </c>
      <c r="B1422">
        <v>170</v>
      </c>
      <c r="C1422">
        <v>6</v>
      </c>
      <c r="D1422">
        <v>20</v>
      </c>
      <c r="E1422" s="2" t="str">
        <f t="shared" si="22"/>
        <v/>
      </c>
    </row>
    <row r="1423" spans="1:5" x14ac:dyDescent="0.25">
      <c r="A1423" s="138">
        <v>511209</v>
      </c>
      <c r="B1423">
        <v>170</v>
      </c>
      <c r="C1423">
        <v>6</v>
      </c>
      <c r="D1423">
        <v>20</v>
      </c>
      <c r="E1423" s="2" t="str">
        <f t="shared" si="22"/>
        <v/>
      </c>
    </row>
    <row r="1424" spans="1:5" x14ac:dyDescent="0.25">
      <c r="A1424" s="138">
        <v>511210</v>
      </c>
      <c r="B1424">
        <v>170</v>
      </c>
      <c r="C1424">
        <v>6</v>
      </c>
      <c r="D1424">
        <v>20</v>
      </c>
      <c r="E1424" s="2" t="str">
        <f t="shared" si="22"/>
        <v/>
      </c>
    </row>
    <row r="1425" spans="1:5" x14ac:dyDescent="0.25">
      <c r="A1425" s="138">
        <v>511211</v>
      </c>
      <c r="B1425">
        <v>170</v>
      </c>
      <c r="C1425">
        <v>6</v>
      </c>
      <c r="D1425">
        <v>20</v>
      </c>
      <c r="E1425" s="2" t="str">
        <f t="shared" si="22"/>
        <v/>
      </c>
    </row>
    <row r="1426" spans="1:5" x14ac:dyDescent="0.25">
      <c r="A1426" s="138">
        <v>511212</v>
      </c>
      <c r="B1426">
        <v>170</v>
      </c>
      <c r="C1426">
        <v>6</v>
      </c>
      <c r="D1426">
        <v>20</v>
      </c>
      <c r="E1426" s="2" t="str">
        <f t="shared" si="22"/>
        <v/>
      </c>
    </row>
    <row r="1427" spans="1:5" x14ac:dyDescent="0.25">
      <c r="A1427" s="138">
        <v>511213</v>
      </c>
      <c r="B1427">
        <v>170</v>
      </c>
      <c r="C1427">
        <v>6</v>
      </c>
      <c r="D1427">
        <v>20</v>
      </c>
      <c r="E1427" s="2" t="str">
        <f t="shared" si="22"/>
        <v/>
      </c>
    </row>
    <row r="1428" spans="1:5" x14ac:dyDescent="0.25">
      <c r="A1428" s="138">
        <v>511214</v>
      </c>
      <c r="B1428">
        <v>170</v>
      </c>
      <c r="C1428">
        <v>6</v>
      </c>
      <c r="D1428">
        <v>20</v>
      </c>
      <c r="E1428" s="2" t="str">
        <f t="shared" si="22"/>
        <v/>
      </c>
    </row>
    <row r="1429" spans="1:5" x14ac:dyDescent="0.25">
      <c r="A1429" s="138">
        <v>511299</v>
      </c>
      <c r="B1429">
        <v>170</v>
      </c>
      <c r="C1429">
        <v>6</v>
      </c>
      <c r="D1429">
        <v>20</v>
      </c>
      <c r="E1429" s="2" t="str">
        <f t="shared" si="22"/>
        <v/>
      </c>
    </row>
    <row r="1430" spans="1:5" x14ac:dyDescent="0.25">
      <c r="A1430" s="138">
        <v>511300</v>
      </c>
      <c r="B1430">
        <v>170</v>
      </c>
      <c r="C1430">
        <v>6</v>
      </c>
      <c r="D1430">
        <v>20</v>
      </c>
      <c r="E1430" s="2" t="str">
        <f t="shared" si="22"/>
        <v/>
      </c>
    </row>
    <row r="1431" spans="1:5" x14ac:dyDescent="0.25">
      <c r="A1431" s="138">
        <v>511301</v>
      </c>
      <c r="B1431">
        <v>170</v>
      </c>
      <c r="C1431">
        <v>6</v>
      </c>
      <c r="D1431">
        <v>20</v>
      </c>
      <c r="E1431" s="2" t="str">
        <f t="shared" si="22"/>
        <v/>
      </c>
    </row>
    <row r="1432" spans="1:5" x14ac:dyDescent="0.25">
      <c r="A1432" s="138">
        <v>511302</v>
      </c>
      <c r="B1432">
        <v>170</v>
      </c>
      <c r="C1432">
        <v>6</v>
      </c>
      <c r="D1432">
        <v>20</v>
      </c>
      <c r="E1432" s="2" t="str">
        <f t="shared" si="22"/>
        <v/>
      </c>
    </row>
    <row r="1433" spans="1:5" x14ac:dyDescent="0.25">
      <c r="A1433" s="138">
        <v>511303</v>
      </c>
      <c r="B1433">
        <v>170</v>
      </c>
      <c r="C1433">
        <v>6</v>
      </c>
      <c r="D1433">
        <v>20</v>
      </c>
      <c r="E1433" s="2" t="str">
        <f t="shared" si="22"/>
        <v/>
      </c>
    </row>
    <row r="1434" spans="1:5" x14ac:dyDescent="0.25">
      <c r="A1434" s="138">
        <v>511304</v>
      </c>
      <c r="B1434">
        <v>170</v>
      </c>
      <c r="C1434">
        <v>6</v>
      </c>
      <c r="D1434">
        <v>20</v>
      </c>
      <c r="E1434" s="2" t="str">
        <f t="shared" si="22"/>
        <v/>
      </c>
    </row>
    <row r="1435" spans="1:5" x14ac:dyDescent="0.25">
      <c r="A1435" s="138">
        <v>511305</v>
      </c>
      <c r="B1435">
        <v>170</v>
      </c>
      <c r="C1435">
        <v>6</v>
      </c>
      <c r="D1435">
        <v>20</v>
      </c>
      <c r="E1435" s="2" t="str">
        <f t="shared" si="22"/>
        <v/>
      </c>
    </row>
    <row r="1436" spans="1:5" x14ac:dyDescent="0.25">
      <c r="A1436" s="138">
        <v>511306</v>
      </c>
      <c r="B1436">
        <v>170</v>
      </c>
      <c r="C1436">
        <v>6</v>
      </c>
      <c r="D1436">
        <v>20</v>
      </c>
      <c r="E1436" s="2" t="str">
        <f t="shared" si="22"/>
        <v/>
      </c>
    </row>
    <row r="1437" spans="1:5" x14ac:dyDescent="0.25">
      <c r="A1437" s="138">
        <v>511307</v>
      </c>
      <c r="B1437">
        <v>170</v>
      </c>
      <c r="C1437">
        <v>6</v>
      </c>
      <c r="D1437">
        <v>20</v>
      </c>
      <c r="E1437" s="2" t="str">
        <f t="shared" si="22"/>
        <v/>
      </c>
    </row>
    <row r="1438" spans="1:5" x14ac:dyDescent="0.25">
      <c r="A1438" s="138">
        <v>511308</v>
      </c>
      <c r="B1438">
        <v>170</v>
      </c>
      <c r="C1438">
        <v>6</v>
      </c>
      <c r="D1438">
        <v>20</v>
      </c>
      <c r="E1438" s="2" t="str">
        <f t="shared" si="22"/>
        <v/>
      </c>
    </row>
    <row r="1439" spans="1:5" x14ac:dyDescent="0.25">
      <c r="A1439" s="138">
        <v>511309</v>
      </c>
      <c r="B1439">
        <v>170</v>
      </c>
      <c r="C1439">
        <v>6</v>
      </c>
      <c r="D1439">
        <v>20</v>
      </c>
      <c r="E1439" s="2" t="str">
        <f t="shared" si="22"/>
        <v/>
      </c>
    </row>
    <row r="1440" spans="1:5" x14ac:dyDescent="0.25">
      <c r="A1440" s="138">
        <v>511310</v>
      </c>
      <c r="B1440">
        <v>170</v>
      </c>
      <c r="C1440">
        <v>6</v>
      </c>
      <c r="D1440">
        <v>20</v>
      </c>
      <c r="E1440" s="2" t="str">
        <f t="shared" si="22"/>
        <v/>
      </c>
    </row>
    <row r="1441" spans="1:5" x14ac:dyDescent="0.25">
      <c r="A1441" s="138">
        <v>511311</v>
      </c>
      <c r="B1441">
        <v>170</v>
      </c>
      <c r="C1441">
        <v>6</v>
      </c>
      <c r="D1441">
        <v>20</v>
      </c>
      <c r="E1441" s="2" t="str">
        <f t="shared" si="22"/>
        <v/>
      </c>
    </row>
    <row r="1442" spans="1:5" x14ac:dyDescent="0.25">
      <c r="A1442" s="138">
        <v>511312</v>
      </c>
      <c r="B1442">
        <v>170</v>
      </c>
      <c r="C1442">
        <v>6</v>
      </c>
      <c r="D1442">
        <v>20</v>
      </c>
      <c r="E1442" s="2" t="str">
        <f t="shared" si="22"/>
        <v/>
      </c>
    </row>
    <row r="1443" spans="1:5" x14ac:dyDescent="0.25">
      <c r="A1443" s="138">
        <v>511313</v>
      </c>
      <c r="B1443">
        <v>170</v>
      </c>
      <c r="C1443">
        <v>6</v>
      </c>
      <c r="D1443">
        <v>20</v>
      </c>
      <c r="E1443" s="2" t="str">
        <f t="shared" si="22"/>
        <v/>
      </c>
    </row>
    <row r="1444" spans="1:5" x14ac:dyDescent="0.25">
      <c r="A1444" s="138">
        <v>511314</v>
      </c>
      <c r="B1444">
        <v>170</v>
      </c>
      <c r="C1444">
        <v>6</v>
      </c>
      <c r="D1444">
        <v>20</v>
      </c>
      <c r="E1444" s="2" t="str">
        <f t="shared" si="22"/>
        <v/>
      </c>
    </row>
    <row r="1445" spans="1:5" x14ac:dyDescent="0.25">
      <c r="A1445" s="138">
        <v>511315</v>
      </c>
      <c r="B1445">
        <v>170</v>
      </c>
      <c r="C1445">
        <v>6</v>
      </c>
      <c r="D1445">
        <v>20</v>
      </c>
      <c r="E1445" s="2" t="str">
        <f t="shared" si="22"/>
        <v/>
      </c>
    </row>
    <row r="1446" spans="1:5" x14ac:dyDescent="0.25">
      <c r="A1446" s="138">
        <v>511399</v>
      </c>
      <c r="B1446">
        <v>170</v>
      </c>
      <c r="C1446">
        <v>6</v>
      </c>
      <c r="D1446">
        <v>20</v>
      </c>
      <c r="E1446" s="2" t="str">
        <f t="shared" si="22"/>
        <v/>
      </c>
    </row>
    <row r="1447" spans="1:5" x14ac:dyDescent="0.25">
      <c r="A1447" s="138">
        <v>511400</v>
      </c>
      <c r="B1447">
        <v>170</v>
      </c>
      <c r="C1447">
        <v>6</v>
      </c>
      <c r="D1447">
        <v>20</v>
      </c>
      <c r="E1447" s="2" t="str">
        <f t="shared" si="22"/>
        <v/>
      </c>
    </row>
    <row r="1448" spans="1:5" x14ac:dyDescent="0.25">
      <c r="A1448" s="138">
        <v>511401</v>
      </c>
      <c r="B1448">
        <v>170</v>
      </c>
      <c r="C1448">
        <v>6</v>
      </c>
      <c r="D1448">
        <v>20</v>
      </c>
      <c r="E1448" s="2" t="str">
        <f t="shared" si="22"/>
        <v/>
      </c>
    </row>
    <row r="1449" spans="1:5" x14ac:dyDescent="0.25">
      <c r="A1449" s="138">
        <v>511402</v>
      </c>
      <c r="B1449">
        <v>170</v>
      </c>
      <c r="C1449">
        <v>6</v>
      </c>
      <c r="D1449">
        <v>20</v>
      </c>
      <c r="E1449" s="2" t="str">
        <f t="shared" si="22"/>
        <v/>
      </c>
    </row>
    <row r="1450" spans="1:5" x14ac:dyDescent="0.25">
      <c r="A1450" s="138">
        <v>511403</v>
      </c>
      <c r="B1450">
        <v>170</v>
      </c>
      <c r="C1450">
        <v>6</v>
      </c>
      <c r="D1450">
        <v>20</v>
      </c>
      <c r="E1450" s="2" t="str">
        <f t="shared" si="22"/>
        <v/>
      </c>
    </row>
    <row r="1451" spans="1:5" x14ac:dyDescent="0.25">
      <c r="A1451" s="138">
        <v>511404</v>
      </c>
      <c r="B1451">
        <v>170</v>
      </c>
      <c r="C1451">
        <v>6</v>
      </c>
      <c r="D1451">
        <v>20</v>
      </c>
      <c r="E1451" s="2" t="str">
        <f t="shared" si="22"/>
        <v/>
      </c>
    </row>
    <row r="1452" spans="1:5" x14ac:dyDescent="0.25">
      <c r="A1452" s="138">
        <v>511405</v>
      </c>
      <c r="B1452">
        <v>170</v>
      </c>
      <c r="C1452">
        <v>6</v>
      </c>
      <c r="D1452">
        <v>20</v>
      </c>
      <c r="E1452" s="2" t="str">
        <f t="shared" si="22"/>
        <v/>
      </c>
    </row>
    <row r="1453" spans="1:5" x14ac:dyDescent="0.25">
      <c r="A1453" s="138">
        <v>511406</v>
      </c>
      <c r="B1453">
        <v>170</v>
      </c>
      <c r="C1453">
        <v>6</v>
      </c>
      <c r="D1453">
        <v>20</v>
      </c>
      <c r="E1453" s="2" t="str">
        <f t="shared" si="22"/>
        <v/>
      </c>
    </row>
    <row r="1454" spans="1:5" x14ac:dyDescent="0.25">
      <c r="A1454" s="138">
        <v>511499</v>
      </c>
      <c r="B1454">
        <v>170</v>
      </c>
      <c r="C1454">
        <v>6</v>
      </c>
      <c r="D1454">
        <v>20</v>
      </c>
      <c r="E1454" s="2" t="str">
        <f t="shared" si="22"/>
        <v/>
      </c>
    </row>
    <row r="1455" spans="1:5" x14ac:dyDescent="0.25">
      <c r="A1455" s="138">
        <v>511500</v>
      </c>
      <c r="B1455">
        <v>170</v>
      </c>
      <c r="C1455">
        <v>6</v>
      </c>
      <c r="D1455">
        <v>20</v>
      </c>
      <c r="E1455" s="2" t="str">
        <f t="shared" si="22"/>
        <v/>
      </c>
    </row>
    <row r="1456" spans="1:5" x14ac:dyDescent="0.25">
      <c r="A1456" s="138">
        <v>511501</v>
      </c>
      <c r="B1456">
        <v>170</v>
      </c>
      <c r="C1456">
        <v>6</v>
      </c>
      <c r="D1456">
        <v>20</v>
      </c>
      <c r="E1456" s="2" t="str">
        <f t="shared" si="22"/>
        <v/>
      </c>
    </row>
    <row r="1457" spans="1:5" x14ac:dyDescent="0.25">
      <c r="A1457" s="138">
        <v>511502</v>
      </c>
      <c r="B1457">
        <v>170</v>
      </c>
      <c r="C1457">
        <v>6</v>
      </c>
      <c r="D1457">
        <v>20</v>
      </c>
      <c r="E1457" s="2" t="str">
        <f t="shared" si="22"/>
        <v/>
      </c>
    </row>
    <row r="1458" spans="1:5" x14ac:dyDescent="0.25">
      <c r="A1458" s="138">
        <v>511503</v>
      </c>
      <c r="B1458">
        <v>170</v>
      </c>
      <c r="C1458">
        <v>6</v>
      </c>
      <c r="D1458">
        <v>20</v>
      </c>
      <c r="E1458" s="2" t="str">
        <f t="shared" si="22"/>
        <v/>
      </c>
    </row>
    <row r="1459" spans="1:5" x14ac:dyDescent="0.25">
      <c r="A1459" s="138">
        <v>511504</v>
      </c>
      <c r="B1459">
        <v>170</v>
      </c>
      <c r="C1459">
        <v>6</v>
      </c>
      <c r="D1459">
        <v>20</v>
      </c>
      <c r="E1459" s="2" t="str">
        <f t="shared" si="22"/>
        <v/>
      </c>
    </row>
    <row r="1460" spans="1:5" x14ac:dyDescent="0.25">
      <c r="A1460" s="138">
        <v>511599</v>
      </c>
      <c r="B1460">
        <v>170</v>
      </c>
      <c r="C1460">
        <v>6</v>
      </c>
      <c r="D1460">
        <v>20</v>
      </c>
      <c r="E1460" s="2" t="str">
        <f t="shared" si="22"/>
        <v/>
      </c>
    </row>
    <row r="1461" spans="1:5" x14ac:dyDescent="0.25">
      <c r="A1461" s="138">
        <v>511600</v>
      </c>
      <c r="B1461">
        <v>170</v>
      </c>
      <c r="C1461">
        <v>6</v>
      </c>
      <c r="D1461">
        <v>20</v>
      </c>
      <c r="E1461" s="2" t="str">
        <f t="shared" si="22"/>
        <v/>
      </c>
    </row>
    <row r="1462" spans="1:5" x14ac:dyDescent="0.25">
      <c r="A1462" s="138">
        <v>511601</v>
      </c>
      <c r="B1462">
        <v>170</v>
      </c>
      <c r="C1462">
        <v>6</v>
      </c>
      <c r="D1462">
        <v>20</v>
      </c>
      <c r="E1462" s="2" t="str">
        <f t="shared" si="22"/>
        <v/>
      </c>
    </row>
    <row r="1463" spans="1:5" x14ac:dyDescent="0.25">
      <c r="A1463" s="138">
        <v>511602</v>
      </c>
      <c r="B1463">
        <v>170</v>
      </c>
      <c r="C1463">
        <v>6</v>
      </c>
      <c r="D1463">
        <v>20</v>
      </c>
      <c r="E1463" s="2" t="str">
        <f t="shared" si="22"/>
        <v/>
      </c>
    </row>
    <row r="1464" spans="1:5" x14ac:dyDescent="0.25">
      <c r="A1464" s="138">
        <v>511603</v>
      </c>
      <c r="B1464">
        <v>170</v>
      </c>
      <c r="C1464">
        <v>6</v>
      </c>
      <c r="D1464">
        <v>20</v>
      </c>
      <c r="E1464" s="2" t="str">
        <f t="shared" si="22"/>
        <v/>
      </c>
    </row>
    <row r="1465" spans="1:5" x14ac:dyDescent="0.25">
      <c r="A1465" s="138">
        <v>511604</v>
      </c>
      <c r="B1465">
        <v>170</v>
      </c>
      <c r="C1465">
        <v>6</v>
      </c>
      <c r="D1465">
        <v>20</v>
      </c>
      <c r="E1465" s="2" t="str">
        <f t="shared" si="22"/>
        <v/>
      </c>
    </row>
    <row r="1466" spans="1:5" x14ac:dyDescent="0.25">
      <c r="A1466" s="138">
        <v>511605</v>
      </c>
      <c r="B1466">
        <v>170</v>
      </c>
      <c r="C1466">
        <v>6</v>
      </c>
      <c r="D1466">
        <v>20</v>
      </c>
      <c r="E1466" s="2" t="str">
        <f t="shared" si="22"/>
        <v/>
      </c>
    </row>
    <row r="1467" spans="1:5" x14ac:dyDescent="0.25">
      <c r="A1467" s="138">
        <v>511606</v>
      </c>
      <c r="B1467">
        <v>170</v>
      </c>
      <c r="C1467">
        <v>6</v>
      </c>
      <c r="D1467">
        <v>20</v>
      </c>
      <c r="E1467" s="2" t="str">
        <f t="shared" si="22"/>
        <v/>
      </c>
    </row>
    <row r="1468" spans="1:5" x14ac:dyDescent="0.25">
      <c r="A1468" s="138">
        <v>511607</v>
      </c>
      <c r="B1468">
        <v>170</v>
      </c>
      <c r="C1468">
        <v>6</v>
      </c>
      <c r="D1468">
        <v>20</v>
      </c>
      <c r="E1468" s="2" t="str">
        <f t="shared" si="22"/>
        <v/>
      </c>
    </row>
    <row r="1469" spans="1:5" x14ac:dyDescent="0.25">
      <c r="A1469" s="138">
        <v>511608</v>
      </c>
      <c r="B1469">
        <v>170</v>
      </c>
      <c r="C1469">
        <v>6</v>
      </c>
      <c r="D1469">
        <v>20</v>
      </c>
      <c r="E1469" s="2" t="str">
        <f t="shared" si="22"/>
        <v/>
      </c>
    </row>
    <row r="1470" spans="1:5" x14ac:dyDescent="0.25">
      <c r="A1470" s="138">
        <v>511609</v>
      </c>
      <c r="B1470">
        <v>170</v>
      </c>
      <c r="C1470">
        <v>6</v>
      </c>
      <c r="D1470">
        <v>20</v>
      </c>
      <c r="E1470" s="2" t="str">
        <f t="shared" si="22"/>
        <v/>
      </c>
    </row>
    <row r="1471" spans="1:5" x14ac:dyDescent="0.25">
      <c r="A1471" s="138">
        <v>511610</v>
      </c>
      <c r="B1471">
        <v>170</v>
      </c>
      <c r="C1471">
        <v>6</v>
      </c>
      <c r="D1471">
        <v>20</v>
      </c>
      <c r="E1471" s="2" t="str">
        <f t="shared" si="22"/>
        <v/>
      </c>
    </row>
    <row r="1472" spans="1:5" x14ac:dyDescent="0.25">
      <c r="A1472" s="138">
        <v>511611</v>
      </c>
      <c r="B1472">
        <v>170</v>
      </c>
      <c r="C1472">
        <v>6</v>
      </c>
      <c r="D1472">
        <v>20</v>
      </c>
      <c r="E1472" s="2" t="str">
        <f t="shared" si="22"/>
        <v/>
      </c>
    </row>
    <row r="1473" spans="1:5" x14ac:dyDescent="0.25">
      <c r="A1473" s="138">
        <v>511612</v>
      </c>
      <c r="B1473">
        <v>170</v>
      </c>
      <c r="C1473">
        <v>6</v>
      </c>
      <c r="D1473">
        <v>20</v>
      </c>
      <c r="E1473" s="2" t="str">
        <f t="shared" si="22"/>
        <v/>
      </c>
    </row>
    <row r="1474" spans="1:5" x14ac:dyDescent="0.25">
      <c r="A1474" s="138">
        <v>511613</v>
      </c>
      <c r="B1474">
        <v>170</v>
      </c>
      <c r="C1474">
        <v>6</v>
      </c>
      <c r="D1474">
        <v>20</v>
      </c>
      <c r="E1474" s="2" t="str">
        <f t="shared" si="22"/>
        <v/>
      </c>
    </row>
    <row r="1475" spans="1:5" x14ac:dyDescent="0.25">
      <c r="A1475" s="138">
        <v>511614</v>
      </c>
      <c r="B1475">
        <v>170</v>
      </c>
      <c r="C1475">
        <v>6</v>
      </c>
      <c r="D1475">
        <v>20</v>
      </c>
      <c r="E1475" s="2" t="str">
        <f t="shared" ref="E1475:E1538" si="23">IF(B1475=B1474,IF(C1474=C1475,"",1),"")</f>
        <v/>
      </c>
    </row>
    <row r="1476" spans="1:5" x14ac:dyDescent="0.25">
      <c r="A1476" s="138">
        <v>511699</v>
      </c>
      <c r="B1476">
        <v>170</v>
      </c>
      <c r="C1476">
        <v>6</v>
      </c>
      <c r="D1476">
        <v>20</v>
      </c>
      <c r="E1476" s="2" t="str">
        <f t="shared" si="23"/>
        <v/>
      </c>
    </row>
    <row r="1477" spans="1:5" x14ac:dyDescent="0.25">
      <c r="A1477" s="138">
        <v>512000</v>
      </c>
      <c r="B1477">
        <v>117</v>
      </c>
      <c r="C1477">
        <v>6</v>
      </c>
      <c r="D1477">
        <v>20</v>
      </c>
      <c r="E1477" s="2" t="str">
        <f t="shared" si="23"/>
        <v/>
      </c>
    </row>
    <row r="1478" spans="1:5" x14ac:dyDescent="0.25">
      <c r="A1478" s="138">
        <v>512001</v>
      </c>
      <c r="B1478">
        <v>117</v>
      </c>
      <c r="C1478">
        <v>6</v>
      </c>
      <c r="D1478">
        <v>20</v>
      </c>
      <c r="E1478" s="2" t="str">
        <f t="shared" si="23"/>
        <v/>
      </c>
    </row>
    <row r="1479" spans="1:5" x14ac:dyDescent="0.25">
      <c r="A1479" s="138">
        <v>512002</v>
      </c>
      <c r="B1479">
        <v>117</v>
      </c>
      <c r="C1479">
        <v>6</v>
      </c>
      <c r="D1479">
        <v>20</v>
      </c>
      <c r="E1479" s="2" t="str">
        <f t="shared" si="23"/>
        <v/>
      </c>
    </row>
    <row r="1480" spans="1:5" x14ac:dyDescent="0.25">
      <c r="A1480" s="138">
        <v>512003</v>
      </c>
      <c r="B1480">
        <v>117</v>
      </c>
      <c r="C1480">
        <v>6</v>
      </c>
      <c r="D1480">
        <v>20</v>
      </c>
      <c r="E1480" s="2" t="str">
        <f t="shared" si="23"/>
        <v/>
      </c>
    </row>
    <row r="1481" spans="1:5" x14ac:dyDescent="0.25">
      <c r="A1481" s="138">
        <v>512004</v>
      </c>
      <c r="B1481">
        <v>117</v>
      </c>
      <c r="C1481">
        <v>6</v>
      </c>
      <c r="D1481">
        <v>20</v>
      </c>
      <c r="E1481" s="2" t="str">
        <f t="shared" si="23"/>
        <v/>
      </c>
    </row>
    <row r="1482" spans="1:5" x14ac:dyDescent="0.25">
      <c r="A1482" s="138">
        <v>512005</v>
      </c>
      <c r="B1482">
        <v>117</v>
      </c>
      <c r="C1482">
        <v>6</v>
      </c>
      <c r="D1482">
        <v>20</v>
      </c>
      <c r="E1482" s="2" t="str">
        <f t="shared" si="23"/>
        <v/>
      </c>
    </row>
    <row r="1483" spans="1:5" x14ac:dyDescent="0.25">
      <c r="A1483" s="138">
        <v>512099</v>
      </c>
      <c r="B1483">
        <v>117</v>
      </c>
      <c r="C1483">
        <v>6</v>
      </c>
      <c r="D1483">
        <v>20</v>
      </c>
      <c r="E1483" s="2" t="str">
        <f t="shared" si="23"/>
        <v/>
      </c>
    </row>
    <row r="1484" spans="1:5" x14ac:dyDescent="0.25">
      <c r="A1484" s="138">
        <v>513000</v>
      </c>
      <c r="B1484">
        <v>224</v>
      </c>
      <c r="C1484">
        <v>6</v>
      </c>
      <c r="D1484">
        <v>20</v>
      </c>
      <c r="E1484" s="2" t="str">
        <f t="shared" si="23"/>
        <v/>
      </c>
    </row>
    <row r="1485" spans="1:5" x14ac:dyDescent="0.25">
      <c r="A1485" s="138">
        <v>513001</v>
      </c>
      <c r="B1485">
        <v>224</v>
      </c>
      <c r="C1485">
        <v>6</v>
      </c>
      <c r="D1485">
        <v>20</v>
      </c>
      <c r="E1485" s="2" t="str">
        <f t="shared" si="23"/>
        <v/>
      </c>
    </row>
    <row r="1486" spans="1:5" x14ac:dyDescent="0.25">
      <c r="A1486" s="138">
        <v>513002</v>
      </c>
      <c r="B1486">
        <v>224</v>
      </c>
      <c r="C1486">
        <v>6</v>
      </c>
      <c r="D1486">
        <v>20</v>
      </c>
      <c r="E1486" s="2" t="str">
        <f t="shared" si="23"/>
        <v/>
      </c>
    </row>
    <row r="1487" spans="1:5" x14ac:dyDescent="0.25">
      <c r="A1487" s="138">
        <v>513003</v>
      </c>
      <c r="B1487">
        <v>224</v>
      </c>
      <c r="C1487">
        <v>6</v>
      </c>
      <c r="D1487">
        <v>20</v>
      </c>
      <c r="E1487" s="2" t="str">
        <f t="shared" si="23"/>
        <v/>
      </c>
    </row>
    <row r="1488" spans="1:5" x14ac:dyDescent="0.25">
      <c r="A1488" s="138">
        <v>513004</v>
      </c>
      <c r="B1488">
        <v>224</v>
      </c>
      <c r="C1488">
        <v>6</v>
      </c>
      <c r="D1488">
        <v>20</v>
      </c>
      <c r="E1488" s="2" t="str">
        <f t="shared" si="23"/>
        <v/>
      </c>
    </row>
    <row r="1489" spans="1:5" x14ac:dyDescent="0.25">
      <c r="A1489" s="138">
        <v>513005</v>
      </c>
      <c r="B1489">
        <v>224</v>
      </c>
      <c r="C1489">
        <v>6</v>
      </c>
      <c r="D1489">
        <v>20</v>
      </c>
      <c r="E1489" s="2" t="str">
        <f t="shared" si="23"/>
        <v/>
      </c>
    </row>
    <row r="1490" spans="1:5" x14ac:dyDescent="0.25">
      <c r="A1490" s="138">
        <v>513006</v>
      </c>
      <c r="B1490">
        <v>224</v>
      </c>
      <c r="C1490">
        <v>6</v>
      </c>
      <c r="D1490">
        <v>20</v>
      </c>
      <c r="E1490" s="2" t="str">
        <f t="shared" si="23"/>
        <v/>
      </c>
    </row>
    <row r="1491" spans="1:5" x14ac:dyDescent="0.25">
      <c r="A1491" s="138">
        <v>513007</v>
      </c>
      <c r="B1491">
        <v>224</v>
      </c>
      <c r="C1491">
        <v>6</v>
      </c>
      <c r="D1491">
        <v>20</v>
      </c>
      <c r="E1491" s="2" t="str">
        <f t="shared" si="23"/>
        <v/>
      </c>
    </row>
    <row r="1492" spans="1:5" x14ac:dyDescent="0.25">
      <c r="A1492" s="138">
        <v>513008</v>
      </c>
      <c r="B1492">
        <v>224</v>
      </c>
      <c r="C1492">
        <v>6</v>
      </c>
      <c r="D1492">
        <v>20</v>
      </c>
      <c r="E1492" s="2" t="str">
        <f t="shared" si="23"/>
        <v/>
      </c>
    </row>
    <row r="1493" spans="1:5" x14ac:dyDescent="0.25">
      <c r="A1493" s="138">
        <v>513009</v>
      </c>
      <c r="B1493">
        <v>224</v>
      </c>
      <c r="C1493">
        <v>6</v>
      </c>
      <c r="D1493">
        <v>20</v>
      </c>
      <c r="E1493" s="2" t="str">
        <f t="shared" si="23"/>
        <v/>
      </c>
    </row>
    <row r="1494" spans="1:5" x14ac:dyDescent="0.25">
      <c r="A1494" s="138">
        <v>513010</v>
      </c>
      <c r="B1494">
        <v>224</v>
      </c>
      <c r="C1494">
        <v>6</v>
      </c>
      <c r="D1494">
        <v>20</v>
      </c>
      <c r="E1494" s="2" t="str">
        <f t="shared" si="23"/>
        <v/>
      </c>
    </row>
    <row r="1495" spans="1:5" x14ac:dyDescent="0.25">
      <c r="A1495" s="138">
        <v>513099</v>
      </c>
      <c r="B1495">
        <v>224</v>
      </c>
      <c r="C1495">
        <v>6</v>
      </c>
      <c r="D1495">
        <v>20</v>
      </c>
      <c r="E1495" s="2" t="str">
        <f t="shared" si="23"/>
        <v/>
      </c>
    </row>
    <row r="1496" spans="1:5" x14ac:dyDescent="0.25">
      <c r="A1496" s="138">
        <v>514000</v>
      </c>
      <c r="B1496">
        <v>213</v>
      </c>
      <c r="C1496">
        <v>6</v>
      </c>
      <c r="D1496">
        <v>20</v>
      </c>
      <c r="E1496" s="2" t="str">
        <f t="shared" si="23"/>
        <v/>
      </c>
    </row>
    <row r="1497" spans="1:5" x14ac:dyDescent="0.25">
      <c r="A1497" s="138">
        <v>514001</v>
      </c>
      <c r="B1497">
        <v>213</v>
      </c>
      <c r="C1497">
        <v>6</v>
      </c>
      <c r="D1497">
        <v>20</v>
      </c>
      <c r="E1497" s="2" t="str">
        <f t="shared" si="23"/>
        <v/>
      </c>
    </row>
    <row r="1498" spans="1:5" x14ac:dyDescent="0.25">
      <c r="A1498" s="138">
        <v>514002</v>
      </c>
      <c r="B1498">
        <v>213</v>
      </c>
      <c r="C1498">
        <v>6</v>
      </c>
      <c r="D1498">
        <v>20</v>
      </c>
      <c r="E1498" s="2" t="str">
        <f t="shared" si="23"/>
        <v/>
      </c>
    </row>
    <row r="1499" spans="1:5" x14ac:dyDescent="0.25">
      <c r="A1499" s="138">
        <v>514003</v>
      </c>
      <c r="B1499">
        <v>213</v>
      </c>
      <c r="C1499">
        <v>6</v>
      </c>
      <c r="D1499">
        <v>20</v>
      </c>
      <c r="E1499" s="2" t="str">
        <f t="shared" si="23"/>
        <v/>
      </c>
    </row>
    <row r="1500" spans="1:5" x14ac:dyDescent="0.25">
      <c r="A1500" s="138">
        <v>521000</v>
      </c>
      <c r="B1500">
        <v>117</v>
      </c>
      <c r="C1500">
        <v>6</v>
      </c>
      <c r="D1500">
        <v>20</v>
      </c>
      <c r="E1500" s="2" t="str">
        <f t="shared" si="23"/>
        <v/>
      </c>
    </row>
    <row r="1501" spans="1:5" x14ac:dyDescent="0.25">
      <c r="A1501" s="138">
        <v>521001</v>
      </c>
      <c r="B1501">
        <v>117</v>
      </c>
      <c r="C1501">
        <v>6</v>
      </c>
      <c r="D1501">
        <v>20</v>
      </c>
      <c r="E1501" s="2" t="str">
        <f t="shared" si="23"/>
        <v/>
      </c>
    </row>
    <row r="1502" spans="1:5" x14ac:dyDescent="0.25">
      <c r="A1502" s="138">
        <v>521002</v>
      </c>
      <c r="B1502">
        <v>117</v>
      </c>
      <c r="C1502">
        <v>6</v>
      </c>
      <c r="D1502">
        <v>20</v>
      </c>
      <c r="E1502" s="2" t="str">
        <f t="shared" si="23"/>
        <v/>
      </c>
    </row>
    <row r="1503" spans="1:5" x14ac:dyDescent="0.25">
      <c r="A1503" s="138">
        <v>521003</v>
      </c>
      <c r="B1503">
        <v>117</v>
      </c>
      <c r="C1503">
        <v>6</v>
      </c>
      <c r="D1503">
        <v>20</v>
      </c>
      <c r="E1503" s="2" t="str">
        <f t="shared" si="23"/>
        <v/>
      </c>
    </row>
    <row r="1504" spans="1:5" x14ac:dyDescent="0.25">
      <c r="A1504" s="138">
        <v>521004</v>
      </c>
      <c r="B1504">
        <v>117</v>
      </c>
      <c r="C1504">
        <v>6</v>
      </c>
      <c r="D1504">
        <v>20</v>
      </c>
      <c r="E1504" s="2" t="str">
        <f t="shared" si="23"/>
        <v/>
      </c>
    </row>
    <row r="1505" spans="1:5" x14ac:dyDescent="0.25">
      <c r="A1505" s="138">
        <v>521005</v>
      </c>
      <c r="B1505">
        <v>117</v>
      </c>
      <c r="C1505">
        <v>6</v>
      </c>
      <c r="D1505">
        <v>20</v>
      </c>
      <c r="E1505" s="2" t="str">
        <f t="shared" si="23"/>
        <v/>
      </c>
    </row>
    <row r="1506" spans="1:5" x14ac:dyDescent="0.25">
      <c r="A1506" s="138">
        <v>521006</v>
      </c>
      <c r="B1506">
        <v>117</v>
      </c>
      <c r="C1506">
        <v>6</v>
      </c>
      <c r="D1506">
        <v>20</v>
      </c>
      <c r="E1506" s="2" t="str">
        <f t="shared" si="23"/>
        <v/>
      </c>
    </row>
    <row r="1507" spans="1:5" x14ac:dyDescent="0.25">
      <c r="A1507" s="138">
        <v>521007</v>
      </c>
      <c r="B1507">
        <v>117</v>
      </c>
      <c r="C1507">
        <v>6</v>
      </c>
      <c r="D1507">
        <v>20</v>
      </c>
      <c r="E1507" s="2" t="str">
        <f t="shared" si="23"/>
        <v/>
      </c>
    </row>
    <row r="1508" spans="1:5" x14ac:dyDescent="0.25">
      <c r="A1508" s="138">
        <v>521008</v>
      </c>
      <c r="B1508">
        <v>117</v>
      </c>
      <c r="C1508">
        <v>6</v>
      </c>
      <c r="D1508">
        <v>20</v>
      </c>
      <c r="E1508" s="2" t="str">
        <f t="shared" si="23"/>
        <v/>
      </c>
    </row>
    <row r="1509" spans="1:5" x14ac:dyDescent="0.25">
      <c r="A1509" s="138">
        <v>521009</v>
      </c>
      <c r="B1509">
        <v>117</v>
      </c>
      <c r="C1509">
        <v>6</v>
      </c>
      <c r="D1509">
        <v>20</v>
      </c>
      <c r="E1509" s="2" t="str">
        <f t="shared" si="23"/>
        <v/>
      </c>
    </row>
    <row r="1510" spans="1:5" x14ac:dyDescent="0.25">
      <c r="A1510" s="138">
        <v>521010</v>
      </c>
      <c r="B1510">
        <v>117</v>
      </c>
      <c r="C1510">
        <v>6</v>
      </c>
      <c r="D1510">
        <v>20</v>
      </c>
      <c r="E1510" s="2" t="str">
        <f t="shared" si="23"/>
        <v/>
      </c>
    </row>
    <row r="1511" spans="1:5" x14ac:dyDescent="0.25">
      <c r="A1511" s="138">
        <v>521011</v>
      </c>
      <c r="B1511">
        <v>117</v>
      </c>
      <c r="C1511">
        <v>6</v>
      </c>
      <c r="D1511">
        <v>20</v>
      </c>
      <c r="E1511" s="2" t="str">
        <f t="shared" si="23"/>
        <v/>
      </c>
    </row>
    <row r="1512" spans="1:5" x14ac:dyDescent="0.25">
      <c r="A1512" s="138">
        <v>521012</v>
      </c>
      <c r="B1512">
        <v>117</v>
      </c>
      <c r="C1512">
        <v>6</v>
      </c>
      <c r="D1512">
        <v>20</v>
      </c>
      <c r="E1512" s="2" t="str">
        <f t="shared" si="23"/>
        <v/>
      </c>
    </row>
    <row r="1513" spans="1:5" x14ac:dyDescent="0.25">
      <c r="A1513" s="138">
        <v>521013</v>
      </c>
      <c r="B1513">
        <v>117</v>
      </c>
      <c r="C1513">
        <v>6</v>
      </c>
      <c r="D1513">
        <v>20</v>
      </c>
      <c r="E1513" s="2" t="str">
        <f t="shared" si="23"/>
        <v/>
      </c>
    </row>
    <row r="1514" spans="1:5" x14ac:dyDescent="0.25">
      <c r="A1514" s="138">
        <v>521014</v>
      </c>
      <c r="B1514">
        <v>117</v>
      </c>
      <c r="C1514">
        <v>6</v>
      </c>
      <c r="D1514">
        <v>20</v>
      </c>
      <c r="E1514" s="2" t="str">
        <f t="shared" si="23"/>
        <v/>
      </c>
    </row>
    <row r="1515" spans="1:5" x14ac:dyDescent="0.25">
      <c r="A1515" s="138">
        <v>521015</v>
      </c>
      <c r="B1515">
        <v>117</v>
      </c>
      <c r="C1515">
        <v>6</v>
      </c>
      <c r="D1515">
        <v>20</v>
      </c>
      <c r="E1515" s="2" t="str">
        <f t="shared" si="23"/>
        <v/>
      </c>
    </row>
    <row r="1516" spans="1:5" x14ac:dyDescent="0.25">
      <c r="A1516" s="138">
        <v>521016</v>
      </c>
      <c r="B1516">
        <v>117</v>
      </c>
      <c r="C1516">
        <v>6</v>
      </c>
      <c r="D1516">
        <v>20</v>
      </c>
      <c r="E1516" s="2" t="str">
        <f t="shared" si="23"/>
        <v/>
      </c>
    </row>
    <row r="1517" spans="1:5" x14ac:dyDescent="0.25">
      <c r="A1517" s="138">
        <v>521017</v>
      </c>
      <c r="B1517">
        <v>117</v>
      </c>
      <c r="C1517">
        <v>6</v>
      </c>
      <c r="D1517">
        <v>20</v>
      </c>
      <c r="E1517" s="2" t="str">
        <f t="shared" si="23"/>
        <v/>
      </c>
    </row>
    <row r="1518" spans="1:5" x14ac:dyDescent="0.25">
      <c r="A1518" s="138">
        <v>521018</v>
      </c>
      <c r="B1518">
        <v>117</v>
      </c>
      <c r="C1518">
        <v>6</v>
      </c>
      <c r="D1518">
        <v>20</v>
      </c>
      <c r="E1518" s="2" t="str">
        <f t="shared" si="23"/>
        <v/>
      </c>
    </row>
    <row r="1519" spans="1:5" x14ac:dyDescent="0.25">
      <c r="A1519" s="138">
        <v>521019</v>
      </c>
      <c r="B1519">
        <v>117</v>
      </c>
      <c r="C1519">
        <v>6</v>
      </c>
      <c r="D1519">
        <v>20</v>
      </c>
      <c r="E1519" s="2" t="str">
        <f t="shared" si="23"/>
        <v/>
      </c>
    </row>
    <row r="1520" spans="1:5" x14ac:dyDescent="0.25">
      <c r="A1520" s="138">
        <v>521020</v>
      </c>
      <c r="B1520">
        <v>117</v>
      </c>
      <c r="C1520">
        <v>6</v>
      </c>
      <c r="D1520">
        <v>20</v>
      </c>
      <c r="E1520" s="2" t="str">
        <f t="shared" si="23"/>
        <v/>
      </c>
    </row>
    <row r="1521" spans="1:5" x14ac:dyDescent="0.25">
      <c r="A1521" s="138">
        <v>521021</v>
      </c>
      <c r="B1521">
        <v>117</v>
      </c>
      <c r="C1521">
        <v>6</v>
      </c>
      <c r="D1521">
        <v>20</v>
      </c>
      <c r="E1521" s="2" t="str">
        <f t="shared" si="23"/>
        <v/>
      </c>
    </row>
    <row r="1522" spans="1:5" x14ac:dyDescent="0.25">
      <c r="A1522" s="138">
        <v>521022</v>
      </c>
      <c r="B1522">
        <v>117</v>
      </c>
      <c r="C1522">
        <v>6</v>
      </c>
      <c r="D1522">
        <v>20</v>
      </c>
      <c r="E1522" s="2" t="str">
        <f t="shared" si="23"/>
        <v/>
      </c>
    </row>
    <row r="1523" spans="1:5" x14ac:dyDescent="0.25">
      <c r="A1523" s="138">
        <v>521023</v>
      </c>
      <c r="B1523">
        <v>117</v>
      </c>
      <c r="C1523">
        <v>6</v>
      </c>
      <c r="D1523">
        <v>20</v>
      </c>
      <c r="E1523" s="2" t="str">
        <f t="shared" si="23"/>
        <v/>
      </c>
    </row>
    <row r="1524" spans="1:5" x14ac:dyDescent="0.25">
      <c r="A1524" s="138">
        <v>521024</v>
      </c>
      <c r="B1524">
        <v>117</v>
      </c>
      <c r="C1524">
        <v>6</v>
      </c>
      <c r="D1524">
        <v>20</v>
      </c>
      <c r="E1524" s="2" t="str">
        <f t="shared" si="23"/>
        <v/>
      </c>
    </row>
    <row r="1525" spans="1:5" x14ac:dyDescent="0.25">
      <c r="A1525" s="138">
        <v>521025</v>
      </c>
      <c r="B1525">
        <v>117</v>
      </c>
      <c r="C1525">
        <v>6</v>
      </c>
      <c r="D1525">
        <v>20</v>
      </c>
      <c r="E1525" s="2" t="str">
        <f t="shared" si="23"/>
        <v/>
      </c>
    </row>
    <row r="1526" spans="1:5" x14ac:dyDescent="0.25">
      <c r="A1526" s="138">
        <v>521026</v>
      </c>
      <c r="B1526">
        <v>117</v>
      </c>
      <c r="C1526">
        <v>6</v>
      </c>
      <c r="D1526">
        <v>20</v>
      </c>
      <c r="E1526" s="2" t="str">
        <f t="shared" si="23"/>
        <v/>
      </c>
    </row>
    <row r="1527" spans="1:5" x14ac:dyDescent="0.25">
      <c r="A1527" s="138">
        <v>521027</v>
      </c>
      <c r="B1527">
        <v>117</v>
      </c>
      <c r="C1527">
        <v>6</v>
      </c>
      <c r="D1527">
        <v>20</v>
      </c>
      <c r="E1527" s="2" t="str">
        <f t="shared" si="23"/>
        <v/>
      </c>
    </row>
    <row r="1528" spans="1:5" x14ac:dyDescent="0.25">
      <c r="A1528" s="138">
        <v>521028</v>
      </c>
      <c r="B1528">
        <v>117</v>
      </c>
      <c r="C1528">
        <v>6</v>
      </c>
      <c r="D1528">
        <v>20</v>
      </c>
      <c r="E1528" s="2" t="str">
        <f t="shared" si="23"/>
        <v/>
      </c>
    </row>
    <row r="1529" spans="1:5" x14ac:dyDescent="0.25">
      <c r="A1529" s="138">
        <v>521029</v>
      </c>
      <c r="B1529">
        <v>117</v>
      </c>
      <c r="C1529">
        <v>6</v>
      </c>
      <c r="D1529">
        <v>20</v>
      </c>
      <c r="E1529" s="2" t="str">
        <f t="shared" si="23"/>
        <v/>
      </c>
    </row>
    <row r="1530" spans="1:5" x14ac:dyDescent="0.25">
      <c r="A1530" s="138">
        <v>521030</v>
      </c>
      <c r="B1530">
        <v>117</v>
      </c>
      <c r="C1530">
        <v>6</v>
      </c>
      <c r="D1530">
        <v>20</v>
      </c>
      <c r="E1530" s="2" t="str">
        <f t="shared" si="23"/>
        <v/>
      </c>
    </row>
    <row r="1531" spans="1:5" x14ac:dyDescent="0.25">
      <c r="A1531" s="138">
        <v>521031</v>
      </c>
      <c r="B1531">
        <v>117</v>
      </c>
      <c r="C1531">
        <v>6</v>
      </c>
      <c r="D1531">
        <v>20</v>
      </c>
      <c r="E1531" s="2" t="str">
        <f t="shared" si="23"/>
        <v/>
      </c>
    </row>
    <row r="1532" spans="1:5" x14ac:dyDescent="0.25">
      <c r="A1532" s="138">
        <v>521032</v>
      </c>
      <c r="B1532">
        <v>117</v>
      </c>
      <c r="C1532">
        <v>6</v>
      </c>
      <c r="D1532">
        <v>20</v>
      </c>
      <c r="E1532" s="2" t="str">
        <f t="shared" si="23"/>
        <v/>
      </c>
    </row>
    <row r="1533" spans="1:5" x14ac:dyDescent="0.25">
      <c r="A1533" s="138">
        <v>521033</v>
      </c>
      <c r="B1533">
        <v>117</v>
      </c>
      <c r="C1533">
        <v>6</v>
      </c>
      <c r="D1533">
        <v>20</v>
      </c>
      <c r="E1533" s="2" t="str">
        <f t="shared" si="23"/>
        <v/>
      </c>
    </row>
    <row r="1534" spans="1:5" x14ac:dyDescent="0.25">
      <c r="A1534" s="138">
        <v>521034</v>
      </c>
      <c r="B1534">
        <v>117</v>
      </c>
      <c r="C1534">
        <v>6</v>
      </c>
      <c r="D1534">
        <v>20</v>
      </c>
      <c r="E1534" s="2" t="str">
        <f t="shared" si="23"/>
        <v/>
      </c>
    </row>
    <row r="1535" spans="1:5" x14ac:dyDescent="0.25">
      <c r="A1535" s="138">
        <v>521035</v>
      </c>
      <c r="B1535">
        <v>117</v>
      </c>
      <c r="C1535">
        <v>6</v>
      </c>
      <c r="D1535">
        <v>20</v>
      </c>
      <c r="E1535" s="2" t="str">
        <f t="shared" si="23"/>
        <v/>
      </c>
    </row>
    <row r="1536" spans="1:5" x14ac:dyDescent="0.25">
      <c r="A1536" s="138">
        <v>521036</v>
      </c>
      <c r="B1536">
        <v>117</v>
      </c>
      <c r="C1536">
        <v>6</v>
      </c>
      <c r="D1536">
        <v>20</v>
      </c>
      <c r="E1536" s="2" t="str">
        <f t="shared" si="23"/>
        <v/>
      </c>
    </row>
    <row r="1537" spans="1:5" x14ac:dyDescent="0.25">
      <c r="A1537" s="138">
        <v>521037</v>
      </c>
      <c r="B1537">
        <v>117</v>
      </c>
      <c r="C1537">
        <v>6</v>
      </c>
      <c r="D1537">
        <v>20</v>
      </c>
      <c r="E1537" s="2" t="str">
        <f t="shared" si="23"/>
        <v/>
      </c>
    </row>
    <row r="1538" spans="1:5" x14ac:dyDescent="0.25">
      <c r="A1538" s="138">
        <v>521038</v>
      </c>
      <c r="B1538">
        <v>117</v>
      </c>
      <c r="C1538">
        <v>6</v>
      </c>
      <c r="D1538">
        <v>20</v>
      </c>
      <c r="E1538" s="2" t="str">
        <f t="shared" si="23"/>
        <v/>
      </c>
    </row>
    <row r="1539" spans="1:5" x14ac:dyDescent="0.25">
      <c r="A1539" s="138">
        <v>521039</v>
      </c>
      <c r="B1539">
        <v>117</v>
      </c>
      <c r="C1539">
        <v>6</v>
      </c>
      <c r="D1539">
        <v>20</v>
      </c>
      <c r="E1539" s="2" t="str">
        <f t="shared" ref="E1539:E1602" si="24">IF(B1539=B1538,IF(C1538=C1539,"",1),"")</f>
        <v/>
      </c>
    </row>
    <row r="1540" spans="1:5" x14ac:dyDescent="0.25">
      <c r="A1540" s="138">
        <v>521040</v>
      </c>
      <c r="B1540">
        <v>117</v>
      </c>
      <c r="C1540">
        <v>6</v>
      </c>
      <c r="D1540">
        <v>20</v>
      </c>
      <c r="E1540" s="2" t="str">
        <f t="shared" si="24"/>
        <v/>
      </c>
    </row>
    <row r="1541" spans="1:5" x14ac:dyDescent="0.25">
      <c r="A1541" s="138">
        <v>521099</v>
      </c>
      <c r="B1541">
        <v>117</v>
      </c>
      <c r="C1541">
        <v>6</v>
      </c>
      <c r="D1541">
        <v>20</v>
      </c>
      <c r="E1541" s="2" t="str">
        <f t="shared" si="24"/>
        <v/>
      </c>
    </row>
    <row r="1542" spans="1:5" x14ac:dyDescent="0.25">
      <c r="A1542" s="138">
        <v>531000</v>
      </c>
      <c r="B1542">
        <v>162</v>
      </c>
      <c r="C1542">
        <v>6</v>
      </c>
      <c r="D1542">
        <v>20</v>
      </c>
      <c r="E1542" s="2" t="str">
        <f t="shared" si="24"/>
        <v/>
      </c>
    </row>
    <row r="1543" spans="1:5" x14ac:dyDescent="0.25">
      <c r="A1543" s="138">
        <v>531001</v>
      </c>
      <c r="B1543">
        <v>162</v>
      </c>
      <c r="C1543">
        <v>6</v>
      </c>
      <c r="D1543">
        <v>20</v>
      </c>
      <c r="E1543" s="2" t="str">
        <f t="shared" si="24"/>
        <v/>
      </c>
    </row>
    <row r="1544" spans="1:5" x14ac:dyDescent="0.25">
      <c r="A1544" s="138">
        <v>531002</v>
      </c>
      <c r="B1544">
        <v>162</v>
      </c>
      <c r="C1544">
        <v>6</v>
      </c>
      <c r="D1544">
        <v>20</v>
      </c>
      <c r="E1544" s="2" t="str">
        <f t="shared" si="24"/>
        <v/>
      </c>
    </row>
    <row r="1545" spans="1:5" x14ac:dyDescent="0.25">
      <c r="A1545" s="138">
        <v>531003</v>
      </c>
      <c r="B1545">
        <v>162</v>
      </c>
      <c r="C1545">
        <v>6</v>
      </c>
      <c r="D1545">
        <v>20</v>
      </c>
      <c r="E1545" s="2" t="str">
        <f t="shared" si="24"/>
        <v/>
      </c>
    </row>
    <row r="1546" spans="1:5" x14ac:dyDescent="0.25">
      <c r="A1546" s="138">
        <v>531004</v>
      </c>
      <c r="B1546">
        <v>162</v>
      </c>
      <c r="C1546">
        <v>6</v>
      </c>
      <c r="D1546">
        <v>20</v>
      </c>
      <c r="E1546" s="2" t="str">
        <f t="shared" si="24"/>
        <v/>
      </c>
    </row>
    <row r="1547" spans="1:5" x14ac:dyDescent="0.25">
      <c r="A1547" s="138">
        <v>531005</v>
      </c>
      <c r="B1547">
        <v>162</v>
      </c>
      <c r="C1547">
        <v>6</v>
      </c>
      <c r="D1547">
        <v>20</v>
      </c>
      <c r="E1547" s="2" t="str">
        <f t="shared" si="24"/>
        <v/>
      </c>
    </row>
    <row r="1548" spans="1:5" x14ac:dyDescent="0.25">
      <c r="A1548" s="138">
        <v>531006</v>
      </c>
      <c r="B1548">
        <v>162</v>
      </c>
      <c r="C1548">
        <v>6</v>
      </c>
      <c r="D1548">
        <v>20</v>
      </c>
      <c r="E1548" s="2" t="str">
        <f t="shared" si="24"/>
        <v/>
      </c>
    </row>
    <row r="1549" spans="1:5" x14ac:dyDescent="0.25">
      <c r="A1549" s="138">
        <v>531007</v>
      </c>
      <c r="B1549">
        <v>162</v>
      </c>
      <c r="C1549">
        <v>6</v>
      </c>
      <c r="D1549">
        <v>20</v>
      </c>
      <c r="E1549" s="2" t="str">
        <f t="shared" si="24"/>
        <v/>
      </c>
    </row>
    <row r="1550" spans="1:5" x14ac:dyDescent="0.25">
      <c r="A1550" s="138">
        <v>531008</v>
      </c>
      <c r="B1550">
        <v>162</v>
      </c>
      <c r="C1550">
        <v>6</v>
      </c>
      <c r="D1550">
        <v>20</v>
      </c>
      <c r="E1550" s="2" t="str">
        <f t="shared" si="24"/>
        <v/>
      </c>
    </row>
    <row r="1551" spans="1:5" x14ac:dyDescent="0.25">
      <c r="A1551" s="138">
        <v>531009</v>
      </c>
      <c r="B1551">
        <v>162</v>
      </c>
      <c r="C1551">
        <v>6</v>
      </c>
      <c r="D1551">
        <v>20</v>
      </c>
      <c r="E1551" s="2" t="str">
        <f t="shared" si="24"/>
        <v/>
      </c>
    </row>
    <row r="1552" spans="1:5" x14ac:dyDescent="0.25">
      <c r="A1552" s="138">
        <v>531010</v>
      </c>
      <c r="B1552">
        <v>162</v>
      </c>
      <c r="C1552">
        <v>6</v>
      </c>
      <c r="D1552">
        <v>20</v>
      </c>
      <c r="E1552" s="2" t="str">
        <f t="shared" si="24"/>
        <v/>
      </c>
    </row>
    <row r="1553" spans="1:5" x14ac:dyDescent="0.25">
      <c r="A1553" s="138">
        <v>531011</v>
      </c>
      <c r="B1553">
        <v>162</v>
      </c>
      <c r="C1553">
        <v>6</v>
      </c>
      <c r="D1553">
        <v>20</v>
      </c>
      <c r="E1553" s="2" t="str">
        <f t="shared" si="24"/>
        <v/>
      </c>
    </row>
    <row r="1554" spans="1:5" x14ac:dyDescent="0.25">
      <c r="A1554" s="138">
        <v>531012</v>
      </c>
      <c r="B1554">
        <v>162</v>
      </c>
      <c r="C1554">
        <v>6</v>
      </c>
      <c r="D1554">
        <v>20</v>
      </c>
      <c r="E1554" s="2" t="str">
        <f t="shared" si="24"/>
        <v/>
      </c>
    </row>
    <row r="1555" spans="1:5" x14ac:dyDescent="0.25">
      <c r="A1555" s="138">
        <v>531013</v>
      </c>
      <c r="B1555">
        <v>162</v>
      </c>
      <c r="C1555">
        <v>6</v>
      </c>
      <c r="D1555">
        <v>20</v>
      </c>
      <c r="E1555" s="2" t="str">
        <f t="shared" si="24"/>
        <v/>
      </c>
    </row>
    <row r="1556" spans="1:5" x14ac:dyDescent="0.25">
      <c r="A1556" s="138">
        <v>531014</v>
      </c>
      <c r="B1556">
        <v>162</v>
      </c>
      <c r="C1556">
        <v>6</v>
      </c>
      <c r="D1556">
        <v>20</v>
      </c>
      <c r="E1556" s="2" t="str">
        <f t="shared" si="24"/>
        <v/>
      </c>
    </row>
    <row r="1557" spans="1:5" x14ac:dyDescent="0.25">
      <c r="A1557" s="138">
        <v>531015</v>
      </c>
      <c r="B1557">
        <v>162</v>
      </c>
      <c r="C1557">
        <v>6</v>
      </c>
      <c r="D1557">
        <v>20</v>
      </c>
      <c r="E1557" s="2" t="str">
        <f t="shared" si="24"/>
        <v/>
      </c>
    </row>
    <row r="1558" spans="1:5" x14ac:dyDescent="0.25">
      <c r="A1558" s="138">
        <v>531016</v>
      </c>
      <c r="B1558">
        <v>162</v>
      </c>
      <c r="C1558">
        <v>6</v>
      </c>
      <c r="D1558">
        <v>20</v>
      </c>
      <c r="E1558" s="2" t="str">
        <f t="shared" si="24"/>
        <v/>
      </c>
    </row>
    <row r="1559" spans="1:5" x14ac:dyDescent="0.25">
      <c r="A1559" s="138">
        <v>531017</v>
      </c>
      <c r="B1559">
        <v>162</v>
      </c>
      <c r="C1559">
        <v>6</v>
      </c>
      <c r="D1559">
        <v>20</v>
      </c>
      <c r="E1559" s="2" t="str">
        <f t="shared" si="24"/>
        <v/>
      </c>
    </row>
    <row r="1560" spans="1:5" x14ac:dyDescent="0.25">
      <c r="A1560" s="138">
        <v>531018</v>
      </c>
      <c r="B1560">
        <v>162</v>
      </c>
      <c r="C1560">
        <v>6</v>
      </c>
      <c r="D1560">
        <v>20</v>
      </c>
      <c r="E1560" s="2" t="str">
        <f t="shared" si="24"/>
        <v/>
      </c>
    </row>
    <row r="1561" spans="1:5" x14ac:dyDescent="0.25">
      <c r="A1561" s="138">
        <v>531019</v>
      </c>
      <c r="B1561">
        <v>162</v>
      </c>
      <c r="C1561">
        <v>6</v>
      </c>
      <c r="D1561">
        <v>20</v>
      </c>
      <c r="E1561" s="2" t="str">
        <f t="shared" si="24"/>
        <v/>
      </c>
    </row>
    <row r="1562" spans="1:5" x14ac:dyDescent="0.25">
      <c r="A1562" s="138">
        <v>531020</v>
      </c>
      <c r="B1562">
        <v>162</v>
      </c>
      <c r="C1562">
        <v>6</v>
      </c>
      <c r="D1562">
        <v>20</v>
      </c>
      <c r="E1562" s="2" t="str">
        <f t="shared" si="24"/>
        <v/>
      </c>
    </row>
    <row r="1563" spans="1:5" x14ac:dyDescent="0.25">
      <c r="A1563" s="138">
        <v>531021</v>
      </c>
      <c r="B1563">
        <v>162</v>
      </c>
      <c r="C1563">
        <v>6</v>
      </c>
      <c r="D1563">
        <v>20</v>
      </c>
      <c r="E1563" s="2" t="str">
        <f t="shared" si="24"/>
        <v/>
      </c>
    </row>
    <row r="1564" spans="1:5" x14ac:dyDescent="0.25">
      <c r="A1564" s="138">
        <v>531022</v>
      </c>
      <c r="B1564">
        <v>162</v>
      </c>
      <c r="C1564">
        <v>6</v>
      </c>
      <c r="D1564">
        <v>20</v>
      </c>
      <c r="E1564" s="2" t="str">
        <f t="shared" si="24"/>
        <v/>
      </c>
    </row>
    <row r="1565" spans="1:5" x14ac:dyDescent="0.25">
      <c r="A1565" s="138">
        <v>531023</v>
      </c>
      <c r="B1565">
        <v>162</v>
      </c>
      <c r="C1565">
        <v>6</v>
      </c>
      <c r="D1565">
        <v>20</v>
      </c>
      <c r="E1565" s="2" t="str">
        <f t="shared" si="24"/>
        <v/>
      </c>
    </row>
    <row r="1566" spans="1:5" x14ac:dyDescent="0.25">
      <c r="A1566" s="138">
        <v>531024</v>
      </c>
      <c r="B1566">
        <v>162</v>
      </c>
      <c r="C1566">
        <v>6</v>
      </c>
      <c r="D1566">
        <v>20</v>
      </c>
      <c r="E1566" s="2" t="str">
        <f t="shared" si="24"/>
        <v/>
      </c>
    </row>
    <row r="1567" spans="1:5" x14ac:dyDescent="0.25">
      <c r="A1567" s="138">
        <v>531025</v>
      </c>
      <c r="B1567">
        <v>162</v>
      </c>
      <c r="C1567">
        <v>6</v>
      </c>
      <c r="D1567">
        <v>20</v>
      </c>
      <c r="E1567" s="2" t="str">
        <f t="shared" si="24"/>
        <v/>
      </c>
    </row>
    <row r="1568" spans="1:5" x14ac:dyDescent="0.25">
      <c r="A1568" s="138">
        <v>531026</v>
      </c>
      <c r="B1568">
        <v>162</v>
      </c>
      <c r="C1568">
        <v>6</v>
      </c>
      <c r="D1568">
        <v>20</v>
      </c>
      <c r="E1568" s="2" t="str">
        <f t="shared" si="24"/>
        <v/>
      </c>
    </row>
    <row r="1569" spans="1:5" x14ac:dyDescent="0.25">
      <c r="A1569" s="138">
        <v>531027</v>
      </c>
      <c r="B1569">
        <v>162</v>
      </c>
      <c r="C1569">
        <v>6</v>
      </c>
      <c r="D1569">
        <v>20</v>
      </c>
      <c r="E1569" s="2" t="str">
        <f t="shared" si="24"/>
        <v/>
      </c>
    </row>
    <row r="1570" spans="1:5" x14ac:dyDescent="0.25">
      <c r="A1570" s="138">
        <v>531028</v>
      </c>
      <c r="B1570">
        <v>162</v>
      </c>
      <c r="C1570">
        <v>6</v>
      </c>
      <c r="D1570">
        <v>20</v>
      </c>
      <c r="E1570" s="2" t="str">
        <f t="shared" si="24"/>
        <v/>
      </c>
    </row>
    <row r="1571" spans="1:5" x14ac:dyDescent="0.25">
      <c r="A1571" s="138">
        <v>531029</v>
      </c>
      <c r="B1571">
        <v>162</v>
      </c>
      <c r="C1571">
        <v>6</v>
      </c>
      <c r="D1571">
        <v>20</v>
      </c>
      <c r="E1571" s="2" t="str">
        <f t="shared" si="24"/>
        <v/>
      </c>
    </row>
    <row r="1572" spans="1:5" x14ac:dyDescent="0.25">
      <c r="A1572" s="138">
        <v>531030</v>
      </c>
      <c r="B1572">
        <v>162</v>
      </c>
      <c r="C1572">
        <v>6</v>
      </c>
      <c r="D1572">
        <v>20</v>
      </c>
      <c r="E1572" s="2" t="str">
        <f t="shared" si="24"/>
        <v/>
      </c>
    </row>
    <row r="1573" spans="1:5" x14ac:dyDescent="0.25">
      <c r="A1573" s="138">
        <v>531031</v>
      </c>
      <c r="B1573">
        <v>162</v>
      </c>
      <c r="C1573">
        <v>6</v>
      </c>
      <c r="D1573">
        <v>20</v>
      </c>
      <c r="E1573" s="2" t="str">
        <f t="shared" si="24"/>
        <v/>
      </c>
    </row>
    <row r="1574" spans="1:5" x14ac:dyDescent="0.25">
      <c r="A1574" s="138">
        <v>531032</v>
      </c>
      <c r="B1574">
        <v>162</v>
      </c>
      <c r="C1574">
        <v>6</v>
      </c>
      <c r="D1574">
        <v>20</v>
      </c>
      <c r="E1574" s="2" t="str">
        <f t="shared" si="24"/>
        <v/>
      </c>
    </row>
    <row r="1575" spans="1:5" x14ac:dyDescent="0.25">
      <c r="A1575" s="138">
        <v>531033</v>
      </c>
      <c r="B1575">
        <v>162</v>
      </c>
      <c r="C1575">
        <v>6</v>
      </c>
      <c r="D1575">
        <v>20</v>
      </c>
      <c r="E1575" s="2" t="str">
        <f t="shared" si="24"/>
        <v/>
      </c>
    </row>
    <row r="1576" spans="1:5" x14ac:dyDescent="0.25">
      <c r="A1576" s="138">
        <v>531034</v>
      </c>
      <c r="B1576">
        <v>162</v>
      </c>
      <c r="C1576">
        <v>6</v>
      </c>
      <c r="D1576">
        <v>20</v>
      </c>
      <c r="E1576" s="2" t="str">
        <f t="shared" si="24"/>
        <v/>
      </c>
    </row>
    <row r="1577" spans="1:5" x14ac:dyDescent="0.25">
      <c r="A1577" s="138">
        <v>531035</v>
      </c>
      <c r="B1577">
        <v>162</v>
      </c>
      <c r="C1577">
        <v>6</v>
      </c>
      <c r="D1577">
        <v>20</v>
      </c>
      <c r="E1577" s="2" t="str">
        <f t="shared" si="24"/>
        <v/>
      </c>
    </row>
    <row r="1578" spans="1:5" x14ac:dyDescent="0.25">
      <c r="A1578" s="138">
        <v>531036</v>
      </c>
      <c r="B1578">
        <v>162</v>
      </c>
      <c r="C1578">
        <v>6</v>
      </c>
      <c r="D1578">
        <v>20</v>
      </c>
      <c r="E1578" s="2" t="str">
        <f t="shared" si="24"/>
        <v/>
      </c>
    </row>
    <row r="1579" spans="1:5" x14ac:dyDescent="0.25">
      <c r="A1579" s="138">
        <v>531037</v>
      </c>
      <c r="B1579">
        <v>162</v>
      </c>
      <c r="C1579">
        <v>6</v>
      </c>
      <c r="D1579">
        <v>20</v>
      </c>
      <c r="E1579" s="2" t="str">
        <f t="shared" si="24"/>
        <v/>
      </c>
    </row>
    <row r="1580" spans="1:5" x14ac:dyDescent="0.25">
      <c r="A1580" s="138">
        <v>531038</v>
      </c>
      <c r="B1580">
        <v>162</v>
      </c>
      <c r="C1580">
        <v>6</v>
      </c>
      <c r="D1580">
        <v>20</v>
      </c>
      <c r="E1580" s="2" t="str">
        <f t="shared" si="24"/>
        <v/>
      </c>
    </row>
    <row r="1581" spans="1:5" x14ac:dyDescent="0.25">
      <c r="A1581" s="138">
        <v>531039</v>
      </c>
      <c r="B1581">
        <v>162</v>
      </c>
      <c r="C1581">
        <v>6</v>
      </c>
      <c r="D1581">
        <v>20</v>
      </c>
      <c r="E1581" s="2" t="str">
        <f t="shared" si="24"/>
        <v/>
      </c>
    </row>
    <row r="1582" spans="1:5" x14ac:dyDescent="0.25">
      <c r="A1582" s="138">
        <v>531040</v>
      </c>
      <c r="B1582">
        <v>162</v>
      </c>
      <c r="C1582">
        <v>6</v>
      </c>
      <c r="D1582">
        <v>20</v>
      </c>
      <c r="E1582" s="2" t="str">
        <f t="shared" si="24"/>
        <v/>
      </c>
    </row>
    <row r="1583" spans="1:5" x14ac:dyDescent="0.25">
      <c r="A1583" s="138">
        <v>531041</v>
      </c>
      <c r="B1583">
        <v>162</v>
      </c>
      <c r="C1583">
        <v>6</v>
      </c>
      <c r="D1583">
        <v>20</v>
      </c>
      <c r="E1583" s="2" t="str">
        <f t="shared" si="24"/>
        <v/>
      </c>
    </row>
    <row r="1584" spans="1:5" x14ac:dyDescent="0.25">
      <c r="A1584" s="138">
        <v>531042</v>
      </c>
      <c r="B1584">
        <v>162</v>
      </c>
      <c r="C1584">
        <v>6</v>
      </c>
      <c r="D1584">
        <v>20</v>
      </c>
      <c r="E1584" s="2" t="str">
        <f t="shared" si="24"/>
        <v/>
      </c>
    </row>
    <row r="1585" spans="1:5" x14ac:dyDescent="0.25">
      <c r="A1585" s="138">
        <v>531043</v>
      </c>
      <c r="B1585">
        <v>162</v>
      </c>
      <c r="C1585">
        <v>6</v>
      </c>
      <c r="D1585">
        <v>20</v>
      </c>
      <c r="E1585" s="2" t="str">
        <f t="shared" si="24"/>
        <v/>
      </c>
    </row>
    <row r="1586" spans="1:5" x14ac:dyDescent="0.25">
      <c r="A1586" s="138">
        <v>531044</v>
      </c>
      <c r="B1586">
        <v>162</v>
      </c>
      <c r="C1586">
        <v>6</v>
      </c>
      <c r="D1586">
        <v>20</v>
      </c>
      <c r="E1586" s="2" t="str">
        <f t="shared" si="24"/>
        <v/>
      </c>
    </row>
    <row r="1587" spans="1:5" x14ac:dyDescent="0.25">
      <c r="A1587" s="138">
        <v>531045</v>
      </c>
      <c r="B1587">
        <v>162</v>
      </c>
      <c r="C1587">
        <v>6</v>
      </c>
      <c r="D1587">
        <v>20</v>
      </c>
      <c r="E1587" s="2" t="str">
        <f t="shared" si="24"/>
        <v/>
      </c>
    </row>
    <row r="1588" spans="1:5" x14ac:dyDescent="0.25">
      <c r="A1588" s="138">
        <v>531046</v>
      </c>
      <c r="B1588">
        <v>162</v>
      </c>
      <c r="C1588">
        <v>6</v>
      </c>
      <c r="D1588">
        <v>20</v>
      </c>
      <c r="E1588" s="2" t="str">
        <f t="shared" si="24"/>
        <v/>
      </c>
    </row>
    <row r="1589" spans="1:5" x14ac:dyDescent="0.25">
      <c r="A1589" s="138">
        <v>531099</v>
      </c>
      <c r="B1589">
        <v>162</v>
      </c>
      <c r="C1589">
        <v>6</v>
      </c>
      <c r="D1589">
        <v>20</v>
      </c>
      <c r="E1589" s="2" t="str">
        <f t="shared" si="24"/>
        <v/>
      </c>
    </row>
    <row r="1590" spans="1:5" x14ac:dyDescent="0.25">
      <c r="A1590" s="138">
        <v>532000</v>
      </c>
      <c r="B1590">
        <v>162</v>
      </c>
      <c r="C1590">
        <v>6</v>
      </c>
      <c r="D1590">
        <v>20</v>
      </c>
      <c r="E1590" s="2" t="str">
        <f t="shared" si="24"/>
        <v/>
      </c>
    </row>
    <row r="1591" spans="1:5" x14ac:dyDescent="0.25">
      <c r="A1591" s="138">
        <v>532001</v>
      </c>
      <c r="B1591">
        <v>162</v>
      </c>
      <c r="C1591">
        <v>6</v>
      </c>
      <c r="D1591">
        <v>20</v>
      </c>
      <c r="E1591" s="2" t="str">
        <f t="shared" si="24"/>
        <v/>
      </c>
    </row>
    <row r="1592" spans="1:5" x14ac:dyDescent="0.25">
      <c r="A1592" s="138">
        <v>532002</v>
      </c>
      <c r="B1592">
        <v>162</v>
      </c>
      <c r="C1592">
        <v>6</v>
      </c>
      <c r="D1592">
        <v>20</v>
      </c>
      <c r="E1592" s="2" t="str">
        <f t="shared" si="24"/>
        <v/>
      </c>
    </row>
    <row r="1593" spans="1:5" x14ac:dyDescent="0.25">
      <c r="A1593" s="138">
        <v>532003</v>
      </c>
      <c r="B1593">
        <v>162</v>
      </c>
      <c r="C1593">
        <v>6</v>
      </c>
      <c r="D1593">
        <v>20</v>
      </c>
      <c r="E1593" s="2" t="str">
        <f t="shared" si="24"/>
        <v/>
      </c>
    </row>
    <row r="1594" spans="1:5" x14ac:dyDescent="0.25">
      <c r="A1594" s="138">
        <v>532004</v>
      </c>
      <c r="B1594">
        <v>162</v>
      </c>
      <c r="C1594">
        <v>6</v>
      </c>
      <c r="D1594">
        <v>20</v>
      </c>
      <c r="E1594" s="2" t="str">
        <f t="shared" si="24"/>
        <v/>
      </c>
    </row>
    <row r="1595" spans="1:5" x14ac:dyDescent="0.25">
      <c r="A1595" s="138">
        <v>532005</v>
      </c>
      <c r="B1595">
        <v>162</v>
      </c>
      <c r="C1595">
        <v>6</v>
      </c>
      <c r="D1595">
        <v>20</v>
      </c>
      <c r="E1595" s="2" t="str">
        <f t="shared" si="24"/>
        <v/>
      </c>
    </row>
    <row r="1596" spans="1:5" x14ac:dyDescent="0.25">
      <c r="A1596" s="138">
        <v>532006</v>
      </c>
      <c r="B1596">
        <v>162</v>
      </c>
      <c r="C1596">
        <v>6</v>
      </c>
      <c r="D1596">
        <v>20</v>
      </c>
      <c r="E1596" s="2" t="str">
        <f t="shared" si="24"/>
        <v/>
      </c>
    </row>
    <row r="1597" spans="1:5" x14ac:dyDescent="0.25">
      <c r="A1597" s="138">
        <v>532007</v>
      </c>
      <c r="B1597">
        <v>162</v>
      </c>
      <c r="C1597">
        <v>6</v>
      </c>
      <c r="D1597">
        <v>20</v>
      </c>
      <c r="E1597" s="2" t="str">
        <f t="shared" si="24"/>
        <v/>
      </c>
    </row>
    <row r="1598" spans="1:5" x14ac:dyDescent="0.25">
      <c r="A1598" s="138">
        <v>532008</v>
      </c>
      <c r="B1598">
        <v>162</v>
      </c>
      <c r="C1598">
        <v>6</v>
      </c>
      <c r="D1598">
        <v>20</v>
      </c>
      <c r="E1598" s="2" t="str">
        <f t="shared" si="24"/>
        <v/>
      </c>
    </row>
    <row r="1599" spans="1:5" x14ac:dyDescent="0.25">
      <c r="A1599" s="138">
        <v>532009</v>
      </c>
      <c r="B1599">
        <v>162</v>
      </c>
      <c r="C1599">
        <v>6</v>
      </c>
      <c r="D1599">
        <v>20</v>
      </c>
      <c r="E1599" s="2" t="str">
        <f t="shared" si="24"/>
        <v/>
      </c>
    </row>
    <row r="1600" spans="1:5" x14ac:dyDescent="0.25">
      <c r="A1600" s="138">
        <v>532010</v>
      </c>
      <c r="B1600">
        <v>162</v>
      </c>
      <c r="C1600">
        <v>6</v>
      </c>
      <c r="D1600">
        <v>20</v>
      </c>
      <c r="E1600" s="2" t="str">
        <f t="shared" si="24"/>
        <v/>
      </c>
    </row>
    <row r="1601" spans="1:5" x14ac:dyDescent="0.25">
      <c r="A1601" s="138">
        <v>532011</v>
      </c>
      <c r="B1601">
        <v>162</v>
      </c>
      <c r="C1601">
        <v>6</v>
      </c>
      <c r="D1601">
        <v>20</v>
      </c>
      <c r="E1601" s="2" t="str">
        <f t="shared" si="24"/>
        <v/>
      </c>
    </row>
    <row r="1602" spans="1:5" x14ac:dyDescent="0.25">
      <c r="A1602" s="138">
        <v>532012</v>
      </c>
      <c r="B1602">
        <v>162</v>
      </c>
      <c r="C1602">
        <v>6</v>
      </c>
      <c r="D1602">
        <v>20</v>
      </c>
      <c r="E1602" s="2" t="str">
        <f t="shared" si="24"/>
        <v/>
      </c>
    </row>
    <row r="1603" spans="1:5" x14ac:dyDescent="0.25">
      <c r="A1603" s="138">
        <v>532013</v>
      </c>
      <c r="B1603">
        <v>162</v>
      </c>
      <c r="C1603">
        <v>6</v>
      </c>
      <c r="D1603">
        <v>20</v>
      </c>
      <c r="E1603" s="2" t="str">
        <f t="shared" ref="E1603:E1666" si="25">IF(B1603=B1602,IF(C1602=C1603,"",1),"")</f>
        <v/>
      </c>
    </row>
    <row r="1604" spans="1:5" x14ac:dyDescent="0.25">
      <c r="A1604" s="138">
        <v>532014</v>
      </c>
      <c r="B1604">
        <v>162</v>
      </c>
      <c r="C1604">
        <v>6</v>
      </c>
      <c r="D1604">
        <v>20</v>
      </c>
      <c r="E1604" s="2" t="str">
        <f t="shared" si="25"/>
        <v/>
      </c>
    </row>
    <row r="1605" spans="1:5" x14ac:dyDescent="0.25">
      <c r="A1605" s="138">
        <v>532015</v>
      </c>
      <c r="B1605">
        <v>162</v>
      </c>
      <c r="C1605">
        <v>6</v>
      </c>
      <c r="D1605">
        <v>20</v>
      </c>
      <c r="E1605" s="2" t="str">
        <f t="shared" si="25"/>
        <v/>
      </c>
    </row>
    <row r="1606" spans="1:5" x14ac:dyDescent="0.25">
      <c r="A1606" s="138">
        <v>532016</v>
      </c>
      <c r="B1606">
        <v>162</v>
      </c>
      <c r="C1606">
        <v>6</v>
      </c>
      <c r="D1606">
        <v>20</v>
      </c>
      <c r="E1606" s="2" t="str">
        <f t="shared" si="25"/>
        <v/>
      </c>
    </row>
    <row r="1607" spans="1:5" x14ac:dyDescent="0.25">
      <c r="A1607" s="138">
        <v>532017</v>
      </c>
      <c r="B1607">
        <v>162</v>
      </c>
      <c r="C1607">
        <v>6</v>
      </c>
      <c r="D1607">
        <v>20</v>
      </c>
      <c r="E1607" s="2" t="str">
        <f t="shared" si="25"/>
        <v/>
      </c>
    </row>
    <row r="1608" spans="1:5" x14ac:dyDescent="0.25">
      <c r="A1608" s="138">
        <v>532018</v>
      </c>
      <c r="B1608">
        <v>162</v>
      </c>
      <c r="C1608">
        <v>6</v>
      </c>
      <c r="D1608">
        <v>20</v>
      </c>
      <c r="E1608" s="2" t="str">
        <f t="shared" si="25"/>
        <v/>
      </c>
    </row>
    <row r="1609" spans="1:5" x14ac:dyDescent="0.25">
      <c r="A1609" s="138">
        <v>532019</v>
      </c>
      <c r="B1609">
        <v>162</v>
      </c>
      <c r="C1609">
        <v>6</v>
      </c>
      <c r="D1609">
        <v>20</v>
      </c>
      <c r="E1609" s="2" t="str">
        <f t="shared" si="25"/>
        <v/>
      </c>
    </row>
    <row r="1610" spans="1:5" x14ac:dyDescent="0.25">
      <c r="A1610" s="138">
        <v>532020</v>
      </c>
      <c r="B1610">
        <v>162</v>
      </c>
      <c r="C1610">
        <v>6</v>
      </c>
      <c r="D1610">
        <v>20</v>
      </c>
      <c r="E1610" s="2" t="str">
        <f t="shared" si="25"/>
        <v/>
      </c>
    </row>
    <row r="1611" spans="1:5" x14ac:dyDescent="0.25">
      <c r="A1611" s="138">
        <v>532021</v>
      </c>
      <c r="B1611">
        <v>162</v>
      </c>
      <c r="C1611">
        <v>6</v>
      </c>
      <c r="D1611">
        <v>20</v>
      </c>
      <c r="E1611" s="2" t="str">
        <f t="shared" si="25"/>
        <v/>
      </c>
    </row>
    <row r="1612" spans="1:5" x14ac:dyDescent="0.25">
      <c r="A1612" s="138">
        <v>532022</v>
      </c>
      <c r="B1612">
        <v>162</v>
      </c>
      <c r="C1612">
        <v>6</v>
      </c>
      <c r="D1612">
        <v>20</v>
      </c>
      <c r="E1612" s="2" t="str">
        <f t="shared" si="25"/>
        <v/>
      </c>
    </row>
    <row r="1613" spans="1:5" x14ac:dyDescent="0.25">
      <c r="A1613" s="138">
        <v>532023</v>
      </c>
      <c r="B1613">
        <v>162</v>
      </c>
      <c r="C1613">
        <v>6</v>
      </c>
      <c r="D1613">
        <v>20</v>
      </c>
      <c r="E1613" s="2" t="str">
        <f t="shared" si="25"/>
        <v/>
      </c>
    </row>
    <row r="1614" spans="1:5" x14ac:dyDescent="0.25">
      <c r="A1614" s="138">
        <v>532024</v>
      </c>
      <c r="B1614">
        <v>162</v>
      </c>
      <c r="C1614">
        <v>6</v>
      </c>
      <c r="D1614">
        <v>20</v>
      </c>
      <c r="E1614" s="2" t="str">
        <f t="shared" si="25"/>
        <v/>
      </c>
    </row>
    <row r="1615" spans="1:5" x14ac:dyDescent="0.25">
      <c r="A1615" s="138">
        <v>532025</v>
      </c>
      <c r="B1615">
        <v>162</v>
      </c>
      <c r="C1615">
        <v>6</v>
      </c>
      <c r="D1615">
        <v>20</v>
      </c>
      <c r="E1615" s="2" t="str">
        <f t="shared" si="25"/>
        <v/>
      </c>
    </row>
    <row r="1616" spans="1:5" x14ac:dyDescent="0.25">
      <c r="A1616" s="138">
        <v>532026</v>
      </c>
      <c r="B1616">
        <v>162</v>
      </c>
      <c r="C1616">
        <v>6</v>
      </c>
      <c r="D1616">
        <v>20</v>
      </c>
      <c r="E1616" s="2" t="str">
        <f t="shared" si="25"/>
        <v/>
      </c>
    </row>
    <row r="1617" spans="1:5" x14ac:dyDescent="0.25">
      <c r="A1617" s="138">
        <v>532027</v>
      </c>
      <c r="B1617">
        <v>162</v>
      </c>
      <c r="C1617">
        <v>6</v>
      </c>
      <c r="D1617">
        <v>20</v>
      </c>
      <c r="E1617" s="2" t="str">
        <f t="shared" si="25"/>
        <v/>
      </c>
    </row>
    <row r="1618" spans="1:5" x14ac:dyDescent="0.25">
      <c r="A1618" s="138">
        <v>532028</v>
      </c>
      <c r="B1618">
        <v>162</v>
      </c>
      <c r="C1618">
        <v>6</v>
      </c>
      <c r="D1618">
        <v>20</v>
      </c>
      <c r="E1618" s="2" t="str">
        <f t="shared" si="25"/>
        <v/>
      </c>
    </row>
    <row r="1619" spans="1:5" x14ac:dyDescent="0.25">
      <c r="A1619" s="138">
        <v>532029</v>
      </c>
      <c r="B1619">
        <v>162</v>
      </c>
      <c r="C1619">
        <v>6</v>
      </c>
      <c r="D1619">
        <v>20</v>
      </c>
      <c r="E1619" s="2" t="str">
        <f t="shared" si="25"/>
        <v/>
      </c>
    </row>
    <row r="1620" spans="1:5" x14ac:dyDescent="0.25">
      <c r="A1620" s="138">
        <v>532030</v>
      </c>
      <c r="B1620">
        <v>162</v>
      </c>
      <c r="C1620">
        <v>6</v>
      </c>
      <c r="D1620">
        <v>20</v>
      </c>
      <c r="E1620" s="2" t="str">
        <f t="shared" si="25"/>
        <v/>
      </c>
    </row>
    <row r="1621" spans="1:5" x14ac:dyDescent="0.25">
      <c r="A1621" s="138">
        <v>532031</v>
      </c>
      <c r="B1621">
        <v>162</v>
      </c>
      <c r="C1621">
        <v>6</v>
      </c>
      <c r="D1621">
        <v>20</v>
      </c>
      <c r="E1621" s="2" t="str">
        <f t="shared" si="25"/>
        <v/>
      </c>
    </row>
    <row r="1622" spans="1:5" x14ac:dyDescent="0.25">
      <c r="A1622" s="138">
        <v>532032</v>
      </c>
      <c r="B1622">
        <v>162</v>
      </c>
      <c r="C1622">
        <v>6</v>
      </c>
      <c r="D1622">
        <v>20</v>
      </c>
      <c r="E1622" s="2" t="str">
        <f t="shared" si="25"/>
        <v/>
      </c>
    </row>
    <row r="1623" spans="1:5" x14ac:dyDescent="0.25">
      <c r="A1623" s="138">
        <v>532033</v>
      </c>
      <c r="B1623">
        <v>162</v>
      </c>
      <c r="C1623">
        <v>6</v>
      </c>
      <c r="D1623">
        <v>20</v>
      </c>
      <c r="E1623" s="2" t="str">
        <f t="shared" si="25"/>
        <v/>
      </c>
    </row>
    <row r="1624" spans="1:5" x14ac:dyDescent="0.25">
      <c r="A1624" s="138">
        <v>532034</v>
      </c>
      <c r="B1624">
        <v>162</v>
      </c>
      <c r="C1624">
        <v>6</v>
      </c>
      <c r="D1624">
        <v>20</v>
      </c>
      <c r="E1624" s="2" t="str">
        <f t="shared" si="25"/>
        <v/>
      </c>
    </row>
    <row r="1625" spans="1:5" x14ac:dyDescent="0.25">
      <c r="A1625" s="138">
        <v>532035</v>
      </c>
      <c r="B1625">
        <v>162</v>
      </c>
      <c r="C1625">
        <v>6</v>
      </c>
      <c r="D1625">
        <v>20</v>
      </c>
      <c r="E1625" s="2" t="str">
        <f t="shared" si="25"/>
        <v/>
      </c>
    </row>
    <row r="1626" spans="1:5" x14ac:dyDescent="0.25">
      <c r="A1626" s="138">
        <v>532036</v>
      </c>
      <c r="B1626">
        <v>162</v>
      </c>
      <c r="C1626">
        <v>6</v>
      </c>
      <c r="D1626">
        <v>20</v>
      </c>
      <c r="E1626" s="2" t="str">
        <f t="shared" si="25"/>
        <v/>
      </c>
    </row>
    <row r="1627" spans="1:5" x14ac:dyDescent="0.25">
      <c r="A1627" s="138">
        <v>532037</v>
      </c>
      <c r="B1627">
        <v>162</v>
      </c>
      <c r="C1627">
        <v>6</v>
      </c>
      <c r="D1627">
        <v>20</v>
      </c>
      <c r="E1627" s="2" t="str">
        <f t="shared" si="25"/>
        <v/>
      </c>
    </row>
    <row r="1628" spans="1:5" x14ac:dyDescent="0.25">
      <c r="A1628" s="138">
        <v>532038</v>
      </c>
      <c r="B1628">
        <v>162</v>
      </c>
      <c r="C1628">
        <v>6</v>
      </c>
      <c r="D1628">
        <v>20</v>
      </c>
      <c r="E1628" s="2" t="str">
        <f t="shared" si="25"/>
        <v/>
      </c>
    </row>
    <row r="1629" spans="1:5" x14ac:dyDescent="0.25">
      <c r="A1629" s="138">
        <v>532099</v>
      </c>
      <c r="B1629">
        <v>162</v>
      </c>
      <c r="C1629">
        <v>6</v>
      </c>
      <c r="D1629">
        <v>20</v>
      </c>
      <c r="E1629" s="2" t="str">
        <f t="shared" si="25"/>
        <v/>
      </c>
    </row>
    <row r="1630" spans="1:5" x14ac:dyDescent="0.25">
      <c r="A1630" s="138">
        <v>533000</v>
      </c>
      <c r="B1630">
        <v>224</v>
      </c>
      <c r="C1630">
        <v>6</v>
      </c>
      <c r="D1630">
        <v>20</v>
      </c>
      <c r="E1630" s="2" t="str">
        <f t="shared" si="25"/>
        <v/>
      </c>
    </row>
    <row r="1631" spans="1:5" x14ac:dyDescent="0.25">
      <c r="A1631" s="138">
        <v>533001</v>
      </c>
      <c r="B1631">
        <v>224</v>
      </c>
      <c r="C1631">
        <v>6</v>
      </c>
      <c r="D1631">
        <v>20</v>
      </c>
      <c r="E1631" s="2" t="str">
        <f t="shared" si="25"/>
        <v/>
      </c>
    </row>
    <row r="1632" spans="1:5" x14ac:dyDescent="0.25">
      <c r="A1632" s="138">
        <v>533002</v>
      </c>
      <c r="B1632">
        <v>224</v>
      </c>
      <c r="C1632">
        <v>6</v>
      </c>
      <c r="D1632">
        <v>20</v>
      </c>
      <c r="E1632" s="2" t="str">
        <f t="shared" si="25"/>
        <v/>
      </c>
    </row>
    <row r="1633" spans="1:5" x14ac:dyDescent="0.25">
      <c r="A1633" s="138">
        <v>541000</v>
      </c>
      <c r="B1633">
        <v>148</v>
      </c>
      <c r="C1633">
        <v>6</v>
      </c>
      <c r="D1633">
        <v>20</v>
      </c>
      <c r="E1633" s="2" t="str">
        <f t="shared" si="25"/>
        <v/>
      </c>
    </row>
    <row r="1634" spans="1:5" x14ac:dyDescent="0.25">
      <c r="A1634" s="138">
        <v>541001</v>
      </c>
      <c r="B1634">
        <v>148</v>
      </c>
      <c r="C1634">
        <v>6</v>
      </c>
      <c r="D1634">
        <v>20</v>
      </c>
      <c r="E1634" s="2" t="str">
        <f t="shared" si="25"/>
        <v/>
      </c>
    </row>
    <row r="1635" spans="1:5" x14ac:dyDescent="0.25">
      <c r="A1635" s="138">
        <v>541002</v>
      </c>
      <c r="B1635">
        <v>148</v>
      </c>
      <c r="C1635">
        <v>6</v>
      </c>
      <c r="D1635">
        <v>20</v>
      </c>
      <c r="E1635" s="2" t="str">
        <f t="shared" si="25"/>
        <v/>
      </c>
    </row>
    <row r="1636" spans="1:5" x14ac:dyDescent="0.25">
      <c r="A1636" s="138">
        <v>541003</v>
      </c>
      <c r="B1636">
        <v>148</v>
      </c>
      <c r="C1636">
        <v>6</v>
      </c>
      <c r="D1636">
        <v>20</v>
      </c>
      <c r="E1636" s="2" t="str">
        <f t="shared" si="25"/>
        <v/>
      </c>
    </row>
    <row r="1637" spans="1:5" x14ac:dyDescent="0.25">
      <c r="A1637" s="138">
        <v>541004</v>
      </c>
      <c r="B1637">
        <v>148</v>
      </c>
      <c r="C1637">
        <v>6</v>
      </c>
      <c r="D1637">
        <v>20</v>
      </c>
      <c r="E1637" s="2" t="str">
        <f t="shared" si="25"/>
        <v/>
      </c>
    </row>
    <row r="1638" spans="1:5" x14ac:dyDescent="0.25">
      <c r="A1638" s="138">
        <v>541005</v>
      </c>
      <c r="B1638">
        <v>148</v>
      </c>
      <c r="C1638">
        <v>6</v>
      </c>
      <c r="D1638">
        <v>20</v>
      </c>
      <c r="E1638" s="2" t="str">
        <f t="shared" si="25"/>
        <v/>
      </c>
    </row>
    <row r="1639" spans="1:5" x14ac:dyDescent="0.25">
      <c r="A1639" s="138">
        <v>541006</v>
      </c>
      <c r="B1639">
        <v>148</v>
      </c>
      <c r="C1639">
        <v>6</v>
      </c>
      <c r="D1639">
        <v>20</v>
      </c>
      <c r="E1639" s="2" t="str">
        <f t="shared" si="25"/>
        <v/>
      </c>
    </row>
    <row r="1640" spans="1:5" x14ac:dyDescent="0.25">
      <c r="A1640" s="138">
        <v>541007</v>
      </c>
      <c r="B1640">
        <v>148</v>
      </c>
      <c r="C1640">
        <v>6</v>
      </c>
      <c r="D1640">
        <v>20</v>
      </c>
      <c r="E1640" s="2" t="str">
        <f t="shared" si="25"/>
        <v/>
      </c>
    </row>
    <row r="1641" spans="1:5" x14ac:dyDescent="0.25">
      <c r="A1641" s="138">
        <v>541008</v>
      </c>
      <c r="B1641">
        <v>148</v>
      </c>
      <c r="C1641">
        <v>6</v>
      </c>
      <c r="D1641">
        <v>20</v>
      </c>
      <c r="E1641" s="2" t="str">
        <f t="shared" si="25"/>
        <v/>
      </c>
    </row>
    <row r="1642" spans="1:5" x14ac:dyDescent="0.25">
      <c r="A1642" s="138">
        <v>541009</v>
      </c>
      <c r="B1642">
        <v>148</v>
      </c>
      <c r="C1642">
        <v>6</v>
      </c>
      <c r="D1642">
        <v>20</v>
      </c>
      <c r="E1642" s="2" t="str">
        <f t="shared" si="25"/>
        <v/>
      </c>
    </row>
    <row r="1643" spans="1:5" x14ac:dyDescent="0.25">
      <c r="A1643" s="138">
        <v>541010</v>
      </c>
      <c r="B1643">
        <v>148</v>
      </c>
      <c r="C1643">
        <v>6</v>
      </c>
      <c r="D1643">
        <v>20</v>
      </c>
      <c r="E1643" s="2" t="str">
        <f t="shared" si="25"/>
        <v/>
      </c>
    </row>
    <row r="1644" spans="1:5" x14ac:dyDescent="0.25">
      <c r="A1644" s="138">
        <v>541011</v>
      </c>
      <c r="B1644">
        <v>148</v>
      </c>
      <c r="C1644">
        <v>6</v>
      </c>
      <c r="D1644">
        <v>20</v>
      </c>
      <c r="E1644" s="2" t="str">
        <f t="shared" si="25"/>
        <v/>
      </c>
    </row>
    <row r="1645" spans="1:5" x14ac:dyDescent="0.25">
      <c r="A1645" s="138">
        <v>541012</v>
      </c>
      <c r="B1645">
        <v>148</v>
      </c>
      <c r="C1645">
        <v>6</v>
      </c>
      <c r="D1645">
        <v>20</v>
      </c>
      <c r="E1645" s="2" t="str">
        <f t="shared" si="25"/>
        <v/>
      </c>
    </row>
    <row r="1646" spans="1:5" x14ac:dyDescent="0.25">
      <c r="A1646" s="138">
        <v>541013</v>
      </c>
      <c r="B1646">
        <v>148</v>
      </c>
      <c r="C1646">
        <v>6</v>
      </c>
      <c r="D1646">
        <v>20</v>
      </c>
      <c r="E1646" s="2" t="str">
        <f t="shared" si="25"/>
        <v/>
      </c>
    </row>
    <row r="1647" spans="1:5" x14ac:dyDescent="0.25">
      <c r="A1647" s="138">
        <v>541014</v>
      </c>
      <c r="B1647">
        <v>148</v>
      </c>
      <c r="C1647">
        <v>6</v>
      </c>
      <c r="D1647">
        <v>20</v>
      </c>
      <c r="E1647" s="2" t="str">
        <f t="shared" si="25"/>
        <v/>
      </c>
    </row>
    <row r="1648" spans="1:5" x14ac:dyDescent="0.25">
      <c r="A1648" s="138">
        <v>541015</v>
      </c>
      <c r="B1648">
        <v>148</v>
      </c>
      <c r="C1648">
        <v>6</v>
      </c>
      <c r="D1648">
        <v>20</v>
      </c>
      <c r="E1648" s="2" t="str">
        <f t="shared" si="25"/>
        <v/>
      </c>
    </row>
    <row r="1649" spans="1:5" x14ac:dyDescent="0.25">
      <c r="A1649" s="138">
        <v>541016</v>
      </c>
      <c r="B1649">
        <v>148</v>
      </c>
      <c r="C1649">
        <v>6</v>
      </c>
      <c r="D1649">
        <v>20</v>
      </c>
      <c r="E1649" s="2" t="str">
        <f t="shared" si="25"/>
        <v/>
      </c>
    </row>
    <row r="1650" spans="1:5" x14ac:dyDescent="0.25">
      <c r="A1650" s="138">
        <v>541017</v>
      </c>
      <c r="B1650">
        <v>148</v>
      </c>
      <c r="C1650">
        <v>6</v>
      </c>
      <c r="D1650">
        <v>20</v>
      </c>
      <c r="E1650" s="2" t="str">
        <f t="shared" si="25"/>
        <v/>
      </c>
    </row>
    <row r="1651" spans="1:5" x14ac:dyDescent="0.25">
      <c r="A1651" s="138">
        <v>541018</v>
      </c>
      <c r="B1651">
        <v>148</v>
      </c>
      <c r="C1651">
        <v>6</v>
      </c>
      <c r="D1651">
        <v>20</v>
      </c>
      <c r="E1651" s="2" t="str">
        <f t="shared" si="25"/>
        <v/>
      </c>
    </row>
    <row r="1652" spans="1:5" x14ac:dyDescent="0.25">
      <c r="A1652" s="138">
        <v>541019</v>
      </c>
      <c r="B1652">
        <v>148</v>
      </c>
      <c r="C1652">
        <v>6</v>
      </c>
      <c r="D1652">
        <v>20</v>
      </c>
      <c r="E1652" s="2" t="str">
        <f t="shared" si="25"/>
        <v/>
      </c>
    </row>
    <row r="1653" spans="1:5" x14ac:dyDescent="0.25">
      <c r="A1653" s="138">
        <v>541020</v>
      </c>
      <c r="B1653">
        <v>148</v>
      </c>
      <c r="C1653">
        <v>6</v>
      </c>
      <c r="D1653">
        <v>20</v>
      </c>
      <c r="E1653" s="2" t="str">
        <f t="shared" si="25"/>
        <v/>
      </c>
    </row>
    <row r="1654" spans="1:5" x14ac:dyDescent="0.25">
      <c r="A1654" s="138">
        <v>541021</v>
      </c>
      <c r="B1654">
        <v>148</v>
      </c>
      <c r="C1654">
        <v>6</v>
      </c>
      <c r="D1654">
        <v>20</v>
      </c>
      <c r="E1654" s="2" t="str">
        <f t="shared" si="25"/>
        <v/>
      </c>
    </row>
    <row r="1655" spans="1:5" x14ac:dyDescent="0.25">
      <c r="A1655" s="138">
        <v>541022</v>
      </c>
      <c r="B1655">
        <v>148</v>
      </c>
      <c r="C1655">
        <v>6</v>
      </c>
      <c r="D1655">
        <v>20</v>
      </c>
      <c r="E1655" s="2" t="str">
        <f t="shared" si="25"/>
        <v/>
      </c>
    </row>
    <row r="1656" spans="1:5" x14ac:dyDescent="0.25">
      <c r="A1656" s="138">
        <v>541023</v>
      </c>
      <c r="B1656">
        <v>148</v>
      </c>
      <c r="C1656">
        <v>6</v>
      </c>
      <c r="D1656">
        <v>20</v>
      </c>
      <c r="E1656" s="2" t="str">
        <f t="shared" si="25"/>
        <v/>
      </c>
    </row>
    <row r="1657" spans="1:5" x14ac:dyDescent="0.25">
      <c r="A1657" s="138">
        <v>541024</v>
      </c>
      <c r="B1657">
        <v>148</v>
      </c>
      <c r="C1657">
        <v>6</v>
      </c>
      <c r="D1657">
        <v>20</v>
      </c>
      <c r="E1657" s="2" t="str">
        <f t="shared" si="25"/>
        <v/>
      </c>
    </row>
    <row r="1658" spans="1:5" x14ac:dyDescent="0.25">
      <c r="A1658" s="138">
        <v>541025</v>
      </c>
      <c r="B1658">
        <v>148</v>
      </c>
      <c r="C1658">
        <v>6</v>
      </c>
      <c r="D1658">
        <v>20</v>
      </c>
      <c r="E1658" s="2" t="str">
        <f t="shared" si="25"/>
        <v/>
      </c>
    </row>
    <row r="1659" spans="1:5" x14ac:dyDescent="0.25">
      <c r="A1659" s="138">
        <v>541026</v>
      </c>
      <c r="B1659">
        <v>148</v>
      </c>
      <c r="C1659">
        <v>6</v>
      </c>
      <c r="D1659">
        <v>20</v>
      </c>
      <c r="E1659" s="2" t="str">
        <f t="shared" si="25"/>
        <v/>
      </c>
    </row>
    <row r="1660" spans="1:5" x14ac:dyDescent="0.25">
      <c r="A1660" s="138">
        <v>541027</v>
      </c>
      <c r="B1660">
        <v>148</v>
      </c>
      <c r="C1660">
        <v>6</v>
      </c>
      <c r="D1660">
        <v>20</v>
      </c>
      <c r="E1660" s="2" t="str">
        <f t="shared" si="25"/>
        <v/>
      </c>
    </row>
    <row r="1661" spans="1:5" x14ac:dyDescent="0.25">
      <c r="A1661" s="138">
        <v>541028</v>
      </c>
      <c r="B1661">
        <v>148</v>
      </c>
      <c r="C1661">
        <v>6</v>
      </c>
      <c r="D1661">
        <v>20</v>
      </c>
      <c r="E1661" s="2" t="str">
        <f t="shared" si="25"/>
        <v/>
      </c>
    </row>
    <row r="1662" spans="1:5" x14ac:dyDescent="0.25">
      <c r="A1662" s="138">
        <v>541029</v>
      </c>
      <c r="B1662">
        <v>148</v>
      </c>
      <c r="C1662">
        <v>6</v>
      </c>
      <c r="D1662">
        <v>20</v>
      </c>
      <c r="E1662" s="2" t="str">
        <f t="shared" si="25"/>
        <v/>
      </c>
    </row>
    <row r="1663" spans="1:5" x14ac:dyDescent="0.25">
      <c r="A1663" s="138">
        <v>541030</v>
      </c>
      <c r="B1663">
        <v>148</v>
      </c>
      <c r="C1663">
        <v>6</v>
      </c>
      <c r="D1663">
        <v>20</v>
      </c>
      <c r="E1663" s="2" t="str">
        <f t="shared" si="25"/>
        <v/>
      </c>
    </row>
    <row r="1664" spans="1:5" x14ac:dyDescent="0.25">
      <c r="A1664" s="138">
        <v>541031</v>
      </c>
      <c r="B1664">
        <v>148</v>
      </c>
      <c r="C1664">
        <v>6</v>
      </c>
      <c r="D1664">
        <v>20</v>
      </c>
      <c r="E1664" s="2" t="str">
        <f t="shared" si="25"/>
        <v/>
      </c>
    </row>
    <row r="1665" spans="1:5" x14ac:dyDescent="0.25">
      <c r="A1665" s="138">
        <v>541032</v>
      </c>
      <c r="B1665">
        <v>148</v>
      </c>
      <c r="C1665">
        <v>6</v>
      </c>
      <c r="D1665">
        <v>20</v>
      </c>
      <c r="E1665" s="2" t="str">
        <f t="shared" si="25"/>
        <v/>
      </c>
    </row>
    <row r="1666" spans="1:5" x14ac:dyDescent="0.25">
      <c r="A1666" s="138">
        <v>541033</v>
      </c>
      <c r="B1666">
        <v>148</v>
      </c>
      <c r="C1666">
        <v>6</v>
      </c>
      <c r="D1666">
        <v>20</v>
      </c>
      <c r="E1666" s="2" t="str">
        <f t="shared" si="25"/>
        <v/>
      </c>
    </row>
    <row r="1667" spans="1:5" x14ac:dyDescent="0.25">
      <c r="A1667" s="138">
        <v>541034</v>
      </c>
      <c r="B1667">
        <v>148</v>
      </c>
      <c r="C1667">
        <v>6</v>
      </c>
      <c r="D1667">
        <v>20</v>
      </c>
      <c r="E1667" s="2" t="str">
        <f t="shared" ref="E1667:E1730" si="26">IF(B1667=B1666,IF(C1666=C1667,"",1),"")</f>
        <v/>
      </c>
    </row>
    <row r="1668" spans="1:5" x14ac:dyDescent="0.25">
      <c r="A1668" s="138">
        <v>541035</v>
      </c>
      <c r="B1668">
        <v>148</v>
      </c>
      <c r="C1668">
        <v>6</v>
      </c>
      <c r="D1668">
        <v>20</v>
      </c>
      <c r="E1668" s="2" t="str">
        <f t="shared" si="26"/>
        <v/>
      </c>
    </row>
    <row r="1669" spans="1:5" x14ac:dyDescent="0.25">
      <c r="A1669" s="138">
        <v>541036</v>
      </c>
      <c r="B1669">
        <v>148</v>
      </c>
      <c r="C1669">
        <v>6</v>
      </c>
      <c r="D1669">
        <v>20</v>
      </c>
      <c r="E1669" s="2" t="str">
        <f t="shared" si="26"/>
        <v/>
      </c>
    </row>
    <row r="1670" spans="1:5" x14ac:dyDescent="0.25">
      <c r="A1670" s="138">
        <v>541037</v>
      </c>
      <c r="B1670">
        <v>148</v>
      </c>
      <c r="C1670">
        <v>6</v>
      </c>
      <c r="D1670">
        <v>20</v>
      </c>
      <c r="E1670" s="2" t="str">
        <f t="shared" si="26"/>
        <v/>
      </c>
    </row>
    <row r="1671" spans="1:5" x14ac:dyDescent="0.25">
      <c r="A1671" s="138">
        <v>541038</v>
      </c>
      <c r="B1671">
        <v>148</v>
      </c>
      <c r="C1671">
        <v>6</v>
      </c>
      <c r="D1671">
        <v>20</v>
      </c>
      <c r="E1671" s="2" t="str">
        <f t="shared" si="26"/>
        <v/>
      </c>
    </row>
    <row r="1672" spans="1:5" x14ac:dyDescent="0.25">
      <c r="A1672" s="138">
        <v>541099</v>
      </c>
      <c r="B1672">
        <v>148</v>
      </c>
      <c r="C1672">
        <v>6</v>
      </c>
      <c r="D1672">
        <v>20</v>
      </c>
      <c r="E1672" s="2" t="str">
        <f t="shared" si="26"/>
        <v/>
      </c>
    </row>
    <row r="1673" spans="1:5" x14ac:dyDescent="0.25">
      <c r="A1673" s="138">
        <v>541100</v>
      </c>
      <c r="B1673">
        <v>148</v>
      </c>
      <c r="C1673">
        <v>6</v>
      </c>
      <c r="D1673">
        <v>20</v>
      </c>
      <c r="E1673" s="2" t="str">
        <f t="shared" si="26"/>
        <v/>
      </c>
    </row>
    <row r="1674" spans="1:5" x14ac:dyDescent="0.25">
      <c r="A1674" s="138">
        <v>541101</v>
      </c>
      <c r="B1674">
        <v>148</v>
      </c>
      <c r="C1674">
        <v>6</v>
      </c>
      <c r="D1674">
        <v>20</v>
      </c>
      <c r="E1674" s="2" t="str">
        <f t="shared" si="26"/>
        <v/>
      </c>
    </row>
    <row r="1675" spans="1:5" x14ac:dyDescent="0.25">
      <c r="A1675" s="138">
        <v>541102</v>
      </c>
      <c r="B1675">
        <v>148</v>
      </c>
      <c r="C1675">
        <v>6</v>
      </c>
      <c r="D1675">
        <v>20</v>
      </c>
      <c r="E1675" s="2" t="str">
        <f t="shared" si="26"/>
        <v/>
      </c>
    </row>
    <row r="1676" spans="1:5" x14ac:dyDescent="0.25">
      <c r="A1676" s="138">
        <v>541103</v>
      </c>
      <c r="B1676">
        <v>148</v>
      </c>
      <c r="C1676">
        <v>6</v>
      </c>
      <c r="D1676">
        <v>20</v>
      </c>
      <c r="E1676" s="2" t="str">
        <f t="shared" si="26"/>
        <v/>
      </c>
    </row>
    <row r="1677" spans="1:5" x14ac:dyDescent="0.25">
      <c r="A1677" s="138">
        <v>541104</v>
      </c>
      <c r="B1677">
        <v>148</v>
      </c>
      <c r="C1677">
        <v>6</v>
      </c>
      <c r="D1677">
        <v>20</v>
      </c>
      <c r="E1677" s="2" t="str">
        <f t="shared" si="26"/>
        <v/>
      </c>
    </row>
    <row r="1678" spans="1:5" x14ac:dyDescent="0.25">
      <c r="A1678" s="138">
        <v>541105</v>
      </c>
      <c r="B1678">
        <v>148</v>
      </c>
      <c r="C1678">
        <v>6</v>
      </c>
      <c r="D1678">
        <v>20</v>
      </c>
      <c r="E1678" s="2" t="str">
        <f t="shared" si="26"/>
        <v/>
      </c>
    </row>
    <row r="1679" spans="1:5" x14ac:dyDescent="0.25">
      <c r="A1679" s="138">
        <v>541106</v>
      </c>
      <c r="B1679">
        <v>148</v>
      </c>
      <c r="C1679">
        <v>6</v>
      </c>
      <c r="D1679">
        <v>20</v>
      </c>
      <c r="E1679" s="2" t="str">
        <f t="shared" si="26"/>
        <v/>
      </c>
    </row>
    <row r="1680" spans="1:5" x14ac:dyDescent="0.25">
      <c r="A1680" s="138">
        <v>541107</v>
      </c>
      <c r="B1680">
        <v>148</v>
      </c>
      <c r="C1680">
        <v>6</v>
      </c>
      <c r="D1680">
        <v>20</v>
      </c>
      <c r="E1680" s="2" t="str">
        <f t="shared" si="26"/>
        <v/>
      </c>
    </row>
    <row r="1681" spans="1:5" x14ac:dyDescent="0.25">
      <c r="A1681" s="138">
        <v>541108</v>
      </c>
      <c r="B1681">
        <v>148</v>
      </c>
      <c r="C1681">
        <v>6</v>
      </c>
      <c r="D1681">
        <v>20</v>
      </c>
      <c r="E1681" s="2" t="str">
        <f t="shared" si="26"/>
        <v/>
      </c>
    </row>
    <row r="1682" spans="1:5" x14ac:dyDescent="0.25">
      <c r="A1682" s="138">
        <v>541109</v>
      </c>
      <c r="B1682">
        <v>148</v>
      </c>
      <c r="C1682">
        <v>6</v>
      </c>
      <c r="D1682">
        <v>20</v>
      </c>
      <c r="E1682" s="2" t="str">
        <f t="shared" si="26"/>
        <v/>
      </c>
    </row>
    <row r="1683" spans="1:5" x14ac:dyDescent="0.25">
      <c r="A1683" s="138">
        <v>541110</v>
      </c>
      <c r="B1683">
        <v>148</v>
      </c>
      <c r="C1683">
        <v>6</v>
      </c>
      <c r="D1683">
        <v>20</v>
      </c>
      <c r="E1683" s="2" t="str">
        <f t="shared" si="26"/>
        <v/>
      </c>
    </row>
    <row r="1684" spans="1:5" x14ac:dyDescent="0.25">
      <c r="A1684" s="138">
        <v>541111</v>
      </c>
      <c r="B1684">
        <v>148</v>
      </c>
      <c r="C1684">
        <v>6</v>
      </c>
      <c r="D1684">
        <v>20</v>
      </c>
      <c r="E1684" s="2" t="str">
        <f t="shared" si="26"/>
        <v/>
      </c>
    </row>
    <row r="1685" spans="1:5" x14ac:dyDescent="0.25">
      <c r="A1685" s="138">
        <v>541112</v>
      </c>
      <c r="B1685">
        <v>148</v>
      </c>
      <c r="C1685">
        <v>6</v>
      </c>
      <c r="D1685">
        <v>20</v>
      </c>
      <c r="E1685" s="2" t="str">
        <f t="shared" si="26"/>
        <v/>
      </c>
    </row>
    <row r="1686" spans="1:5" x14ac:dyDescent="0.25">
      <c r="A1686" s="138">
        <v>541113</v>
      </c>
      <c r="B1686">
        <v>148</v>
      </c>
      <c r="C1686">
        <v>6</v>
      </c>
      <c r="D1686">
        <v>20</v>
      </c>
      <c r="E1686" s="2" t="str">
        <f t="shared" si="26"/>
        <v/>
      </c>
    </row>
    <row r="1687" spans="1:5" x14ac:dyDescent="0.25">
      <c r="A1687" s="138">
        <v>541114</v>
      </c>
      <c r="B1687">
        <v>148</v>
      </c>
      <c r="C1687">
        <v>6</v>
      </c>
      <c r="D1687">
        <v>20</v>
      </c>
      <c r="E1687" s="2" t="str">
        <f t="shared" si="26"/>
        <v/>
      </c>
    </row>
    <row r="1688" spans="1:5" x14ac:dyDescent="0.25">
      <c r="A1688" s="138">
        <v>541115</v>
      </c>
      <c r="B1688">
        <v>148</v>
      </c>
      <c r="C1688">
        <v>6</v>
      </c>
      <c r="D1688">
        <v>20</v>
      </c>
      <c r="E1688" s="2" t="str">
        <f t="shared" si="26"/>
        <v/>
      </c>
    </row>
    <row r="1689" spans="1:5" x14ac:dyDescent="0.25">
      <c r="A1689" s="138">
        <v>541116</v>
      </c>
      <c r="B1689">
        <v>148</v>
      </c>
      <c r="C1689">
        <v>6</v>
      </c>
      <c r="D1689">
        <v>20</v>
      </c>
      <c r="E1689" s="2" t="str">
        <f t="shared" si="26"/>
        <v/>
      </c>
    </row>
    <row r="1690" spans="1:5" x14ac:dyDescent="0.25">
      <c r="A1690" s="138">
        <v>541117</v>
      </c>
      <c r="B1690">
        <v>148</v>
      </c>
      <c r="C1690">
        <v>6</v>
      </c>
      <c r="D1690">
        <v>20</v>
      </c>
      <c r="E1690" s="2" t="str">
        <f t="shared" si="26"/>
        <v/>
      </c>
    </row>
    <row r="1691" spans="1:5" x14ac:dyDescent="0.25">
      <c r="A1691" s="138">
        <v>541118</v>
      </c>
      <c r="B1691">
        <v>148</v>
      </c>
      <c r="C1691">
        <v>6</v>
      </c>
      <c r="D1691">
        <v>20</v>
      </c>
      <c r="E1691" s="2" t="str">
        <f t="shared" si="26"/>
        <v/>
      </c>
    </row>
    <row r="1692" spans="1:5" x14ac:dyDescent="0.25">
      <c r="A1692" s="138">
        <v>541119</v>
      </c>
      <c r="B1692">
        <v>148</v>
      </c>
      <c r="C1692">
        <v>6</v>
      </c>
      <c r="D1692">
        <v>20</v>
      </c>
      <c r="E1692" s="2" t="str">
        <f t="shared" si="26"/>
        <v/>
      </c>
    </row>
    <row r="1693" spans="1:5" x14ac:dyDescent="0.25">
      <c r="A1693" s="138">
        <v>541199</v>
      </c>
      <c r="B1693">
        <v>148</v>
      </c>
      <c r="C1693">
        <v>6</v>
      </c>
      <c r="D1693">
        <v>20</v>
      </c>
      <c r="E1693" s="2" t="str">
        <f t="shared" si="26"/>
        <v/>
      </c>
    </row>
    <row r="1694" spans="1:5" x14ac:dyDescent="0.25">
      <c r="A1694" s="138">
        <v>541200</v>
      </c>
      <c r="B1694">
        <v>148</v>
      </c>
      <c r="C1694">
        <v>6</v>
      </c>
      <c r="D1694">
        <v>20</v>
      </c>
      <c r="E1694" s="2" t="str">
        <f t="shared" si="26"/>
        <v/>
      </c>
    </row>
    <row r="1695" spans="1:5" x14ac:dyDescent="0.25">
      <c r="A1695" s="138">
        <v>541201</v>
      </c>
      <c r="B1695">
        <v>148</v>
      </c>
      <c r="C1695">
        <v>6</v>
      </c>
      <c r="D1695">
        <v>20</v>
      </c>
      <c r="E1695" s="2" t="str">
        <f t="shared" si="26"/>
        <v/>
      </c>
    </row>
    <row r="1696" spans="1:5" x14ac:dyDescent="0.25">
      <c r="A1696" s="138">
        <v>541202</v>
      </c>
      <c r="B1696">
        <v>148</v>
      </c>
      <c r="C1696">
        <v>6</v>
      </c>
      <c r="D1696">
        <v>20</v>
      </c>
      <c r="E1696" s="2" t="str">
        <f t="shared" si="26"/>
        <v/>
      </c>
    </row>
    <row r="1697" spans="1:5" x14ac:dyDescent="0.25">
      <c r="A1697" s="138">
        <v>541203</v>
      </c>
      <c r="B1697">
        <v>148</v>
      </c>
      <c r="C1697">
        <v>6</v>
      </c>
      <c r="D1697">
        <v>20</v>
      </c>
      <c r="E1697" s="2" t="str">
        <f t="shared" si="26"/>
        <v/>
      </c>
    </row>
    <row r="1698" spans="1:5" x14ac:dyDescent="0.25">
      <c r="A1698" s="138">
        <v>541204</v>
      </c>
      <c r="B1698">
        <v>148</v>
      </c>
      <c r="C1698">
        <v>6</v>
      </c>
      <c r="D1698">
        <v>20</v>
      </c>
      <c r="E1698" s="2" t="str">
        <f t="shared" si="26"/>
        <v/>
      </c>
    </row>
    <row r="1699" spans="1:5" x14ac:dyDescent="0.25">
      <c r="A1699" s="138">
        <v>541205</v>
      </c>
      <c r="B1699">
        <v>148</v>
      </c>
      <c r="C1699">
        <v>6</v>
      </c>
      <c r="D1699">
        <v>20</v>
      </c>
      <c r="E1699" s="2" t="str">
        <f t="shared" si="26"/>
        <v/>
      </c>
    </row>
    <row r="1700" spans="1:5" x14ac:dyDescent="0.25">
      <c r="A1700" s="138">
        <v>541206</v>
      </c>
      <c r="B1700">
        <v>148</v>
      </c>
      <c r="C1700">
        <v>6</v>
      </c>
      <c r="D1700">
        <v>20</v>
      </c>
      <c r="E1700" s="2" t="str">
        <f t="shared" si="26"/>
        <v/>
      </c>
    </row>
    <row r="1701" spans="1:5" x14ac:dyDescent="0.25">
      <c r="A1701" s="138">
        <v>541207</v>
      </c>
      <c r="B1701">
        <v>148</v>
      </c>
      <c r="C1701">
        <v>6</v>
      </c>
      <c r="D1701">
        <v>20</v>
      </c>
      <c r="E1701" s="2" t="str">
        <f t="shared" si="26"/>
        <v/>
      </c>
    </row>
    <row r="1702" spans="1:5" x14ac:dyDescent="0.25">
      <c r="A1702" s="138">
        <v>541208</v>
      </c>
      <c r="B1702">
        <v>148</v>
      </c>
      <c r="C1702">
        <v>6</v>
      </c>
      <c r="D1702">
        <v>20</v>
      </c>
      <c r="E1702" s="2" t="str">
        <f t="shared" si="26"/>
        <v/>
      </c>
    </row>
    <row r="1703" spans="1:5" x14ac:dyDescent="0.25">
      <c r="A1703" s="138">
        <v>541209</v>
      </c>
      <c r="B1703">
        <v>148</v>
      </c>
      <c r="C1703">
        <v>6</v>
      </c>
      <c r="D1703">
        <v>20</v>
      </c>
      <c r="E1703" s="2" t="str">
        <f t="shared" si="26"/>
        <v/>
      </c>
    </row>
    <row r="1704" spans="1:5" x14ac:dyDescent="0.25">
      <c r="A1704" s="138">
        <v>541210</v>
      </c>
      <c r="B1704">
        <v>148</v>
      </c>
      <c r="C1704">
        <v>6</v>
      </c>
      <c r="D1704">
        <v>20</v>
      </c>
      <c r="E1704" s="2" t="str">
        <f t="shared" si="26"/>
        <v/>
      </c>
    </row>
    <row r="1705" spans="1:5" x14ac:dyDescent="0.25">
      <c r="A1705" s="138">
        <v>541211</v>
      </c>
      <c r="B1705">
        <v>148</v>
      </c>
      <c r="C1705">
        <v>6</v>
      </c>
      <c r="D1705">
        <v>20</v>
      </c>
      <c r="E1705" s="2" t="str">
        <f t="shared" si="26"/>
        <v/>
      </c>
    </row>
    <row r="1706" spans="1:5" x14ac:dyDescent="0.25">
      <c r="A1706" s="138">
        <v>541212</v>
      </c>
      <c r="B1706">
        <v>148</v>
      </c>
      <c r="C1706">
        <v>6</v>
      </c>
      <c r="D1706">
        <v>20</v>
      </c>
      <c r="E1706" s="2" t="str">
        <f t="shared" si="26"/>
        <v/>
      </c>
    </row>
    <row r="1707" spans="1:5" x14ac:dyDescent="0.25">
      <c r="A1707" s="138">
        <v>541213</v>
      </c>
      <c r="B1707">
        <v>148</v>
      </c>
      <c r="C1707">
        <v>6</v>
      </c>
      <c r="D1707">
        <v>20</v>
      </c>
      <c r="E1707" s="2" t="str">
        <f t="shared" si="26"/>
        <v/>
      </c>
    </row>
    <row r="1708" spans="1:5" x14ac:dyDescent="0.25">
      <c r="A1708" s="138">
        <v>541214</v>
      </c>
      <c r="B1708">
        <v>148</v>
      </c>
      <c r="C1708">
        <v>6</v>
      </c>
      <c r="D1708">
        <v>20</v>
      </c>
      <c r="E1708" s="2" t="str">
        <f t="shared" si="26"/>
        <v/>
      </c>
    </row>
    <row r="1709" spans="1:5" x14ac:dyDescent="0.25">
      <c r="A1709" s="138">
        <v>541215</v>
      </c>
      <c r="B1709">
        <v>148</v>
      </c>
      <c r="C1709">
        <v>6</v>
      </c>
      <c r="D1709">
        <v>20</v>
      </c>
      <c r="E1709" s="2" t="str">
        <f t="shared" si="26"/>
        <v/>
      </c>
    </row>
    <row r="1710" spans="1:5" x14ac:dyDescent="0.25">
      <c r="A1710" s="138">
        <v>541216</v>
      </c>
      <c r="B1710">
        <v>148</v>
      </c>
      <c r="C1710">
        <v>6</v>
      </c>
      <c r="D1710">
        <v>20</v>
      </c>
      <c r="E1710" s="2" t="str">
        <f t="shared" si="26"/>
        <v/>
      </c>
    </row>
    <row r="1711" spans="1:5" x14ac:dyDescent="0.25">
      <c r="A1711" s="138">
        <v>541217</v>
      </c>
      <c r="B1711">
        <v>148</v>
      </c>
      <c r="C1711">
        <v>6</v>
      </c>
      <c r="D1711">
        <v>20</v>
      </c>
      <c r="E1711" s="2" t="str">
        <f t="shared" si="26"/>
        <v/>
      </c>
    </row>
    <row r="1712" spans="1:5" x14ac:dyDescent="0.25">
      <c r="A1712" s="138">
        <v>541218</v>
      </c>
      <c r="B1712">
        <v>148</v>
      </c>
      <c r="C1712">
        <v>6</v>
      </c>
      <c r="D1712">
        <v>20</v>
      </c>
      <c r="E1712" s="2" t="str">
        <f t="shared" si="26"/>
        <v/>
      </c>
    </row>
    <row r="1713" spans="1:5" x14ac:dyDescent="0.25">
      <c r="A1713" s="138">
        <v>541219</v>
      </c>
      <c r="B1713">
        <v>148</v>
      </c>
      <c r="C1713">
        <v>6</v>
      </c>
      <c r="D1713">
        <v>20</v>
      </c>
      <c r="E1713" s="2" t="str">
        <f t="shared" si="26"/>
        <v/>
      </c>
    </row>
    <row r="1714" spans="1:5" x14ac:dyDescent="0.25">
      <c r="A1714" s="138">
        <v>541220</v>
      </c>
      <c r="B1714">
        <v>148</v>
      </c>
      <c r="C1714">
        <v>6</v>
      </c>
      <c r="D1714">
        <v>20</v>
      </c>
      <c r="E1714" s="2" t="str">
        <f t="shared" si="26"/>
        <v/>
      </c>
    </row>
    <row r="1715" spans="1:5" x14ac:dyDescent="0.25">
      <c r="A1715" s="138">
        <v>541221</v>
      </c>
      <c r="B1715">
        <v>148</v>
      </c>
      <c r="C1715">
        <v>6</v>
      </c>
      <c r="D1715">
        <v>20</v>
      </c>
      <c r="E1715" s="2" t="str">
        <f t="shared" si="26"/>
        <v/>
      </c>
    </row>
    <row r="1716" spans="1:5" x14ac:dyDescent="0.25">
      <c r="A1716" s="138">
        <v>541222</v>
      </c>
      <c r="B1716">
        <v>148</v>
      </c>
      <c r="C1716">
        <v>6</v>
      </c>
      <c r="D1716">
        <v>20</v>
      </c>
      <c r="E1716" s="2" t="str">
        <f t="shared" si="26"/>
        <v/>
      </c>
    </row>
    <row r="1717" spans="1:5" x14ac:dyDescent="0.25">
      <c r="A1717" s="138">
        <v>541223</v>
      </c>
      <c r="B1717">
        <v>148</v>
      </c>
      <c r="C1717">
        <v>6</v>
      </c>
      <c r="D1717">
        <v>20</v>
      </c>
      <c r="E1717" s="2" t="str">
        <f t="shared" si="26"/>
        <v/>
      </c>
    </row>
    <row r="1718" spans="1:5" x14ac:dyDescent="0.25">
      <c r="A1718" s="138">
        <v>541224</v>
      </c>
      <c r="B1718">
        <v>148</v>
      </c>
      <c r="C1718">
        <v>6</v>
      </c>
      <c r="D1718">
        <v>20</v>
      </c>
      <c r="E1718" s="2" t="str">
        <f t="shared" si="26"/>
        <v/>
      </c>
    </row>
    <row r="1719" spans="1:5" x14ac:dyDescent="0.25">
      <c r="A1719" s="138">
        <v>541225</v>
      </c>
      <c r="B1719">
        <v>148</v>
      </c>
      <c r="C1719">
        <v>6</v>
      </c>
      <c r="D1719">
        <v>20</v>
      </c>
      <c r="E1719" s="2" t="str">
        <f t="shared" si="26"/>
        <v/>
      </c>
    </row>
    <row r="1720" spans="1:5" x14ac:dyDescent="0.25">
      <c r="A1720" s="138">
        <v>541226</v>
      </c>
      <c r="B1720">
        <v>148</v>
      </c>
      <c r="C1720">
        <v>6</v>
      </c>
      <c r="D1720">
        <v>20</v>
      </c>
      <c r="E1720" s="2" t="str">
        <f t="shared" si="26"/>
        <v/>
      </c>
    </row>
    <row r="1721" spans="1:5" x14ac:dyDescent="0.25">
      <c r="A1721" s="138">
        <v>541227</v>
      </c>
      <c r="B1721">
        <v>148</v>
      </c>
      <c r="C1721">
        <v>6</v>
      </c>
      <c r="D1721">
        <v>20</v>
      </c>
      <c r="E1721" s="2" t="str">
        <f t="shared" si="26"/>
        <v/>
      </c>
    </row>
    <row r="1722" spans="1:5" x14ac:dyDescent="0.25">
      <c r="A1722" s="138">
        <v>541228</v>
      </c>
      <c r="B1722">
        <v>148</v>
      </c>
      <c r="C1722">
        <v>6</v>
      </c>
      <c r="D1722">
        <v>20</v>
      </c>
      <c r="E1722" s="2" t="str">
        <f t="shared" si="26"/>
        <v/>
      </c>
    </row>
    <row r="1723" spans="1:5" x14ac:dyDescent="0.25">
      <c r="A1723" s="138">
        <v>541229</v>
      </c>
      <c r="B1723">
        <v>148</v>
      </c>
      <c r="C1723">
        <v>6</v>
      </c>
      <c r="D1723">
        <v>20</v>
      </c>
      <c r="E1723" s="2" t="str">
        <f t="shared" si="26"/>
        <v/>
      </c>
    </row>
    <row r="1724" spans="1:5" x14ac:dyDescent="0.25">
      <c r="A1724" s="138">
        <v>541230</v>
      </c>
      <c r="B1724">
        <v>148</v>
      </c>
      <c r="C1724">
        <v>6</v>
      </c>
      <c r="D1724">
        <v>20</v>
      </c>
      <c r="E1724" s="2" t="str">
        <f t="shared" si="26"/>
        <v/>
      </c>
    </row>
    <row r="1725" spans="1:5" x14ac:dyDescent="0.25">
      <c r="A1725" s="138">
        <v>541231</v>
      </c>
      <c r="B1725">
        <v>148</v>
      </c>
      <c r="C1725">
        <v>6</v>
      </c>
      <c r="D1725">
        <v>20</v>
      </c>
      <c r="E1725" s="2" t="str">
        <f t="shared" si="26"/>
        <v/>
      </c>
    </row>
    <row r="1726" spans="1:5" x14ac:dyDescent="0.25">
      <c r="A1726" s="138">
        <v>541232</v>
      </c>
      <c r="B1726">
        <v>148</v>
      </c>
      <c r="C1726">
        <v>6</v>
      </c>
      <c r="D1726">
        <v>20</v>
      </c>
      <c r="E1726" s="2" t="str">
        <f t="shared" si="26"/>
        <v/>
      </c>
    </row>
    <row r="1727" spans="1:5" x14ac:dyDescent="0.25">
      <c r="A1727" s="138">
        <v>541233</v>
      </c>
      <c r="B1727">
        <v>148</v>
      </c>
      <c r="C1727">
        <v>6</v>
      </c>
      <c r="D1727">
        <v>20</v>
      </c>
      <c r="E1727" s="2" t="str">
        <f t="shared" si="26"/>
        <v/>
      </c>
    </row>
    <row r="1728" spans="1:5" x14ac:dyDescent="0.25">
      <c r="A1728" s="138">
        <v>541234</v>
      </c>
      <c r="B1728">
        <v>148</v>
      </c>
      <c r="C1728">
        <v>6</v>
      </c>
      <c r="D1728">
        <v>20</v>
      </c>
      <c r="E1728" s="2" t="str">
        <f t="shared" si="26"/>
        <v/>
      </c>
    </row>
    <row r="1729" spans="1:5" x14ac:dyDescent="0.25">
      <c r="A1729" s="138">
        <v>541235</v>
      </c>
      <c r="B1729">
        <v>148</v>
      </c>
      <c r="C1729">
        <v>6</v>
      </c>
      <c r="D1729">
        <v>20</v>
      </c>
      <c r="E1729" s="2" t="str">
        <f t="shared" si="26"/>
        <v/>
      </c>
    </row>
    <row r="1730" spans="1:5" x14ac:dyDescent="0.25">
      <c r="A1730" s="138">
        <v>541236</v>
      </c>
      <c r="B1730">
        <v>148</v>
      </c>
      <c r="C1730">
        <v>6</v>
      </c>
      <c r="D1730">
        <v>20</v>
      </c>
      <c r="E1730" s="2" t="str">
        <f t="shared" si="26"/>
        <v/>
      </c>
    </row>
    <row r="1731" spans="1:5" x14ac:dyDescent="0.25">
      <c r="A1731" s="138">
        <v>541237</v>
      </c>
      <c r="B1731">
        <v>148</v>
      </c>
      <c r="C1731">
        <v>6</v>
      </c>
      <c r="D1731">
        <v>20</v>
      </c>
      <c r="E1731" s="2" t="str">
        <f t="shared" ref="E1731:E1794" si="27">IF(B1731=B1730,IF(C1730=C1731,"",1),"")</f>
        <v/>
      </c>
    </row>
    <row r="1732" spans="1:5" x14ac:dyDescent="0.25">
      <c r="A1732" s="138">
        <v>541238</v>
      </c>
      <c r="B1732">
        <v>148</v>
      </c>
      <c r="C1732">
        <v>6</v>
      </c>
      <c r="D1732">
        <v>20</v>
      </c>
      <c r="E1732" s="2" t="str">
        <f t="shared" si="27"/>
        <v/>
      </c>
    </row>
    <row r="1733" spans="1:5" x14ac:dyDescent="0.25">
      <c r="A1733" s="138">
        <v>541239</v>
      </c>
      <c r="B1733">
        <v>148</v>
      </c>
      <c r="C1733">
        <v>6</v>
      </c>
      <c r="D1733">
        <v>20</v>
      </c>
      <c r="E1733" s="2" t="str">
        <f t="shared" si="27"/>
        <v/>
      </c>
    </row>
    <row r="1734" spans="1:5" x14ac:dyDescent="0.25">
      <c r="A1734" s="138">
        <v>541240</v>
      </c>
      <c r="B1734">
        <v>148</v>
      </c>
      <c r="C1734">
        <v>6</v>
      </c>
      <c r="D1734">
        <v>20</v>
      </c>
      <c r="E1734" s="2" t="str">
        <f t="shared" si="27"/>
        <v/>
      </c>
    </row>
    <row r="1735" spans="1:5" x14ac:dyDescent="0.25">
      <c r="A1735" s="138">
        <v>541241</v>
      </c>
      <c r="B1735">
        <v>148</v>
      </c>
      <c r="C1735">
        <v>6</v>
      </c>
      <c r="D1735">
        <v>20</v>
      </c>
      <c r="E1735" s="2" t="str">
        <f t="shared" si="27"/>
        <v/>
      </c>
    </row>
    <row r="1736" spans="1:5" x14ac:dyDescent="0.25">
      <c r="A1736" s="138">
        <v>541242</v>
      </c>
      <c r="B1736">
        <v>148</v>
      </c>
      <c r="C1736">
        <v>6</v>
      </c>
      <c r="D1736">
        <v>20</v>
      </c>
      <c r="E1736" s="2" t="str">
        <f t="shared" si="27"/>
        <v/>
      </c>
    </row>
    <row r="1737" spans="1:5" x14ac:dyDescent="0.25">
      <c r="A1737" s="138">
        <v>541243</v>
      </c>
      <c r="B1737">
        <v>148</v>
      </c>
      <c r="C1737">
        <v>6</v>
      </c>
      <c r="D1737">
        <v>20</v>
      </c>
      <c r="E1737" s="2" t="str">
        <f t="shared" si="27"/>
        <v/>
      </c>
    </row>
    <row r="1738" spans="1:5" x14ac:dyDescent="0.25">
      <c r="A1738" s="138">
        <v>541244</v>
      </c>
      <c r="B1738">
        <v>148</v>
      </c>
      <c r="C1738">
        <v>6</v>
      </c>
      <c r="D1738">
        <v>20</v>
      </c>
      <c r="E1738" s="2" t="str">
        <f t="shared" si="27"/>
        <v/>
      </c>
    </row>
    <row r="1739" spans="1:5" x14ac:dyDescent="0.25">
      <c r="A1739" s="138">
        <v>541245</v>
      </c>
      <c r="B1739">
        <v>148</v>
      </c>
      <c r="C1739">
        <v>6</v>
      </c>
      <c r="D1739">
        <v>20</v>
      </c>
      <c r="E1739" s="2" t="str">
        <f t="shared" si="27"/>
        <v/>
      </c>
    </row>
    <row r="1740" spans="1:5" x14ac:dyDescent="0.25">
      <c r="A1740" s="138">
        <v>541246</v>
      </c>
      <c r="B1740">
        <v>148</v>
      </c>
      <c r="C1740">
        <v>6</v>
      </c>
      <c r="D1740">
        <v>20</v>
      </c>
      <c r="E1740" s="2" t="str">
        <f t="shared" si="27"/>
        <v/>
      </c>
    </row>
    <row r="1741" spans="1:5" x14ac:dyDescent="0.25">
      <c r="A1741" s="138">
        <v>541247</v>
      </c>
      <c r="B1741">
        <v>148</v>
      </c>
      <c r="C1741">
        <v>6</v>
      </c>
      <c r="D1741">
        <v>20</v>
      </c>
      <c r="E1741" s="2" t="str">
        <f t="shared" si="27"/>
        <v/>
      </c>
    </row>
    <row r="1742" spans="1:5" x14ac:dyDescent="0.25">
      <c r="A1742" s="138">
        <v>541248</v>
      </c>
      <c r="B1742">
        <v>148</v>
      </c>
      <c r="C1742">
        <v>6</v>
      </c>
      <c r="D1742">
        <v>20</v>
      </c>
      <c r="E1742" s="2" t="str">
        <f t="shared" si="27"/>
        <v/>
      </c>
    </row>
    <row r="1743" spans="1:5" x14ac:dyDescent="0.25">
      <c r="A1743" s="138">
        <v>541249</v>
      </c>
      <c r="B1743">
        <v>148</v>
      </c>
      <c r="C1743">
        <v>6</v>
      </c>
      <c r="D1743">
        <v>20</v>
      </c>
      <c r="E1743" s="2" t="str">
        <f t="shared" si="27"/>
        <v/>
      </c>
    </row>
    <row r="1744" spans="1:5" x14ac:dyDescent="0.25">
      <c r="A1744" s="138">
        <v>541250</v>
      </c>
      <c r="B1744">
        <v>148</v>
      </c>
      <c r="C1744">
        <v>6</v>
      </c>
      <c r="D1744">
        <v>20</v>
      </c>
      <c r="E1744" s="2" t="str">
        <f t="shared" si="27"/>
        <v/>
      </c>
    </row>
    <row r="1745" spans="1:5" x14ac:dyDescent="0.25">
      <c r="A1745" s="138">
        <v>541251</v>
      </c>
      <c r="B1745">
        <v>148</v>
      </c>
      <c r="C1745">
        <v>6</v>
      </c>
      <c r="D1745">
        <v>20</v>
      </c>
      <c r="E1745" s="2" t="str">
        <f t="shared" si="27"/>
        <v/>
      </c>
    </row>
    <row r="1746" spans="1:5" x14ac:dyDescent="0.25">
      <c r="A1746" s="138">
        <v>541252</v>
      </c>
      <c r="B1746">
        <v>148</v>
      </c>
      <c r="C1746">
        <v>6</v>
      </c>
      <c r="D1746">
        <v>20</v>
      </c>
      <c r="E1746" s="2" t="str">
        <f t="shared" si="27"/>
        <v/>
      </c>
    </row>
    <row r="1747" spans="1:5" x14ac:dyDescent="0.25">
      <c r="A1747" s="138">
        <v>541253</v>
      </c>
      <c r="B1747">
        <v>148</v>
      </c>
      <c r="C1747">
        <v>6</v>
      </c>
      <c r="D1747">
        <v>20</v>
      </c>
      <c r="E1747" s="2" t="str">
        <f t="shared" si="27"/>
        <v/>
      </c>
    </row>
    <row r="1748" spans="1:5" x14ac:dyDescent="0.25">
      <c r="A1748" s="138">
        <v>541254</v>
      </c>
      <c r="B1748">
        <v>148</v>
      </c>
      <c r="C1748">
        <v>6</v>
      </c>
      <c r="D1748">
        <v>20</v>
      </c>
      <c r="E1748" s="2" t="str">
        <f t="shared" si="27"/>
        <v/>
      </c>
    </row>
    <row r="1749" spans="1:5" x14ac:dyDescent="0.25">
      <c r="A1749" s="138">
        <v>541255</v>
      </c>
      <c r="B1749">
        <v>148</v>
      </c>
      <c r="C1749">
        <v>6</v>
      </c>
      <c r="D1749">
        <v>20</v>
      </c>
      <c r="E1749" s="2" t="str">
        <f t="shared" si="27"/>
        <v/>
      </c>
    </row>
    <row r="1750" spans="1:5" x14ac:dyDescent="0.25">
      <c r="A1750" s="138">
        <v>541256</v>
      </c>
      <c r="B1750">
        <v>148</v>
      </c>
      <c r="C1750">
        <v>6</v>
      </c>
      <c r="D1750">
        <v>20</v>
      </c>
      <c r="E1750" s="2" t="str">
        <f t="shared" si="27"/>
        <v/>
      </c>
    </row>
    <row r="1751" spans="1:5" x14ac:dyDescent="0.25">
      <c r="A1751" s="138">
        <v>541257</v>
      </c>
      <c r="B1751">
        <v>148</v>
      </c>
      <c r="C1751">
        <v>6</v>
      </c>
      <c r="D1751">
        <v>20</v>
      </c>
      <c r="E1751" s="2" t="str">
        <f t="shared" si="27"/>
        <v/>
      </c>
    </row>
    <row r="1752" spans="1:5" x14ac:dyDescent="0.25">
      <c r="A1752" s="138">
        <v>541258</v>
      </c>
      <c r="B1752">
        <v>148</v>
      </c>
      <c r="C1752">
        <v>6</v>
      </c>
      <c r="D1752">
        <v>20</v>
      </c>
      <c r="E1752" s="2" t="str">
        <f t="shared" si="27"/>
        <v/>
      </c>
    </row>
    <row r="1753" spans="1:5" x14ac:dyDescent="0.25">
      <c r="A1753" s="138">
        <v>541259</v>
      </c>
      <c r="B1753">
        <v>148</v>
      </c>
      <c r="C1753">
        <v>6</v>
      </c>
      <c r="D1753">
        <v>20</v>
      </c>
      <c r="E1753" s="2" t="str">
        <f t="shared" si="27"/>
        <v/>
      </c>
    </row>
    <row r="1754" spans="1:5" x14ac:dyDescent="0.25">
      <c r="A1754" s="138">
        <v>541260</v>
      </c>
      <c r="B1754">
        <v>148</v>
      </c>
      <c r="C1754">
        <v>6</v>
      </c>
      <c r="D1754">
        <v>20</v>
      </c>
      <c r="E1754" s="2" t="str">
        <f t="shared" si="27"/>
        <v/>
      </c>
    </row>
    <row r="1755" spans="1:5" x14ac:dyDescent="0.25">
      <c r="A1755" s="138">
        <v>541261</v>
      </c>
      <c r="B1755">
        <v>148</v>
      </c>
      <c r="C1755">
        <v>6</v>
      </c>
      <c r="D1755">
        <v>20</v>
      </c>
      <c r="E1755" s="2" t="str">
        <f t="shared" si="27"/>
        <v/>
      </c>
    </row>
    <row r="1756" spans="1:5" x14ac:dyDescent="0.25">
      <c r="A1756" s="138">
        <v>541262</v>
      </c>
      <c r="B1756">
        <v>148</v>
      </c>
      <c r="C1756">
        <v>6</v>
      </c>
      <c r="D1756">
        <v>20</v>
      </c>
      <c r="E1756" s="2" t="str">
        <f t="shared" si="27"/>
        <v/>
      </c>
    </row>
    <row r="1757" spans="1:5" x14ac:dyDescent="0.25">
      <c r="A1757" s="138">
        <v>541263</v>
      </c>
      <c r="B1757">
        <v>148</v>
      </c>
      <c r="C1757">
        <v>6</v>
      </c>
      <c r="D1757">
        <v>20</v>
      </c>
      <c r="E1757" s="2" t="str">
        <f t="shared" si="27"/>
        <v/>
      </c>
    </row>
    <row r="1758" spans="1:5" x14ac:dyDescent="0.25">
      <c r="A1758" s="138">
        <v>541264</v>
      </c>
      <c r="B1758">
        <v>148</v>
      </c>
      <c r="C1758">
        <v>6</v>
      </c>
      <c r="D1758">
        <v>20</v>
      </c>
      <c r="E1758" s="2" t="str">
        <f t="shared" si="27"/>
        <v/>
      </c>
    </row>
    <row r="1759" spans="1:5" x14ac:dyDescent="0.25">
      <c r="A1759" s="138">
        <v>541265</v>
      </c>
      <c r="B1759">
        <v>148</v>
      </c>
      <c r="C1759">
        <v>6</v>
      </c>
      <c r="D1759">
        <v>20</v>
      </c>
      <c r="E1759" s="2" t="str">
        <f t="shared" si="27"/>
        <v/>
      </c>
    </row>
    <row r="1760" spans="1:5" x14ac:dyDescent="0.25">
      <c r="A1760" s="138">
        <v>541266</v>
      </c>
      <c r="B1760">
        <v>148</v>
      </c>
      <c r="C1760">
        <v>6</v>
      </c>
      <c r="D1760">
        <v>20</v>
      </c>
      <c r="E1760" s="2" t="str">
        <f t="shared" si="27"/>
        <v/>
      </c>
    </row>
    <row r="1761" spans="1:5" x14ac:dyDescent="0.25">
      <c r="A1761" s="138">
        <v>541267</v>
      </c>
      <c r="B1761">
        <v>148</v>
      </c>
      <c r="C1761">
        <v>6</v>
      </c>
      <c r="D1761">
        <v>20</v>
      </c>
      <c r="E1761" s="2" t="str">
        <f t="shared" si="27"/>
        <v/>
      </c>
    </row>
    <row r="1762" spans="1:5" x14ac:dyDescent="0.25">
      <c r="A1762" s="138">
        <v>541268</v>
      </c>
      <c r="B1762">
        <v>148</v>
      </c>
      <c r="C1762">
        <v>6</v>
      </c>
      <c r="D1762">
        <v>20</v>
      </c>
      <c r="E1762" s="2" t="str">
        <f t="shared" si="27"/>
        <v/>
      </c>
    </row>
    <row r="1763" spans="1:5" x14ac:dyDescent="0.25">
      <c r="A1763" s="138">
        <v>541269</v>
      </c>
      <c r="B1763">
        <v>148</v>
      </c>
      <c r="C1763">
        <v>6</v>
      </c>
      <c r="D1763">
        <v>20</v>
      </c>
      <c r="E1763" s="2" t="str">
        <f t="shared" si="27"/>
        <v/>
      </c>
    </row>
    <row r="1764" spans="1:5" x14ac:dyDescent="0.25">
      <c r="A1764" s="138">
        <v>541270</v>
      </c>
      <c r="B1764">
        <v>148</v>
      </c>
      <c r="C1764">
        <v>6</v>
      </c>
      <c r="D1764">
        <v>20</v>
      </c>
      <c r="E1764" s="2" t="str">
        <f t="shared" si="27"/>
        <v/>
      </c>
    </row>
    <row r="1765" spans="1:5" x14ac:dyDescent="0.25">
      <c r="A1765" s="138">
        <v>541271</v>
      </c>
      <c r="B1765">
        <v>148</v>
      </c>
      <c r="C1765">
        <v>6</v>
      </c>
      <c r="D1765">
        <v>20</v>
      </c>
      <c r="E1765" s="2" t="str">
        <f t="shared" si="27"/>
        <v/>
      </c>
    </row>
    <row r="1766" spans="1:5" x14ac:dyDescent="0.25">
      <c r="A1766" s="138">
        <v>541272</v>
      </c>
      <c r="B1766">
        <v>148</v>
      </c>
      <c r="C1766">
        <v>6</v>
      </c>
      <c r="D1766">
        <v>20</v>
      </c>
      <c r="E1766" s="2" t="str">
        <f t="shared" si="27"/>
        <v/>
      </c>
    </row>
    <row r="1767" spans="1:5" x14ac:dyDescent="0.25">
      <c r="A1767" s="138">
        <v>541273</v>
      </c>
      <c r="B1767">
        <v>148</v>
      </c>
      <c r="C1767">
        <v>6</v>
      </c>
      <c r="D1767">
        <v>20</v>
      </c>
      <c r="E1767" s="2" t="str">
        <f t="shared" si="27"/>
        <v/>
      </c>
    </row>
    <row r="1768" spans="1:5" x14ac:dyDescent="0.25">
      <c r="A1768" s="138">
        <v>541274</v>
      </c>
      <c r="B1768">
        <v>148</v>
      </c>
      <c r="C1768">
        <v>6</v>
      </c>
      <c r="D1768">
        <v>20</v>
      </c>
      <c r="E1768" s="2" t="str">
        <f t="shared" si="27"/>
        <v/>
      </c>
    </row>
    <row r="1769" spans="1:5" x14ac:dyDescent="0.25">
      <c r="A1769" s="138">
        <v>541275</v>
      </c>
      <c r="B1769">
        <v>148</v>
      </c>
      <c r="C1769">
        <v>6</v>
      </c>
      <c r="D1769">
        <v>20</v>
      </c>
      <c r="E1769" s="2" t="str">
        <f t="shared" si="27"/>
        <v/>
      </c>
    </row>
    <row r="1770" spans="1:5" x14ac:dyDescent="0.25">
      <c r="A1770" s="138">
        <v>541276</v>
      </c>
      <c r="B1770">
        <v>148</v>
      </c>
      <c r="C1770">
        <v>6</v>
      </c>
      <c r="D1770">
        <v>20</v>
      </c>
      <c r="E1770" s="2" t="str">
        <f t="shared" si="27"/>
        <v/>
      </c>
    </row>
    <row r="1771" spans="1:5" x14ac:dyDescent="0.25">
      <c r="A1771" s="138">
        <v>541277</v>
      </c>
      <c r="B1771">
        <v>148</v>
      </c>
      <c r="C1771">
        <v>6</v>
      </c>
      <c r="D1771">
        <v>20</v>
      </c>
      <c r="E1771" s="2" t="str">
        <f t="shared" si="27"/>
        <v/>
      </c>
    </row>
    <row r="1772" spans="1:5" x14ac:dyDescent="0.25">
      <c r="A1772" s="138">
        <v>541278</v>
      </c>
      <c r="B1772">
        <v>148</v>
      </c>
      <c r="C1772">
        <v>6</v>
      </c>
      <c r="D1772">
        <v>20</v>
      </c>
      <c r="E1772" s="2" t="str">
        <f t="shared" si="27"/>
        <v/>
      </c>
    </row>
    <row r="1773" spans="1:5" x14ac:dyDescent="0.25">
      <c r="A1773" s="138">
        <v>541279</v>
      </c>
      <c r="B1773">
        <v>148</v>
      </c>
      <c r="C1773">
        <v>6</v>
      </c>
      <c r="D1773">
        <v>20</v>
      </c>
      <c r="E1773" s="2" t="str">
        <f t="shared" si="27"/>
        <v/>
      </c>
    </row>
    <row r="1774" spans="1:5" x14ac:dyDescent="0.25">
      <c r="A1774" s="138">
        <v>541280</v>
      </c>
      <c r="B1774">
        <v>148</v>
      </c>
      <c r="C1774">
        <v>6</v>
      </c>
      <c r="D1774">
        <v>20</v>
      </c>
      <c r="E1774" s="2" t="str">
        <f t="shared" si="27"/>
        <v/>
      </c>
    </row>
    <row r="1775" spans="1:5" x14ac:dyDescent="0.25">
      <c r="A1775" s="138">
        <v>541281</v>
      </c>
      <c r="B1775">
        <v>148</v>
      </c>
      <c r="C1775">
        <v>6</v>
      </c>
      <c r="D1775">
        <v>20</v>
      </c>
      <c r="E1775" s="2" t="str">
        <f t="shared" si="27"/>
        <v/>
      </c>
    </row>
    <row r="1776" spans="1:5" x14ac:dyDescent="0.25">
      <c r="A1776" s="138">
        <v>541282</v>
      </c>
      <c r="B1776">
        <v>148</v>
      </c>
      <c r="C1776">
        <v>6</v>
      </c>
      <c r="D1776">
        <v>20</v>
      </c>
      <c r="E1776" s="2" t="str">
        <f t="shared" si="27"/>
        <v/>
      </c>
    </row>
    <row r="1777" spans="1:5" x14ac:dyDescent="0.25">
      <c r="A1777" s="138">
        <v>541283</v>
      </c>
      <c r="B1777">
        <v>148</v>
      </c>
      <c r="C1777">
        <v>6</v>
      </c>
      <c r="D1777">
        <v>20</v>
      </c>
      <c r="E1777" s="2" t="str">
        <f t="shared" si="27"/>
        <v/>
      </c>
    </row>
    <row r="1778" spans="1:5" x14ac:dyDescent="0.25">
      <c r="A1778" s="138">
        <v>541284</v>
      </c>
      <c r="B1778">
        <v>148</v>
      </c>
      <c r="C1778">
        <v>6</v>
      </c>
      <c r="D1778">
        <v>20</v>
      </c>
      <c r="E1778" s="2" t="str">
        <f t="shared" si="27"/>
        <v/>
      </c>
    </row>
    <row r="1779" spans="1:5" x14ac:dyDescent="0.25">
      <c r="A1779" s="138">
        <v>541285</v>
      </c>
      <c r="B1779">
        <v>148</v>
      </c>
      <c r="C1779">
        <v>6</v>
      </c>
      <c r="D1779">
        <v>20</v>
      </c>
      <c r="E1779" s="2" t="str">
        <f t="shared" si="27"/>
        <v/>
      </c>
    </row>
    <row r="1780" spans="1:5" x14ac:dyDescent="0.25">
      <c r="A1780" s="138">
        <v>541286</v>
      </c>
      <c r="B1780">
        <v>148</v>
      </c>
      <c r="C1780">
        <v>6</v>
      </c>
      <c r="D1780">
        <v>20</v>
      </c>
      <c r="E1780" s="2" t="str">
        <f t="shared" si="27"/>
        <v/>
      </c>
    </row>
    <row r="1781" spans="1:5" x14ac:dyDescent="0.25">
      <c r="A1781" s="138">
        <v>541287</v>
      </c>
      <c r="B1781">
        <v>148</v>
      </c>
      <c r="C1781">
        <v>6</v>
      </c>
      <c r="D1781">
        <v>20</v>
      </c>
      <c r="E1781" s="2" t="str">
        <f t="shared" si="27"/>
        <v/>
      </c>
    </row>
    <row r="1782" spans="1:5" x14ac:dyDescent="0.25">
      <c r="A1782" s="138">
        <v>541288</v>
      </c>
      <c r="B1782">
        <v>148</v>
      </c>
      <c r="C1782">
        <v>6</v>
      </c>
      <c r="D1782">
        <v>20</v>
      </c>
      <c r="E1782" s="2" t="str">
        <f t="shared" si="27"/>
        <v/>
      </c>
    </row>
    <row r="1783" spans="1:5" x14ac:dyDescent="0.25">
      <c r="A1783" s="138">
        <v>541289</v>
      </c>
      <c r="B1783">
        <v>148</v>
      </c>
      <c r="C1783">
        <v>6</v>
      </c>
      <c r="D1783">
        <v>20</v>
      </c>
      <c r="E1783" s="2" t="str">
        <f t="shared" si="27"/>
        <v/>
      </c>
    </row>
    <row r="1784" spans="1:5" x14ac:dyDescent="0.25">
      <c r="A1784" s="138">
        <v>541290</v>
      </c>
      <c r="B1784">
        <v>148</v>
      </c>
      <c r="C1784">
        <v>6</v>
      </c>
      <c r="D1784">
        <v>20</v>
      </c>
      <c r="E1784" s="2" t="str">
        <f t="shared" si="27"/>
        <v/>
      </c>
    </row>
    <row r="1785" spans="1:5" x14ac:dyDescent="0.25">
      <c r="A1785" s="138">
        <v>541291</v>
      </c>
      <c r="B1785">
        <v>148</v>
      </c>
      <c r="C1785">
        <v>6</v>
      </c>
      <c r="D1785">
        <v>20</v>
      </c>
      <c r="E1785" s="2" t="str">
        <f t="shared" si="27"/>
        <v/>
      </c>
    </row>
    <row r="1786" spans="1:5" x14ac:dyDescent="0.25">
      <c r="A1786" s="138">
        <v>541292</v>
      </c>
      <c r="B1786">
        <v>148</v>
      </c>
      <c r="C1786">
        <v>6</v>
      </c>
      <c r="D1786">
        <v>20</v>
      </c>
      <c r="E1786" s="2" t="str">
        <f t="shared" si="27"/>
        <v/>
      </c>
    </row>
    <row r="1787" spans="1:5" x14ac:dyDescent="0.25">
      <c r="A1787" s="138">
        <v>541293</v>
      </c>
      <c r="B1787">
        <v>148</v>
      </c>
      <c r="C1787">
        <v>6</v>
      </c>
      <c r="D1787">
        <v>20</v>
      </c>
      <c r="E1787" s="2" t="str">
        <f t="shared" si="27"/>
        <v/>
      </c>
    </row>
    <row r="1788" spans="1:5" x14ac:dyDescent="0.25">
      <c r="A1788" s="138">
        <v>541294</v>
      </c>
      <c r="B1788">
        <v>148</v>
      </c>
      <c r="C1788">
        <v>6</v>
      </c>
      <c r="D1788">
        <v>20</v>
      </c>
      <c r="E1788" s="2" t="str">
        <f t="shared" si="27"/>
        <v/>
      </c>
    </row>
    <row r="1789" spans="1:5" x14ac:dyDescent="0.25">
      <c r="A1789" s="138">
        <v>541295</v>
      </c>
      <c r="B1789">
        <v>148</v>
      </c>
      <c r="C1789">
        <v>6</v>
      </c>
      <c r="D1789">
        <v>20</v>
      </c>
      <c r="E1789" s="2" t="str">
        <f t="shared" si="27"/>
        <v/>
      </c>
    </row>
    <row r="1790" spans="1:5" x14ac:dyDescent="0.25">
      <c r="A1790" s="138">
        <v>541296</v>
      </c>
      <c r="B1790">
        <v>148</v>
      </c>
      <c r="C1790">
        <v>6</v>
      </c>
      <c r="D1790">
        <v>20</v>
      </c>
      <c r="E1790" s="2" t="str">
        <f t="shared" si="27"/>
        <v/>
      </c>
    </row>
    <row r="1791" spans="1:5" x14ac:dyDescent="0.25">
      <c r="A1791" s="138">
        <v>541297</v>
      </c>
      <c r="B1791">
        <v>148</v>
      </c>
      <c r="C1791">
        <v>6</v>
      </c>
      <c r="D1791">
        <v>20</v>
      </c>
      <c r="E1791" s="2" t="str">
        <f t="shared" si="27"/>
        <v/>
      </c>
    </row>
    <row r="1792" spans="1:5" x14ac:dyDescent="0.25">
      <c r="A1792" s="138">
        <v>541298</v>
      </c>
      <c r="B1792">
        <v>148</v>
      </c>
      <c r="C1792">
        <v>6</v>
      </c>
      <c r="D1792">
        <v>20</v>
      </c>
      <c r="E1792" s="2" t="str">
        <f t="shared" si="27"/>
        <v/>
      </c>
    </row>
    <row r="1793" spans="1:5" x14ac:dyDescent="0.25">
      <c r="A1793" s="138">
        <v>541299</v>
      </c>
      <c r="B1793">
        <v>148</v>
      </c>
      <c r="C1793">
        <v>6</v>
      </c>
      <c r="D1793">
        <v>20</v>
      </c>
      <c r="E1793" s="2" t="str">
        <f t="shared" si="27"/>
        <v/>
      </c>
    </row>
    <row r="1794" spans="1:5" x14ac:dyDescent="0.25">
      <c r="A1794" s="138">
        <v>551000</v>
      </c>
      <c r="B1794">
        <v>157</v>
      </c>
      <c r="C1794">
        <v>6</v>
      </c>
      <c r="D1794">
        <v>20</v>
      </c>
      <c r="E1794" s="2" t="str">
        <f t="shared" si="27"/>
        <v/>
      </c>
    </row>
    <row r="1795" spans="1:5" x14ac:dyDescent="0.25">
      <c r="A1795" s="138">
        <v>551001</v>
      </c>
      <c r="B1795">
        <v>157</v>
      </c>
      <c r="C1795">
        <v>6</v>
      </c>
      <c r="D1795">
        <v>20</v>
      </c>
      <c r="E1795" s="2" t="str">
        <f t="shared" ref="E1795:E1858" si="28">IF(B1795=B1794,IF(C1794=C1795,"",1),"")</f>
        <v/>
      </c>
    </row>
    <row r="1796" spans="1:5" x14ac:dyDescent="0.25">
      <c r="A1796" s="138">
        <v>551002</v>
      </c>
      <c r="B1796">
        <v>157</v>
      </c>
      <c r="C1796">
        <v>6</v>
      </c>
      <c r="D1796">
        <v>20</v>
      </c>
      <c r="E1796" s="2" t="str">
        <f t="shared" si="28"/>
        <v/>
      </c>
    </row>
    <row r="1797" spans="1:5" x14ac:dyDescent="0.25">
      <c r="A1797" s="138">
        <v>551003</v>
      </c>
      <c r="B1797">
        <v>157</v>
      </c>
      <c r="C1797">
        <v>6</v>
      </c>
      <c r="D1797">
        <v>20</v>
      </c>
      <c r="E1797" s="2" t="str">
        <f t="shared" si="28"/>
        <v/>
      </c>
    </row>
    <row r="1798" spans="1:5" x14ac:dyDescent="0.25">
      <c r="A1798" s="138">
        <v>551004</v>
      </c>
      <c r="B1798">
        <v>157</v>
      </c>
      <c r="C1798">
        <v>6</v>
      </c>
      <c r="D1798">
        <v>20</v>
      </c>
      <c r="E1798" s="2" t="str">
        <f t="shared" si="28"/>
        <v/>
      </c>
    </row>
    <row r="1799" spans="1:5" x14ac:dyDescent="0.25">
      <c r="A1799" s="138">
        <v>551005</v>
      </c>
      <c r="B1799">
        <v>157</v>
      </c>
      <c r="C1799">
        <v>6</v>
      </c>
      <c r="D1799">
        <v>20</v>
      </c>
      <c r="E1799" s="2" t="str">
        <f t="shared" si="28"/>
        <v/>
      </c>
    </row>
    <row r="1800" spans="1:5" x14ac:dyDescent="0.25">
      <c r="A1800" s="138">
        <v>551006</v>
      </c>
      <c r="B1800">
        <v>157</v>
      </c>
      <c r="C1800">
        <v>6</v>
      </c>
      <c r="D1800">
        <v>20</v>
      </c>
      <c r="E1800" s="2" t="str">
        <f t="shared" si="28"/>
        <v/>
      </c>
    </row>
    <row r="1801" spans="1:5" x14ac:dyDescent="0.25">
      <c r="A1801" s="138">
        <v>551007</v>
      </c>
      <c r="B1801">
        <v>157</v>
      </c>
      <c r="C1801">
        <v>6</v>
      </c>
      <c r="D1801">
        <v>20</v>
      </c>
      <c r="E1801" s="2" t="str">
        <f t="shared" si="28"/>
        <v/>
      </c>
    </row>
    <row r="1802" spans="1:5" x14ac:dyDescent="0.25">
      <c r="A1802" s="138">
        <v>551008</v>
      </c>
      <c r="B1802">
        <v>157</v>
      </c>
      <c r="C1802">
        <v>6</v>
      </c>
      <c r="D1802">
        <v>20</v>
      </c>
      <c r="E1802" s="2" t="str">
        <f t="shared" si="28"/>
        <v/>
      </c>
    </row>
    <row r="1803" spans="1:5" x14ac:dyDescent="0.25">
      <c r="A1803" s="138">
        <v>551009</v>
      </c>
      <c r="B1803">
        <v>157</v>
      </c>
      <c r="C1803">
        <v>6</v>
      </c>
      <c r="D1803">
        <v>20</v>
      </c>
      <c r="E1803" s="2" t="str">
        <f t="shared" si="28"/>
        <v/>
      </c>
    </row>
    <row r="1804" spans="1:5" x14ac:dyDescent="0.25">
      <c r="A1804" s="138">
        <v>551010</v>
      </c>
      <c r="B1804">
        <v>157</v>
      </c>
      <c r="C1804">
        <v>6</v>
      </c>
      <c r="D1804">
        <v>20</v>
      </c>
      <c r="E1804" s="2" t="str">
        <f t="shared" si="28"/>
        <v/>
      </c>
    </row>
    <row r="1805" spans="1:5" x14ac:dyDescent="0.25">
      <c r="A1805" s="138">
        <v>551011</v>
      </c>
      <c r="B1805">
        <v>157</v>
      </c>
      <c r="C1805">
        <v>6</v>
      </c>
      <c r="D1805">
        <v>20</v>
      </c>
      <c r="E1805" s="2" t="str">
        <f t="shared" si="28"/>
        <v/>
      </c>
    </row>
    <row r="1806" spans="1:5" x14ac:dyDescent="0.25">
      <c r="A1806" s="138">
        <v>551012</v>
      </c>
      <c r="B1806">
        <v>157</v>
      </c>
      <c r="C1806">
        <v>6</v>
      </c>
      <c r="D1806">
        <v>20</v>
      </c>
      <c r="E1806" s="2" t="str">
        <f t="shared" si="28"/>
        <v/>
      </c>
    </row>
    <row r="1807" spans="1:5" x14ac:dyDescent="0.25">
      <c r="A1807" s="138">
        <v>551013</v>
      </c>
      <c r="B1807">
        <v>157</v>
      </c>
      <c r="C1807">
        <v>6</v>
      </c>
      <c r="D1807">
        <v>20</v>
      </c>
      <c r="E1807" s="2" t="str">
        <f t="shared" si="28"/>
        <v/>
      </c>
    </row>
    <row r="1808" spans="1:5" x14ac:dyDescent="0.25">
      <c r="A1808" s="138">
        <v>551014</v>
      </c>
      <c r="B1808">
        <v>157</v>
      </c>
      <c r="C1808">
        <v>6</v>
      </c>
      <c r="D1808">
        <v>20</v>
      </c>
      <c r="E1808" s="2" t="str">
        <f t="shared" si="28"/>
        <v/>
      </c>
    </row>
    <row r="1809" spans="1:5" x14ac:dyDescent="0.25">
      <c r="A1809" s="138">
        <v>551199</v>
      </c>
      <c r="B1809">
        <v>157</v>
      </c>
      <c r="C1809">
        <v>6</v>
      </c>
      <c r="D1809">
        <v>20</v>
      </c>
      <c r="E1809" s="2" t="str">
        <f t="shared" si="28"/>
        <v/>
      </c>
    </row>
    <row r="1810" spans="1:5" x14ac:dyDescent="0.25">
      <c r="A1810" s="138">
        <v>552000</v>
      </c>
      <c r="B1810">
        <v>157</v>
      </c>
      <c r="C1810">
        <v>6</v>
      </c>
      <c r="D1810">
        <v>20</v>
      </c>
      <c r="E1810" s="2" t="str">
        <f t="shared" si="28"/>
        <v/>
      </c>
    </row>
    <row r="1811" spans="1:5" x14ac:dyDescent="0.25">
      <c r="A1811" s="138">
        <v>552001</v>
      </c>
      <c r="B1811">
        <v>157</v>
      </c>
      <c r="C1811">
        <v>6</v>
      </c>
      <c r="D1811">
        <v>20</v>
      </c>
      <c r="E1811" s="2" t="str">
        <f t="shared" si="28"/>
        <v/>
      </c>
    </row>
    <row r="1812" spans="1:5" x14ac:dyDescent="0.25">
      <c r="A1812" s="138">
        <v>552002</v>
      </c>
      <c r="B1812">
        <v>157</v>
      </c>
      <c r="C1812">
        <v>6</v>
      </c>
      <c r="D1812">
        <v>20</v>
      </c>
      <c r="E1812" s="2" t="str">
        <f t="shared" si="28"/>
        <v/>
      </c>
    </row>
    <row r="1813" spans="1:5" x14ac:dyDescent="0.25">
      <c r="A1813" s="138">
        <v>552003</v>
      </c>
      <c r="B1813">
        <v>157</v>
      </c>
      <c r="C1813">
        <v>6</v>
      </c>
      <c r="D1813">
        <v>20</v>
      </c>
      <c r="E1813" s="2" t="str">
        <f t="shared" si="28"/>
        <v/>
      </c>
    </row>
    <row r="1814" spans="1:5" x14ac:dyDescent="0.25">
      <c r="A1814" s="138">
        <v>552004</v>
      </c>
      <c r="B1814">
        <v>157</v>
      </c>
      <c r="C1814">
        <v>6</v>
      </c>
      <c r="D1814">
        <v>20</v>
      </c>
      <c r="E1814" s="2" t="str">
        <f t="shared" si="28"/>
        <v/>
      </c>
    </row>
    <row r="1815" spans="1:5" x14ac:dyDescent="0.25">
      <c r="A1815" s="138">
        <v>552005</v>
      </c>
      <c r="B1815">
        <v>157</v>
      </c>
      <c r="C1815">
        <v>6</v>
      </c>
      <c r="D1815">
        <v>20</v>
      </c>
      <c r="E1815" s="2" t="str">
        <f t="shared" si="28"/>
        <v/>
      </c>
    </row>
    <row r="1816" spans="1:5" x14ac:dyDescent="0.25">
      <c r="A1816" s="138">
        <v>552006</v>
      </c>
      <c r="B1816">
        <v>157</v>
      </c>
      <c r="C1816">
        <v>6</v>
      </c>
      <c r="D1816">
        <v>20</v>
      </c>
      <c r="E1816" s="2" t="str">
        <f t="shared" si="28"/>
        <v/>
      </c>
    </row>
    <row r="1817" spans="1:5" x14ac:dyDescent="0.25">
      <c r="A1817" s="138">
        <v>552007</v>
      </c>
      <c r="B1817">
        <v>157</v>
      </c>
      <c r="C1817">
        <v>6</v>
      </c>
      <c r="D1817">
        <v>20</v>
      </c>
      <c r="E1817" s="2" t="str">
        <f t="shared" si="28"/>
        <v/>
      </c>
    </row>
    <row r="1818" spans="1:5" x14ac:dyDescent="0.25">
      <c r="A1818" s="138">
        <v>552008</v>
      </c>
      <c r="B1818">
        <v>157</v>
      </c>
      <c r="C1818">
        <v>6</v>
      </c>
      <c r="D1818">
        <v>20</v>
      </c>
      <c r="E1818" s="2" t="str">
        <f t="shared" si="28"/>
        <v/>
      </c>
    </row>
    <row r="1819" spans="1:5" x14ac:dyDescent="0.25">
      <c r="A1819" s="138">
        <v>552009</v>
      </c>
      <c r="B1819">
        <v>157</v>
      </c>
      <c r="C1819">
        <v>6</v>
      </c>
      <c r="D1819">
        <v>20</v>
      </c>
      <c r="E1819" s="2" t="str">
        <f t="shared" si="28"/>
        <v/>
      </c>
    </row>
    <row r="1820" spans="1:5" x14ac:dyDescent="0.25">
      <c r="A1820" s="138">
        <v>552010</v>
      </c>
      <c r="B1820">
        <v>157</v>
      </c>
      <c r="C1820">
        <v>6</v>
      </c>
      <c r="D1820">
        <v>20</v>
      </c>
      <c r="E1820" s="2" t="str">
        <f t="shared" si="28"/>
        <v/>
      </c>
    </row>
    <row r="1821" spans="1:5" x14ac:dyDescent="0.25">
      <c r="A1821" s="138">
        <v>552011</v>
      </c>
      <c r="B1821">
        <v>157</v>
      </c>
      <c r="C1821">
        <v>6</v>
      </c>
      <c r="D1821">
        <v>20</v>
      </c>
      <c r="E1821" s="2" t="str">
        <f t="shared" si="28"/>
        <v/>
      </c>
    </row>
    <row r="1822" spans="1:5" x14ac:dyDescent="0.25">
      <c r="A1822" s="138">
        <v>552012</v>
      </c>
      <c r="B1822">
        <v>157</v>
      </c>
      <c r="C1822">
        <v>6</v>
      </c>
      <c r="D1822">
        <v>20</v>
      </c>
      <c r="E1822" s="2" t="str">
        <f t="shared" si="28"/>
        <v/>
      </c>
    </row>
    <row r="1823" spans="1:5" x14ac:dyDescent="0.25">
      <c r="A1823" s="138">
        <v>552013</v>
      </c>
      <c r="B1823">
        <v>157</v>
      </c>
      <c r="C1823">
        <v>6</v>
      </c>
      <c r="D1823">
        <v>20</v>
      </c>
      <c r="E1823" s="2" t="str">
        <f t="shared" si="28"/>
        <v/>
      </c>
    </row>
    <row r="1824" spans="1:5" x14ac:dyDescent="0.25">
      <c r="A1824" s="138">
        <v>552014</v>
      </c>
      <c r="B1824">
        <v>157</v>
      </c>
      <c r="C1824">
        <v>6</v>
      </c>
      <c r="D1824">
        <v>20</v>
      </c>
      <c r="E1824" s="2" t="str">
        <f t="shared" si="28"/>
        <v/>
      </c>
    </row>
    <row r="1825" spans="1:5" x14ac:dyDescent="0.25">
      <c r="A1825" s="138">
        <v>552015</v>
      </c>
      <c r="B1825">
        <v>157</v>
      </c>
      <c r="C1825">
        <v>6</v>
      </c>
      <c r="D1825">
        <v>20</v>
      </c>
      <c r="E1825" s="2" t="str">
        <f t="shared" si="28"/>
        <v/>
      </c>
    </row>
    <row r="1826" spans="1:5" x14ac:dyDescent="0.25">
      <c r="A1826" s="138">
        <v>552016</v>
      </c>
      <c r="B1826">
        <v>157</v>
      </c>
      <c r="C1826">
        <v>6</v>
      </c>
      <c r="D1826">
        <v>20</v>
      </c>
      <c r="E1826" s="2" t="str">
        <f t="shared" si="28"/>
        <v/>
      </c>
    </row>
    <row r="1827" spans="1:5" x14ac:dyDescent="0.25">
      <c r="A1827" s="138">
        <v>552017</v>
      </c>
      <c r="B1827">
        <v>157</v>
      </c>
      <c r="C1827">
        <v>6</v>
      </c>
      <c r="D1827">
        <v>20</v>
      </c>
      <c r="E1827" s="2" t="str">
        <f t="shared" si="28"/>
        <v/>
      </c>
    </row>
    <row r="1828" spans="1:5" x14ac:dyDescent="0.25">
      <c r="A1828" s="138">
        <v>552018</v>
      </c>
      <c r="B1828">
        <v>157</v>
      </c>
      <c r="C1828">
        <v>6</v>
      </c>
      <c r="D1828">
        <v>20</v>
      </c>
      <c r="E1828" s="2" t="str">
        <f t="shared" si="28"/>
        <v/>
      </c>
    </row>
    <row r="1829" spans="1:5" x14ac:dyDescent="0.25">
      <c r="A1829" s="138">
        <v>552019</v>
      </c>
      <c r="B1829">
        <v>157</v>
      </c>
      <c r="C1829">
        <v>6</v>
      </c>
      <c r="D1829">
        <v>20</v>
      </c>
      <c r="E1829" s="2" t="str">
        <f t="shared" si="28"/>
        <v/>
      </c>
    </row>
    <row r="1830" spans="1:5" x14ac:dyDescent="0.25">
      <c r="A1830" s="138">
        <v>552020</v>
      </c>
      <c r="B1830">
        <v>157</v>
      </c>
      <c r="C1830">
        <v>6</v>
      </c>
      <c r="D1830">
        <v>20</v>
      </c>
      <c r="E1830" s="2" t="str">
        <f t="shared" si="28"/>
        <v/>
      </c>
    </row>
    <row r="1831" spans="1:5" x14ac:dyDescent="0.25">
      <c r="A1831" s="138">
        <v>552021</v>
      </c>
      <c r="B1831">
        <v>157</v>
      </c>
      <c r="C1831">
        <v>6</v>
      </c>
      <c r="D1831">
        <v>20</v>
      </c>
      <c r="E1831" s="2" t="str">
        <f t="shared" si="28"/>
        <v/>
      </c>
    </row>
    <row r="1832" spans="1:5" x14ac:dyDescent="0.25">
      <c r="A1832" s="138">
        <v>552022</v>
      </c>
      <c r="B1832">
        <v>157</v>
      </c>
      <c r="C1832">
        <v>6</v>
      </c>
      <c r="D1832">
        <v>20</v>
      </c>
      <c r="E1832" s="2" t="str">
        <f t="shared" si="28"/>
        <v/>
      </c>
    </row>
    <row r="1833" spans="1:5" x14ac:dyDescent="0.25">
      <c r="A1833" s="138">
        <v>552023</v>
      </c>
      <c r="B1833">
        <v>157</v>
      </c>
      <c r="C1833">
        <v>6</v>
      </c>
      <c r="D1833">
        <v>20</v>
      </c>
      <c r="E1833" s="2" t="str">
        <f t="shared" si="28"/>
        <v/>
      </c>
    </row>
    <row r="1834" spans="1:5" x14ac:dyDescent="0.25">
      <c r="A1834" s="138">
        <v>552024</v>
      </c>
      <c r="B1834">
        <v>157</v>
      </c>
      <c r="C1834">
        <v>6</v>
      </c>
      <c r="D1834">
        <v>20</v>
      </c>
      <c r="E1834" s="2" t="str">
        <f t="shared" si="28"/>
        <v/>
      </c>
    </row>
    <row r="1835" spans="1:5" x14ac:dyDescent="0.25">
      <c r="A1835" s="138">
        <v>552025</v>
      </c>
      <c r="B1835">
        <v>157</v>
      </c>
      <c r="C1835">
        <v>6</v>
      </c>
      <c r="D1835">
        <v>20</v>
      </c>
      <c r="E1835" s="2" t="str">
        <f t="shared" si="28"/>
        <v/>
      </c>
    </row>
    <row r="1836" spans="1:5" x14ac:dyDescent="0.25">
      <c r="A1836" s="138">
        <v>552026</v>
      </c>
      <c r="B1836">
        <v>157</v>
      </c>
      <c r="C1836">
        <v>6</v>
      </c>
      <c r="D1836">
        <v>20</v>
      </c>
      <c r="E1836" s="2" t="str">
        <f t="shared" si="28"/>
        <v/>
      </c>
    </row>
    <row r="1837" spans="1:5" x14ac:dyDescent="0.25">
      <c r="A1837" s="138">
        <v>552027</v>
      </c>
      <c r="B1837">
        <v>157</v>
      </c>
      <c r="C1837">
        <v>6</v>
      </c>
      <c r="D1837">
        <v>20</v>
      </c>
      <c r="E1837" s="2" t="str">
        <f t="shared" si="28"/>
        <v/>
      </c>
    </row>
    <row r="1838" spans="1:5" x14ac:dyDescent="0.25">
      <c r="A1838" s="138">
        <v>552028</v>
      </c>
      <c r="B1838">
        <v>157</v>
      </c>
      <c r="C1838">
        <v>6</v>
      </c>
      <c r="D1838">
        <v>20</v>
      </c>
      <c r="E1838" s="2" t="str">
        <f t="shared" si="28"/>
        <v/>
      </c>
    </row>
    <row r="1839" spans="1:5" x14ac:dyDescent="0.25">
      <c r="A1839" s="138">
        <v>552029</v>
      </c>
      <c r="B1839">
        <v>157</v>
      </c>
      <c r="C1839">
        <v>6</v>
      </c>
      <c r="D1839">
        <v>20</v>
      </c>
      <c r="E1839" s="2" t="str">
        <f t="shared" si="28"/>
        <v/>
      </c>
    </row>
    <row r="1840" spans="1:5" x14ac:dyDescent="0.25">
      <c r="A1840" s="138">
        <v>552030</v>
      </c>
      <c r="B1840">
        <v>157</v>
      </c>
      <c r="C1840">
        <v>6</v>
      </c>
      <c r="D1840">
        <v>20</v>
      </c>
      <c r="E1840" s="2" t="str">
        <f t="shared" si="28"/>
        <v/>
      </c>
    </row>
    <row r="1841" spans="1:5" x14ac:dyDescent="0.25">
      <c r="A1841" s="138">
        <v>552031</v>
      </c>
      <c r="B1841">
        <v>157</v>
      </c>
      <c r="C1841">
        <v>6</v>
      </c>
      <c r="D1841">
        <v>20</v>
      </c>
      <c r="E1841" s="2" t="str">
        <f t="shared" si="28"/>
        <v/>
      </c>
    </row>
    <row r="1842" spans="1:5" x14ac:dyDescent="0.25">
      <c r="A1842" s="138">
        <v>552032</v>
      </c>
      <c r="B1842">
        <v>157</v>
      </c>
      <c r="C1842">
        <v>6</v>
      </c>
      <c r="D1842">
        <v>20</v>
      </c>
      <c r="E1842" s="2" t="str">
        <f t="shared" si="28"/>
        <v/>
      </c>
    </row>
    <row r="1843" spans="1:5" x14ac:dyDescent="0.25">
      <c r="A1843" s="138">
        <v>552033</v>
      </c>
      <c r="B1843">
        <v>157</v>
      </c>
      <c r="C1843">
        <v>6</v>
      </c>
      <c r="D1843">
        <v>20</v>
      </c>
      <c r="E1843" s="2" t="str">
        <f t="shared" si="28"/>
        <v/>
      </c>
    </row>
    <row r="1844" spans="1:5" x14ac:dyDescent="0.25">
      <c r="A1844" s="138">
        <v>552034</v>
      </c>
      <c r="B1844">
        <v>157</v>
      </c>
      <c r="C1844">
        <v>6</v>
      </c>
      <c r="D1844">
        <v>20</v>
      </c>
      <c r="E1844" s="2" t="str">
        <f t="shared" si="28"/>
        <v/>
      </c>
    </row>
    <row r="1845" spans="1:5" x14ac:dyDescent="0.25">
      <c r="A1845" s="138">
        <v>552035</v>
      </c>
      <c r="B1845">
        <v>157</v>
      </c>
      <c r="C1845">
        <v>6</v>
      </c>
      <c r="D1845">
        <v>20</v>
      </c>
      <c r="E1845" s="2" t="str">
        <f t="shared" si="28"/>
        <v/>
      </c>
    </row>
    <row r="1846" spans="1:5" x14ac:dyDescent="0.25">
      <c r="A1846" s="138">
        <v>552036</v>
      </c>
      <c r="B1846">
        <v>157</v>
      </c>
      <c r="C1846">
        <v>6</v>
      </c>
      <c r="D1846">
        <v>20</v>
      </c>
      <c r="E1846" s="2" t="str">
        <f t="shared" si="28"/>
        <v/>
      </c>
    </row>
    <row r="1847" spans="1:5" x14ac:dyDescent="0.25">
      <c r="A1847" s="138">
        <v>552037</v>
      </c>
      <c r="B1847">
        <v>157</v>
      </c>
      <c r="C1847">
        <v>6</v>
      </c>
      <c r="D1847">
        <v>20</v>
      </c>
      <c r="E1847" s="2" t="str">
        <f t="shared" si="28"/>
        <v/>
      </c>
    </row>
    <row r="1848" spans="1:5" x14ac:dyDescent="0.25">
      <c r="A1848" s="138">
        <v>552038</v>
      </c>
      <c r="B1848">
        <v>157</v>
      </c>
      <c r="C1848">
        <v>6</v>
      </c>
      <c r="D1848">
        <v>20</v>
      </c>
      <c r="E1848" s="2" t="str">
        <f t="shared" si="28"/>
        <v/>
      </c>
    </row>
    <row r="1849" spans="1:5" x14ac:dyDescent="0.25">
      <c r="A1849" s="138">
        <v>552039</v>
      </c>
      <c r="B1849">
        <v>157</v>
      </c>
      <c r="C1849">
        <v>6</v>
      </c>
      <c r="D1849">
        <v>20</v>
      </c>
      <c r="E1849" s="2" t="str">
        <f t="shared" si="28"/>
        <v/>
      </c>
    </row>
    <row r="1850" spans="1:5" x14ac:dyDescent="0.25">
      <c r="A1850" s="138">
        <v>552040</v>
      </c>
      <c r="B1850">
        <v>157</v>
      </c>
      <c r="C1850">
        <v>6</v>
      </c>
      <c r="D1850">
        <v>20</v>
      </c>
      <c r="E1850" s="2" t="str">
        <f t="shared" si="28"/>
        <v/>
      </c>
    </row>
    <row r="1851" spans="1:5" x14ac:dyDescent="0.25">
      <c r="A1851" s="138">
        <v>552041</v>
      </c>
      <c r="B1851">
        <v>157</v>
      </c>
      <c r="C1851">
        <v>6</v>
      </c>
      <c r="D1851">
        <v>20</v>
      </c>
      <c r="E1851" s="2" t="str">
        <f t="shared" si="28"/>
        <v/>
      </c>
    </row>
    <row r="1852" spans="1:5" x14ac:dyDescent="0.25">
      <c r="A1852" s="138">
        <v>552042</v>
      </c>
      <c r="B1852">
        <v>157</v>
      </c>
      <c r="C1852">
        <v>6</v>
      </c>
      <c r="D1852">
        <v>20</v>
      </c>
      <c r="E1852" s="2" t="str">
        <f t="shared" si="28"/>
        <v/>
      </c>
    </row>
    <row r="1853" spans="1:5" x14ac:dyDescent="0.25">
      <c r="A1853" s="138">
        <v>552043</v>
      </c>
      <c r="B1853">
        <v>157</v>
      </c>
      <c r="C1853">
        <v>6</v>
      </c>
      <c r="D1853">
        <v>20</v>
      </c>
      <c r="E1853" s="2" t="str">
        <f t="shared" si="28"/>
        <v/>
      </c>
    </row>
    <row r="1854" spans="1:5" x14ac:dyDescent="0.25">
      <c r="A1854" s="138">
        <v>552044</v>
      </c>
      <c r="B1854">
        <v>157</v>
      </c>
      <c r="C1854">
        <v>6</v>
      </c>
      <c r="D1854">
        <v>20</v>
      </c>
      <c r="E1854" s="2" t="str">
        <f t="shared" si="28"/>
        <v/>
      </c>
    </row>
    <row r="1855" spans="1:5" x14ac:dyDescent="0.25">
      <c r="A1855" s="138">
        <v>552045</v>
      </c>
      <c r="B1855">
        <v>157</v>
      </c>
      <c r="C1855">
        <v>6</v>
      </c>
      <c r="D1855">
        <v>20</v>
      </c>
      <c r="E1855" s="2" t="str">
        <f t="shared" si="28"/>
        <v/>
      </c>
    </row>
    <row r="1856" spans="1:5" x14ac:dyDescent="0.25">
      <c r="A1856" s="138">
        <v>552046</v>
      </c>
      <c r="B1856">
        <v>157</v>
      </c>
      <c r="C1856">
        <v>6</v>
      </c>
      <c r="D1856">
        <v>20</v>
      </c>
      <c r="E1856" s="2" t="str">
        <f t="shared" si="28"/>
        <v/>
      </c>
    </row>
    <row r="1857" spans="1:5" x14ac:dyDescent="0.25">
      <c r="A1857" s="138">
        <v>552047</v>
      </c>
      <c r="B1857">
        <v>157</v>
      </c>
      <c r="C1857">
        <v>6</v>
      </c>
      <c r="D1857">
        <v>20</v>
      </c>
      <c r="E1857" s="2" t="str">
        <f t="shared" si="28"/>
        <v/>
      </c>
    </row>
    <row r="1858" spans="1:5" x14ac:dyDescent="0.25">
      <c r="A1858" s="138">
        <v>552048</v>
      </c>
      <c r="B1858">
        <v>157</v>
      </c>
      <c r="C1858">
        <v>6</v>
      </c>
      <c r="D1858">
        <v>20</v>
      </c>
      <c r="E1858" s="2" t="str">
        <f t="shared" si="28"/>
        <v/>
      </c>
    </row>
    <row r="1859" spans="1:5" x14ac:dyDescent="0.25">
      <c r="A1859" s="138">
        <v>552049</v>
      </c>
      <c r="B1859">
        <v>157</v>
      </c>
      <c r="C1859">
        <v>6</v>
      </c>
      <c r="D1859">
        <v>20</v>
      </c>
      <c r="E1859" s="2" t="str">
        <f t="shared" ref="E1859:E1922" si="29">IF(B1859=B1858,IF(C1858=C1859,"",1),"")</f>
        <v/>
      </c>
    </row>
    <row r="1860" spans="1:5" x14ac:dyDescent="0.25">
      <c r="A1860" s="138">
        <v>552050</v>
      </c>
      <c r="B1860">
        <v>157</v>
      </c>
      <c r="C1860">
        <v>6</v>
      </c>
      <c r="D1860">
        <v>20</v>
      </c>
      <c r="E1860" s="2" t="str">
        <f t="shared" si="29"/>
        <v/>
      </c>
    </row>
    <row r="1861" spans="1:5" x14ac:dyDescent="0.25">
      <c r="A1861" s="138">
        <v>552051</v>
      </c>
      <c r="B1861">
        <v>157</v>
      </c>
      <c r="C1861">
        <v>6</v>
      </c>
      <c r="D1861">
        <v>20</v>
      </c>
      <c r="E1861" s="2" t="str">
        <f t="shared" si="29"/>
        <v/>
      </c>
    </row>
    <row r="1862" spans="1:5" x14ac:dyDescent="0.25">
      <c r="A1862" s="138">
        <v>552052</v>
      </c>
      <c r="B1862">
        <v>157</v>
      </c>
      <c r="C1862">
        <v>6</v>
      </c>
      <c r="D1862">
        <v>20</v>
      </c>
      <c r="E1862" s="2" t="str">
        <f t="shared" si="29"/>
        <v/>
      </c>
    </row>
    <row r="1863" spans="1:5" x14ac:dyDescent="0.25">
      <c r="A1863" s="138">
        <v>552053</v>
      </c>
      <c r="B1863">
        <v>157</v>
      </c>
      <c r="C1863">
        <v>6</v>
      </c>
      <c r="D1863">
        <v>20</v>
      </c>
      <c r="E1863" s="2" t="str">
        <f t="shared" si="29"/>
        <v/>
      </c>
    </row>
    <row r="1864" spans="1:5" x14ac:dyDescent="0.25">
      <c r="A1864" s="138">
        <v>552054</v>
      </c>
      <c r="B1864">
        <v>157</v>
      </c>
      <c r="C1864">
        <v>6</v>
      </c>
      <c r="D1864">
        <v>20</v>
      </c>
      <c r="E1864" s="2" t="str">
        <f t="shared" si="29"/>
        <v/>
      </c>
    </row>
    <row r="1865" spans="1:5" x14ac:dyDescent="0.25">
      <c r="A1865" s="138">
        <v>552055</v>
      </c>
      <c r="B1865">
        <v>157</v>
      </c>
      <c r="C1865">
        <v>6</v>
      </c>
      <c r="D1865">
        <v>20</v>
      </c>
      <c r="E1865" s="2" t="str">
        <f t="shared" si="29"/>
        <v/>
      </c>
    </row>
    <row r="1866" spans="1:5" x14ac:dyDescent="0.25">
      <c r="A1866" s="138">
        <v>552056</v>
      </c>
      <c r="B1866">
        <v>157</v>
      </c>
      <c r="C1866">
        <v>6</v>
      </c>
      <c r="D1866">
        <v>20</v>
      </c>
      <c r="E1866" s="2" t="str">
        <f t="shared" si="29"/>
        <v/>
      </c>
    </row>
    <row r="1867" spans="1:5" x14ac:dyDescent="0.25">
      <c r="A1867" s="138">
        <v>552057</v>
      </c>
      <c r="B1867">
        <v>157</v>
      </c>
      <c r="C1867">
        <v>6</v>
      </c>
      <c r="D1867">
        <v>20</v>
      </c>
      <c r="E1867" s="2" t="str">
        <f t="shared" si="29"/>
        <v/>
      </c>
    </row>
    <row r="1868" spans="1:5" x14ac:dyDescent="0.25">
      <c r="A1868" s="138">
        <v>552058</v>
      </c>
      <c r="B1868">
        <v>157</v>
      </c>
      <c r="C1868">
        <v>6</v>
      </c>
      <c r="D1868">
        <v>20</v>
      </c>
      <c r="E1868" s="2" t="str">
        <f t="shared" si="29"/>
        <v/>
      </c>
    </row>
    <row r="1869" spans="1:5" x14ac:dyDescent="0.25">
      <c r="A1869" s="138">
        <v>552059</v>
      </c>
      <c r="B1869">
        <v>157</v>
      </c>
      <c r="C1869">
        <v>6</v>
      </c>
      <c r="D1869">
        <v>20</v>
      </c>
      <c r="E1869" s="2" t="str">
        <f t="shared" si="29"/>
        <v/>
      </c>
    </row>
    <row r="1870" spans="1:5" x14ac:dyDescent="0.25">
      <c r="A1870" s="138">
        <v>552060</v>
      </c>
      <c r="B1870">
        <v>157</v>
      </c>
      <c r="C1870">
        <v>6</v>
      </c>
      <c r="D1870">
        <v>20</v>
      </c>
      <c r="E1870" s="2" t="str">
        <f t="shared" si="29"/>
        <v/>
      </c>
    </row>
    <row r="1871" spans="1:5" x14ac:dyDescent="0.25">
      <c r="A1871" s="138">
        <v>552099</v>
      </c>
      <c r="B1871">
        <v>157</v>
      </c>
      <c r="C1871">
        <v>6</v>
      </c>
      <c r="D1871">
        <v>20</v>
      </c>
      <c r="E1871" s="2" t="str">
        <f t="shared" si="29"/>
        <v/>
      </c>
    </row>
    <row r="1872" spans="1:5" x14ac:dyDescent="0.25">
      <c r="A1872" s="138">
        <v>561000</v>
      </c>
      <c r="B1872">
        <v>142</v>
      </c>
      <c r="C1872">
        <v>7</v>
      </c>
      <c r="D1872">
        <v>21</v>
      </c>
      <c r="E1872" s="2" t="str">
        <f t="shared" si="29"/>
        <v/>
      </c>
    </row>
    <row r="1873" spans="1:5" x14ac:dyDescent="0.25">
      <c r="A1873" s="138">
        <v>561001</v>
      </c>
      <c r="B1873">
        <v>142</v>
      </c>
      <c r="C1873">
        <v>7</v>
      </c>
      <c r="D1873">
        <v>21</v>
      </c>
      <c r="E1873" s="2" t="str">
        <f t="shared" si="29"/>
        <v/>
      </c>
    </row>
    <row r="1874" spans="1:5" x14ac:dyDescent="0.25">
      <c r="A1874" s="138">
        <v>561002</v>
      </c>
      <c r="B1874">
        <v>142</v>
      </c>
      <c r="C1874">
        <v>7</v>
      </c>
      <c r="D1874">
        <v>21</v>
      </c>
      <c r="E1874" s="2" t="str">
        <f t="shared" si="29"/>
        <v/>
      </c>
    </row>
    <row r="1875" spans="1:5" x14ac:dyDescent="0.25">
      <c r="A1875" s="138">
        <v>561003</v>
      </c>
      <c r="B1875">
        <v>142</v>
      </c>
      <c r="C1875">
        <v>7</v>
      </c>
      <c r="D1875">
        <v>21</v>
      </c>
      <c r="E1875" s="2" t="str">
        <f t="shared" si="29"/>
        <v/>
      </c>
    </row>
    <row r="1876" spans="1:5" x14ac:dyDescent="0.25">
      <c r="A1876" s="138">
        <v>561004</v>
      </c>
      <c r="B1876">
        <v>142</v>
      </c>
      <c r="C1876">
        <v>7</v>
      </c>
      <c r="D1876">
        <v>21</v>
      </c>
      <c r="E1876" s="2" t="str">
        <f t="shared" si="29"/>
        <v/>
      </c>
    </row>
    <row r="1877" spans="1:5" x14ac:dyDescent="0.25">
      <c r="A1877" s="138">
        <v>561005</v>
      </c>
      <c r="B1877">
        <v>142</v>
      </c>
      <c r="C1877">
        <v>7</v>
      </c>
      <c r="D1877">
        <v>21</v>
      </c>
      <c r="E1877" s="2" t="str">
        <f t="shared" si="29"/>
        <v/>
      </c>
    </row>
    <row r="1878" spans="1:5" x14ac:dyDescent="0.25">
      <c r="A1878" s="138">
        <v>561006</v>
      </c>
      <c r="B1878">
        <v>142</v>
      </c>
      <c r="C1878">
        <v>7</v>
      </c>
      <c r="D1878">
        <v>21</v>
      </c>
      <c r="E1878" s="2" t="str">
        <f t="shared" si="29"/>
        <v/>
      </c>
    </row>
    <row r="1879" spans="1:5" x14ac:dyDescent="0.25">
      <c r="A1879" s="138">
        <v>561007</v>
      </c>
      <c r="B1879">
        <v>142</v>
      </c>
      <c r="C1879">
        <v>7</v>
      </c>
      <c r="D1879">
        <v>21</v>
      </c>
      <c r="E1879" s="2" t="str">
        <f t="shared" si="29"/>
        <v/>
      </c>
    </row>
    <row r="1880" spans="1:5" x14ac:dyDescent="0.25">
      <c r="A1880" s="138">
        <v>561008</v>
      </c>
      <c r="B1880">
        <v>142</v>
      </c>
      <c r="C1880">
        <v>7</v>
      </c>
      <c r="D1880">
        <v>21</v>
      </c>
      <c r="E1880" s="2" t="str">
        <f t="shared" si="29"/>
        <v/>
      </c>
    </row>
    <row r="1881" spans="1:5" x14ac:dyDescent="0.25">
      <c r="A1881" s="138">
        <v>561009</v>
      </c>
      <c r="B1881">
        <v>142</v>
      </c>
      <c r="C1881">
        <v>7</v>
      </c>
      <c r="D1881">
        <v>21</v>
      </c>
      <c r="E1881" s="2" t="str">
        <f t="shared" si="29"/>
        <v/>
      </c>
    </row>
    <row r="1882" spans="1:5" x14ac:dyDescent="0.25">
      <c r="A1882" s="138">
        <v>561010</v>
      </c>
      <c r="B1882">
        <v>142</v>
      </c>
      <c r="C1882">
        <v>7</v>
      </c>
      <c r="D1882">
        <v>21</v>
      </c>
      <c r="E1882" s="2" t="str">
        <f t="shared" si="29"/>
        <v/>
      </c>
    </row>
    <row r="1883" spans="1:5" x14ac:dyDescent="0.25">
      <c r="A1883" s="138">
        <v>561011</v>
      </c>
      <c r="B1883">
        <v>142</v>
      </c>
      <c r="C1883">
        <v>7</v>
      </c>
      <c r="D1883">
        <v>21</v>
      </c>
      <c r="E1883" s="2" t="str">
        <f t="shared" si="29"/>
        <v/>
      </c>
    </row>
    <row r="1884" spans="1:5" x14ac:dyDescent="0.25">
      <c r="A1884" s="138">
        <v>561012</v>
      </c>
      <c r="B1884">
        <v>142</v>
      </c>
      <c r="C1884">
        <v>7</v>
      </c>
      <c r="D1884">
        <v>21</v>
      </c>
      <c r="E1884" s="2" t="str">
        <f t="shared" si="29"/>
        <v/>
      </c>
    </row>
    <row r="1885" spans="1:5" x14ac:dyDescent="0.25">
      <c r="A1885" s="138">
        <v>561013</v>
      </c>
      <c r="B1885">
        <v>142</v>
      </c>
      <c r="C1885">
        <v>7</v>
      </c>
      <c r="D1885">
        <v>21</v>
      </c>
      <c r="E1885" s="2" t="str">
        <f t="shared" si="29"/>
        <v/>
      </c>
    </row>
    <row r="1886" spans="1:5" x14ac:dyDescent="0.25">
      <c r="A1886" s="138">
        <v>561014</v>
      </c>
      <c r="B1886">
        <v>142</v>
      </c>
      <c r="C1886">
        <v>7</v>
      </c>
      <c r="D1886">
        <v>21</v>
      </c>
      <c r="E1886" s="2" t="str">
        <f t="shared" si="29"/>
        <v/>
      </c>
    </row>
    <row r="1887" spans="1:5" x14ac:dyDescent="0.25">
      <c r="A1887" s="138">
        <v>561015</v>
      </c>
      <c r="B1887">
        <v>142</v>
      </c>
      <c r="C1887">
        <v>7</v>
      </c>
      <c r="D1887">
        <v>21</v>
      </c>
      <c r="E1887" s="2" t="str">
        <f t="shared" si="29"/>
        <v/>
      </c>
    </row>
    <row r="1888" spans="1:5" x14ac:dyDescent="0.25">
      <c r="A1888" s="138">
        <v>561016</v>
      </c>
      <c r="B1888">
        <v>142</v>
      </c>
      <c r="C1888">
        <v>7</v>
      </c>
      <c r="D1888">
        <v>21</v>
      </c>
      <c r="E1888" s="2" t="str">
        <f t="shared" si="29"/>
        <v/>
      </c>
    </row>
    <row r="1889" spans="1:5" x14ac:dyDescent="0.25">
      <c r="A1889" s="138">
        <v>561017</v>
      </c>
      <c r="B1889">
        <v>140</v>
      </c>
      <c r="C1889">
        <v>7</v>
      </c>
      <c r="D1889">
        <v>21</v>
      </c>
      <c r="E1889" s="2" t="str">
        <f t="shared" si="29"/>
        <v/>
      </c>
    </row>
    <row r="1890" spans="1:5" x14ac:dyDescent="0.25">
      <c r="A1890" s="138">
        <v>561018</v>
      </c>
      <c r="B1890">
        <v>140</v>
      </c>
      <c r="C1890">
        <v>7</v>
      </c>
      <c r="D1890">
        <v>21</v>
      </c>
      <c r="E1890" s="2" t="str">
        <f t="shared" si="29"/>
        <v/>
      </c>
    </row>
    <row r="1891" spans="1:5" x14ac:dyDescent="0.25">
      <c r="A1891" s="138">
        <v>561019</v>
      </c>
      <c r="B1891">
        <v>142</v>
      </c>
      <c r="C1891">
        <v>7</v>
      </c>
      <c r="D1891">
        <v>21</v>
      </c>
      <c r="E1891" s="2" t="str">
        <f t="shared" si="29"/>
        <v/>
      </c>
    </row>
    <row r="1892" spans="1:5" x14ac:dyDescent="0.25">
      <c r="A1892" s="138">
        <v>561020</v>
      </c>
      <c r="B1892">
        <v>142</v>
      </c>
      <c r="C1892">
        <v>7</v>
      </c>
      <c r="D1892">
        <v>21</v>
      </c>
      <c r="E1892" s="2" t="str">
        <f t="shared" si="29"/>
        <v/>
      </c>
    </row>
    <row r="1893" spans="1:5" x14ac:dyDescent="0.25">
      <c r="A1893" s="138">
        <v>561021</v>
      </c>
      <c r="B1893">
        <v>142</v>
      </c>
      <c r="C1893">
        <v>7</v>
      </c>
      <c r="D1893">
        <v>21</v>
      </c>
      <c r="E1893" s="2" t="str">
        <f t="shared" si="29"/>
        <v/>
      </c>
    </row>
    <row r="1894" spans="1:5" x14ac:dyDescent="0.25">
      <c r="A1894" s="138">
        <v>561022</v>
      </c>
      <c r="B1894">
        <v>140</v>
      </c>
      <c r="C1894">
        <v>7</v>
      </c>
      <c r="D1894">
        <v>21</v>
      </c>
      <c r="E1894" s="2" t="str">
        <f t="shared" si="29"/>
        <v/>
      </c>
    </row>
    <row r="1895" spans="1:5" x14ac:dyDescent="0.25">
      <c r="A1895" s="138">
        <v>561023</v>
      </c>
      <c r="B1895">
        <v>140</v>
      </c>
      <c r="C1895">
        <v>7</v>
      </c>
      <c r="D1895">
        <v>21</v>
      </c>
      <c r="E1895" s="2" t="str">
        <f t="shared" si="29"/>
        <v/>
      </c>
    </row>
    <row r="1896" spans="1:5" x14ac:dyDescent="0.25">
      <c r="A1896" s="138">
        <v>561024</v>
      </c>
      <c r="B1896">
        <v>140</v>
      </c>
      <c r="C1896">
        <v>7</v>
      </c>
      <c r="D1896">
        <v>21</v>
      </c>
      <c r="E1896" s="2" t="str">
        <f t="shared" si="29"/>
        <v/>
      </c>
    </row>
    <row r="1897" spans="1:5" x14ac:dyDescent="0.25">
      <c r="A1897" s="138">
        <v>561025</v>
      </c>
      <c r="B1897">
        <v>140</v>
      </c>
      <c r="C1897">
        <v>7</v>
      </c>
      <c r="D1897">
        <v>21</v>
      </c>
      <c r="E1897" s="2" t="str">
        <f t="shared" si="29"/>
        <v/>
      </c>
    </row>
    <row r="1898" spans="1:5" x14ac:dyDescent="0.25">
      <c r="A1898" s="138">
        <v>561026</v>
      </c>
      <c r="B1898">
        <v>140</v>
      </c>
      <c r="C1898">
        <v>7</v>
      </c>
      <c r="D1898">
        <v>21</v>
      </c>
      <c r="E1898" s="2" t="str">
        <f t="shared" si="29"/>
        <v/>
      </c>
    </row>
    <row r="1899" spans="1:5" x14ac:dyDescent="0.25">
      <c r="A1899" s="138">
        <v>561027</v>
      </c>
      <c r="B1899">
        <v>142</v>
      </c>
      <c r="C1899">
        <v>7</v>
      </c>
      <c r="D1899">
        <v>21</v>
      </c>
      <c r="E1899" s="2" t="str">
        <f t="shared" si="29"/>
        <v/>
      </c>
    </row>
    <row r="1900" spans="1:5" x14ac:dyDescent="0.25">
      <c r="A1900" s="138">
        <v>561028</v>
      </c>
      <c r="B1900">
        <v>142</v>
      </c>
      <c r="C1900">
        <v>7</v>
      </c>
      <c r="D1900">
        <v>21</v>
      </c>
      <c r="E1900" s="2" t="str">
        <f t="shared" si="29"/>
        <v/>
      </c>
    </row>
    <row r="1901" spans="1:5" x14ac:dyDescent="0.25">
      <c r="A1901" s="138">
        <v>561029</v>
      </c>
      <c r="B1901">
        <v>142</v>
      </c>
      <c r="C1901">
        <v>7</v>
      </c>
      <c r="D1901">
        <v>21</v>
      </c>
      <c r="E1901" s="2" t="str">
        <f t="shared" si="29"/>
        <v/>
      </c>
    </row>
    <row r="1902" spans="1:5" x14ac:dyDescent="0.25">
      <c r="A1902" s="138">
        <v>561030</v>
      </c>
      <c r="B1902">
        <v>142</v>
      </c>
      <c r="C1902">
        <v>7</v>
      </c>
      <c r="D1902">
        <v>21</v>
      </c>
      <c r="E1902" s="2" t="str">
        <f t="shared" si="29"/>
        <v/>
      </c>
    </row>
    <row r="1903" spans="1:5" x14ac:dyDescent="0.25">
      <c r="A1903" s="138">
        <v>561031</v>
      </c>
      <c r="B1903">
        <v>142</v>
      </c>
      <c r="C1903">
        <v>7</v>
      </c>
      <c r="D1903">
        <v>21</v>
      </c>
      <c r="E1903" s="2" t="str">
        <f t="shared" si="29"/>
        <v/>
      </c>
    </row>
    <row r="1904" spans="1:5" x14ac:dyDescent="0.25">
      <c r="A1904" s="138">
        <v>561032</v>
      </c>
      <c r="B1904">
        <v>142</v>
      </c>
      <c r="C1904">
        <v>7</v>
      </c>
      <c r="D1904">
        <v>21</v>
      </c>
      <c r="E1904" s="2" t="str">
        <f t="shared" si="29"/>
        <v/>
      </c>
    </row>
    <row r="1905" spans="1:5" x14ac:dyDescent="0.25">
      <c r="A1905" s="138">
        <v>561033</v>
      </c>
      <c r="B1905">
        <v>142</v>
      </c>
      <c r="C1905">
        <v>7</v>
      </c>
      <c r="D1905">
        <v>21</v>
      </c>
      <c r="E1905" s="2" t="str">
        <f t="shared" si="29"/>
        <v/>
      </c>
    </row>
    <row r="1906" spans="1:5" x14ac:dyDescent="0.25">
      <c r="A1906" s="138">
        <v>561034</v>
      </c>
      <c r="B1906">
        <v>142</v>
      </c>
      <c r="C1906">
        <v>7</v>
      </c>
      <c r="D1906">
        <v>21</v>
      </c>
      <c r="E1906" s="2" t="str">
        <f t="shared" si="29"/>
        <v/>
      </c>
    </row>
    <row r="1907" spans="1:5" x14ac:dyDescent="0.25">
      <c r="A1907" s="138">
        <v>561035</v>
      </c>
      <c r="B1907">
        <v>140</v>
      </c>
      <c r="C1907">
        <v>7</v>
      </c>
      <c r="D1907">
        <v>21</v>
      </c>
      <c r="E1907" s="2" t="str">
        <f t="shared" si="29"/>
        <v/>
      </c>
    </row>
    <row r="1908" spans="1:5" x14ac:dyDescent="0.25">
      <c r="A1908" s="138">
        <v>561036</v>
      </c>
      <c r="B1908">
        <v>142</v>
      </c>
      <c r="C1908">
        <v>7</v>
      </c>
      <c r="D1908">
        <v>21</v>
      </c>
      <c r="E1908" s="2" t="str">
        <f t="shared" si="29"/>
        <v/>
      </c>
    </row>
    <row r="1909" spans="1:5" x14ac:dyDescent="0.25">
      <c r="A1909" s="138">
        <v>561037</v>
      </c>
      <c r="B1909">
        <v>142</v>
      </c>
      <c r="C1909">
        <v>7</v>
      </c>
      <c r="D1909">
        <v>21</v>
      </c>
      <c r="E1909" s="2" t="str">
        <f t="shared" si="29"/>
        <v/>
      </c>
    </row>
    <row r="1910" spans="1:5" x14ac:dyDescent="0.25">
      <c r="A1910" s="138">
        <v>561038</v>
      </c>
      <c r="B1910">
        <v>142</v>
      </c>
      <c r="C1910">
        <v>7</v>
      </c>
      <c r="D1910">
        <v>21</v>
      </c>
      <c r="E1910" s="2" t="str">
        <f t="shared" si="29"/>
        <v/>
      </c>
    </row>
    <row r="1911" spans="1:5" x14ac:dyDescent="0.25">
      <c r="A1911" s="138">
        <v>561099</v>
      </c>
      <c r="B1911">
        <v>142</v>
      </c>
      <c r="C1911">
        <v>7</v>
      </c>
      <c r="D1911">
        <v>21</v>
      </c>
      <c r="E1911" s="2" t="str">
        <f t="shared" si="29"/>
        <v/>
      </c>
    </row>
    <row r="1912" spans="1:5" x14ac:dyDescent="0.25">
      <c r="A1912" s="138">
        <v>561100</v>
      </c>
      <c r="B1912">
        <v>142</v>
      </c>
      <c r="C1912">
        <v>7</v>
      </c>
      <c r="D1912">
        <v>21</v>
      </c>
      <c r="E1912" s="2" t="str">
        <f t="shared" si="29"/>
        <v/>
      </c>
    </row>
    <row r="1913" spans="1:5" x14ac:dyDescent="0.25">
      <c r="A1913" s="138">
        <v>561101</v>
      </c>
      <c r="B1913">
        <v>143</v>
      </c>
      <c r="C1913">
        <v>7</v>
      </c>
      <c r="D1913">
        <v>21</v>
      </c>
      <c r="E1913" s="2" t="str">
        <f t="shared" si="29"/>
        <v/>
      </c>
    </row>
    <row r="1914" spans="1:5" x14ac:dyDescent="0.25">
      <c r="A1914" s="138">
        <v>561102</v>
      </c>
      <c r="B1914">
        <v>157</v>
      </c>
      <c r="C1914">
        <v>7</v>
      </c>
      <c r="D1914">
        <v>21</v>
      </c>
      <c r="E1914" s="2" t="str">
        <f t="shared" si="29"/>
        <v/>
      </c>
    </row>
    <row r="1915" spans="1:5" x14ac:dyDescent="0.25">
      <c r="A1915" s="138">
        <v>561103</v>
      </c>
      <c r="B1915">
        <v>146</v>
      </c>
      <c r="C1915">
        <v>7</v>
      </c>
      <c r="D1915">
        <v>21</v>
      </c>
      <c r="E1915" s="2" t="str">
        <f t="shared" si="29"/>
        <v/>
      </c>
    </row>
    <row r="1916" spans="1:5" x14ac:dyDescent="0.25">
      <c r="A1916" s="138">
        <v>561104</v>
      </c>
      <c r="B1916">
        <v>142</v>
      </c>
      <c r="C1916">
        <v>7</v>
      </c>
      <c r="D1916">
        <v>21</v>
      </c>
      <c r="E1916" s="2" t="str">
        <f t="shared" si="29"/>
        <v/>
      </c>
    </row>
    <row r="1917" spans="1:5" x14ac:dyDescent="0.25">
      <c r="A1917" s="138">
        <v>561105</v>
      </c>
      <c r="B1917">
        <v>157</v>
      </c>
      <c r="C1917">
        <v>7</v>
      </c>
      <c r="D1917">
        <v>21</v>
      </c>
      <c r="E1917" s="2" t="str">
        <f t="shared" si="29"/>
        <v/>
      </c>
    </row>
    <row r="1918" spans="1:5" x14ac:dyDescent="0.25">
      <c r="A1918" s="138">
        <v>561106</v>
      </c>
      <c r="B1918">
        <v>142</v>
      </c>
      <c r="C1918">
        <v>7</v>
      </c>
      <c r="D1918">
        <v>21</v>
      </c>
      <c r="E1918" s="2" t="str">
        <f t="shared" si="29"/>
        <v/>
      </c>
    </row>
    <row r="1919" spans="1:5" x14ac:dyDescent="0.25">
      <c r="A1919" s="138">
        <v>561107</v>
      </c>
      <c r="B1919">
        <v>142</v>
      </c>
      <c r="C1919">
        <v>7</v>
      </c>
      <c r="D1919">
        <v>21</v>
      </c>
      <c r="E1919" s="2" t="str">
        <f t="shared" si="29"/>
        <v/>
      </c>
    </row>
    <row r="1920" spans="1:5" x14ac:dyDescent="0.25">
      <c r="A1920" s="138">
        <v>561108</v>
      </c>
      <c r="B1920">
        <v>142</v>
      </c>
      <c r="C1920">
        <v>7</v>
      </c>
      <c r="D1920">
        <v>21</v>
      </c>
      <c r="E1920" s="2" t="str">
        <f t="shared" si="29"/>
        <v/>
      </c>
    </row>
    <row r="1921" spans="1:5" x14ac:dyDescent="0.25">
      <c r="A1921" s="138">
        <v>561109</v>
      </c>
      <c r="B1921">
        <v>142</v>
      </c>
      <c r="C1921">
        <v>7</v>
      </c>
      <c r="D1921">
        <v>21</v>
      </c>
      <c r="E1921" s="2" t="str">
        <f t="shared" si="29"/>
        <v/>
      </c>
    </row>
    <row r="1922" spans="1:5" x14ac:dyDescent="0.25">
      <c r="A1922" s="138">
        <v>561110</v>
      </c>
      <c r="B1922">
        <v>157</v>
      </c>
      <c r="C1922">
        <v>7</v>
      </c>
      <c r="D1922">
        <v>21</v>
      </c>
      <c r="E1922" s="2" t="str">
        <f t="shared" si="29"/>
        <v/>
      </c>
    </row>
    <row r="1923" spans="1:5" x14ac:dyDescent="0.25">
      <c r="A1923" s="138">
        <v>561111</v>
      </c>
      <c r="B1923">
        <v>146</v>
      </c>
      <c r="C1923">
        <v>7</v>
      </c>
      <c r="D1923">
        <v>21</v>
      </c>
      <c r="E1923" s="2" t="str">
        <f t="shared" ref="E1923:E1986" si="30">IF(B1923=B1922,IF(C1922=C1923,"",1),"")</f>
        <v/>
      </c>
    </row>
    <row r="1924" spans="1:5" x14ac:dyDescent="0.25">
      <c r="A1924" s="138">
        <v>561112</v>
      </c>
      <c r="B1924">
        <v>116</v>
      </c>
      <c r="C1924">
        <v>7</v>
      </c>
      <c r="D1924">
        <v>21</v>
      </c>
      <c r="E1924" s="2" t="str">
        <f t="shared" si="30"/>
        <v/>
      </c>
    </row>
    <row r="1925" spans="1:5" x14ac:dyDescent="0.25">
      <c r="A1925" s="138">
        <v>561113</v>
      </c>
      <c r="B1925">
        <v>157</v>
      </c>
      <c r="C1925">
        <v>7</v>
      </c>
      <c r="D1925">
        <v>21</v>
      </c>
      <c r="E1925" s="2" t="str">
        <f t="shared" si="30"/>
        <v/>
      </c>
    </row>
    <row r="1926" spans="1:5" x14ac:dyDescent="0.25">
      <c r="A1926" s="138">
        <v>561114</v>
      </c>
      <c r="B1926">
        <v>146</v>
      </c>
      <c r="C1926">
        <v>7</v>
      </c>
      <c r="D1926">
        <v>21</v>
      </c>
      <c r="E1926" s="2" t="str">
        <f t="shared" si="30"/>
        <v/>
      </c>
    </row>
    <row r="1927" spans="1:5" x14ac:dyDescent="0.25">
      <c r="A1927" s="138">
        <v>561115</v>
      </c>
      <c r="B1927">
        <v>143</v>
      </c>
      <c r="C1927">
        <v>7</v>
      </c>
      <c r="D1927">
        <v>21</v>
      </c>
      <c r="E1927" s="2" t="str">
        <f t="shared" si="30"/>
        <v/>
      </c>
    </row>
    <row r="1928" spans="1:5" x14ac:dyDescent="0.25">
      <c r="A1928" s="138">
        <v>561116</v>
      </c>
      <c r="B1928">
        <v>142</v>
      </c>
      <c r="C1928">
        <v>7</v>
      </c>
      <c r="D1928">
        <v>21</v>
      </c>
      <c r="E1928" s="2" t="str">
        <f t="shared" si="30"/>
        <v/>
      </c>
    </row>
    <row r="1929" spans="1:5" x14ac:dyDescent="0.25">
      <c r="A1929" s="138">
        <v>561117</v>
      </c>
      <c r="B1929">
        <v>142</v>
      </c>
      <c r="C1929">
        <v>7</v>
      </c>
      <c r="D1929">
        <v>21</v>
      </c>
      <c r="E1929" s="2" t="str">
        <f t="shared" si="30"/>
        <v/>
      </c>
    </row>
    <row r="1930" spans="1:5" x14ac:dyDescent="0.25">
      <c r="A1930" s="138">
        <v>561118</v>
      </c>
      <c r="B1930">
        <v>142</v>
      </c>
      <c r="C1930">
        <v>7</v>
      </c>
      <c r="D1930">
        <v>21</v>
      </c>
      <c r="E1930" s="2" t="str">
        <f t="shared" si="30"/>
        <v/>
      </c>
    </row>
    <row r="1931" spans="1:5" x14ac:dyDescent="0.25">
      <c r="A1931" s="138">
        <v>561119</v>
      </c>
      <c r="B1931">
        <v>157</v>
      </c>
      <c r="C1931">
        <v>7</v>
      </c>
      <c r="D1931">
        <v>21</v>
      </c>
      <c r="E1931" s="2" t="str">
        <f t="shared" si="30"/>
        <v/>
      </c>
    </row>
    <row r="1932" spans="1:5" x14ac:dyDescent="0.25">
      <c r="A1932" s="138">
        <v>561120</v>
      </c>
      <c r="B1932">
        <v>127</v>
      </c>
      <c r="C1932">
        <v>7</v>
      </c>
      <c r="D1932">
        <v>21</v>
      </c>
      <c r="E1932" s="2" t="str">
        <f t="shared" si="30"/>
        <v/>
      </c>
    </row>
    <row r="1933" spans="1:5" x14ac:dyDescent="0.25">
      <c r="A1933" s="138">
        <v>561121</v>
      </c>
      <c r="B1933">
        <v>129</v>
      </c>
      <c r="C1933">
        <v>7</v>
      </c>
      <c r="D1933">
        <v>21</v>
      </c>
      <c r="E1933" s="2" t="str">
        <f t="shared" si="30"/>
        <v/>
      </c>
    </row>
    <row r="1934" spans="1:5" x14ac:dyDescent="0.25">
      <c r="A1934" s="138">
        <v>561122</v>
      </c>
      <c r="B1934">
        <v>146</v>
      </c>
      <c r="C1934">
        <v>7</v>
      </c>
      <c r="D1934">
        <v>21</v>
      </c>
      <c r="E1934" s="2" t="str">
        <f t="shared" si="30"/>
        <v/>
      </c>
    </row>
    <row r="1935" spans="1:5" x14ac:dyDescent="0.25">
      <c r="A1935" s="138">
        <v>561123</v>
      </c>
      <c r="B1935">
        <v>143</v>
      </c>
      <c r="C1935">
        <v>7</v>
      </c>
      <c r="D1935">
        <v>21</v>
      </c>
      <c r="E1935" s="2" t="str">
        <f t="shared" si="30"/>
        <v/>
      </c>
    </row>
    <row r="1936" spans="1:5" x14ac:dyDescent="0.25">
      <c r="A1936" s="138">
        <v>561124</v>
      </c>
      <c r="B1936">
        <v>143</v>
      </c>
      <c r="C1936">
        <v>7</v>
      </c>
      <c r="D1936">
        <v>21</v>
      </c>
      <c r="E1936" s="2" t="str">
        <f t="shared" si="30"/>
        <v/>
      </c>
    </row>
    <row r="1937" spans="1:5" x14ac:dyDescent="0.25">
      <c r="A1937" s="138">
        <v>561125</v>
      </c>
      <c r="B1937">
        <v>157</v>
      </c>
      <c r="C1937">
        <v>7</v>
      </c>
      <c r="D1937">
        <v>21</v>
      </c>
      <c r="E1937" s="2" t="str">
        <f t="shared" si="30"/>
        <v/>
      </c>
    </row>
    <row r="1938" spans="1:5" x14ac:dyDescent="0.25">
      <c r="A1938" s="138">
        <v>561126</v>
      </c>
      <c r="B1938">
        <v>146</v>
      </c>
      <c r="C1938">
        <v>7</v>
      </c>
      <c r="D1938">
        <v>21</v>
      </c>
      <c r="E1938" s="2" t="str">
        <f t="shared" si="30"/>
        <v/>
      </c>
    </row>
    <row r="1939" spans="1:5" x14ac:dyDescent="0.25">
      <c r="A1939" s="138">
        <v>561127</v>
      </c>
      <c r="B1939">
        <v>116</v>
      </c>
      <c r="C1939">
        <v>7</v>
      </c>
      <c r="D1939">
        <v>21</v>
      </c>
      <c r="E1939" s="2" t="str">
        <f t="shared" si="30"/>
        <v/>
      </c>
    </row>
    <row r="1940" spans="1:5" x14ac:dyDescent="0.25">
      <c r="A1940" s="138">
        <v>561128</v>
      </c>
      <c r="B1940">
        <v>157</v>
      </c>
      <c r="C1940">
        <v>7</v>
      </c>
      <c r="D1940">
        <v>21</v>
      </c>
      <c r="E1940" s="2" t="str">
        <f t="shared" si="30"/>
        <v/>
      </c>
    </row>
    <row r="1941" spans="1:5" x14ac:dyDescent="0.25">
      <c r="A1941" s="138">
        <v>561129</v>
      </c>
      <c r="B1941">
        <v>146</v>
      </c>
      <c r="C1941">
        <v>7</v>
      </c>
      <c r="D1941">
        <v>21</v>
      </c>
      <c r="E1941" s="2" t="str">
        <f t="shared" si="30"/>
        <v/>
      </c>
    </row>
    <row r="1942" spans="1:5" x14ac:dyDescent="0.25">
      <c r="A1942" s="138">
        <v>561130</v>
      </c>
      <c r="B1942">
        <v>129</v>
      </c>
      <c r="C1942">
        <v>7</v>
      </c>
      <c r="D1942">
        <v>21</v>
      </c>
      <c r="E1942" s="2" t="str">
        <f t="shared" si="30"/>
        <v/>
      </c>
    </row>
    <row r="1943" spans="1:5" x14ac:dyDescent="0.25">
      <c r="A1943" s="138">
        <v>561131</v>
      </c>
      <c r="B1943">
        <v>129</v>
      </c>
      <c r="C1943">
        <v>7</v>
      </c>
      <c r="D1943">
        <v>21</v>
      </c>
      <c r="E1943" s="2" t="str">
        <f t="shared" si="30"/>
        <v/>
      </c>
    </row>
    <row r="1944" spans="1:5" x14ac:dyDescent="0.25">
      <c r="A1944" s="138">
        <v>561132</v>
      </c>
      <c r="B1944">
        <v>143</v>
      </c>
      <c r="C1944">
        <v>7</v>
      </c>
      <c r="D1944">
        <v>21</v>
      </c>
      <c r="E1944" s="2" t="str">
        <f t="shared" si="30"/>
        <v/>
      </c>
    </row>
    <row r="1945" spans="1:5" x14ac:dyDescent="0.25">
      <c r="A1945" s="138">
        <v>561133</v>
      </c>
      <c r="B1945">
        <v>127</v>
      </c>
      <c r="C1945">
        <v>7</v>
      </c>
      <c r="D1945">
        <v>21</v>
      </c>
      <c r="E1945" s="2" t="str">
        <f t="shared" si="30"/>
        <v/>
      </c>
    </row>
    <row r="1946" spans="1:5" x14ac:dyDescent="0.25">
      <c r="A1946" s="138">
        <v>561134</v>
      </c>
      <c r="B1946">
        <v>157</v>
      </c>
      <c r="C1946">
        <v>7</v>
      </c>
      <c r="D1946">
        <v>21</v>
      </c>
      <c r="E1946" s="2" t="str">
        <f t="shared" si="30"/>
        <v/>
      </c>
    </row>
    <row r="1947" spans="1:5" x14ac:dyDescent="0.25">
      <c r="A1947" s="138">
        <v>561135</v>
      </c>
      <c r="B1947">
        <v>127</v>
      </c>
      <c r="C1947">
        <v>7</v>
      </c>
      <c r="D1947">
        <v>21</v>
      </c>
      <c r="E1947" s="2" t="str">
        <f t="shared" si="30"/>
        <v/>
      </c>
    </row>
    <row r="1948" spans="1:5" x14ac:dyDescent="0.25">
      <c r="A1948" s="138">
        <v>561136</v>
      </c>
      <c r="B1948">
        <v>157</v>
      </c>
      <c r="C1948">
        <v>7</v>
      </c>
      <c r="D1948">
        <v>21</v>
      </c>
      <c r="E1948" s="2" t="str">
        <f t="shared" si="30"/>
        <v/>
      </c>
    </row>
    <row r="1949" spans="1:5" x14ac:dyDescent="0.25">
      <c r="A1949" s="138">
        <v>561137</v>
      </c>
      <c r="B1949">
        <v>146</v>
      </c>
      <c r="C1949">
        <v>7</v>
      </c>
      <c r="D1949">
        <v>21</v>
      </c>
      <c r="E1949" s="2" t="str">
        <f t="shared" si="30"/>
        <v/>
      </c>
    </row>
    <row r="1950" spans="1:5" x14ac:dyDescent="0.25">
      <c r="A1950" s="138">
        <v>561138</v>
      </c>
      <c r="B1950">
        <v>146</v>
      </c>
      <c r="C1950">
        <v>7</v>
      </c>
      <c r="D1950">
        <v>21</v>
      </c>
      <c r="E1950" s="2" t="str">
        <f t="shared" si="30"/>
        <v/>
      </c>
    </row>
    <row r="1951" spans="1:5" x14ac:dyDescent="0.25">
      <c r="A1951" s="138">
        <v>561139</v>
      </c>
      <c r="B1951">
        <v>157</v>
      </c>
      <c r="C1951">
        <v>7</v>
      </c>
      <c r="D1951">
        <v>21</v>
      </c>
      <c r="E1951" s="2" t="str">
        <f t="shared" si="30"/>
        <v/>
      </c>
    </row>
    <row r="1952" spans="1:5" x14ac:dyDescent="0.25">
      <c r="A1952" s="138">
        <v>561140</v>
      </c>
      <c r="B1952">
        <v>127</v>
      </c>
      <c r="C1952">
        <v>7</v>
      </c>
      <c r="D1952">
        <v>21</v>
      </c>
      <c r="E1952" s="2" t="str">
        <f t="shared" si="30"/>
        <v/>
      </c>
    </row>
    <row r="1953" spans="1:5" x14ac:dyDescent="0.25">
      <c r="A1953" s="138">
        <v>561141</v>
      </c>
      <c r="B1953">
        <v>157</v>
      </c>
      <c r="C1953">
        <v>7</v>
      </c>
      <c r="D1953">
        <v>21</v>
      </c>
      <c r="E1953" s="2" t="str">
        <f t="shared" si="30"/>
        <v/>
      </c>
    </row>
    <row r="1954" spans="1:5" x14ac:dyDescent="0.25">
      <c r="A1954" s="138">
        <v>561142</v>
      </c>
      <c r="B1954">
        <v>146</v>
      </c>
      <c r="C1954">
        <v>7</v>
      </c>
      <c r="D1954">
        <v>21</v>
      </c>
      <c r="E1954" s="2" t="str">
        <f t="shared" si="30"/>
        <v/>
      </c>
    </row>
    <row r="1955" spans="1:5" x14ac:dyDescent="0.25">
      <c r="A1955" s="138">
        <v>561143</v>
      </c>
      <c r="B1955">
        <v>157</v>
      </c>
      <c r="C1955">
        <v>7</v>
      </c>
      <c r="D1955">
        <v>21</v>
      </c>
      <c r="E1955" s="2" t="str">
        <f t="shared" si="30"/>
        <v/>
      </c>
    </row>
    <row r="1956" spans="1:5" x14ac:dyDescent="0.25">
      <c r="A1956" s="138">
        <v>561144</v>
      </c>
      <c r="B1956">
        <v>127</v>
      </c>
      <c r="C1956">
        <v>7</v>
      </c>
      <c r="D1956">
        <v>21</v>
      </c>
      <c r="E1956" s="2" t="str">
        <f t="shared" si="30"/>
        <v/>
      </c>
    </row>
    <row r="1957" spans="1:5" x14ac:dyDescent="0.25">
      <c r="A1957" s="138">
        <v>561145</v>
      </c>
      <c r="B1957">
        <v>157</v>
      </c>
      <c r="C1957">
        <v>7</v>
      </c>
      <c r="D1957">
        <v>21</v>
      </c>
      <c r="E1957" s="2" t="str">
        <f t="shared" si="30"/>
        <v/>
      </c>
    </row>
    <row r="1958" spans="1:5" x14ac:dyDescent="0.25">
      <c r="A1958" s="138">
        <v>561146</v>
      </c>
      <c r="B1958">
        <v>143</v>
      </c>
      <c r="C1958">
        <v>7</v>
      </c>
      <c r="D1958">
        <v>21</v>
      </c>
      <c r="E1958" s="2" t="str">
        <f t="shared" si="30"/>
        <v/>
      </c>
    </row>
    <row r="1959" spans="1:5" x14ac:dyDescent="0.25">
      <c r="A1959" s="138">
        <v>561147</v>
      </c>
      <c r="B1959">
        <v>143</v>
      </c>
      <c r="C1959">
        <v>7</v>
      </c>
      <c r="D1959">
        <v>21</v>
      </c>
      <c r="E1959" s="2" t="str">
        <f t="shared" si="30"/>
        <v/>
      </c>
    </row>
    <row r="1960" spans="1:5" x14ac:dyDescent="0.25">
      <c r="A1960" s="138">
        <v>561148</v>
      </c>
      <c r="B1960">
        <v>157</v>
      </c>
      <c r="C1960">
        <v>7</v>
      </c>
      <c r="D1960">
        <v>21</v>
      </c>
      <c r="E1960" s="2" t="str">
        <f t="shared" si="30"/>
        <v/>
      </c>
    </row>
    <row r="1961" spans="1:5" x14ac:dyDescent="0.25">
      <c r="A1961" s="138">
        <v>561149</v>
      </c>
      <c r="B1961">
        <v>146</v>
      </c>
      <c r="C1961">
        <v>7</v>
      </c>
      <c r="D1961">
        <v>21</v>
      </c>
      <c r="E1961" s="2" t="str">
        <f t="shared" si="30"/>
        <v/>
      </c>
    </row>
    <row r="1962" spans="1:5" x14ac:dyDescent="0.25">
      <c r="A1962" s="138">
        <v>561150</v>
      </c>
      <c r="B1962">
        <v>173</v>
      </c>
      <c r="C1962">
        <v>7</v>
      </c>
      <c r="D1962">
        <v>21</v>
      </c>
      <c r="E1962" s="2" t="str">
        <f t="shared" si="30"/>
        <v/>
      </c>
    </row>
    <row r="1963" spans="1:5" x14ac:dyDescent="0.25">
      <c r="A1963" s="138">
        <v>561199</v>
      </c>
      <c r="B1963">
        <v>173</v>
      </c>
      <c r="C1963">
        <v>7</v>
      </c>
      <c r="D1963">
        <v>21</v>
      </c>
      <c r="E1963" s="2" t="str">
        <f t="shared" si="30"/>
        <v/>
      </c>
    </row>
    <row r="1964" spans="1:5" x14ac:dyDescent="0.25">
      <c r="A1964" s="138">
        <v>562000</v>
      </c>
      <c r="B1964">
        <v>245</v>
      </c>
      <c r="C1964">
        <v>7</v>
      </c>
      <c r="D1964">
        <v>22</v>
      </c>
      <c r="E1964" s="2" t="str">
        <f t="shared" si="30"/>
        <v/>
      </c>
    </row>
    <row r="1965" spans="1:5" x14ac:dyDescent="0.25">
      <c r="A1965" s="138">
        <v>562001</v>
      </c>
      <c r="B1965">
        <v>245</v>
      </c>
      <c r="C1965">
        <v>7</v>
      </c>
      <c r="D1965">
        <v>22</v>
      </c>
      <c r="E1965" s="2" t="str">
        <f t="shared" si="30"/>
        <v/>
      </c>
    </row>
    <row r="1966" spans="1:5" x14ac:dyDescent="0.25">
      <c r="A1966" s="138">
        <v>562002</v>
      </c>
      <c r="B1966">
        <v>245</v>
      </c>
      <c r="C1966">
        <v>7</v>
      </c>
      <c r="D1966">
        <v>22</v>
      </c>
      <c r="E1966" s="2" t="str">
        <f t="shared" si="30"/>
        <v/>
      </c>
    </row>
    <row r="1967" spans="1:5" x14ac:dyDescent="0.25">
      <c r="A1967" s="138">
        <v>562003</v>
      </c>
      <c r="B1967">
        <v>245</v>
      </c>
      <c r="C1967">
        <v>7</v>
      </c>
      <c r="D1967">
        <v>22</v>
      </c>
      <c r="E1967" s="2" t="str">
        <f t="shared" si="30"/>
        <v/>
      </c>
    </row>
    <row r="1968" spans="1:5" x14ac:dyDescent="0.25">
      <c r="A1968" s="138">
        <v>562004</v>
      </c>
      <c r="B1968">
        <v>245</v>
      </c>
      <c r="C1968">
        <v>7</v>
      </c>
      <c r="D1968">
        <v>22</v>
      </c>
      <c r="E1968" s="2" t="str">
        <f t="shared" si="30"/>
        <v/>
      </c>
    </row>
    <row r="1969" spans="1:5" x14ac:dyDescent="0.25">
      <c r="A1969" s="138">
        <v>562005</v>
      </c>
      <c r="B1969">
        <v>245</v>
      </c>
      <c r="C1969">
        <v>7</v>
      </c>
      <c r="D1969">
        <v>22</v>
      </c>
      <c r="E1969" s="2" t="str">
        <f t="shared" si="30"/>
        <v/>
      </c>
    </row>
    <row r="1970" spans="1:5" x14ac:dyDescent="0.25">
      <c r="A1970" s="138">
        <v>562006</v>
      </c>
      <c r="B1970">
        <v>245</v>
      </c>
      <c r="C1970">
        <v>7</v>
      </c>
      <c r="D1970">
        <v>22</v>
      </c>
      <c r="E1970" s="2" t="str">
        <f t="shared" si="30"/>
        <v/>
      </c>
    </row>
    <row r="1971" spans="1:5" x14ac:dyDescent="0.25">
      <c r="A1971" s="138">
        <v>562007</v>
      </c>
      <c r="B1971">
        <v>245</v>
      </c>
      <c r="C1971">
        <v>7</v>
      </c>
      <c r="D1971">
        <v>22</v>
      </c>
      <c r="E1971" s="2" t="str">
        <f t="shared" si="30"/>
        <v/>
      </c>
    </row>
    <row r="1972" spans="1:5" x14ac:dyDescent="0.25">
      <c r="A1972" s="138">
        <v>562008</v>
      </c>
      <c r="B1972">
        <v>245</v>
      </c>
      <c r="C1972">
        <v>7</v>
      </c>
      <c r="D1972">
        <v>22</v>
      </c>
      <c r="E1972" s="2" t="str">
        <f t="shared" si="30"/>
        <v/>
      </c>
    </row>
    <row r="1973" spans="1:5" x14ac:dyDescent="0.25">
      <c r="A1973" s="138">
        <v>562009</v>
      </c>
      <c r="B1973">
        <v>245</v>
      </c>
      <c r="C1973">
        <v>7</v>
      </c>
      <c r="D1973">
        <v>22</v>
      </c>
      <c r="E1973" s="2" t="str">
        <f t="shared" si="30"/>
        <v/>
      </c>
    </row>
    <row r="1974" spans="1:5" x14ac:dyDescent="0.25">
      <c r="A1974" s="138">
        <v>562010</v>
      </c>
      <c r="B1974">
        <v>245</v>
      </c>
      <c r="C1974">
        <v>7</v>
      </c>
      <c r="D1974">
        <v>22</v>
      </c>
      <c r="E1974" s="2" t="str">
        <f t="shared" si="30"/>
        <v/>
      </c>
    </row>
    <row r="1975" spans="1:5" x14ac:dyDescent="0.25">
      <c r="A1975" s="138">
        <v>562011</v>
      </c>
      <c r="B1975">
        <v>245</v>
      </c>
      <c r="C1975">
        <v>7</v>
      </c>
      <c r="D1975">
        <v>22</v>
      </c>
      <c r="E1975" s="2" t="str">
        <f t="shared" si="30"/>
        <v/>
      </c>
    </row>
    <row r="1976" spans="1:5" x14ac:dyDescent="0.25">
      <c r="A1976" s="138">
        <v>562012</v>
      </c>
      <c r="B1976">
        <v>245</v>
      </c>
      <c r="C1976">
        <v>7</v>
      </c>
      <c r="D1976">
        <v>22</v>
      </c>
      <c r="E1976" s="2" t="str">
        <f t="shared" si="30"/>
        <v/>
      </c>
    </row>
    <row r="1977" spans="1:5" x14ac:dyDescent="0.25">
      <c r="A1977" s="138">
        <v>562013</v>
      </c>
      <c r="B1977">
        <v>245</v>
      </c>
      <c r="C1977">
        <v>7</v>
      </c>
      <c r="D1977">
        <v>22</v>
      </c>
      <c r="E1977" s="2" t="str">
        <f t="shared" si="30"/>
        <v/>
      </c>
    </row>
    <row r="1978" spans="1:5" x14ac:dyDescent="0.25">
      <c r="A1978" s="138">
        <v>562014</v>
      </c>
      <c r="B1978">
        <v>245</v>
      </c>
      <c r="C1978">
        <v>7</v>
      </c>
      <c r="D1978">
        <v>22</v>
      </c>
      <c r="E1978" s="2" t="str">
        <f t="shared" si="30"/>
        <v/>
      </c>
    </row>
    <row r="1979" spans="1:5" x14ac:dyDescent="0.25">
      <c r="A1979" s="138">
        <v>562099</v>
      </c>
      <c r="B1979">
        <v>245</v>
      </c>
      <c r="C1979">
        <v>7</v>
      </c>
      <c r="D1979">
        <v>22</v>
      </c>
      <c r="E1979" s="2" t="str">
        <f t="shared" si="30"/>
        <v/>
      </c>
    </row>
    <row r="1980" spans="1:5" x14ac:dyDescent="0.25">
      <c r="A1980" s="138">
        <v>562100</v>
      </c>
      <c r="B1980">
        <v>245</v>
      </c>
      <c r="C1980">
        <v>7</v>
      </c>
      <c r="D1980">
        <v>22</v>
      </c>
      <c r="E1980" s="2" t="str">
        <f t="shared" si="30"/>
        <v/>
      </c>
    </row>
    <row r="1981" spans="1:5" x14ac:dyDescent="0.25">
      <c r="A1981" s="138">
        <v>562101</v>
      </c>
      <c r="B1981">
        <v>245</v>
      </c>
      <c r="C1981">
        <v>7</v>
      </c>
      <c r="D1981">
        <v>22</v>
      </c>
      <c r="E1981" s="2" t="str">
        <f t="shared" si="30"/>
        <v/>
      </c>
    </row>
    <row r="1982" spans="1:5" x14ac:dyDescent="0.25">
      <c r="A1982" s="138">
        <v>562200</v>
      </c>
      <c r="B1982">
        <v>245</v>
      </c>
      <c r="C1982">
        <v>7</v>
      </c>
      <c r="D1982">
        <v>22</v>
      </c>
      <c r="E1982" s="2" t="str">
        <f t="shared" si="30"/>
        <v/>
      </c>
    </row>
    <row r="1983" spans="1:5" x14ac:dyDescent="0.25">
      <c r="A1983" s="138">
        <v>562201</v>
      </c>
      <c r="B1983">
        <v>245</v>
      </c>
      <c r="C1983">
        <v>7</v>
      </c>
      <c r="D1983">
        <v>22</v>
      </c>
      <c r="E1983" s="2" t="str">
        <f t="shared" si="30"/>
        <v/>
      </c>
    </row>
    <row r="1984" spans="1:5" x14ac:dyDescent="0.25">
      <c r="A1984" s="138">
        <v>562202</v>
      </c>
      <c r="B1984">
        <v>245</v>
      </c>
      <c r="C1984">
        <v>7</v>
      </c>
      <c r="D1984">
        <v>22</v>
      </c>
      <c r="E1984" s="2" t="str">
        <f t="shared" si="30"/>
        <v/>
      </c>
    </row>
    <row r="1985" spans="1:5" x14ac:dyDescent="0.25">
      <c r="A1985" s="138">
        <v>562203</v>
      </c>
      <c r="B1985">
        <v>245</v>
      </c>
      <c r="C1985">
        <v>7</v>
      </c>
      <c r="D1985">
        <v>22</v>
      </c>
      <c r="E1985" s="2" t="str">
        <f t="shared" si="30"/>
        <v/>
      </c>
    </row>
    <row r="1986" spans="1:5" x14ac:dyDescent="0.25">
      <c r="A1986" s="138">
        <v>562204</v>
      </c>
      <c r="B1986">
        <v>245</v>
      </c>
      <c r="C1986">
        <v>7</v>
      </c>
      <c r="D1986">
        <v>22</v>
      </c>
      <c r="E1986" s="2" t="str">
        <f t="shared" si="30"/>
        <v/>
      </c>
    </row>
    <row r="1987" spans="1:5" x14ac:dyDescent="0.25">
      <c r="A1987" s="138">
        <v>562205</v>
      </c>
      <c r="B1987">
        <v>245</v>
      </c>
      <c r="C1987">
        <v>7</v>
      </c>
      <c r="D1987">
        <v>22</v>
      </c>
      <c r="E1987" s="2" t="str">
        <f t="shared" ref="E1987:E2050" si="31">IF(B1987=B1986,IF(C1986=C1987,"",1),"")</f>
        <v/>
      </c>
    </row>
    <row r="1988" spans="1:5" x14ac:dyDescent="0.25">
      <c r="A1988" s="138">
        <v>562206</v>
      </c>
      <c r="B1988">
        <v>245</v>
      </c>
      <c r="C1988">
        <v>7</v>
      </c>
      <c r="D1988">
        <v>22</v>
      </c>
      <c r="E1988" s="2" t="str">
        <f t="shared" si="31"/>
        <v/>
      </c>
    </row>
    <row r="1989" spans="1:5" x14ac:dyDescent="0.25">
      <c r="A1989" s="138">
        <v>562207</v>
      </c>
      <c r="B1989">
        <v>245</v>
      </c>
      <c r="C1989">
        <v>7</v>
      </c>
      <c r="D1989">
        <v>22</v>
      </c>
      <c r="E1989" s="2" t="str">
        <f t="shared" si="31"/>
        <v/>
      </c>
    </row>
    <row r="1990" spans="1:5" x14ac:dyDescent="0.25">
      <c r="A1990" s="138">
        <v>562208</v>
      </c>
      <c r="B1990">
        <v>245</v>
      </c>
      <c r="C1990">
        <v>7</v>
      </c>
      <c r="D1990">
        <v>22</v>
      </c>
      <c r="E1990" s="2" t="str">
        <f t="shared" si="31"/>
        <v/>
      </c>
    </row>
    <row r="1991" spans="1:5" x14ac:dyDescent="0.25">
      <c r="A1991" s="138">
        <v>562209</v>
      </c>
      <c r="B1991">
        <v>245</v>
      </c>
      <c r="C1991">
        <v>7</v>
      </c>
      <c r="D1991">
        <v>22</v>
      </c>
      <c r="E1991" s="2" t="str">
        <f t="shared" si="31"/>
        <v/>
      </c>
    </row>
    <row r="1992" spans="1:5" x14ac:dyDescent="0.25">
      <c r="A1992" s="138">
        <v>562210</v>
      </c>
      <c r="B1992">
        <v>245</v>
      </c>
      <c r="C1992">
        <v>7</v>
      </c>
      <c r="D1992">
        <v>22</v>
      </c>
      <c r="E1992" s="2" t="str">
        <f t="shared" si="31"/>
        <v/>
      </c>
    </row>
    <row r="1993" spans="1:5" x14ac:dyDescent="0.25">
      <c r="A1993" s="138">
        <v>562211</v>
      </c>
      <c r="B1993">
        <v>245</v>
      </c>
      <c r="C1993">
        <v>7</v>
      </c>
      <c r="D1993">
        <v>22</v>
      </c>
      <c r="E1993" s="2" t="str">
        <f t="shared" si="31"/>
        <v/>
      </c>
    </row>
    <row r="1994" spans="1:5" x14ac:dyDescent="0.25">
      <c r="A1994" s="138">
        <v>562212</v>
      </c>
      <c r="B1994">
        <v>245</v>
      </c>
      <c r="C1994">
        <v>7</v>
      </c>
      <c r="D1994">
        <v>22</v>
      </c>
      <c r="E1994" s="2" t="str">
        <f t="shared" si="31"/>
        <v/>
      </c>
    </row>
    <row r="1995" spans="1:5" x14ac:dyDescent="0.25">
      <c r="A1995" s="138">
        <v>562213</v>
      </c>
      <c r="B1995">
        <v>245</v>
      </c>
      <c r="C1995">
        <v>7</v>
      </c>
      <c r="D1995">
        <v>22</v>
      </c>
      <c r="E1995" s="2" t="str">
        <f t="shared" si="31"/>
        <v/>
      </c>
    </row>
    <row r="1996" spans="1:5" x14ac:dyDescent="0.25">
      <c r="A1996" s="138">
        <v>562214</v>
      </c>
      <c r="B1996">
        <v>245</v>
      </c>
      <c r="C1996">
        <v>7</v>
      </c>
      <c r="D1996">
        <v>22</v>
      </c>
      <c r="E1996" s="2" t="str">
        <f t="shared" si="31"/>
        <v/>
      </c>
    </row>
    <row r="1997" spans="1:5" x14ac:dyDescent="0.25">
      <c r="A1997" s="138">
        <v>562215</v>
      </c>
      <c r="B1997">
        <v>245</v>
      </c>
      <c r="C1997">
        <v>7</v>
      </c>
      <c r="D1997">
        <v>22</v>
      </c>
      <c r="E1997" s="2" t="str">
        <f t="shared" si="31"/>
        <v/>
      </c>
    </row>
    <row r="1998" spans="1:5" x14ac:dyDescent="0.25">
      <c r="A1998" s="138">
        <v>562299</v>
      </c>
      <c r="B1998">
        <v>245</v>
      </c>
      <c r="C1998">
        <v>7</v>
      </c>
      <c r="D1998">
        <v>22</v>
      </c>
      <c r="E1998" s="2" t="str">
        <f t="shared" si="31"/>
        <v/>
      </c>
    </row>
    <row r="1999" spans="1:5" x14ac:dyDescent="0.25">
      <c r="A1999" s="138">
        <v>611000</v>
      </c>
      <c r="B1999">
        <v>139</v>
      </c>
      <c r="C1999">
        <v>15</v>
      </c>
      <c r="D1999">
        <v>33</v>
      </c>
      <c r="E1999" s="2" t="str">
        <f t="shared" si="31"/>
        <v/>
      </c>
    </row>
    <row r="2000" spans="1:5" x14ac:dyDescent="0.25">
      <c r="A2000" s="138">
        <v>611001</v>
      </c>
      <c r="B2000">
        <v>139</v>
      </c>
      <c r="C2000">
        <v>15</v>
      </c>
      <c r="D2000">
        <v>33</v>
      </c>
      <c r="E2000" s="2" t="str">
        <f t="shared" si="31"/>
        <v/>
      </c>
    </row>
    <row r="2001" spans="1:5" x14ac:dyDescent="0.25">
      <c r="A2001" s="138">
        <v>611002</v>
      </c>
      <c r="B2001">
        <v>139</v>
      </c>
      <c r="C2001">
        <v>15</v>
      </c>
      <c r="D2001">
        <v>33</v>
      </c>
      <c r="E2001" s="2" t="str">
        <f t="shared" si="31"/>
        <v/>
      </c>
    </row>
    <row r="2002" spans="1:5" x14ac:dyDescent="0.25">
      <c r="A2002" s="138">
        <v>611003</v>
      </c>
      <c r="B2002">
        <v>139</v>
      </c>
      <c r="C2002">
        <v>15</v>
      </c>
      <c r="D2002">
        <v>33</v>
      </c>
      <c r="E2002" s="2" t="str">
        <f t="shared" si="31"/>
        <v/>
      </c>
    </row>
    <row r="2003" spans="1:5" x14ac:dyDescent="0.25">
      <c r="A2003" s="138">
        <v>611004</v>
      </c>
      <c r="B2003">
        <v>139</v>
      </c>
      <c r="C2003">
        <v>15</v>
      </c>
      <c r="D2003">
        <v>33</v>
      </c>
      <c r="E2003" s="2" t="str">
        <f t="shared" si="31"/>
        <v/>
      </c>
    </row>
    <row r="2004" spans="1:5" x14ac:dyDescent="0.25">
      <c r="A2004" s="138">
        <v>611005</v>
      </c>
      <c r="B2004">
        <v>139</v>
      </c>
      <c r="C2004">
        <v>15</v>
      </c>
      <c r="D2004">
        <v>33</v>
      </c>
      <c r="E2004" s="2" t="str">
        <f t="shared" si="31"/>
        <v/>
      </c>
    </row>
    <row r="2005" spans="1:5" x14ac:dyDescent="0.25">
      <c r="A2005" s="138">
        <v>611006</v>
      </c>
      <c r="B2005">
        <v>139</v>
      </c>
      <c r="C2005">
        <v>15</v>
      </c>
      <c r="D2005">
        <v>33</v>
      </c>
      <c r="E2005" s="2" t="str">
        <f t="shared" si="31"/>
        <v/>
      </c>
    </row>
    <row r="2006" spans="1:5" x14ac:dyDescent="0.25">
      <c r="A2006" s="138">
        <v>611007</v>
      </c>
      <c r="B2006">
        <v>139</v>
      </c>
      <c r="C2006">
        <v>15</v>
      </c>
      <c r="D2006">
        <v>33</v>
      </c>
      <c r="E2006" s="2" t="str">
        <f t="shared" si="31"/>
        <v/>
      </c>
    </row>
    <row r="2007" spans="1:5" x14ac:dyDescent="0.25">
      <c r="A2007" s="138">
        <v>611008</v>
      </c>
      <c r="B2007">
        <v>139</v>
      </c>
      <c r="C2007">
        <v>15</v>
      </c>
      <c r="D2007">
        <v>33</v>
      </c>
      <c r="E2007" s="2" t="str">
        <f t="shared" si="31"/>
        <v/>
      </c>
    </row>
    <row r="2008" spans="1:5" x14ac:dyDescent="0.25">
      <c r="A2008" s="138">
        <v>611009</v>
      </c>
      <c r="B2008">
        <v>139</v>
      </c>
      <c r="C2008">
        <v>15</v>
      </c>
      <c r="D2008">
        <v>33</v>
      </c>
      <c r="E2008" s="2" t="str">
        <f t="shared" si="31"/>
        <v/>
      </c>
    </row>
    <row r="2009" spans="1:5" x14ac:dyDescent="0.25">
      <c r="A2009" s="138">
        <v>611010</v>
      </c>
      <c r="B2009">
        <v>139</v>
      </c>
      <c r="C2009">
        <v>15</v>
      </c>
      <c r="D2009">
        <v>33</v>
      </c>
      <c r="E2009" s="2" t="str">
        <f t="shared" si="31"/>
        <v/>
      </c>
    </row>
    <row r="2010" spans="1:5" x14ac:dyDescent="0.25">
      <c r="A2010" s="138">
        <v>611011</v>
      </c>
      <c r="B2010">
        <v>139</v>
      </c>
      <c r="C2010">
        <v>15</v>
      </c>
      <c r="D2010">
        <v>33</v>
      </c>
      <c r="E2010" s="2" t="str">
        <f t="shared" si="31"/>
        <v/>
      </c>
    </row>
    <row r="2011" spans="1:5" x14ac:dyDescent="0.25">
      <c r="A2011" s="138">
        <v>611012</v>
      </c>
      <c r="B2011">
        <v>139</v>
      </c>
      <c r="C2011">
        <v>15</v>
      </c>
      <c r="D2011">
        <v>33</v>
      </c>
      <c r="E2011" s="2" t="str">
        <f t="shared" si="31"/>
        <v/>
      </c>
    </row>
    <row r="2012" spans="1:5" x14ac:dyDescent="0.25">
      <c r="A2012" s="138">
        <v>611013</v>
      </c>
      <c r="B2012">
        <v>139</v>
      </c>
      <c r="C2012">
        <v>15</v>
      </c>
      <c r="D2012">
        <v>33</v>
      </c>
      <c r="E2012" s="2" t="str">
        <f t="shared" si="31"/>
        <v/>
      </c>
    </row>
    <row r="2013" spans="1:5" x14ac:dyDescent="0.25">
      <c r="A2013" s="138">
        <v>611014</v>
      </c>
      <c r="B2013">
        <v>139</v>
      </c>
      <c r="C2013">
        <v>15</v>
      </c>
      <c r="D2013">
        <v>33</v>
      </c>
      <c r="E2013" s="2" t="str">
        <f t="shared" si="31"/>
        <v/>
      </c>
    </row>
    <row r="2014" spans="1:5" x14ac:dyDescent="0.25">
      <c r="A2014" s="138">
        <v>611015</v>
      </c>
      <c r="B2014">
        <v>139</v>
      </c>
      <c r="C2014">
        <v>15</v>
      </c>
      <c r="D2014">
        <v>33</v>
      </c>
      <c r="E2014" s="2" t="str">
        <f t="shared" si="31"/>
        <v/>
      </c>
    </row>
    <row r="2015" spans="1:5" x14ac:dyDescent="0.25">
      <c r="A2015" s="138">
        <v>611016</v>
      </c>
      <c r="B2015">
        <v>139</v>
      </c>
      <c r="C2015">
        <v>15</v>
      </c>
      <c r="D2015">
        <v>33</v>
      </c>
      <c r="E2015" s="2" t="str">
        <f t="shared" si="31"/>
        <v/>
      </c>
    </row>
    <row r="2016" spans="1:5" x14ac:dyDescent="0.25">
      <c r="A2016" s="138">
        <v>611017</v>
      </c>
      <c r="B2016">
        <v>139</v>
      </c>
      <c r="C2016">
        <v>15</v>
      </c>
      <c r="D2016">
        <v>33</v>
      </c>
      <c r="E2016" s="2" t="str">
        <f t="shared" si="31"/>
        <v/>
      </c>
    </row>
    <row r="2017" spans="1:5" x14ac:dyDescent="0.25">
      <c r="A2017" s="138">
        <v>611018</v>
      </c>
      <c r="B2017">
        <v>139</v>
      </c>
      <c r="C2017">
        <v>15</v>
      </c>
      <c r="D2017">
        <v>33</v>
      </c>
      <c r="E2017" s="2" t="str">
        <f t="shared" si="31"/>
        <v/>
      </c>
    </row>
    <row r="2018" spans="1:5" x14ac:dyDescent="0.25">
      <c r="A2018" s="138">
        <v>611019</v>
      </c>
      <c r="B2018">
        <v>139</v>
      </c>
      <c r="C2018">
        <v>15</v>
      </c>
      <c r="D2018">
        <v>33</v>
      </c>
      <c r="E2018" s="2" t="str">
        <f t="shared" si="31"/>
        <v/>
      </c>
    </row>
    <row r="2019" spans="1:5" x14ac:dyDescent="0.25">
      <c r="A2019" s="138">
        <v>611020</v>
      </c>
      <c r="B2019">
        <v>139</v>
      </c>
      <c r="C2019">
        <v>15</v>
      </c>
      <c r="D2019">
        <v>33</v>
      </c>
      <c r="E2019" s="2" t="str">
        <f t="shared" si="31"/>
        <v/>
      </c>
    </row>
    <row r="2020" spans="1:5" x14ac:dyDescent="0.25">
      <c r="A2020" s="138">
        <v>611021</v>
      </c>
      <c r="B2020">
        <v>139</v>
      </c>
      <c r="C2020">
        <v>15</v>
      </c>
      <c r="D2020">
        <v>33</v>
      </c>
      <c r="E2020" s="2" t="str">
        <f t="shared" si="31"/>
        <v/>
      </c>
    </row>
    <row r="2021" spans="1:5" x14ac:dyDescent="0.25">
      <c r="A2021" s="138">
        <v>611022</v>
      </c>
      <c r="B2021">
        <v>139</v>
      </c>
      <c r="C2021">
        <v>15</v>
      </c>
      <c r="D2021">
        <v>33</v>
      </c>
      <c r="E2021" s="2" t="str">
        <f t="shared" si="31"/>
        <v/>
      </c>
    </row>
    <row r="2022" spans="1:5" x14ac:dyDescent="0.25">
      <c r="A2022" s="138">
        <v>611023</v>
      </c>
      <c r="B2022">
        <v>139</v>
      </c>
      <c r="C2022">
        <v>15</v>
      </c>
      <c r="D2022">
        <v>33</v>
      </c>
      <c r="E2022" s="2" t="str">
        <f t="shared" si="31"/>
        <v/>
      </c>
    </row>
    <row r="2023" spans="1:5" x14ac:dyDescent="0.25">
      <c r="A2023" s="138">
        <v>611024</v>
      </c>
      <c r="B2023">
        <v>139</v>
      </c>
      <c r="C2023">
        <v>15</v>
      </c>
      <c r="D2023">
        <v>33</v>
      </c>
      <c r="E2023" s="2" t="str">
        <f t="shared" si="31"/>
        <v/>
      </c>
    </row>
    <row r="2024" spans="1:5" x14ac:dyDescent="0.25">
      <c r="A2024" s="138">
        <v>611025</v>
      </c>
      <c r="B2024">
        <v>139</v>
      </c>
      <c r="C2024">
        <v>15</v>
      </c>
      <c r="D2024">
        <v>33</v>
      </c>
      <c r="E2024" s="2" t="str">
        <f t="shared" si="31"/>
        <v/>
      </c>
    </row>
    <row r="2025" spans="1:5" x14ac:dyDescent="0.25">
      <c r="A2025" s="138">
        <v>611026</v>
      </c>
      <c r="B2025">
        <v>139</v>
      </c>
      <c r="C2025">
        <v>15</v>
      </c>
      <c r="D2025">
        <v>33</v>
      </c>
      <c r="E2025" s="2" t="str">
        <f t="shared" si="31"/>
        <v/>
      </c>
    </row>
    <row r="2026" spans="1:5" x14ac:dyDescent="0.25">
      <c r="A2026" s="138">
        <v>611027</v>
      </c>
      <c r="B2026">
        <v>139</v>
      </c>
      <c r="C2026">
        <v>15</v>
      </c>
      <c r="D2026">
        <v>33</v>
      </c>
      <c r="E2026" s="2" t="str">
        <f t="shared" si="31"/>
        <v/>
      </c>
    </row>
    <row r="2027" spans="1:5" x14ac:dyDescent="0.25">
      <c r="A2027" s="138">
        <v>611028</v>
      </c>
      <c r="B2027">
        <v>139</v>
      </c>
      <c r="C2027">
        <v>15</v>
      </c>
      <c r="D2027">
        <v>33</v>
      </c>
      <c r="E2027" s="2" t="str">
        <f t="shared" si="31"/>
        <v/>
      </c>
    </row>
    <row r="2028" spans="1:5" x14ac:dyDescent="0.25">
      <c r="A2028" s="138">
        <v>611029</v>
      </c>
      <c r="B2028">
        <v>139</v>
      </c>
      <c r="C2028">
        <v>15</v>
      </c>
      <c r="D2028">
        <v>33</v>
      </c>
      <c r="E2028" s="2" t="str">
        <f t="shared" si="31"/>
        <v/>
      </c>
    </row>
    <row r="2029" spans="1:5" x14ac:dyDescent="0.25">
      <c r="A2029" s="138">
        <v>611030</v>
      </c>
      <c r="B2029">
        <v>139</v>
      </c>
      <c r="C2029">
        <v>15</v>
      </c>
      <c r="D2029">
        <v>33</v>
      </c>
      <c r="E2029" s="2" t="str">
        <f t="shared" si="31"/>
        <v/>
      </c>
    </row>
    <row r="2030" spans="1:5" x14ac:dyDescent="0.25">
      <c r="A2030" s="138">
        <v>611031</v>
      </c>
      <c r="B2030">
        <v>139</v>
      </c>
      <c r="C2030">
        <v>15</v>
      </c>
      <c r="D2030">
        <v>33</v>
      </c>
      <c r="E2030" s="2" t="str">
        <f t="shared" si="31"/>
        <v/>
      </c>
    </row>
    <row r="2031" spans="1:5" x14ac:dyDescent="0.25">
      <c r="A2031" s="138">
        <v>611032</v>
      </c>
      <c r="B2031">
        <v>139</v>
      </c>
      <c r="C2031">
        <v>15</v>
      </c>
      <c r="D2031">
        <v>33</v>
      </c>
      <c r="E2031" s="2" t="str">
        <f t="shared" si="31"/>
        <v/>
      </c>
    </row>
    <row r="2032" spans="1:5" x14ac:dyDescent="0.25">
      <c r="A2032" s="138">
        <v>611033</v>
      </c>
      <c r="B2032">
        <v>139</v>
      </c>
      <c r="C2032">
        <v>15</v>
      </c>
      <c r="D2032">
        <v>33</v>
      </c>
      <c r="E2032" s="2" t="str">
        <f t="shared" si="31"/>
        <v/>
      </c>
    </row>
    <row r="2033" spans="1:5" x14ac:dyDescent="0.25">
      <c r="A2033" s="138">
        <v>611034</v>
      </c>
      <c r="B2033">
        <v>139</v>
      </c>
      <c r="C2033">
        <v>15</v>
      </c>
      <c r="D2033">
        <v>33</v>
      </c>
      <c r="E2033" s="2" t="str">
        <f t="shared" si="31"/>
        <v/>
      </c>
    </row>
    <row r="2034" spans="1:5" x14ac:dyDescent="0.25">
      <c r="A2034" s="138">
        <v>611035</v>
      </c>
      <c r="B2034">
        <v>139</v>
      </c>
      <c r="C2034">
        <v>15</v>
      </c>
      <c r="D2034">
        <v>33</v>
      </c>
      <c r="E2034" s="2" t="str">
        <f t="shared" si="31"/>
        <v/>
      </c>
    </row>
    <row r="2035" spans="1:5" x14ac:dyDescent="0.25">
      <c r="A2035" s="138">
        <v>611036</v>
      </c>
      <c r="B2035">
        <v>139</v>
      </c>
      <c r="C2035">
        <v>15</v>
      </c>
      <c r="D2035">
        <v>33</v>
      </c>
      <c r="E2035" s="2" t="str">
        <f t="shared" si="31"/>
        <v/>
      </c>
    </row>
    <row r="2036" spans="1:5" x14ac:dyDescent="0.25">
      <c r="A2036" s="138">
        <v>611037</v>
      </c>
      <c r="B2036">
        <v>139</v>
      </c>
      <c r="C2036">
        <v>15</v>
      </c>
      <c r="D2036">
        <v>33</v>
      </c>
      <c r="E2036" s="2" t="str">
        <f t="shared" si="31"/>
        <v/>
      </c>
    </row>
    <row r="2037" spans="1:5" x14ac:dyDescent="0.25">
      <c r="A2037" s="138">
        <v>611038</v>
      </c>
      <c r="B2037">
        <v>139</v>
      </c>
      <c r="C2037">
        <v>15</v>
      </c>
      <c r="D2037">
        <v>33</v>
      </c>
      <c r="E2037" s="2" t="str">
        <f t="shared" si="31"/>
        <v/>
      </c>
    </row>
    <row r="2038" spans="1:5" x14ac:dyDescent="0.25">
      <c r="A2038" s="138">
        <v>611039</v>
      </c>
      <c r="B2038">
        <v>139</v>
      </c>
      <c r="C2038">
        <v>15</v>
      </c>
      <c r="D2038">
        <v>33</v>
      </c>
      <c r="E2038" s="2" t="str">
        <f t="shared" si="31"/>
        <v/>
      </c>
    </row>
    <row r="2039" spans="1:5" x14ac:dyDescent="0.25">
      <c r="A2039" s="138">
        <v>611040</v>
      </c>
      <c r="B2039">
        <v>139</v>
      </c>
      <c r="C2039">
        <v>15</v>
      </c>
      <c r="D2039">
        <v>33</v>
      </c>
      <c r="E2039" s="2" t="str">
        <f t="shared" si="31"/>
        <v/>
      </c>
    </row>
    <row r="2040" spans="1:5" x14ac:dyDescent="0.25">
      <c r="A2040" s="138">
        <v>611041</v>
      </c>
      <c r="B2040">
        <v>139</v>
      </c>
      <c r="C2040">
        <v>15</v>
      </c>
      <c r="D2040">
        <v>33</v>
      </c>
      <c r="E2040" s="2" t="str">
        <f t="shared" si="31"/>
        <v/>
      </c>
    </row>
    <row r="2041" spans="1:5" x14ac:dyDescent="0.25">
      <c r="A2041" s="138">
        <v>611042</v>
      </c>
      <c r="B2041">
        <v>139</v>
      </c>
      <c r="C2041">
        <v>15</v>
      </c>
      <c r="D2041">
        <v>33</v>
      </c>
      <c r="E2041" s="2" t="str">
        <f t="shared" si="31"/>
        <v/>
      </c>
    </row>
    <row r="2042" spans="1:5" x14ac:dyDescent="0.25">
      <c r="A2042" s="138">
        <v>611043</v>
      </c>
      <c r="B2042">
        <v>139</v>
      </c>
      <c r="C2042">
        <v>15</v>
      </c>
      <c r="D2042">
        <v>33</v>
      </c>
      <c r="E2042" s="2" t="str">
        <f t="shared" si="31"/>
        <v/>
      </c>
    </row>
    <row r="2043" spans="1:5" x14ac:dyDescent="0.25">
      <c r="A2043" s="138">
        <v>611044</v>
      </c>
      <c r="B2043">
        <v>139</v>
      </c>
      <c r="C2043">
        <v>15</v>
      </c>
      <c r="D2043">
        <v>33</v>
      </c>
      <c r="E2043" s="2" t="str">
        <f t="shared" si="31"/>
        <v/>
      </c>
    </row>
    <row r="2044" spans="1:5" x14ac:dyDescent="0.25">
      <c r="A2044" s="138">
        <v>611045</v>
      </c>
      <c r="B2044">
        <v>139</v>
      </c>
      <c r="C2044">
        <v>15</v>
      </c>
      <c r="D2044">
        <v>33</v>
      </c>
      <c r="E2044" s="2" t="str">
        <f t="shared" si="31"/>
        <v/>
      </c>
    </row>
    <row r="2045" spans="1:5" x14ac:dyDescent="0.25">
      <c r="A2045" s="138">
        <v>611046</v>
      </c>
      <c r="B2045">
        <v>139</v>
      </c>
      <c r="C2045">
        <v>15</v>
      </c>
      <c r="D2045">
        <v>33</v>
      </c>
      <c r="E2045" s="2" t="str">
        <f t="shared" si="31"/>
        <v/>
      </c>
    </row>
    <row r="2046" spans="1:5" x14ac:dyDescent="0.25">
      <c r="A2046" s="138">
        <v>611047</v>
      </c>
      <c r="B2046">
        <v>139</v>
      </c>
      <c r="C2046">
        <v>15</v>
      </c>
      <c r="D2046">
        <v>33</v>
      </c>
      <c r="E2046" s="2" t="str">
        <f t="shared" si="31"/>
        <v/>
      </c>
    </row>
    <row r="2047" spans="1:5" x14ac:dyDescent="0.25">
      <c r="A2047" s="138">
        <v>611048</v>
      </c>
      <c r="B2047">
        <v>139</v>
      </c>
      <c r="C2047">
        <v>15</v>
      </c>
      <c r="D2047">
        <v>33</v>
      </c>
      <c r="E2047" s="2" t="str">
        <f t="shared" si="31"/>
        <v/>
      </c>
    </row>
    <row r="2048" spans="1:5" x14ac:dyDescent="0.25">
      <c r="A2048" s="138">
        <v>611049</v>
      </c>
      <c r="B2048">
        <v>139</v>
      </c>
      <c r="C2048">
        <v>15</v>
      </c>
      <c r="D2048">
        <v>33</v>
      </c>
      <c r="E2048" s="2" t="str">
        <f t="shared" si="31"/>
        <v/>
      </c>
    </row>
    <row r="2049" spans="1:5" x14ac:dyDescent="0.25">
      <c r="A2049" s="138">
        <v>611050</v>
      </c>
      <c r="B2049">
        <v>139</v>
      </c>
      <c r="C2049">
        <v>15</v>
      </c>
      <c r="D2049">
        <v>33</v>
      </c>
      <c r="E2049" s="2" t="str">
        <f t="shared" si="31"/>
        <v/>
      </c>
    </row>
    <row r="2050" spans="1:5" x14ac:dyDescent="0.25">
      <c r="A2050" s="138">
        <v>611051</v>
      </c>
      <c r="B2050">
        <v>139</v>
      </c>
      <c r="C2050">
        <v>15</v>
      </c>
      <c r="D2050">
        <v>33</v>
      </c>
      <c r="E2050" s="2" t="str">
        <f t="shared" si="31"/>
        <v/>
      </c>
    </row>
    <row r="2051" spans="1:5" x14ac:dyDescent="0.25">
      <c r="A2051" s="138">
        <v>611052</v>
      </c>
      <c r="B2051">
        <v>139</v>
      </c>
      <c r="C2051">
        <v>15</v>
      </c>
      <c r="D2051">
        <v>33</v>
      </c>
      <c r="E2051" s="2" t="str">
        <f t="shared" ref="E2051:E2114" si="32">IF(B2051=B2050,IF(C2050=C2051,"",1),"")</f>
        <v/>
      </c>
    </row>
    <row r="2052" spans="1:5" x14ac:dyDescent="0.25">
      <c r="A2052" s="138">
        <v>611053</v>
      </c>
      <c r="B2052">
        <v>139</v>
      </c>
      <c r="C2052">
        <v>15</v>
      </c>
      <c r="D2052">
        <v>33</v>
      </c>
      <c r="E2052" s="2" t="str">
        <f t="shared" si="32"/>
        <v/>
      </c>
    </row>
    <row r="2053" spans="1:5" x14ac:dyDescent="0.25">
      <c r="A2053" s="138">
        <v>611054</v>
      </c>
      <c r="B2053">
        <v>139</v>
      </c>
      <c r="C2053">
        <v>15</v>
      </c>
      <c r="D2053">
        <v>33</v>
      </c>
      <c r="E2053" s="2" t="str">
        <f t="shared" si="32"/>
        <v/>
      </c>
    </row>
    <row r="2054" spans="1:5" x14ac:dyDescent="0.25">
      <c r="A2054" s="138">
        <v>611055</v>
      </c>
      <c r="B2054">
        <v>139</v>
      </c>
      <c r="C2054">
        <v>15</v>
      </c>
      <c r="D2054">
        <v>33</v>
      </c>
      <c r="E2054" s="2" t="str">
        <f t="shared" si="32"/>
        <v/>
      </c>
    </row>
    <row r="2055" spans="1:5" x14ac:dyDescent="0.25">
      <c r="A2055" s="138">
        <v>611056</v>
      </c>
      <c r="B2055">
        <v>139</v>
      </c>
      <c r="C2055">
        <v>15</v>
      </c>
      <c r="D2055">
        <v>33</v>
      </c>
      <c r="E2055" s="2" t="str">
        <f t="shared" si="32"/>
        <v/>
      </c>
    </row>
    <row r="2056" spans="1:5" x14ac:dyDescent="0.25">
      <c r="A2056" s="138">
        <v>611057</v>
      </c>
      <c r="B2056">
        <v>139</v>
      </c>
      <c r="C2056">
        <v>15</v>
      </c>
      <c r="D2056">
        <v>33</v>
      </c>
      <c r="E2056" s="2" t="str">
        <f t="shared" si="32"/>
        <v/>
      </c>
    </row>
    <row r="2057" spans="1:5" x14ac:dyDescent="0.25">
      <c r="A2057" s="138">
        <v>611058</v>
      </c>
      <c r="B2057">
        <v>139</v>
      </c>
      <c r="C2057">
        <v>15</v>
      </c>
      <c r="D2057">
        <v>33</v>
      </c>
      <c r="E2057" s="2" t="str">
        <f t="shared" si="32"/>
        <v/>
      </c>
    </row>
    <row r="2058" spans="1:5" x14ac:dyDescent="0.25">
      <c r="A2058" s="138">
        <v>611059</v>
      </c>
      <c r="B2058">
        <v>139</v>
      </c>
      <c r="C2058">
        <v>15</v>
      </c>
      <c r="D2058">
        <v>33</v>
      </c>
      <c r="E2058" s="2" t="str">
        <f t="shared" si="32"/>
        <v/>
      </c>
    </row>
    <row r="2059" spans="1:5" x14ac:dyDescent="0.25">
      <c r="A2059" s="138">
        <v>611060</v>
      </c>
      <c r="B2059">
        <v>139</v>
      </c>
      <c r="C2059">
        <v>15</v>
      </c>
      <c r="D2059">
        <v>33</v>
      </c>
      <c r="E2059" s="2" t="str">
        <f t="shared" si="32"/>
        <v/>
      </c>
    </row>
    <row r="2060" spans="1:5" x14ac:dyDescent="0.25">
      <c r="A2060" s="138">
        <v>611061</v>
      </c>
      <c r="B2060">
        <v>139</v>
      </c>
      <c r="C2060">
        <v>15</v>
      </c>
      <c r="D2060">
        <v>33</v>
      </c>
      <c r="E2060" s="2" t="str">
        <f t="shared" si="32"/>
        <v/>
      </c>
    </row>
    <row r="2061" spans="1:5" x14ac:dyDescent="0.25">
      <c r="A2061" s="138">
        <v>611099</v>
      </c>
      <c r="B2061">
        <v>139</v>
      </c>
      <c r="C2061">
        <v>15</v>
      </c>
      <c r="D2061">
        <v>33</v>
      </c>
      <c r="E2061" s="2" t="str">
        <f t="shared" si="32"/>
        <v/>
      </c>
    </row>
    <row r="2062" spans="1:5" x14ac:dyDescent="0.25">
      <c r="A2062" s="138">
        <v>612000</v>
      </c>
      <c r="B2062">
        <v>139</v>
      </c>
      <c r="C2062">
        <v>15</v>
      </c>
      <c r="D2062">
        <v>33</v>
      </c>
      <c r="E2062" s="2" t="str">
        <f t="shared" si="32"/>
        <v/>
      </c>
    </row>
    <row r="2063" spans="1:5" x14ac:dyDescent="0.25">
      <c r="A2063" s="138">
        <v>612001</v>
      </c>
      <c r="B2063">
        <v>139</v>
      </c>
      <c r="C2063">
        <v>15</v>
      </c>
      <c r="D2063">
        <v>33</v>
      </c>
      <c r="E2063" s="2" t="str">
        <f t="shared" si="32"/>
        <v/>
      </c>
    </row>
    <row r="2064" spans="1:5" x14ac:dyDescent="0.25">
      <c r="A2064" s="138">
        <v>612002</v>
      </c>
      <c r="B2064">
        <v>139</v>
      </c>
      <c r="C2064">
        <v>15</v>
      </c>
      <c r="D2064">
        <v>33</v>
      </c>
      <c r="E2064" s="2" t="str">
        <f t="shared" si="32"/>
        <v/>
      </c>
    </row>
    <row r="2065" spans="1:5" x14ac:dyDescent="0.25">
      <c r="A2065" s="138">
        <v>612003</v>
      </c>
      <c r="B2065">
        <v>139</v>
      </c>
      <c r="C2065">
        <v>15</v>
      </c>
      <c r="D2065">
        <v>33</v>
      </c>
      <c r="E2065" s="2" t="str">
        <f t="shared" si="32"/>
        <v/>
      </c>
    </row>
    <row r="2066" spans="1:5" x14ac:dyDescent="0.25">
      <c r="A2066" s="138">
        <v>612004</v>
      </c>
      <c r="B2066">
        <v>139</v>
      </c>
      <c r="C2066">
        <v>15</v>
      </c>
      <c r="D2066">
        <v>33</v>
      </c>
      <c r="E2066" s="2" t="str">
        <f t="shared" si="32"/>
        <v/>
      </c>
    </row>
    <row r="2067" spans="1:5" x14ac:dyDescent="0.25">
      <c r="A2067" s="138">
        <v>612005</v>
      </c>
      <c r="B2067">
        <v>139</v>
      </c>
      <c r="C2067">
        <v>15</v>
      </c>
      <c r="D2067">
        <v>33</v>
      </c>
      <c r="E2067" s="2" t="str">
        <f t="shared" si="32"/>
        <v/>
      </c>
    </row>
    <row r="2068" spans="1:5" x14ac:dyDescent="0.25">
      <c r="A2068" s="138">
        <v>612006</v>
      </c>
      <c r="B2068">
        <v>139</v>
      </c>
      <c r="C2068">
        <v>15</v>
      </c>
      <c r="D2068">
        <v>33</v>
      </c>
      <c r="E2068" s="2" t="str">
        <f t="shared" si="32"/>
        <v/>
      </c>
    </row>
    <row r="2069" spans="1:5" x14ac:dyDescent="0.25">
      <c r="A2069" s="138">
        <v>612007</v>
      </c>
      <c r="B2069">
        <v>139</v>
      </c>
      <c r="C2069">
        <v>15</v>
      </c>
      <c r="D2069">
        <v>33</v>
      </c>
      <c r="E2069" s="2" t="str">
        <f t="shared" si="32"/>
        <v/>
      </c>
    </row>
    <row r="2070" spans="1:5" x14ac:dyDescent="0.25">
      <c r="A2070" s="138">
        <v>612008</v>
      </c>
      <c r="B2070">
        <v>139</v>
      </c>
      <c r="C2070">
        <v>15</v>
      </c>
      <c r="D2070">
        <v>33</v>
      </c>
      <c r="E2070" s="2" t="str">
        <f t="shared" si="32"/>
        <v/>
      </c>
    </row>
    <row r="2071" spans="1:5" x14ac:dyDescent="0.25">
      <c r="A2071" s="138">
        <v>612009</v>
      </c>
      <c r="B2071">
        <v>139</v>
      </c>
      <c r="C2071">
        <v>15</v>
      </c>
      <c r="D2071">
        <v>33</v>
      </c>
      <c r="E2071" s="2" t="str">
        <f t="shared" si="32"/>
        <v/>
      </c>
    </row>
    <row r="2072" spans="1:5" x14ac:dyDescent="0.25">
      <c r="A2072" s="138">
        <v>612010</v>
      </c>
      <c r="B2072">
        <v>139</v>
      </c>
      <c r="C2072">
        <v>15</v>
      </c>
      <c r="D2072">
        <v>33</v>
      </c>
      <c r="E2072" s="2" t="str">
        <f t="shared" si="32"/>
        <v/>
      </c>
    </row>
    <row r="2073" spans="1:5" x14ac:dyDescent="0.25">
      <c r="A2073" s="138">
        <v>612011</v>
      </c>
      <c r="B2073">
        <v>139</v>
      </c>
      <c r="C2073">
        <v>15</v>
      </c>
      <c r="D2073">
        <v>33</v>
      </c>
      <c r="E2073" s="2" t="str">
        <f t="shared" si="32"/>
        <v/>
      </c>
    </row>
    <row r="2074" spans="1:5" x14ac:dyDescent="0.25">
      <c r="A2074" s="138">
        <v>612012</v>
      </c>
      <c r="B2074">
        <v>139</v>
      </c>
      <c r="C2074">
        <v>15</v>
      </c>
      <c r="D2074">
        <v>33</v>
      </c>
      <c r="E2074" s="2" t="str">
        <f t="shared" si="32"/>
        <v/>
      </c>
    </row>
    <row r="2075" spans="1:5" x14ac:dyDescent="0.25">
      <c r="A2075" s="138">
        <v>612013</v>
      </c>
      <c r="B2075">
        <v>139</v>
      </c>
      <c r="C2075">
        <v>15</v>
      </c>
      <c r="D2075">
        <v>33</v>
      </c>
      <c r="E2075" s="2" t="str">
        <f t="shared" si="32"/>
        <v/>
      </c>
    </row>
    <row r="2076" spans="1:5" x14ac:dyDescent="0.25">
      <c r="A2076" s="138">
        <v>612014</v>
      </c>
      <c r="B2076">
        <v>139</v>
      </c>
      <c r="C2076">
        <v>15</v>
      </c>
      <c r="D2076">
        <v>33</v>
      </c>
      <c r="E2076" s="2" t="str">
        <f t="shared" si="32"/>
        <v/>
      </c>
    </row>
    <row r="2077" spans="1:5" x14ac:dyDescent="0.25">
      <c r="A2077" s="138">
        <v>612015</v>
      </c>
      <c r="B2077">
        <v>139</v>
      </c>
      <c r="C2077">
        <v>15</v>
      </c>
      <c r="D2077">
        <v>33</v>
      </c>
      <c r="E2077" s="2" t="str">
        <f t="shared" si="32"/>
        <v/>
      </c>
    </row>
    <row r="2078" spans="1:5" x14ac:dyDescent="0.25">
      <c r="A2078" s="138">
        <v>612016</v>
      </c>
      <c r="B2078">
        <v>139</v>
      </c>
      <c r="C2078">
        <v>15</v>
      </c>
      <c r="D2078">
        <v>33</v>
      </c>
      <c r="E2078" s="2" t="str">
        <f t="shared" si="32"/>
        <v/>
      </c>
    </row>
    <row r="2079" spans="1:5" x14ac:dyDescent="0.25">
      <c r="A2079" s="138">
        <v>612017</v>
      </c>
      <c r="B2079">
        <v>139</v>
      </c>
      <c r="C2079">
        <v>15</v>
      </c>
      <c r="D2079">
        <v>33</v>
      </c>
      <c r="E2079" s="2" t="str">
        <f t="shared" si="32"/>
        <v/>
      </c>
    </row>
    <row r="2080" spans="1:5" x14ac:dyDescent="0.25">
      <c r="A2080" s="138">
        <v>612018</v>
      </c>
      <c r="B2080">
        <v>139</v>
      </c>
      <c r="C2080">
        <v>15</v>
      </c>
      <c r="D2080">
        <v>33</v>
      </c>
      <c r="E2080" s="2" t="str">
        <f t="shared" si="32"/>
        <v/>
      </c>
    </row>
    <row r="2081" spans="1:5" x14ac:dyDescent="0.25">
      <c r="A2081" s="138">
        <v>612019</v>
      </c>
      <c r="B2081">
        <v>139</v>
      </c>
      <c r="C2081">
        <v>15</v>
      </c>
      <c r="D2081">
        <v>33</v>
      </c>
      <c r="E2081" s="2" t="str">
        <f t="shared" si="32"/>
        <v/>
      </c>
    </row>
    <row r="2082" spans="1:5" x14ac:dyDescent="0.25">
      <c r="A2082" s="138">
        <v>612020</v>
      </c>
      <c r="B2082">
        <v>139</v>
      </c>
      <c r="C2082">
        <v>15</v>
      </c>
      <c r="D2082">
        <v>33</v>
      </c>
      <c r="E2082" s="2" t="str">
        <f t="shared" si="32"/>
        <v/>
      </c>
    </row>
    <row r="2083" spans="1:5" x14ac:dyDescent="0.25">
      <c r="A2083" s="138">
        <v>612021</v>
      </c>
      <c r="B2083">
        <v>139</v>
      </c>
      <c r="C2083">
        <v>15</v>
      </c>
      <c r="D2083">
        <v>33</v>
      </c>
      <c r="E2083" s="2" t="str">
        <f t="shared" si="32"/>
        <v/>
      </c>
    </row>
    <row r="2084" spans="1:5" x14ac:dyDescent="0.25">
      <c r="A2084" s="138">
        <v>612022</v>
      </c>
      <c r="B2084">
        <v>139</v>
      </c>
      <c r="C2084">
        <v>15</v>
      </c>
      <c r="D2084">
        <v>33</v>
      </c>
      <c r="E2084" s="2" t="str">
        <f t="shared" si="32"/>
        <v/>
      </c>
    </row>
    <row r="2085" spans="1:5" x14ac:dyDescent="0.25">
      <c r="A2085" s="138">
        <v>612023</v>
      </c>
      <c r="B2085">
        <v>139</v>
      </c>
      <c r="C2085">
        <v>15</v>
      </c>
      <c r="D2085">
        <v>33</v>
      </c>
      <c r="E2085" s="2" t="str">
        <f t="shared" si="32"/>
        <v/>
      </c>
    </row>
    <row r="2086" spans="1:5" x14ac:dyDescent="0.25">
      <c r="A2086" s="138">
        <v>612024</v>
      </c>
      <c r="B2086">
        <v>139</v>
      </c>
      <c r="C2086">
        <v>15</v>
      </c>
      <c r="D2086">
        <v>33</v>
      </c>
      <c r="E2086" s="2" t="str">
        <f t="shared" si="32"/>
        <v/>
      </c>
    </row>
    <row r="2087" spans="1:5" x14ac:dyDescent="0.25">
      <c r="A2087" s="138">
        <v>612025</v>
      </c>
      <c r="B2087">
        <v>139</v>
      </c>
      <c r="C2087">
        <v>15</v>
      </c>
      <c r="D2087">
        <v>33</v>
      </c>
      <c r="E2087" s="2" t="str">
        <f t="shared" si="32"/>
        <v/>
      </c>
    </row>
    <row r="2088" spans="1:5" x14ac:dyDescent="0.25">
      <c r="A2088" s="138">
        <v>612026</v>
      </c>
      <c r="B2088">
        <v>139</v>
      </c>
      <c r="C2088">
        <v>15</v>
      </c>
      <c r="D2088">
        <v>33</v>
      </c>
      <c r="E2088" s="2" t="str">
        <f t="shared" si="32"/>
        <v/>
      </c>
    </row>
    <row r="2089" spans="1:5" x14ac:dyDescent="0.25">
      <c r="A2089" s="138">
        <v>612027</v>
      </c>
      <c r="B2089">
        <v>139</v>
      </c>
      <c r="C2089">
        <v>15</v>
      </c>
      <c r="D2089">
        <v>33</v>
      </c>
      <c r="E2089" s="2" t="str">
        <f t="shared" si="32"/>
        <v/>
      </c>
    </row>
    <row r="2090" spans="1:5" x14ac:dyDescent="0.25">
      <c r="A2090" s="138">
        <v>612099</v>
      </c>
      <c r="B2090">
        <v>139</v>
      </c>
      <c r="C2090">
        <v>15</v>
      </c>
      <c r="D2090">
        <v>33</v>
      </c>
      <c r="E2090" s="2" t="str">
        <f t="shared" si="32"/>
        <v/>
      </c>
    </row>
    <row r="2091" spans="1:5" x14ac:dyDescent="0.25">
      <c r="A2091" s="138">
        <v>613000</v>
      </c>
      <c r="B2091">
        <v>139</v>
      </c>
      <c r="C2091">
        <v>15</v>
      </c>
      <c r="D2091">
        <v>33</v>
      </c>
      <c r="E2091" s="2" t="str">
        <f t="shared" si="32"/>
        <v/>
      </c>
    </row>
    <row r="2092" spans="1:5" x14ac:dyDescent="0.25">
      <c r="A2092" s="138">
        <v>613001</v>
      </c>
      <c r="B2092">
        <v>139</v>
      </c>
      <c r="C2092">
        <v>15</v>
      </c>
      <c r="D2092">
        <v>33</v>
      </c>
      <c r="E2092" s="2" t="str">
        <f t="shared" si="32"/>
        <v/>
      </c>
    </row>
    <row r="2093" spans="1:5" x14ac:dyDescent="0.25">
      <c r="A2093" s="138">
        <v>613002</v>
      </c>
      <c r="B2093">
        <v>139</v>
      </c>
      <c r="C2093">
        <v>15</v>
      </c>
      <c r="D2093">
        <v>33</v>
      </c>
      <c r="E2093" s="2" t="str">
        <f t="shared" si="32"/>
        <v/>
      </c>
    </row>
    <row r="2094" spans="1:5" x14ac:dyDescent="0.25">
      <c r="A2094" s="138">
        <v>613003</v>
      </c>
      <c r="B2094">
        <v>139</v>
      </c>
      <c r="C2094">
        <v>15</v>
      </c>
      <c r="D2094">
        <v>33</v>
      </c>
      <c r="E2094" s="2" t="str">
        <f t="shared" si="32"/>
        <v/>
      </c>
    </row>
    <row r="2095" spans="1:5" x14ac:dyDescent="0.25">
      <c r="A2095" s="138">
        <v>613004</v>
      </c>
      <c r="B2095">
        <v>139</v>
      </c>
      <c r="C2095">
        <v>15</v>
      </c>
      <c r="D2095">
        <v>33</v>
      </c>
      <c r="E2095" s="2" t="str">
        <f t="shared" si="32"/>
        <v/>
      </c>
    </row>
    <row r="2096" spans="1:5" x14ac:dyDescent="0.25">
      <c r="A2096" s="138">
        <v>613005</v>
      </c>
      <c r="B2096">
        <v>139</v>
      </c>
      <c r="C2096">
        <v>15</v>
      </c>
      <c r="D2096">
        <v>33</v>
      </c>
      <c r="E2096" s="2" t="str">
        <f t="shared" si="32"/>
        <v/>
      </c>
    </row>
    <row r="2097" spans="1:5" x14ac:dyDescent="0.25">
      <c r="A2097" s="138">
        <v>613006</v>
      </c>
      <c r="B2097">
        <v>139</v>
      </c>
      <c r="C2097">
        <v>15</v>
      </c>
      <c r="D2097">
        <v>33</v>
      </c>
      <c r="E2097" s="2" t="str">
        <f t="shared" si="32"/>
        <v/>
      </c>
    </row>
    <row r="2098" spans="1:5" x14ac:dyDescent="0.25">
      <c r="A2098" s="138">
        <v>613007</v>
      </c>
      <c r="B2098">
        <v>139</v>
      </c>
      <c r="C2098">
        <v>15</v>
      </c>
      <c r="D2098">
        <v>33</v>
      </c>
      <c r="E2098" s="2" t="str">
        <f t="shared" si="32"/>
        <v/>
      </c>
    </row>
    <row r="2099" spans="1:5" x14ac:dyDescent="0.25">
      <c r="A2099" s="138">
        <v>613008</v>
      </c>
      <c r="B2099">
        <v>139</v>
      </c>
      <c r="C2099">
        <v>15</v>
      </c>
      <c r="D2099">
        <v>33</v>
      </c>
      <c r="E2099" s="2" t="str">
        <f t="shared" si="32"/>
        <v/>
      </c>
    </row>
    <row r="2100" spans="1:5" x14ac:dyDescent="0.25">
      <c r="A2100" s="138">
        <v>613009</v>
      </c>
      <c r="B2100">
        <v>139</v>
      </c>
      <c r="C2100">
        <v>15</v>
      </c>
      <c r="D2100">
        <v>33</v>
      </c>
      <c r="E2100" s="2" t="str">
        <f t="shared" si="32"/>
        <v/>
      </c>
    </row>
    <row r="2101" spans="1:5" x14ac:dyDescent="0.25">
      <c r="A2101" s="138">
        <v>613010</v>
      </c>
      <c r="B2101">
        <v>139</v>
      </c>
      <c r="C2101">
        <v>15</v>
      </c>
      <c r="D2101">
        <v>33</v>
      </c>
      <c r="E2101" s="2" t="str">
        <f t="shared" si="32"/>
        <v/>
      </c>
    </row>
    <row r="2102" spans="1:5" x14ac:dyDescent="0.25">
      <c r="A2102" s="138">
        <v>613011</v>
      </c>
      <c r="B2102">
        <v>139</v>
      </c>
      <c r="C2102">
        <v>15</v>
      </c>
      <c r="D2102">
        <v>33</v>
      </c>
      <c r="E2102" s="2" t="str">
        <f t="shared" si="32"/>
        <v/>
      </c>
    </row>
    <row r="2103" spans="1:5" x14ac:dyDescent="0.25">
      <c r="A2103" s="138">
        <v>613012</v>
      </c>
      <c r="B2103">
        <v>139</v>
      </c>
      <c r="C2103">
        <v>15</v>
      </c>
      <c r="D2103">
        <v>33</v>
      </c>
      <c r="E2103" s="2" t="str">
        <f t="shared" si="32"/>
        <v/>
      </c>
    </row>
    <row r="2104" spans="1:5" x14ac:dyDescent="0.25">
      <c r="A2104" s="138">
        <v>613013</v>
      </c>
      <c r="B2104">
        <v>139</v>
      </c>
      <c r="C2104">
        <v>15</v>
      </c>
      <c r="D2104">
        <v>33</v>
      </c>
      <c r="E2104" s="2" t="str">
        <f t="shared" si="32"/>
        <v/>
      </c>
    </row>
    <row r="2105" spans="1:5" x14ac:dyDescent="0.25">
      <c r="A2105" s="138">
        <v>613014</v>
      </c>
      <c r="B2105">
        <v>139</v>
      </c>
      <c r="C2105">
        <v>15</v>
      </c>
      <c r="D2105">
        <v>33</v>
      </c>
      <c r="E2105" s="2" t="str">
        <f t="shared" si="32"/>
        <v/>
      </c>
    </row>
    <row r="2106" spans="1:5" x14ac:dyDescent="0.25">
      <c r="A2106" s="138">
        <v>613015</v>
      </c>
      <c r="B2106">
        <v>139</v>
      </c>
      <c r="C2106">
        <v>15</v>
      </c>
      <c r="D2106">
        <v>33</v>
      </c>
      <c r="E2106" s="2" t="str">
        <f t="shared" si="32"/>
        <v/>
      </c>
    </row>
    <row r="2107" spans="1:5" x14ac:dyDescent="0.25">
      <c r="A2107" s="138">
        <v>613016</v>
      </c>
      <c r="B2107">
        <v>139</v>
      </c>
      <c r="C2107">
        <v>15</v>
      </c>
      <c r="D2107">
        <v>33</v>
      </c>
      <c r="E2107" s="2" t="str">
        <f t="shared" si="32"/>
        <v/>
      </c>
    </row>
    <row r="2108" spans="1:5" x14ac:dyDescent="0.25">
      <c r="A2108" s="138">
        <v>613017</v>
      </c>
      <c r="B2108">
        <v>139</v>
      </c>
      <c r="C2108">
        <v>15</v>
      </c>
      <c r="D2108">
        <v>33</v>
      </c>
      <c r="E2108" s="2" t="str">
        <f t="shared" si="32"/>
        <v/>
      </c>
    </row>
    <row r="2109" spans="1:5" x14ac:dyDescent="0.25">
      <c r="A2109" s="138">
        <v>613018</v>
      </c>
      <c r="B2109">
        <v>139</v>
      </c>
      <c r="C2109">
        <v>15</v>
      </c>
      <c r="D2109">
        <v>33</v>
      </c>
      <c r="E2109" s="2" t="str">
        <f t="shared" si="32"/>
        <v/>
      </c>
    </row>
    <row r="2110" spans="1:5" x14ac:dyDescent="0.25">
      <c r="A2110" s="138">
        <v>613019</v>
      </c>
      <c r="B2110">
        <v>139</v>
      </c>
      <c r="C2110">
        <v>15</v>
      </c>
      <c r="D2110">
        <v>33</v>
      </c>
      <c r="E2110" s="2" t="str">
        <f t="shared" si="32"/>
        <v/>
      </c>
    </row>
    <row r="2111" spans="1:5" x14ac:dyDescent="0.25">
      <c r="A2111" s="138">
        <v>613020</v>
      </c>
      <c r="B2111">
        <v>139</v>
      </c>
      <c r="C2111">
        <v>15</v>
      </c>
      <c r="D2111">
        <v>33</v>
      </c>
      <c r="E2111" s="2" t="str">
        <f t="shared" si="32"/>
        <v/>
      </c>
    </row>
    <row r="2112" spans="1:5" x14ac:dyDescent="0.25">
      <c r="A2112" s="138">
        <v>613021</v>
      </c>
      <c r="B2112">
        <v>139</v>
      </c>
      <c r="C2112">
        <v>15</v>
      </c>
      <c r="D2112">
        <v>33</v>
      </c>
      <c r="E2112" s="2" t="str">
        <f t="shared" si="32"/>
        <v/>
      </c>
    </row>
    <row r="2113" spans="1:5" x14ac:dyDescent="0.25">
      <c r="A2113" s="138">
        <v>613022</v>
      </c>
      <c r="B2113">
        <v>139</v>
      </c>
      <c r="C2113">
        <v>15</v>
      </c>
      <c r="D2113">
        <v>33</v>
      </c>
      <c r="E2113" s="2" t="str">
        <f t="shared" si="32"/>
        <v/>
      </c>
    </row>
    <row r="2114" spans="1:5" x14ac:dyDescent="0.25">
      <c r="A2114" s="138">
        <v>613023</v>
      </c>
      <c r="B2114">
        <v>139</v>
      </c>
      <c r="C2114">
        <v>15</v>
      </c>
      <c r="D2114">
        <v>33</v>
      </c>
      <c r="E2114" s="2" t="str">
        <f t="shared" si="32"/>
        <v/>
      </c>
    </row>
    <row r="2115" spans="1:5" x14ac:dyDescent="0.25">
      <c r="A2115" s="138">
        <v>613024</v>
      </c>
      <c r="B2115">
        <v>139</v>
      </c>
      <c r="C2115">
        <v>15</v>
      </c>
      <c r="D2115">
        <v>33</v>
      </c>
      <c r="E2115" s="2" t="str">
        <f t="shared" ref="E2115:E2178" si="33">IF(B2115=B2114,IF(C2114=C2115,"",1),"")</f>
        <v/>
      </c>
    </row>
    <row r="2116" spans="1:5" x14ac:dyDescent="0.25">
      <c r="A2116" s="138">
        <v>613025</v>
      </c>
      <c r="B2116">
        <v>139</v>
      </c>
      <c r="C2116">
        <v>15</v>
      </c>
      <c r="D2116">
        <v>33</v>
      </c>
      <c r="E2116" s="2" t="str">
        <f t="shared" si="33"/>
        <v/>
      </c>
    </row>
    <row r="2117" spans="1:5" x14ac:dyDescent="0.25">
      <c r="A2117" s="138">
        <v>613026</v>
      </c>
      <c r="B2117">
        <v>139</v>
      </c>
      <c r="C2117">
        <v>15</v>
      </c>
      <c r="D2117">
        <v>33</v>
      </c>
      <c r="E2117" s="2" t="str">
        <f t="shared" si="33"/>
        <v/>
      </c>
    </row>
    <row r="2118" spans="1:5" x14ac:dyDescent="0.25">
      <c r="A2118" s="138">
        <v>613027</v>
      </c>
      <c r="B2118">
        <v>139</v>
      </c>
      <c r="C2118">
        <v>15</v>
      </c>
      <c r="D2118">
        <v>33</v>
      </c>
      <c r="E2118" s="2" t="str">
        <f t="shared" si="33"/>
        <v/>
      </c>
    </row>
    <row r="2119" spans="1:5" x14ac:dyDescent="0.25">
      <c r="A2119" s="138">
        <v>613028</v>
      </c>
      <c r="B2119">
        <v>139</v>
      </c>
      <c r="C2119">
        <v>15</v>
      </c>
      <c r="D2119">
        <v>33</v>
      </c>
      <c r="E2119" s="2" t="str">
        <f t="shared" si="33"/>
        <v/>
      </c>
    </row>
    <row r="2120" spans="1:5" x14ac:dyDescent="0.25">
      <c r="A2120" s="138">
        <v>613029</v>
      </c>
      <c r="B2120">
        <v>139</v>
      </c>
      <c r="C2120">
        <v>15</v>
      </c>
      <c r="D2120">
        <v>33</v>
      </c>
      <c r="E2120" s="2" t="str">
        <f t="shared" si="33"/>
        <v/>
      </c>
    </row>
    <row r="2121" spans="1:5" x14ac:dyDescent="0.25">
      <c r="A2121" s="138">
        <v>613030</v>
      </c>
      <c r="B2121">
        <v>139</v>
      </c>
      <c r="C2121">
        <v>15</v>
      </c>
      <c r="D2121">
        <v>33</v>
      </c>
      <c r="E2121" s="2" t="str">
        <f t="shared" si="33"/>
        <v/>
      </c>
    </row>
    <row r="2122" spans="1:5" x14ac:dyDescent="0.25">
      <c r="A2122" s="138">
        <v>613031</v>
      </c>
      <c r="B2122">
        <v>139</v>
      </c>
      <c r="C2122">
        <v>15</v>
      </c>
      <c r="D2122">
        <v>33</v>
      </c>
      <c r="E2122" s="2" t="str">
        <f t="shared" si="33"/>
        <v/>
      </c>
    </row>
    <row r="2123" spans="1:5" x14ac:dyDescent="0.25">
      <c r="A2123" s="138">
        <v>613032</v>
      </c>
      <c r="B2123">
        <v>139</v>
      </c>
      <c r="C2123">
        <v>15</v>
      </c>
      <c r="D2123">
        <v>33</v>
      </c>
      <c r="E2123" s="2" t="str">
        <f t="shared" si="33"/>
        <v/>
      </c>
    </row>
    <row r="2124" spans="1:5" x14ac:dyDescent="0.25">
      <c r="A2124" s="138">
        <v>613099</v>
      </c>
      <c r="B2124">
        <v>139</v>
      </c>
      <c r="C2124">
        <v>15</v>
      </c>
      <c r="D2124">
        <v>33</v>
      </c>
      <c r="E2124" s="2" t="str">
        <f t="shared" si="33"/>
        <v/>
      </c>
    </row>
    <row r="2125" spans="1:5" x14ac:dyDescent="0.25">
      <c r="A2125" s="138">
        <v>621000</v>
      </c>
      <c r="B2125">
        <v>240</v>
      </c>
      <c r="C2125">
        <v>15</v>
      </c>
      <c r="D2125">
        <v>34</v>
      </c>
      <c r="E2125" s="2" t="str">
        <f t="shared" si="33"/>
        <v/>
      </c>
    </row>
    <row r="2126" spans="1:5" x14ac:dyDescent="0.25">
      <c r="A2126" s="138">
        <v>621001</v>
      </c>
      <c r="B2126">
        <v>240</v>
      </c>
      <c r="C2126">
        <v>15</v>
      </c>
      <c r="D2126">
        <v>34</v>
      </c>
      <c r="E2126" s="2" t="str">
        <f t="shared" si="33"/>
        <v/>
      </c>
    </row>
    <row r="2127" spans="1:5" x14ac:dyDescent="0.25">
      <c r="A2127" s="138">
        <v>621002</v>
      </c>
      <c r="B2127">
        <v>240</v>
      </c>
      <c r="C2127">
        <v>15</v>
      </c>
      <c r="D2127">
        <v>34</v>
      </c>
      <c r="E2127" s="2" t="str">
        <f t="shared" si="33"/>
        <v/>
      </c>
    </row>
    <row r="2128" spans="1:5" x14ac:dyDescent="0.25">
      <c r="A2128" s="138">
        <v>621003</v>
      </c>
      <c r="B2128">
        <v>240</v>
      </c>
      <c r="C2128">
        <v>15</v>
      </c>
      <c r="D2128">
        <v>34</v>
      </c>
      <c r="E2128" s="2" t="str">
        <f t="shared" si="33"/>
        <v/>
      </c>
    </row>
    <row r="2129" spans="1:5" x14ac:dyDescent="0.25">
      <c r="A2129" s="138">
        <v>622000</v>
      </c>
      <c r="B2129">
        <v>240</v>
      </c>
      <c r="C2129">
        <v>15</v>
      </c>
      <c r="D2129">
        <v>34</v>
      </c>
      <c r="E2129" s="2" t="str">
        <f t="shared" si="33"/>
        <v/>
      </c>
    </row>
    <row r="2130" spans="1:5" x14ac:dyDescent="0.25">
      <c r="A2130" s="138">
        <v>622001</v>
      </c>
      <c r="B2130">
        <v>240</v>
      </c>
      <c r="C2130">
        <v>15</v>
      </c>
      <c r="D2130">
        <v>34</v>
      </c>
      <c r="E2130" s="2" t="str">
        <f t="shared" si="33"/>
        <v/>
      </c>
    </row>
    <row r="2131" spans="1:5" x14ac:dyDescent="0.25">
      <c r="A2131" s="138">
        <v>622002</v>
      </c>
      <c r="B2131">
        <v>240</v>
      </c>
      <c r="C2131">
        <v>15</v>
      </c>
      <c r="D2131">
        <v>34</v>
      </c>
      <c r="E2131" s="2" t="str">
        <f t="shared" si="33"/>
        <v/>
      </c>
    </row>
    <row r="2132" spans="1:5" x14ac:dyDescent="0.25">
      <c r="A2132" s="138">
        <v>622003</v>
      </c>
      <c r="B2132">
        <v>240</v>
      </c>
      <c r="C2132">
        <v>15</v>
      </c>
      <c r="D2132">
        <v>34</v>
      </c>
      <c r="E2132" s="2" t="str">
        <f t="shared" si="33"/>
        <v/>
      </c>
    </row>
    <row r="2133" spans="1:5" x14ac:dyDescent="0.25">
      <c r="A2133" s="138">
        <v>622099</v>
      </c>
      <c r="B2133">
        <v>240</v>
      </c>
      <c r="C2133">
        <v>15</v>
      </c>
      <c r="D2133">
        <v>34</v>
      </c>
      <c r="E2133" s="2" t="str">
        <f t="shared" si="33"/>
        <v/>
      </c>
    </row>
    <row r="2134" spans="1:5" x14ac:dyDescent="0.25">
      <c r="A2134" s="138">
        <v>623000</v>
      </c>
      <c r="B2134">
        <v>240</v>
      </c>
      <c r="C2134">
        <v>15</v>
      </c>
      <c r="D2134">
        <v>34</v>
      </c>
      <c r="E2134" s="2" t="str">
        <f t="shared" si="33"/>
        <v/>
      </c>
    </row>
    <row r="2135" spans="1:5" x14ac:dyDescent="0.25">
      <c r="A2135" s="138">
        <v>623001</v>
      </c>
      <c r="B2135">
        <v>240</v>
      </c>
      <c r="C2135">
        <v>15</v>
      </c>
      <c r="D2135">
        <v>34</v>
      </c>
      <c r="E2135" s="2" t="str">
        <f t="shared" si="33"/>
        <v/>
      </c>
    </row>
    <row r="2136" spans="1:5" x14ac:dyDescent="0.25">
      <c r="A2136" s="138">
        <v>623002</v>
      </c>
      <c r="B2136">
        <v>240</v>
      </c>
      <c r="C2136">
        <v>15</v>
      </c>
      <c r="D2136">
        <v>34</v>
      </c>
      <c r="E2136" s="2" t="str">
        <f t="shared" si="33"/>
        <v/>
      </c>
    </row>
    <row r="2137" spans="1:5" x14ac:dyDescent="0.25">
      <c r="A2137" s="138">
        <v>623003</v>
      </c>
      <c r="B2137">
        <v>240</v>
      </c>
      <c r="C2137">
        <v>15</v>
      </c>
      <c r="D2137">
        <v>34</v>
      </c>
      <c r="E2137" s="2" t="str">
        <f t="shared" si="33"/>
        <v/>
      </c>
    </row>
    <row r="2138" spans="1:5" x14ac:dyDescent="0.25">
      <c r="A2138" s="138">
        <v>623004</v>
      </c>
      <c r="B2138">
        <v>240</v>
      </c>
      <c r="C2138">
        <v>15</v>
      </c>
      <c r="D2138">
        <v>34</v>
      </c>
      <c r="E2138" s="2" t="str">
        <f t="shared" si="33"/>
        <v/>
      </c>
    </row>
    <row r="2139" spans="1:5" x14ac:dyDescent="0.25">
      <c r="A2139" s="138">
        <v>623005</v>
      </c>
      <c r="B2139">
        <v>240</v>
      </c>
      <c r="C2139">
        <v>15</v>
      </c>
      <c r="D2139">
        <v>34</v>
      </c>
      <c r="E2139" s="2" t="str">
        <f t="shared" si="33"/>
        <v/>
      </c>
    </row>
    <row r="2140" spans="1:5" x14ac:dyDescent="0.25">
      <c r="A2140" s="138">
        <v>623006</v>
      </c>
      <c r="B2140">
        <v>240</v>
      </c>
      <c r="C2140">
        <v>15</v>
      </c>
      <c r="D2140">
        <v>34</v>
      </c>
      <c r="E2140" s="2" t="str">
        <f t="shared" si="33"/>
        <v/>
      </c>
    </row>
    <row r="2141" spans="1:5" x14ac:dyDescent="0.25">
      <c r="A2141" s="138">
        <v>623007</v>
      </c>
      <c r="B2141">
        <v>240</v>
      </c>
      <c r="C2141">
        <v>15</v>
      </c>
      <c r="D2141">
        <v>34</v>
      </c>
      <c r="E2141" s="2" t="str">
        <f t="shared" si="33"/>
        <v/>
      </c>
    </row>
    <row r="2142" spans="1:5" x14ac:dyDescent="0.25">
      <c r="A2142" s="138">
        <v>623008</v>
      </c>
      <c r="B2142">
        <v>240</v>
      </c>
      <c r="C2142">
        <v>15</v>
      </c>
      <c r="D2142">
        <v>34</v>
      </c>
      <c r="E2142" s="2" t="str">
        <f t="shared" si="33"/>
        <v/>
      </c>
    </row>
    <row r="2143" spans="1:5" x14ac:dyDescent="0.25">
      <c r="A2143" s="138">
        <v>623009</v>
      </c>
      <c r="B2143">
        <v>240</v>
      </c>
      <c r="C2143">
        <v>15</v>
      </c>
      <c r="D2143">
        <v>34</v>
      </c>
      <c r="E2143" s="2" t="str">
        <f t="shared" si="33"/>
        <v/>
      </c>
    </row>
    <row r="2144" spans="1:5" x14ac:dyDescent="0.25">
      <c r="A2144" s="138">
        <v>623010</v>
      </c>
      <c r="B2144">
        <v>240</v>
      </c>
      <c r="C2144">
        <v>15</v>
      </c>
      <c r="D2144">
        <v>34</v>
      </c>
      <c r="E2144" s="2" t="str">
        <f t="shared" si="33"/>
        <v/>
      </c>
    </row>
    <row r="2145" spans="1:5" x14ac:dyDescent="0.25">
      <c r="A2145" s="138">
        <v>623011</v>
      </c>
      <c r="B2145">
        <v>240</v>
      </c>
      <c r="C2145">
        <v>15</v>
      </c>
      <c r="D2145">
        <v>34</v>
      </c>
      <c r="E2145" s="2" t="str">
        <f t="shared" si="33"/>
        <v/>
      </c>
    </row>
    <row r="2146" spans="1:5" x14ac:dyDescent="0.25">
      <c r="A2146" s="138">
        <v>623012</v>
      </c>
      <c r="B2146">
        <v>240</v>
      </c>
      <c r="C2146">
        <v>15</v>
      </c>
      <c r="D2146">
        <v>34</v>
      </c>
      <c r="E2146" s="2" t="str">
        <f t="shared" si="33"/>
        <v/>
      </c>
    </row>
    <row r="2147" spans="1:5" x14ac:dyDescent="0.25">
      <c r="A2147" s="138">
        <v>623013</v>
      </c>
      <c r="B2147">
        <v>240</v>
      </c>
      <c r="C2147">
        <v>15</v>
      </c>
      <c r="D2147">
        <v>34</v>
      </c>
      <c r="E2147" s="2" t="str">
        <f t="shared" si="33"/>
        <v/>
      </c>
    </row>
    <row r="2148" spans="1:5" x14ac:dyDescent="0.25">
      <c r="A2148" s="138">
        <v>623014</v>
      </c>
      <c r="B2148">
        <v>240</v>
      </c>
      <c r="C2148">
        <v>15</v>
      </c>
      <c r="D2148">
        <v>34</v>
      </c>
      <c r="E2148" s="2" t="str">
        <f t="shared" si="33"/>
        <v/>
      </c>
    </row>
    <row r="2149" spans="1:5" x14ac:dyDescent="0.25">
      <c r="A2149" s="138">
        <v>623015</v>
      </c>
      <c r="B2149">
        <v>240</v>
      </c>
      <c r="C2149">
        <v>15</v>
      </c>
      <c r="D2149">
        <v>34</v>
      </c>
      <c r="E2149" s="2" t="str">
        <f t="shared" si="33"/>
        <v/>
      </c>
    </row>
    <row r="2150" spans="1:5" x14ac:dyDescent="0.25">
      <c r="A2150" s="138">
        <v>623016</v>
      </c>
      <c r="B2150">
        <v>240</v>
      </c>
      <c r="C2150">
        <v>15</v>
      </c>
      <c r="D2150">
        <v>34</v>
      </c>
      <c r="E2150" s="2" t="str">
        <f t="shared" si="33"/>
        <v/>
      </c>
    </row>
    <row r="2151" spans="1:5" x14ac:dyDescent="0.25">
      <c r="A2151" s="138">
        <v>623017</v>
      </c>
      <c r="B2151">
        <v>240</v>
      </c>
      <c r="C2151">
        <v>15</v>
      </c>
      <c r="D2151">
        <v>34</v>
      </c>
      <c r="E2151" s="2" t="str">
        <f t="shared" si="33"/>
        <v/>
      </c>
    </row>
    <row r="2152" spans="1:5" x14ac:dyDescent="0.25">
      <c r="A2152" s="138">
        <v>623018</v>
      </c>
      <c r="B2152">
        <v>240</v>
      </c>
      <c r="C2152">
        <v>15</v>
      </c>
      <c r="D2152">
        <v>34</v>
      </c>
      <c r="E2152" s="2" t="str">
        <f t="shared" si="33"/>
        <v/>
      </c>
    </row>
    <row r="2153" spans="1:5" x14ac:dyDescent="0.25">
      <c r="A2153" s="138">
        <v>623019</v>
      </c>
      <c r="B2153">
        <v>240</v>
      </c>
      <c r="C2153">
        <v>15</v>
      </c>
      <c r="D2153">
        <v>34</v>
      </c>
      <c r="E2153" s="2" t="str">
        <f t="shared" si="33"/>
        <v/>
      </c>
    </row>
    <row r="2154" spans="1:5" x14ac:dyDescent="0.25">
      <c r="A2154" s="138">
        <v>623020</v>
      </c>
      <c r="B2154">
        <v>240</v>
      </c>
      <c r="C2154">
        <v>15</v>
      </c>
      <c r="D2154">
        <v>34</v>
      </c>
      <c r="E2154" s="2" t="str">
        <f t="shared" si="33"/>
        <v/>
      </c>
    </row>
    <row r="2155" spans="1:5" x14ac:dyDescent="0.25">
      <c r="A2155" s="138">
        <v>623021</v>
      </c>
      <c r="B2155">
        <v>240</v>
      </c>
      <c r="C2155">
        <v>15</v>
      </c>
      <c r="D2155">
        <v>34</v>
      </c>
      <c r="E2155" s="2" t="str">
        <f t="shared" si="33"/>
        <v/>
      </c>
    </row>
    <row r="2156" spans="1:5" x14ac:dyDescent="0.25">
      <c r="A2156" s="138">
        <v>623022</v>
      </c>
      <c r="B2156">
        <v>240</v>
      </c>
      <c r="C2156">
        <v>15</v>
      </c>
      <c r="D2156">
        <v>34</v>
      </c>
      <c r="E2156" s="2" t="str">
        <f t="shared" si="33"/>
        <v/>
      </c>
    </row>
    <row r="2157" spans="1:5" x14ac:dyDescent="0.25">
      <c r="A2157" s="138">
        <v>623023</v>
      </c>
      <c r="B2157">
        <v>240</v>
      </c>
      <c r="C2157">
        <v>15</v>
      </c>
      <c r="D2157">
        <v>34</v>
      </c>
      <c r="E2157" s="2" t="str">
        <f t="shared" si="33"/>
        <v/>
      </c>
    </row>
    <row r="2158" spans="1:5" x14ac:dyDescent="0.25">
      <c r="A2158" s="138">
        <v>623024</v>
      </c>
      <c r="B2158">
        <v>240</v>
      </c>
      <c r="C2158">
        <v>15</v>
      </c>
      <c r="D2158">
        <v>34</v>
      </c>
      <c r="E2158" s="2" t="str">
        <f t="shared" si="33"/>
        <v/>
      </c>
    </row>
    <row r="2159" spans="1:5" x14ac:dyDescent="0.25">
      <c r="A2159" s="138">
        <v>623025</v>
      </c>
      <c r="B2159">
        <v>240</v>
      </c>
      <c r="C2159">
        <v>15</v>
      </c>
      <c r="D2159">
        <v>34</v>
      </c>
      <c r="E2159" s="2" t="str">
        <f t="shared" si="33"/>
        <v/>
      </c>
    </row>
    <row r="2160" spans="1:5" x14ac:dyDescent="0.25">
      <c r="A2160" s="138">
        <v>623026</v>
      </c>
      <c r="B2160">
        <v>240</v>
      </c>
      <c r="C2160">
        <v>15</v>
      </c>
      <c r="D2160">
        <v>34</v>
      </c>
      <c r="E2160" s="2" t="str">
        <f t="shared" si="33"/>
        <v/>
      </c>
    </row>
    <row r="2161" spans="1:5" x14ac:dyDescent="0.25">
      <c r="A2161" s="138">
        <v>623027</v>
      </c>
      <c r="B2161">
        <v>240</v>
      </c>
      <c r="C2161">
        <v>15</v>
      </c>
      <c r="D2161">
        <v>34</v>
      </c>
      <c r="E2161" s="2" t="str">
        <f t="shared" si="33"/>
        <v/>
      </c>
    </row>
    <row r="2162" spans="1:5" x14ac:dyDescent="0.25">
      <c r="A2162" s="138">
        <v>623028</v>
      </c>
      <c r="B2162">
        <v>240</v>
      </c>
      <c r="C2162">
        <v>15</v>
      </c>
      <c r="D2162">
        <v>34</v>
      </c>
      <c r="E2162" s="2" t="str">
        <f t="shared" si="33"/>
        <v/>
      </c>
    </row>
    <row r="2163" spans="1:5" x14ac:dyDescent="0.25">
      <c r="A2163" s="138">
        <v>623029</v>
      </c>
      <c r="B2163">
        <v>240</v>
      </c>
      <c r="C2163">
        <v>15</v>
      </c>
      <c r="D2163">
        <v>34</v>
      </c>
      <c r="E2163" s="2" t="str">
        <f t="shared" si="33"/>
        <v/>
      </c>
    </row>
    <row r="2164" spans="1:5" x14ac:dyDescent="0.25">
      <c r="A2164" s="138">
        <v>623030</v>
      </c>
      <c r="B2164">
        <v>240</v>
      </c>
      <c r="C2164">
        <v>15</v>
      </c>
      <c r="D2164">
        <v>34</v>
      </c>
      <c r="E2164" s="2" t="str">
        <f t="shared" si="33"/>
        <v/>
      </c>
    </row>
    <row r="2165" spans="1:5" x14ac:dyDescent="0.25">
      <c r="A2165" s="138">
        <v>623031</v>
      </c>
      <c r="B2165">
        <v>240</v>
      </c>
      <c r="C2165">
        <v>15</v>
      </c>
      <c r="D2165">
        <v>34</v>
      </c>
      <c r="E2165" s="2" t="str">
        <f t="shared" si="33"/>
        <v/>
      </c>
    </row>
    <row r="2166" spans="1:5" x14ac:dyDescent="0.25">
      <c r="A2166" s="138">
        <v>623032</v>
      </c>
      <c r="B2166">
        <v>240</v>
      </c>
      <c r="C2166">
        <v>15</v>
      </c>
      <c r="D2166">
        <v>34</v>
      </c>
      <c r="E2166" s="2" t="str">
        <f t="shared" si="33"/>
        <v/>
      </c>
    </row>
    <row r="2167" spans="1:5" x14ac:dyDescent="0.25">
      <c r="A2167" s="138">
        <v>623099</v>
      </c>
      <c r="B2167">
        <v>240</v>
      </c>
      <c r="C2167">
        <v>15</v>
      </c>
      <c r="D2167">
        <v>34</v>
      </c>
      <c r="E2167" s="2" t="str">
        <f t="shared" si="33"/>
        <v/>
      </c>
    </row>
    <row r="2168" spans="1:5" x14ac:dyDescent="0.25">
      <c r="A2168" s="138">
        <v>631000</v>
      </c>
      <c r="B2168">
        <v>240</v>
      </c>
      <c r="C2168">
        <v>15</v>
      </c>
      <c r="D2168">
        <v>34</v>
      </c>
      <c r="E2168" s="2" t="str">
        <f t="shared" si="33"/>
        <v/>
      </c>
    </row>
    <row r="2169" spans="1:5" x14ac:dyDescent="0.25">
      <c r="A2169" s="138">
        <v>631001</v>
      </c>
      <c r="B2169">
        <v>240</v>
      </c>
      <c r="C2169">
        <v>15</v>
      </c>
      <c r="D2169">
        <v>34</v>
      </c>
      <c r="E2169" s="2" t="str">
        <f t="shared" si="33"/>
        <v/>
      </c>
    </row>
    <row r="2170" spans="1:5" x14ac:dyDescent="0.25">
      <c r="A2170" s="138">
        <v>711000</v>
      </c>
      <c r="B2170">
        <v>168</v>
      </c>
      <c r="C2170">
        <v>6</v>
      </c>
      <c r="D2170">
        <v>25</v>
      </c>
      <c r="E2170" s="2" t="str">
        <f t="shared" si="33"/>
        <v/>
      </c>
    </row>
    <row r="2171" spans="1:5" x14ac:dyDescent="0.25">
      <c r="A2171" s="138">
        <v>711001</v>
      </c>
      <c r="B2171">
        <v>168</v>
      </c>
      <c r="C2171">
        <v>6</v>
      </c>
      <c r="D2171">
        <v>25</v>
      </c>
      <c r="E2171" s="2" t="str">
        <f t="shared" si="33"/>
        <v/>
      </c>
    </row>
    <row r="2172" spans="1:5" x14ac:dyDescent="0.25">
      <c r="A2172" s="138">
        <v>711002</v>
      </c>
      <c r="B2172">
        <v>168</v>
      </c>
      <c r="C2172">
        <v>6</v>
      </c>
      <c r="D2172">
        <v>25</v>
      </c>
      <c r="E2172" s="2" t="str">
        <f t="shared" si="33"/>
        <v/>
      </c>
    </row>
    <row r="2173" spans="1:5" x14ac:dyDescent="0.25">
      <c r="A2173" s="138">
        <v>711003</v>
      </c>
      <c r="B2173">
        <v>168</v>
      </c>
      <c r="C2173">
        <v>6</v>
      </c>
      <c r="D2173">
        <v>25</v>
      </c>
      <c r="E2173" s="2" t="str">
        <f t="shared" si="33"/>
        <v/>
      </c>
    </row>
    <row r="2174" spans="1:5" x14ac:dyDescent="0.25">
      <c r="A2174" s="138">
        <v>711004</v>
      </c>
      <c r="B2174">
        <v>168</v>
      </c>
      <c r="C2174">
        <v>6</v>
      </c>
      <c r="D2174">
        <v>25</v>
      </c>
      <c r="E2174" s="2" t="str">
        <f t="shared" si="33"/>
        <v/>
      </c>
    </row>
    <row r="2175" spans="1:5" x14ac:dyDescent="0.25">
      <c r="A2175" s="138">
        <v>711005</v>
      </c>
      <c r="B2175">
        <v>168</v>
      </c>
      <c r="C2175">
        <v>6</v>
      </c>
      <c r="D2175">
        <v>25</v>
      </c>
      <c r="E2175" s="2" t="str">
        <f t="shared" si="33"/>
        <v/>
      </c>
    </row>
    <row r="2176" spans="1:5" x14ac:dyDescent="0.25">
      <c r="A2176" s="138">
        <v>711006</v>
      </c>
      <c r="B2176">
        <v>168</v>
      </c>
      <c r="C2176">
        <v>6</v>
      </c>
      <c r="D2176">
        <v>25</v>
      </c>
      <c r="E2176" s="2" t="str">
        <f t="shared" si="33"/>
        <v/>
      </c>
    </row>
    <row r="2177" spans="1:5" x14ac:dyDescent="0.25">
      <c r="A2177" s="138">
        <v>711007</v>
      </c>
      <c r="B2177">
        <v>168</v>
      </c>
      <c r="C2177">
        <v>6</v>
      </c>
      <c r="D2177">
        <v>25</v>
      </c>
      <c r="E2177" s="2" t="str">
        <f t="shared" si="33"/>
        <v/>
      </c>
    </row>
    <row r="2178" spans="1:5" x14ac:dyDescent="0.25">
      <c r="A2178" s="138">
        <v>711008</v>
      </c>
      <c r="B2178">
        <v>168</v>
      </c>
      <c r="C2178">
        <v>6</v>
      </c>
      <c r="D2178">
        <v>25</v>
      </c>
      <c r="E2178" s="2" t="str">
        <f t="shared" si="33"/>
        <v/>
      </c>
    </row>
    <row r="2179" spans="1:5" x14ac:dyDescent="0.25">
      <c r="A2179" s="138">
        <v>711099</v>
      </c>
      <c r="B2179">
        <v>168</v>
      </c>
      <c r="C2179">
        <v>6</v>
      </c>
      <c r="D2179">
        <v>25</v>
      </c>
      <c r="E2179" s="2" t="str">
        <f t="shared" ref="E2179:E2242" si="34">IF(B2179=B2178,IF(C2178=C2179,"",1),"")</f>
        <v/>
      </c>
    </row>
    <row r="2180" spans="1:5" x14ac:dyDescent="0.25">
      <c r="A2180" s="138">
        <v>712000</v>
      </c>
      <c r="B2180">
        <v>168</v>
      </c>
      <c r="C2180">
        <v>6</v>
      </c>
      <c r="D2180">
        <v>25</v>
      </c>
      <c r="E2180" s="2" t="str">
        <f t="shared" si="34"/>
        <v/>
      </c>
    </row>
    <row r="2181" spans="1:5" x14ac:dyDescent="0.25">
      <c r="A2181" s="138">
        <v>712001</v>
      </c>
      <c r="B2181">
        <v>168</v>
      </c>
      <c r="C2181">
        <v>6</v>
      </c>
      <c r="D2181">
        <v>25</v>
      </c>
      <c r="E2181" s="2" t="str">
        <f t="shared" si="34"/>
        <v/>
      </c>
    </row>
    <row r="2182" spans="1:5" x14ac:dyDescent="0.25">
      <c r="A2182" s="138">
        <v>712002</v>
      </c>
      <c r="B2182">
        <v>168</v>
      </c>
      <c r="C2182">
        <v>6</v>
      </c>
      <c r="D2182">
        <v>25</v>
      </c>
      <c r="E2182" s="2" t="str">
        <f t="shared" si="34"/>
        <v/>
      </c>
    </row>
    <row r="2183" spans="1:5" x14ac:dyDescent="0.25">
      <c r="A2183" s="138">
        <v>712003</v>
      </c>
      <c r="B2183">
        <v>168</v>
      </c>
      <c r="C2183">
        <v>6</v>
      </c>
      <c r="D2183">
        <v>25</v>
      </c>
      <c r="E2183" s="2" t="str">
        <f t="shared" si="34"/>
        <v/>
      </c>
    </row>
    <row r="2184" spans="1:5" x14ac:dyDescent="0.25">
      <c r="A2184" s="138">
        <v>712004</v>
      </c>
      <c r="B2184">
        <v>168</v>
      </c>
      <c r="C2184">
        <v>6</v>
      </c>
      <c r="D2184">
        <v>25</v>
      </c>
      <c r="E2184" s="2" t="str">
        <f t="shared" si="34"/>
        <v/>
      </c>
    </row>
    <row r="2185" spans="1:5" x14ac:dyDescent="0.25">
      <c r="A2185" s="138">
        <v>712005</v>
      </c>
      <c r="B2185">
        <v>168</v>
      </c>
      <c r="C2185">
        <v>6</v>
      </c>
      <c r="D2185">
        <v>25</v>
      </c>
      <c r="E2185" s="2" t="str">
        <f t="shared" si="34"/>
        <v/>
      </c>
    </row>
    <row r="2186" spans="1:5" x14ac:dyDescent="0.25">
      <c r="A2186" s="138">
        <v>712006</v>
      </c>
      <c r="B2186">
        <v>168</v>
      </c>
      <c r="C2186">
        <v>6</v>
      </c>
      <c r="D2186">
        <v>25</v>
      </c>
      <c r="E2186" s="2" t="str">
        <f t="shared" si="34"/>
        <v/>
      </c>
    </row>
    <row r="2187" spans="1:5" x14ac:dyDescent="0.25">
      <c r="A2187" s="138">
        <v>712007</v>
      </c>
      <c r="B2187">
        <v>168</v>
      </c>
      <c r="C2187">
        <v>6</v>
      </c>
      <c r="D2187">
        <v>25</v>
      </c>
      <c r="E2187" s="2" t="str">
        <f t="shared" si="34"/>
        <v/>
      </c>
    </row>
    <row r="2188" spans="1:5" x14ac:dyDescent="0.25">
      <c r="A2188" s="138">
        <v>712008</v>
      </c>
      <c r="B2188">
        <v>168</v>
      </c>
      <c r="C2188">
        <v>6</v>
      </c>
      <c r="D2188">
        <v>25</v>
      </c>
      <c r="E2188" s="2" t="str">
        <f t="shared" si="34"/>
        <v/>
      </c>
    </row>
    <row r="2189" spans="1:5" x14ac:dyDescent="0.25">
      <c r="A2189" s="138">
        <v>713000</v>
      </c>
      <c r="B2189">
        <v>168</v>
      </c>
      <c r="C2189">
        <v>6</v>
      </c>
      <c r="D2189">
        <v>25</v>
      </c>
      <c r="E2189" s="2" t="str">
        <f t="shared" si="34"/>
        <v/>
      </c>
    </row>
    <row r="2190" spans="1:5" x14ac:dyDescent="0.25">
      <c r="A2190" s="138">
        <v>713001</v>
      </c>
      <c r="B2190">
        <v>168</v>
      </c>
      <c r="C2190">
        <v>6</v>
      </c>
      <c r="D2190">
        <v>25</v>
      </c>
      <c r="E2190" s="2" t="str">
        <f t="shared" si="34"/>
        <v/>
      </c>
    </row>
    <row r="2191" spans="1:5" x14ac:dyDescent="0.25">
      <c r="A2191" s="138">
        <v>713002</v>
      </c>
      <c r="B2191">
        <v>168</v>
      </c>
      <c r="C2191">
        <v>6</v>
      </c>
      <c r="D2191">
        <v>25</v>
      </c>
      <c r="E2191" s="2" t="str">
        <f t="shared" si="34"/>
        <v/>
      </c>
    </row>
    <row r="2192" spans="1:5" x14ac:dyDescent="0.25">
      <c r="A2192" s="138">
        <v>713003</v>
      </c>
      <c r="B2192">
        <v>168</v>
      </c>
      <c r="C2192">
        <v>6</v>
      </c>
      <c r="D2192">
        <v>25</v>
      </c>
      <c r="E2192" s="2" t="str">
        <f t="shared" si="34"/>
        <v/>
      </c>
    </row>
    <row r="2193" spans="1:5" x14ac:dyDescent="0.25">
      <c r="A2193" s="138">
        <v>714000</v>
      </c>
      <c r="B2193">
        <v>168</v>
      </c>
      <c r="C2193">
        <v>6</v>
      </c>
      <c r="D2193">
        <v>25</v>
      </c>
      <c r="E2193" s="2" t="str">
        <f t="shared" si="34"/>
        <v/>
      </c>
    </row>
    <row r="2194" spans="1:5" x14ac:dyDescent="0.25">
      <c r="A2194" s="138">
        <v>714001</v>
      </c>
      <c r="B2194">
        <v>168</v>
      </c>
      <c r="C2194">
        <v>6</v>
      </c>
      <c r="D2194">
        <v>25</v>
      </c>
      <c r="E2194" s="2" t="str">
        <f t="shared" si="34"/>
        <v/>
      </c>
    </row>
    <row r="2195" spans="1:5" x14ac:dyDescent="0.25">
      <c r="A2195" s="138">
        <v>714002</v>
      </c>
      <c r="B2195">
        <v>168</v>
      </c>
      <c r="C2195">
        <v>6</v>
      </c>
      <c r="D2195">
        <v>25</v>
      </c>
      <c r="E2195" s="2" t="str">
        <f t="shared" si="34"/>
        <v/>
      </c>
    </row>
    <row r="2196" spans="1:5" x14ac:dyDescent="0.25">
      <c r="A2196" s="138">
        <v>714003</v>
      </c>
      <c r="B2196">
        <v>168</v>
      </c>
      <c r="C2196">
        <v>6</v>
      </c>
      <c r="D2196">
        <v>25</v>
      </c>
      <c r="E2196" s="2" t="str">
        <f t="shared" si="34"/>
        <v/>
      </c>
    </row>
    <row r="2197" spans="1:5" x14ac:dyDescent="0.25">
      <c r="A2197" s="138">
        <v>714004</v>
      </c>
      <c r="B2197">
        <v>168</v>
      </c>
      <c r="C2197">
        <v>6</v>
      </c>
      <c r="D2197">
        <v>25</v>
      </c>
      <c r="E2197" s="2" t="str">
        <f t="shared" si="34"/>
        <v/>
      </c>
    </row>
    <row r="2198" spans="1:5" x14ac:dyDescent="0.25">
      <c r="A2198" s="138">
        <v>714005</v>
      </c>
      <c r="B2198">
        <v>168</v>
      </c>
      <c r="C2198">
        <v>6</v>
      </c>
      <c r="D2198">
        <v>25</v>
      </c>
      <c r="E2198" s="2" t="str">
        <f t="shared" si="34"/>
        <v/>
      </c>
    </row>
    <row r="2199" spans="1:5" x14ac:dyDescent="0.25">
      <c r="A2199" s="138">
        <v>714006</v>
      </c>
      <c r="B2199">
        <v>168</v>
      </c>
      <c r="C2199">
        <v>6</v>
      </c>
      <c r="D2199">
        <v>25</v>
      </c>
      <c r="E2199" s="2" t="str">
        <f t="shared" si="34"/>
        <v/>
      </c>
    </row>
    <row r="2200" spans="1:5" x14ac:dyDescent="0.25">
      <c r="A2200" s="138">
        <v>714007</v>
      </c>
      <c r="B2200">
        <v>168</v>
      </c>
      <c r="C2200">
        <v>6</v>
      </c>
      <c r="D2200">
        <v>25</v>
      </c>
      <c r="E2200" s="2" t="str">
        <f t="shared" si="34"/>
        <v/>
      </c>
    </row>
    <row r="2201" spans="1:5" x14ac:dyDescent="0.25">
      <c r="A2201" s="138">
        <v>714099</v>
      </c>
      <c r="B2201">
        <v>168</v>
      </c>
      <c r="C2201">
        <v>6</v>
      </c>
      <c r="D2201">
        <v>25</v>
      </c>
      <c r="E2201" s="2" t="str">
        <f t="shared" si="34"/>
        <v/>
      </c>
    </row>
    <row r="2202" spans="1:5" x14ac:dyDescent="0.25">
      <c r="A2202" s="138">
        <v>721000</v>
      </c>
      <c r="B2202">
        <v>169</v>
      </c>
      <c r="C2202">
        <v>6</v>
      </c>
      <c r="D2202">
        <v>25</v>
      </c>
      <c r="E2202" s="2" t="str">
        <f t="shared" si="34"/>
        <v/>
      </c>
    </row>
    <row r="2203" spans="1:5" x14ac:dyDescent="0.25">
      <c r="A2203" s="138">
        <v>721001</v>
      </c>
      <c r="B2203">
        <v>169</v>
      </c>
      <c r="C2203">
        <v>6</v>
      </c>
      <c r="D2203">
        <v>25</v>
      </c>
      <c r="E2203" s="2" t="str">
        <f t="shared" si="34"/>
        <v/>
      </c>
    </row>
    <row r="2204" spans="1:5" x14ac:dyDescent="0.25">
      <c r="A2204" s="138">
        <v>721002</v>
      </c>
      <c r="B2204">
        <v>169</v>
      </c>
      <c r="C2204">
        <v>6</v>
      </c>
      <c r="D2204">
        <v>25</v>
      </c>
      <c r="E2204" s="2" t="str">
        <f t="shared" si="34"/>
        <v/>
      </c>
    </row>
    <row r="2205" spans="1:5" x14ac:dyDescent="0.25">
      <c r="A2205" s="138">
        <v>721003</v>
      </c>
      <c r="B2205">
        <v>169</v>
      </c>
      <c r="C2205">
        <v>6</v>
      </c>
      <c r="D2205">
        <v>25</v>
      </c>
      <c r="E2205" s="2" t="str">
        <f t="shared" si="34"/>
        <v/>
      </c>
    </row>
    <row r="2206" spans="1:5" x14ac:dyDescent="0.25">
      <c r="A2206" s="138">
        <v>721004</v>
      </c>
      <c r="B2206">
        <v>169</v>
      </c>
      <c r="C2206">
        <v>6</v>
      </c>
      <c r="D2206">
        <v>25</v>
      </c>
      <c r="E2206" s="2" t="str">
        <f t="shared" si="34"/>
        <v/>
      </c>
    </row>
    <row r="2207" spans="1:5" x14ac:dyDescent="0.25">
      <c r="A2207" s="138">
        <v>721005</v>
      </c>
      <c r="B2207">
        <v>169</v>
      </c>
      <c r="C2207">
        <v>6</v>
      </c>
      <c r="D2207">
        <v>25</v>
      </c>
      <c r="E2207" s="2" t="str">
        <f t="shared" si="34"/>
        <v/>
      </c>
    </row>
    <row r="2208" spans="1:5" x14ac:dyDescent="0.25">
      <c r="A2208" s="138">
        <v>721006</v>
      </c>
      <c r="B2208">
        <v>169</v>
      </c>
      <c r="C2208">
        <v>6</v>
      </c>
      <c r="D2208">
        <v>25</v>
      </c>
      <c r="E2208" s="2" t="str">
        <f t="shared" si="34"/>
        <v/>
      </c>
    </row>
    <row r="2209" spans="1:5" x14ac:dyDescent="0.25">
      <c r="A2209" s="138">
        <v>721007</v>
      </c>
      <c r="B2209">
        <v>169</v>
      </c>
      <c r="C2209">
        <v>6</v>
      </c>
      <c r="D2209">
        <v>25</v>
      </c>
      <c r="E2209" s="2" t="str">
        <f t="shared" si="34"/>
        <v/>
      </c>
    </row>
    <row r="2210" spans="1:5" x14ac:dyDescent="0.25">
      <c r="A2210" s="138">
        <v>721008</v>
      </c>
      <c r="B2210">
        <v>169</v>
      </c>
      <c r="C2210">
        <v>6</v>
      </c>
      <c r="D2210">
        <v>25</v>
      </c>
      <c r="E2210" s="2" t="str">
        <f t="shared" si="34"/>
        <v/>
      </c>
    </row>
    <row r="2211" spans="1:5" x14ac:dyDescent="0.25">
      <c r="A2211" s="138">
        <v>721009</v>
      </c>
      <c r="B2211">
        <v>169</v>
      </c>
      <c r="C2211">
        <v>6</v>
      </c>
      <c r="D2211">
        <v>25</v>
      </c>
      <c r="E2211" s="2" t="str">
        <f t="shared" si="34"/>
        <v/>
      </c>
    </row>
    <row r="2212" spans="1:5" x14ac:dyDescent="0.25">
      <c r="A2212" s="138">
        <v>721010</v>
      </c>
      <c r="B2212">
        <v>169</v>
      </c>
      <c r="C2212">
        <v>6</v>
      </c>
      <c r="D2212">
        <v>25</v>
      </c>
      <c r="E2212" s="2" t="str">
        <f t="shared" si="34"/>
        <v/>
      </c>
    </row>
    <row r="2213" spans="1:5" x14ac:dyDescent="0.25">
      <c r="A2213" s="138">
        <v>721011</v>
      </c>
      <c r="B2213">
        <v>169</v>
      </c>
      <c r="C2213">
        <v>6</v>
      </c>
      <c r="D2213">
        <v>25</v>
      </c>
      <c r="E2213" s="2" t="str">
        <f t="shared" si="34"/>
        <v/>
      </c>
    </row>
    <row r="2214" spans="1:5" x14ac:dyDescent="0.25">
      <c r="A2214" s="138">
        <v>721012</v>
      </c>
      <c r="B2214">
        <v>169</v>
      </c>
      <c r="C2214">
        <v>6</v>
      </c>
      <c r="D2214">
        <v>25</v>
      </c>
      <c r="E2214" s="2" t="str">
        <f t="shared" si="34"/>
        <v/>
      </c>
    </row>
    <row r="2215" spans="1:5" x14ac:dyDescent="0.25">
      <c r="A2215" s="138">
        <v>721013</v>
      </c>
      <c r="B2215">
        <v>169</v>
      </c>
      <c r="C2215">
        <v>6</v>
      </c>
      <c r="D2215">
        <v>25</v>
      </c>
      <c r="E2215" s="2" t="str">
        <f t="shared" si="34"/>
        <v/>
      </c>
    </row>
    <row r="2216" spans="1:5" x14ac:dyDescent="0.25">
      <c r="A2216" s="138">
        <v>721014</v>
      </c>
      <c r="B2216">
        <v>169</v>
      </c>
      <c r="C2216">
        <v>6</v>
      </c>
      <c r="D2216">
        <v>25</v>
      </c>
      <c r="E2216" s="2" t="str">
        <f t="shared" si="34"/>
        <v/>
      </c>
    </row>
    <row r="2217" spans="1:5" x14ac:dyDescent="0.25">
      <c r="A2217" s="138">
        <v>721015</v>
      </c>
      <c r="B2217">
        <v>169</v>
      </c>
      <c r="C2217">
        <v>6</v>
      </c>
      <c r="D2217">
        <v>25</v>
      </c>
      <c r="E2217" s="2" t="str">
        <f t="shared" si="34"/>
        <v/>
      </c>
    </row>
    <row r="2218" spans="1:5" x14ac:dyDescent="0.25">
      <c r="A2218" s="138">
        <v>721016</v>
      </c>
      <c r="B2218">
        <v>169</v>
      </c>
      <c r="C2218">
        <v>6</v>
      </c>
      <c r="D2218">
        <v>25</v>
      </c>
      <c r="E2218" s="2" t="str">
        <f t="shared" si="34"/>
        <v/>
      </c>
    </row>
    <row r="2219" spans="1:5" x14ac:dyDescent="0.25">
      <c r="A2219" s="138">
        <v>721017</v>
      </c>
      <c r="B2219">
        <v>169</v>
      </c>
      <c r="C2219">
        <v>6</v>
      </c>
      <c r="D2219">
        <v>25</v>
      </c>
      <c r="E2219" s="2" t="str">
        <f t="shared" si="34"/>
        <v/>
      </c>
    </row>
    <row r="2220" spans="1:5" x14ac:dyDescent="0.25">
      <c r="A2220" s="138">
        <v>721018</v>
      </c>
      <c r="B2220">
        <v>169</v>
      </c>
      <c r="C2220">
        <v>6</v>
      </c>
      <c r="D2220">
        <v>25</v>
      </c>
      <c r="E2220" s="2" t="str">
        <f t="shared" si="34"/>
        <v/>
      </c>
    </row>
    <row r="2221" spans="1:5" x14ac:dyDescent="0.25">
      <c r="A2221" s="138">
        <v>721019</v>
      </c>
      <c r="B2221">
        <v>169</v>
      </c>
      <c r="C2221">
        <v>6</v>
      </c>
      <c r="D2221">
        <v>25</v>
      </c>
      <c r="E2221" s="2" t="str">
        <f t="shared" si="34"/>
        <v/>
      </c>
    </row>
    <row r="2222" spans="1:5" x14ac:dyDescent="0.25">
      <c r="A2222" s="138">
        <v>721020</v>
      </c>
      <c r="B2222">
        <v>169</v>
      </c>
      <c r="C2222">
        <v>6</v>
      </c>
      <c r="D2222">
        <v>25</v>
      </c>
      <c r="E2222" s="2" t="str">
        <f t="shared" si="34"/>
        <v/>
      </c>
    </row>
    <row r="2223" spans="1:5" x14ac:dyDescent="0.25">
      <c r="A2223" s="138">
        <v>721021</v>
      </c>
      <c r="B2223">
        <v>169</v>
      </c>
      <c r="C2223">
        <v>6</v>
      </c>
      <c r="D2223">
        <v>25</v>
      </c>
      <c r="E2223" s="2" t="str">
        <f t="shared" si="34"/>
        <v/>
      </c>
    </row>
    <row r="2224" spans="1:5" x14ac:dyDescent="0.25">
      <c r="A2224" s="138">
        <v>721022</v>
      </c>
      <c r="B2224">
        <v>169</v>
      </c>
      <c r="C2224">
        <v>6</v>
      </c>
      <c r="D2224">
        <v>25</v>
      </c>
      <c r="E2224" s="2" t="str">
        <f t="shared" si="34"/>
        <v/>
      </c>
    </row>
    <row r="2225" spans="1:5" x14ac:dyDescent="0.25">
      <c r="A2225" s="138">
        <v>721023</v>
      </c>
      <c r="B2225">
        <v>169</v>
      </c>
      <c r="C2225">
        <v>6</v>
      </c>
      <c r="D2225">
        <v>25</v>
      </c>
      <c r="E2225" s="2" t="str">
        <f t="shared" si="34"/>
        <v/>
      </c>
    </row>
    <row r="2226" spans="1:5" x14ac:dyDescent="0.25">
      <c r="A2226" s="138">
        <v>721024</v>
      </c>
      <c r="B2226">
        <v>169</v>
      </c>
      <c r="C2226">
        <v>6</v>
      </c>
      <c r="D2226">
        <v>25</v>
      </c>
      <c r="E2226" s="2" t="str">
        <f t="shared" si="34"/>
        <v/>
      </c>
    </row>
    <row r="2227" spans="1:5" x14ac:dyDescent="0.25">
      <c r="A2227" s="138">
        <v>721025</v>
      </c>
      <c r="B2227">
        <v>169</v>
      </c>
      <c r="C2227">
        <v>6</v>
      </c>
      <c r="D2227">
        <v>25</v>
      </c>
      <c r="E2227" s="2" t="str">
        <f t="shared" si="34"/>
        <v/>
      </c>
    </row>
    <row r="2228" spans="1:5" x14ac:dyDescent="0.25">
      <c r="A2228" s="138">
        <v>721026</v>
      </c>
      <c r="B2228">
        <v>169</v>
      </c>
      <c r="C2228">
        <v>6</v>
      </c>
      <c r="D2228">
        <v>25</v>
      </c>
      <c r="E2228" s="2" t="str">
        <f t="shared" si="34"/>
        <v/>
      </c>
    </row>
    <row r="2229" spans="1:5" x14ac:dyDescent="0.25">
      <c r="A2229" s="138">
        <v>721027</v>
      </c>
      <c r="B2229">
        <v>169</v>
      </c>
      <c r="C2229">
        <v>6</v>
      </c>
      <c r="D2229">
        <v>25</v>
      </c>
      <c r="E2229" s="2" t="str">
        <f t="shared" si="34"/>
        <v/>
      </c>
    </row>
    <row r="2230" spans="1:5" x14ac:dyDescent="0.25">
      <c r="A2230" s="138">
        <v>721028</v>
      </c>
      <c r="B2230">
        <v>169</v>
      </c>
      <c r="C2230">
        <v>6</v>
      </c>
      <c r="D2230">
        <v>25</v>
      </c>
      <c r="E2230" s="2" t="str">
        <f t="shared" si="34"/>
        <v/>
      </c>
    </row>
    <row r="2231" spans="1:5" x14ac:dyDescent="0.25">
      <c r="A2231" s="138">
        <v>721029</v>
      </c>
      <c r="B2231">
        <v>169</v>
      </c>
      <c r="C2231">
        <v>6</v>
      </c>
      <c r="D2231">
        <v>25</v>
      </c>
      <c r="E2231" s="2" t="str">
        <f t="shared" si="34"/>
        <v/>
      </c>
    </row>
    <row r="2232" spans="1:5" x14ac:dyDescent="0.25">
      <c r="A2232" s="138">
        <v>721030</v>
      </c>
      <c r="B2232">
        <v>169</v>
      </c>
      <c r="C2232">
        <v>6</v>
      </c>
      <c r="D2232">
        <v>25</v>
      </c>
      <c r="E2232" s="2" t="str">
        <f t="shared" si="34"/>
        <v/>
      </c>
    </row>
    <row r="2233" spans="1:5" x14ac:dyDescent="0.25">
      <c r="A2233" s="138">
        <v>721031</v>
      </c>
      <c r="B2233">
        <v>169</v>
      </c>
      <c r="C2233">
        <v>6</v>
      </c>
      <c r="D2233">
        <v>25</v>
      </c>
      <c r="E2233" s="2" t="str">
        <f t="shared" si="34"/>
        <v/>
      </c>
    </row>
    <row r="2234" spans="1:5" x14ac:dyDescent="0.25">
      <c r="A2234" s="138">
        <v>721032</v>
      </c>
      <c r="B2234">
        <v>169</v>
      </c>
      <c r="C2234">
        <v>6</v>
      </c>
      <c r="D2234">
        <v>25</v>
      </c>
      <c r="E2234" s="2" t="str">
        <f t="shared" si="34"/>
        <v/>
      </c>
    </row>
    <row r="2235" spans="1:5" x14ac:dyDescent="0.25">
      <c r="A2235" s="138">
        <v>721033</v>
      </c>
      <c r="B2235">
        <v>169</v>
      </c>
      <c r="C2235">
        <v>6</v>
      </c>
      <c r="D2235">
        <v>25</v>
      </c>
      <c r="E2235" s="2" t="str">
        <f t="shared" si="34"/>
        <v/>
      </c>
    </row>
    <row r="2236" spans="1:5" x14ac:dyDescent="0.25">
      <c r="A2236" s="138">
        <v>721034</v>
      </c>
      <c r="B2236">
        <v>169</v>
      </c>
      <c r="C2236">
        <v>6</v>
      </c>
      <c r="D2236">
        <v>25</v>
      </c>
      <c r="E2236" s="2" t="str">
        <f t="shared" si="34"/>
        <v/>
      </c>
    </row>
    <row r="2237" spans="1:5" x14ac:dyDescent="0.25">
      <c r="A2237" s="138">
        <v>721035</v>
      </c>
      <c r="B2237">
        <v>169</v>
      </c>
      <c r="C2237">
        <v>6</v>
      </c>
      <c r="D2237">
        <v>25</v>
      </c>
      <c r="E2237" s="2" t="str">
        <f t="shared" si="34"/>
        <v/>
      </c>
    </row>
    <row r="2238" spans="1:5" x14ac:dyDescent="0.25">
      <c r="A2238" s="138">
        <v>721036</v>
      </c>
      <c r="B2238">
        <v>169</v>
      </c>
      <c r="C2238">
        <v>6</v>
      </c>
      <c r="D2238">
        <v>25</v>
      </c>
      <c r="E2238" s="2" t="str">
        <f t="shared" si="34"/>
        <v/>
      </c>
    </row>
    <row r="2239" spans="1:5" x14ac:dyDescent="0.25">
      <c r="A2239" s="138">
        <v>721037</v>
      </c>
      <c r="B2239">
        <v>169</v>
      </c>
      <c r="C2239">
        <v>6</v>
      </c>
      <c r="D2239">
        <v>25</v>
      </c>
      <c r="E2239" s="2" t="str">
        <f t="shared" si="34"/>
        <v/>
      </c>
    </row>
    <row r="2240" spans="1:5" x14ac:dyDescent="0.25">
      <c r="A2240" s="138">
        <v>721038</v>
      </c>
      <c r="B2240">
        <v>169</v>
      </c>
      <c r="C2240">
        <v>6</v>
      </c>
      <c r="D2240">
        <v>25</v>
      </c>
      <c r="E2240" s="2" t="str">
        <f t="shared" si="34"/>
        <v/>
      </c>
    </row>
    <row r="2241" spans="1:5" x14ac:dyDescent="0.25">
      <c r="A2241" s="138">
        <v>721039</v>
      </c>
      <c r="B2241">
        <v>169</v>
      </c>
      <c r="C2241">
        <v>6</v>
      </c>
      <c r="D2241">
        <v>25</v>
      </c>
      <c r="E2241" s="2" t="str">
        <f t="shared" si="34"/>
        <v/>
      </c>
    </row>
    <row r="2242" spans="1:5" x14ac:dyDescent="0.25">
      <c r="A2242" s="138">
        <v>721040</v>
      </c>
      <c r="B2242">
        <v>169</v>
      </c>
      <c r="C2242">
        <v>6</v>
      </c>
      <c r="D2242">
        <v>25</v>
      </c>
      <c r="E2242" s="2" t="str">
        <f t="shared" si="34"/>
        <v/>
      </c>
    </row>
    <row r="2243" spans="1:5" x14ac:dyDescent="0.25">
      <c r="A2243" s="138">
        <v>721096</v>
      </c>
      <c r="B2243">
        <v>169</v>
      </c>
      <c r="C2243">
        <v>6</v>
      </c>
      <c r="D2243">
        <v>25</v>
      </c>
      <c r="E2243" s="2" t="str">
        <f t="shared" ref="E2243:E2306" si="35">IF(B2243=B2242,IF(C2242=C2243,"",1),"")</f>
        <v/>
      </c>
    </row>
    <row r="2244" spans="1:5" x14ac:dyDescent="0.25">
      <c r="A2244" s="138">
        <v>721097</v>
      </c>
      <c r="B2244">
        <v>169</v>
      </c>
      <c r="C2244">
        <v>6</v>
      </c>
      <c r="D2244">
        <v>25</v>
      </c>
      <c r="E2244" s="2" t="str">
        <f t="shared" si="35"/>
        <v/>
      </c>
    </row>
    <row r="2245" spans="1:5" x14ac:dyDescent="0.25">
      <c r="A2245" s="138">
        <v>721098</v>
      </c>
      <c r="B2245">
        <v>169</v>
      </c>
      <c r="C2245">
        <v>6</v>
      </c>
      <c r="D2245">
        <v>25</v>
      </c>
      <c r="E2245" s="2" t="str">
        <f t="shared" si="35"/>
        <v/>
      </c>
    </row>
    <row r="2246" spans="1:5" x14ac:dyDescent="0.25">
      <c r="A2246" s="138">
        <v>721099</v>
      </c>
      <c r="B2246">
        <v>169</v>
      </c>
      <c r="C2246">
        <v>6</v>
      </c>
      <c r="D2246">
        <v>25</v>
      </c>
      <c r="E2246" s="2" t="str">
        <f t="shared" si="35"/>
        <v/>
      </c>
    </row>
    <row r="2247" spans="1:5" x14ac:dyDescent="0.25">
      <c r="A2247" s="138">
        <v>722000</v>
      </c>
      <c r="B2247">
        <v>130</v>
      </c>
      <c r="C2247">
        <v>10</v>
      </c>
      <c r="D2247">
        <v>16</v>
      </c>
      <c r="E2247" s="2" t="str">
        <f t="shared" si="35"/>
        <v/>
      </c>
    </row>
    <row r="2248" spans="1:5" x14ac:dyDescent="0.25">
      <c r="A2248" s="138">
        <v>722001</v>
      </c>
      <c r="B2248">
        <v>131</v>
      </c>
      <c r="C2248">
        <v>11</v>
      </c>
      <c r="D2248">
        <v>26</v>
      </c>
      <c r="E2248" s="2" t="str">
        <f t="shared" si="35"/>
        <v/>
      </c>
    </row>
    <row r="2249" spans="1:5" x14ac:dyDescent="0.25">
      <c r="A2249" s="138">
        <v>722002</v>
      </c>
      <c r="B2249">
        <v>134</v>
      </c>
      <c r="C2249">
        <v>9</v>
      </c>
      <c r="D2249">
        <v>24</v>
      </c>
      <c r="E2249" s="2" t="str">
        <f t="shared" si="35"/>
        <v/>
      </c>
    </row>
    <row r="2250" spans="1:5" x14ac:dyDescent="0.25">
      <c r="A2250" s="138">
        <v>722003</v>
      </c>
      <c r="B2250">
        <v>130</v>
      </c>
      <c r="C2250">
        <v>10</v>
      </c>
      <c r="D2250">
        <v>27</v>
      </c>
      <c r="E2250" s="2" t="str">
        <f t="shared" si="35"/>
        <v/>
      </c>
    </row>
    <row r="2251" spans="1:5" x14ac:dyDescent="0.25">
      <c r="A2251" s="138">
        <v>722004</v>
      </c>
      <c r="B2251">
        <v>130</v>
      </c>
      <c r="C2251">
        <v>10</v>
      </c>
      <c r="D2251">
        <v>28</v>
      </c>
      <c r="E2251" s="2" t="str">
        <f t="shared" si="35"/>
        <v/>
      </c>
    </row>
    <row r="2252" spans="1:5" x14ac:dyDescent="0.25">
      <c r="A2252" s="138">
        <v>722005</v>
      </c>
      <c r="B2252">
        <v>130</v>
      </c>
      <c r="C2252">
        <v>10</v>
      </c>
      <c r="D2252">
        <v>29</v>
      </c>
      <c r="E2252" s="2" t="str">
        <f t="shared" si="35"/>
        <v/>
      </c>
    </row>
    <row r="2253" spans="1:5" x14ac:dyDescent="0.25">
      <c r="A2253" s="138">
        <v>722100</v>
      </c>
      <c r="B2253">
        <v>131</v>
      </c>
      <c r="C2253">
        <v>11</v>
      </c>
      <c r="D2253">
        <v>26</v>
      </c>
      <c r="E2253" s="2" t="str">
        <f t="shared" si="35"/>
        <v/>
      </c>
    </row>
    <row r="2254" spans="1:5" x14ac:dyDescent="0.25">
      <c r="A2254" s="138">
        <v>722101</v>
      </c>
      <c r="B2254">
        <v>131</v>
      </c>
      <c r="C2254">
        <v>11</v>
      </c>
      <c r="D2254">
        <v>26</v>
      </c>
      <c r="E2254" s="2" t="str">
        <f t="shared" si="35"/>
        <v/>
      </c>
    </row>
    <row r="2255" spans="1:5" x14ac:dyDescent="0.25">
      <c r="A2255" s="138">
        <v>722102</v>
      </c>
      <c r="B2255">
        <v>131</v>
      </c>
      <c r="C2255">
        <v>11</v>
      </c>
      <c r="D2255">
        <v>26</v>
      </c>
      <c r="E2255" s="2" t="str">
        <f t="shared" si="35"/>
        <v/>
      </c>
    </row>
    <row r="2256" spans="1:5" x14ac:dyDescent="0.25">
      <c r="A2256" s="138">
        <v>722103</v>
      </c>
      <c r="B2256">
        <v>131</v>
      </c>
      <c r="C2256">
        <v>11</v>
      </c>
      <c r="D2256">
        <v>26</v>
      </c>
      <c r="E2256" s="2" t="str">
        <f t="shared" si="35"/>
        <v/>
      </c>
    </row>
    <row r="2257" spans="1:5" x14ac:dyDescent="0.25">
      <c r="A2257" s="138">
        <v>722104</v>
      </c>
      <c r="B2257">
        <v>131</v>
      </c>
      <c r="C2257">
        <v>11</v>
      </c>
      <c r="D2257">
        <v>26</v>
      </c>
      <c r="E2257" s="2" t="str">
        <f t="shared" si="35"/>
        <v/>
      </c>
    </row>
    <row r="2258" spans="1:5" x14ac:dyDescent="0.25">
      <c r="A2258" s="138">
        <v>722105</v>
      </c>
      <c r="B2258">
        <v>131</v>
      </c>
      <c r="C2258">
        <v>11</v>
      </c>
      <c r="D2258">
        <v>26</v>
      </c>
      <c r="E2258" s="2" t="str">
        <f t="shared" si="35"/>
        <v/>
      </c>
    </row>
    <row r="2259" spans="1:5" x14ac:dyDescent="0.25">
      <c r="A2259" s="138">
        <v>722106</v>
      </c>
      <c r="B2259">
        <v>131</v>
      </c>
      <c r="C2259">
        <v>11</v>
      </c>
      <c r="D2259">
        <v>26</v>
      </c>
      <c r="E2259" s="2" t="str">
        <f t="shared" si="35"/>
        <v/>
      </c>
    </row>
    <row r="2260" spans="1:5" x14ac:dyDescent="0.25">
      <c r="A2260" s="138">
        <v>722107</v>
      </c>
      <c r="B2260">
        <v>131</v>
      </c>
      <c r="C2260">
        <v>11</v>
      </c>
      <c r="D2260">
        <v>26</v>
      </c>
      <c r="E2260" s="2" t="str">
        <f t="shared" si="35"/>
        <v/>
      </c>
    </row>
    <row r="2261" spans="1:5" x14ac:dyDescent="0.25">
      <c r="A2261" s="138">
        <v>722199</v>
      </c>
      <c r="B2261">
        <v>131</v>
      </c>
      <c r="C2261">
        <v>11</v>
      </c>
      <c r="D2261">
        <v>26</v>
      </c>
      <c r="E2261" s="2" t="str">
        <f t="shared" si="35"/>
        <v/>
      </c>
    </row>
    <row r="2262" spans="1:5" x14ac:dyDescent="0.25">
      <c r="A2262" s="138">
        <v>723000</v>
      </c>
      <c r="B2262">
        <v>182</v>
      </c>
      <c r="C2262">
        <v>6</v>
      </c>
      <c r="D2262">
        <v>30</v>
      </c>
      <c r="E2262" s="2" t="str">
        <f t="shared" si="35"/>
        <v/>
      </c>
    </row>
    <row r="2263" spans="1:5" x14ac:dyDescent="0.25">
      <c r="A2263" s="138">
        <v>723001</v>
      </c>
      <c r="B2263">
        <v>182</v>
      </c>
      <c r="C2263">
        <v>6</v>
      </c>
      <c r="D2263">
        <v>30</v>
      </c>
      <c r="E2263" s="2" t="str">
        <f t="shared" si="35"/>
        <v/>
      </c>
    </row>
    <row r="2264" spans="1:5" x14ac:dyDescent="0.25">
      <c r="A2264" s="138">
        <v>723002</v>
      </c>
      <c r="B2264">
        <v>182</v>
      </c>
      <c r="C2264">
        <v>6</v>
      </c>
      <c r="D2264">
        <v>30</v>
      </c>
      <c r="E2264" s="2" t="str">
        <f t="shared" si="35"/>
        <v/>
      </c>
    </row>
    <row r="2265" spans="1:5" x14ac:dyDescent="0.25">
      <c r="A2265" s="138">
        <v>723003</v>
      </c>
      <c r="B2265">
        <v>182</v>
      </c>
      <c r="C2265">
        <v>6</v>
      </c>
      <c r="D2265">
        <v>30</v>
      </c>
      <c r="E2265" s="2" t="str">
        <f t="shared" si="35"/>
        <v/>
      </c>
    </row>
    <row r="2266" spans="1:5" x14ac:dyDescent="0.25">
      <c r="A2266" s="138">
        <v>723004</v>
      </c>
      <c r="B2266">
        <v>182</v>
      </c>
      <c r="C2266">
        <v>6</v>
      </c>
      <c r="D2266">
        <v>30</v>
      </c>
      <c r="E2266" s="2" t="str">
        <f t="shared" si="35"/>
        <v/>
      </c>
    </row>
    <row r="2267" spans="1:5" x14ac:dyDescent="0.25">
      <c r="A2267" s="138">
        <v>723005</v>
      </c>
      <c r="B2267">
        <v>182</v>
      </c>
      <c r="C2267">
        <v>6</v>
      </c>
      <c r="D2267">
        <v>30</v>
      </c>
      <c r="E2267" s="2" t="str">
        <f t="shared" si="35"/>
        <v/>
      </c>
    </row>
    <row r="2268" spans="1:5" x14ac:dyDescent="0.25">
      <c r="A2268" s="138">
        <v>723006</v>
      </c>
      <c r="B2268">
        <v>182</v>
      </c>
      <c r="C2268">
        <v>6</v>
      </c>
      <c r="D2268">
        <v>30</v>
      </c>
      <c r="E2268" s="2" t="str">
        <f t="shared" si="35"/>
        <v/>
      </c>
    </row>
    <row r="2269" spans="1:5" x14ac:dyDescent="0.25">
      <c r="A2269" s="138">
        <v>723007</v>
      </c>
      <c r="B2269">
        <v>182</v>
      </c>
      <c r="C2269">
        <v>6</v>
      </c>
      <c r="D2269">
        <v>30</v>
      </c>
      <c r="E2269" s="2" t="str">
        <f t="shared" si="35"/>
        <v/>
      </c>
    </row>
    <row r="2270" spans="1:5" x14ac:dyDescent="0.25">
      <c r="A2270" s="138">
        <v>723008</v>
      </c>
      <c r="B2270">
        <v>182</v>
      </c>
      <c r="C2270">
        <v>6</v>
      </c>
      <c r="D2270">
        <v>30</v>
      </c>
      <c r="E2270" s="2" t="str">
        <f t="shared" si="35"/>
        <v/>
      </c>
    </row>
    <row r="2271" spans="1:5" x14ac:dyDescent="0.25">
      <c r="A2271" s="138">
        <v>723009</v>
      </c>
      <c r="B2271">
        <v>182</v>
      </c>
      <c r="C2271">
        <v>6</v>
      </c>
      <c r="D2271">
        <v>30</v>
      </c>
      <c r="E2271" s="2" t="str">
        <f t="shared" si="35"/>
        <v/>
      </c>
    </row>
    <row r="2272" spans="1:5" x14ac:dyDescent="0.25">
      <c r="A2272" s="138">
        <v>723010</v>
      </c>
      <c r="B2272">
        <v>182</v>
      </c>
      <c r="C2272">
        <v>6</v>
      </c>
      <c r="D2272">
        <v>30</v>
      </c>
      <c r="E2272" s="2" t="str">
        <f t="shared" si="35"/>
        <v/>
      </c>
    </row>
    <row r="2273" spans="1:5" x14ac:dyDescent="0.25">
      <c r="A2273" s="138">
        <v>723011</v>
      </c>
      <c r="B2273">
        <v>182</v>
      </c>
      <c r="C2273">
        <v>6</v>
      </c>
      <c r="D2273">
        <v>30</v>
      </c>
      <c r="E2273" s="2" t="str">
        <f t="shared" si="35"/>
        <v/>
      </c>
    </row>
    <row r="2274" spans="1:5" x14ac:dyDescent="0.25">
      <c r="A2274" s="138">
        <v>723099</v>
      </c>
      <c r="B2274">
        <v>182</v>
      </c>
      <c r="C2274">
        <v>6</v>
      </c>
      <c r="D2274">
        <v>30</v>
      </c>
      <c r="E2274" s="2" t="str">
        <f t="shared" si="35"/>
        <v/>
      </c>
    </row>
    <row r="2275" spans="1:5" x14ac:dyDescent="0.25">
      <c r="A2275" s="138">
        <v>724000</v>
      </c>
      <c r="B2275">
        <v>195</v>
      </c>
      <c r="C2275">
        <v>4</v>
      </c>
      <c r="D2275">
        <v>16</v>
      </c>
      <c r="E2275" s="2" t="str">
        <f t="shared" si="35"/>
        <v/>
      </c>
    </row>
    <row r="2276" spans="1:5" x14ac:dyDescent="0.25">
      <c r="A2276" s="138">
        <v>724001</v>
      </c>
      <c r="B2276">
        <v>195</v>
      </c>
      <c r="C2276">
        <v>4</v>
      </c>
      <c r="D2276">
        <v>16</v>
      </c>
      <c r="E2276" s="2" t="str">
        <f t="shared" si="35"/>
        <v/>
      </c>
    </row>
    <row r="2277" spans="1:5" x14ac:dyDescent="0.25">
      <c r="A2277" s="138">
        <v>724002</v>
      </c>
      <c r="B2277">
        <v>195</v>
      </c>
      <c r="C2277">
        <v>4</v>
      </c>
      <c r="D2277">
        <v>16</v>
      </c>
      <c r="E2277" s="2" t="str">
        <f t="shared" si="35"/>
        <v/>
      </c>
    </row>
    <row r="2278" spans="1:5" x14ac:dyDescent="0.25">
      <c r="A2278" s="138">
        <v>724003</v>
      </c>
      <c r="B2278">
        <v>195</v>
      </c>
      <c r="C2278">
        <v>4</v>
      </c>
      <c r="D2278">
        <v>16</v>
      </c>
      <c r="E2278" s="2" t="str">
        <f t="shared" si="35"/>
        <v/>
      </c>
    </row>
    <row r="2279" spans="1:5" x14ac:dyDescent="0.25">
      <c r="A2279" s="138">
        <v>724004</v>
      </c>
      <c r="B2279">
        <v>195</v>
      </c>
      <c r="C2279">
        <v>4</v>
      </c>
      <c r="D2279">
        <v>16</v>
      </c>
      <c r="E2279" s="2" t="str">
        <f t="shared" si="35"/>
        <v/>
      </c>
    </row>
    <row r="2280" spans="1:5" x14ac:dyDescent="0.25">
      <c r="A2280" s="138">
        <v>724099</v>
      </c>
      <c r="B2280">
        <v>195</v>
      </c>
      <c r="C2280">
        <v>4</v>
      </c>
      <c r="D2280">
        <v>16</v>
      </c>
      <c r="E2280" s="2" t="str">
        <f t="shared" si="35"/>
        <v/>
      </c>
    </row>
    <row r="2281" spans="1:5" x14ac:dyDescent="0.25">
      <c r="A2281" s="138">
        <v>725000</v>
      </c>
      <c r="B2281">
        <v>195</v>
      </c>
      <c r="C2281">
        <v>4</v>
      </c>
      <c r="D2281">
        <v>16</v>
      </c>
      <c r="E2281" s="2" t="str">
        <f t="shared" si="35"/>
        <v/>
      </c>
    </row>
    <row r="2282" spans="1:5" x14ac:dyDescent="0.25">
      <c r="A2282" s="138">
        <v>725001</v>
      </c>
      <c r="B2282">
        <v>195</v>
      </c>
      <c r="C2282">
        <v>4</v>
      </c>
      <c r="D2282">
        <v>16</v>
      </c>
      <c r="E2282" s="2" t="str">
        <f t="shared" si="35"/>
        <v/>
      </c>
    </row>
    <row r="2283" spans="1:5" x14ac:dyDescent="0.25">
      <c r="A2283" s="138">
        <v>725002</v>
      </c>
      <c r="B2283">
        <v>195</v>
      </c>
      <c r="C2283">
        <v>4</v>
      </c>
      <c r="D2283">
        <v>16</v>
      </c>
      <c r="E2283" s="2" t="str">
        <f t="shared" si="35"/>
        <v/>
      </c>
    </row>
    <row r="2284" spans="1:5" x14ac:dyDescent="0.25">
      <c r="A2284" s="138">
        <v>731000</v>
      </c>
      <c r="B2284">
        <v>187</v>
      </c>
      <c r="C2284">
        <v>4</v>
      </c>
      <c r="D2284">
        <v>16</v>
      </c>
      <c r="E2284" s="2" t="str">
        <f t="shared" si="35"/>
        <v/>
      </c>
    </row>
    <row r="2285" spans="1:5" x14ac:dyDescent="0.25">
      <c r="A2285" s="138">
        <v>731001</v>
      </c>
      <c r="B2285">
        <v>187</v>
      </c>
      <c r="C2285">
        <v>4</v>
      </c>
      <c r="D2285">
        <v>16</v>
      </c>
      <c r="E2285" s="2" t="str">
        <f t="shared" si="35"/>
        <v/>
      </c>
    </row>
    <row r="2286" spans="1:5" x14ac:dyDescent="0.25">
      <c r="A2286" s="138">
        <v>731002</v>
      </c>
      <c r="B2286">
        <v>187</v>
      </c>
      <c r="C2286">
        <v>4</v>
      </c>
      <c r="D2286">
        <v>16</v>
      </c>
      <c r="E2286" s="2" t="str">
        <f t="shared" si="35"/>
        <v/>
      </c>
    </row>
    <row r="2287" spans="1:5" x14ac:dyDescent="0.25">
      <c r="A2287" s="138">
        <v>731003</v>
      </c>
      <c r="B2287">
        <v>187</v>
      </c>
      <c r="C2287">
        <v>4</v>
      </c>
      <c r="D2287">
        <v>16</v>
      </c>
      <c r="E2287" s="2" t="str">
        <f t="shared" si="35"/>
        <v/>
      </c>
    </row>
    <row r="2288" spans="1:5" x14ac:dyDescent="0.25">
      <c r="A2288" s="138">
        <v>732000</v>
      </c>
      <c r="B2288">
        <v>185</v>
      </c>
      <c r="C2288">
        <v>4</v>
      </c>
      <c r="D2288">
        <v>16</v>
      </c>
      <c r="E2288" s="2" t="str">
        <f t="shared" si="35"/>
        <v/>
      </c>
    </row>
    <row r="2289" spans="1:5" x14ac:dyDescent="0.25">
      <c r="A2289" s="138">
        <v>732001</v>
      </c>
      <c r="B2289">
        <v>185</v>
      </c>
      <c r="C2289">
        <v>12</v>
      </c>
      <c r="D2289">
        <v>31</v>
      </c>
      <c r="E2289" s="2">
        <f t="shared" si="35"/>
        <v>1</v>
      </c>
    </row>
    <row r="2290" spans="1:5" x14ac:dyDescent="0.25">
      <c r="A2290" s="138">
        <v>732002</v>
      </c>
      <c r="B2290">
        <v>185</v>
      </c>
      <c r="C2290">
        <v>12</v>
      </c>
      <c r="D2290">
        <v>31</v>
      </c>
      <c r="E2290" s="2" t="str">
        <f t="shared" si="35"/>
        <v/>
      </c>
    </row>
    <row r="2291" spans="1:5" x14ac:dyDescent="0.25">
      <c r="A2291" s="138">
        <v>732003</v>
      </c>
      <c r="B2291">
        <v>185</v>
      </c>
      <c r="C2291">
        <v>12</v>
      </c>
      <c r="D2291">
        <v>31</v>
      </c>
      <c r="E2291" s="2" t="str">
        <f t="shared" si="35"/>
        <v/>
      </c>
    </row>
    <row r="2292" spans="1:5" x14ac:dyDescent="0.25">
      <c r="A2292" s="138">
        <v>732004</v>
      </c>
      <c r="B2292">
        <v>185</v>
      </c>
      <c r="C2292">
        <v>12</v>
      </c>
      <c r="D2292">
        <v>31</v>
      </c>
      <c r="E2292" s="2" t="str">
        <f t="shared" si="35"/>
        <v/>
      </c>
    </row>
    <row r="2293" spans="1:5" x14ac:dyDescent="0.25">
      <c r="A2293" s="138">
        <v>732005</v>
      </c>
      <c r="B2293">
        <v>185</v>
      </c>
      <c r="C2293">
        <v>13</v>
      </c>
      <c r="D2293">
        <v>31</v>
      </c>
      <c r="E2293" s="2">
        <f t="shared" si="35"/>
        <v>1</v>
      </c>
    </row>
    <row r="2294" spans="1:5" x14ac:dyDescent="0.25">
      <c r="A2294" s="138">
        <v>732006</v>
      </c>
      <c r="B2294">
        <v>185</v>
      </c>
      <c r="C2294">
        <v>12</v>
      </c>
      <c r="D2294">
        <v>31</v>
      </c>
      <c r="E2294" s="2">
        <f t="shared" si="35"/>
        <v>1</v>
      </c>
    </row>
    <row r="2295" spans="1:5" x14ac:dyDescent="0.25">
      <c r="A2295" s="138">
        <v>732007</v>
      </c>
      <c r="B2295">
        <v>185</v>
      </c>
      <c r="C2295">
        <v>12</v>
      </c>
      <c r="D2295">
        <v>31</v>
      </c>
      <c r="E2295" s="2" t="str">
        <f t="shared" si="35"/>
        <v/>
      </c>
    </row>
    <row r="2296" spans="1:5" x14ac:dyDescent="0.25">
      <c r="A2296" s="138">
        <v>732008</v>
      </c>
      <c r="B2296">
        <v>185</v>
      </c>
      <c r="C2296">
        <v>12</v>
      </c>
      <c r="D2296">
        <v>31</v>
      </c>
      <c r="E2296" s="2" t="str">
        <f t="shared" si="35"/>
        <v/>
      </c>
    </row>
    <row r="2297" spans="1:5" x14ac:dyDescent="0.25">
      <c r="A2297" s="138">
        <v>732009</v>
      </c>
      <c r="B2297">
        <v>185</v>
      </c>
      <c r="C2297">
        <v>14</v>
      </c>
      <c r="D2297">
        <v>31</v>
      </c>
      <c r="E2297" s="2">
        <f t="shared" si="35"/>
        <v>1</v>
      </c>
    </row>
    <row r="2298" spans="1:5" x14ac:dyDescent="0.25">
      <c r="A2298" s="138">
        <v>732010</v>
      </c>
      <c r="B2298">
        <v>185</v>
      </c>
      <c r="C2298">
        <v>14</v>
      </c>
      <c r="D2298">
        <v>31</v>
      </c>
      <c r="E2298" s="2" t="str">
        <f t="shared" si="35"/>
        <v/>
      </c>
    </row>
    <row r="2299" spans="1:5" x14ac:dyDescent="0.25">
      <c r="A2299" s="138">
        <v>732011</v>
      </c>
      <c r="B2299">
        <v>185</v>
      </c>
      <c r="C2299">
        <v>14</v>
      </c>
      <c r="D2299">
        <v>31</v>
      </c>
      <c r="E2299" s="2" t="str">
        <f t="shared" si="35"/>
        <v/>
      </c>
    </row>
    <row r="2300" spans="1:5" x14ac:dyDescent="0.25">
      <c r="A2300" s="138">
        <v>732012</v>
      </c>
      <c r="B2300">
        <v>185</v>
      </c>
      <c r="C2300">
        <v>12</v>
      </c>
      <c r="D2300">
        <v>31</v>
      </c>
      <c r="E2300" s="2">
        <f t="shared" si="35"/>
        <v>1</v>
      </c>
    </row>
    <row r="2301" spans="1:5" x14ac:dyDescent="0.25">
      <c r="A2301" s="138">
        <v>732099</v>
      </c>
      <c r="B2301">
        <v>185</v>
      </c>
      <c r="C2301">
        <v>12</v>
      </c>
      <c r="D2301">
        <v>31</v>
      </c>
      <c r="E2301" s="2" t="str">
        <f t="shared" si="35"/>
        <v/>
      </c>
    </row>
    <row r="2302" spans="1:5" x14ac:dyDescent="0.25">
      <c r="A2302" s="138">
        <v>733000</v>
      </c>
      <c r="B2302">
        <v>190</v>
      </c>
      <c r="C2302">
        <v>4</v>
      </c>
      <c r="D2302">
        <v>32</v>
      </c>
      <c r="E2302" s="2" t="str">
        <f t="shared" si="35"/>
        <v/>
      </c>
    </row>
    <row r="2303" spans="1:5" x14ac:dyDescent="0.25">
      <c r="A2303" s="138">
        <v>733001</v>
      </c>
      <c r="B2303">
        <v>190</v>
      </c>
      <c r="C2303">
        <v>4</v>
      </c>
      <c r="D2303">
        <v>32</v>
      </c>
      <c r="E2303" s="2" t="str">
        <f t="shared" si="35"/>
        <v/>
      </c>
    </row>
    <row r="2304" spans="1:5" x14ac:dyDescent="0.25">
      <c r="A2304" s="138">
        <v>733002</v>
      </c>
      <c r="B2304">
        <v>190</v>
      </c>
      <c r="C2304">
        <v>4</v>
      </c>
      <c r="D2304">
        <v>32</v>
      </c>
      <c r="E2304" s="2" t="str">
        <f t="shared" si="35"/>
        <v/>
      </c>
    </row>
    <row r="2305" spans="1:5" x14ac:dyDescent="0.25">
      <c r="A2305" s="138">
        <v>733003</v>
      </c>
      <c r="B2305">
        <v>190</v>
      </c>
      <c r="C2305">
        <v>4</v>
      </c>
      <c r="D2305">
        <v>32</v>
      </c>
      <c r="E2305" s="2" t="str">
        <f t="shared" si="35"/>
        <v/>
      </c>
    </row>
    <row r="2306" spans="1:5" x14ac:dyDescent="0.25">
      <c r="A2306" s="138">
        <v>733004</v>
      </c>
      <c r="B2306">
        <v>190</v>
      </c>
      <c r="C2306">
        <v>4</v>
      </c>
      <c r="D2306">
        <v>32</v>
      </c>
      <c r="E2306" s="2" t="str">
        <f t="shared" si="35"/>
        <v/>
      </c>
    </row>
    <row r="2307" spans="1:5" x14ac:dyDescent="0.25">
      <c r="A2307" s="138">
        <v>734000</v>
      </c>
      <c r="B2307">
        <v>189</v>
      </c>
      <c r="C2307">
        <v>4</v>
      </c>
      <c r="D2307">
        <v>16</v>
      </c>
      <c r="E2307" s="2" t="str">
        <f t="shared" ref="E2307:E2370" si="36">IF(B2307=B2306,IF(C2306=C2307,"",1),"")</f>
        <v/>
      </c>
    </row>
    <row r="2308" spans="1:5" x14ac:dyDescent="0.25">
      <c r="A2308" s="138">
        <v>734001</v>
      </c>
      <c r="B2308">
        <v>189</v>
      </c>
      <c r="C2308">
        <v>4</v>
      </c>
      <c r="D2308">
        <v>16</v>
      </c>
      <c r="E2308" s="2" t="str">
        <f t="shared" si="36"/>
        <v/>
      </c>
    </row>
    <row r="2309" spans="1:5" x14ac:dyDescent="0.25">
      <c r="A2309" s="138">
        <v>734002</v>
      </c>
      <c r="B2309">
        <v>189</v>
      </c>
      <c r="C2309">
        <v>4</v>
      </c>
      <c r="D2309">
        <v>16</v>
      </c>
      <c r="E2309" s="2" t="str">
        <f t="shared" si="36"/>
        <v/>
      </c>
    </row>
    <row r="2310" spans="1:5" x14ac:dyDescent="0.25">
      <c r="A2310" s="138">
        <v>734003</v>
      </c>
      <c r="B2310">
        <v>189</v>
      </c>
      <c r="C2310">
        <v>4</v>
      </c>
      <c r="D2310">
        <v>16</v>
      </c>
      <c r="E2310" s="2" t="str">
        <f t="shared" si="36"/>
        <v/>
      </c>
    </row>
    <row r="2311" spans="1:5" x14ac:dyDescent="0.25">
      <c r="A2311" s="138">
        <v>734004</v>
      </c>
      <c r="B2311">
        <v>189</v>
      </c>
      <c r="C2311">
        <v>4</v>
      </c>
      <c r="D2311">
        <v>16</v>
      </c>
      <c r="E2311" s="2" t="str">
        <f t="shared" si="36"/>
        <v/>
      </c>
    </row>
    <row r="2312" spans="1:5" x14ac:dyDescent="0.25">
      <c r="A2312" s="138">
        <v>734005</v>
      </c>
      <c r="B2312">
        <v>189</v>
      </c>
      <c r="C2312">
        <v>4</v>
      </c>
      <c r="D2312">
        <v>16</v>
      </c>
      <c r="E2312" s="2" t="str">
        <f t="shared" si="36"/>
        <v/>
      </c>
    </row>
    <row r="2313" spans="1:5" x14ac:dyDescent="0.25">
      <c r="A2313" s="138">
        <v>734006</v>
      </c>
      <c r="B2313">
        <v>189</v>
      </c>
      <c r="C2313">
        <v>4</v>
      </c>
      <c r="D2313">
        <v>16</v>
      </c>
      <c r="E2313" s="2" t="str">
        <f t="shared" si="36"/>
        <v/>
      </c>
    </row>
    <row r="2314" spans="1:5" x14ac:dyDescent="0.25">
      <c r="A2314" s="138">
        <v>734007</v>
      </c>
      <c r="B2314">
        <v>189</v>
      </c>
      <c r="C2314">
        <v>4</v>
      </c>
      <c r="D2314">
        <v>16</v>
      </c>
      <c r="E2314" s="2" t="str">
        <f t="shared" si="36"/>
        <v/>
      </c>
    </row>
    <row r="2315" spans="1:5" x14ac:dyDescent="0.25">
      <c r="A2315" s="138">
        <v>734008</v>
      </c>
      <c r="B2315">
        <v>189</v>
      </c>
      <c r="C2315">
        <v>4</v>
      </c>
      <c r="D2315">
        <v>16</v>
      </c>
      <c r="E2315" s="2" t="str">
        <f t="shared" si="36"/>
        <v/>
      </c>
    </row>
    <row r="2316" spans="1:5" x14ac:dyDescent="0.25">
      <c r="A2316" s="138">
        <v>734099</v>
      </c>
      <c r="B2316">
        <v>189</v>
      </c>
      <c r="C2316">
        <v>4</v>
      </c>
      <c r="D2316">
        <v>16</v>
      </c>
      <c r="E2316" s="2" t="str">
        <f t="shared" si="36"/>
        <v/>
      </c>
    </row>
    <row r="2317" spans="1:5" x14ac:dyDescent="0.25">
      <c r="A2317" s="138">
        <v>735000</v>
      </c>
      <c r="B2317">
        <v>185</v>
      </c>
      <c r="C2317">
        <v>4</v>
      </c>
      <c r="D2317">
        <v>16</v>
      </c>
      <c r="E2317" s="2" t="str">
        <f t="shared" si="36"/>
        <v/>
      </c>
    </row>
    <row r="2318" spans="1:5" x14ac:dyDescent="0.25">
      <c r="A2318" s="138">
        <v>735001</v>
      </c>
      <c r="B2318">
        <v>185</v>
      </c>
      <c r="C2318">
        <v>4</v>
      </c>
      <c r="D2318">
        <v>16</v>
      </c>
      <c r="E2318" s="2" t="str">
        <f t="shared" si="36"/>
        <v/>
      </c>
    </row>
    <row r="2319" spans="1:5" x14ac:dyDescent="0.25">
      <c r="A2319" s="138">
        <v>736000</v>
      </c>
      <c r="B2319">
        <v>195</v>
      </c>
      <c r="C2319">
        <v>4</v>
      </c>
      <c r="D2319">
        <v>16</v>
      </c>
      <c r="E2319" s="2" t="str">
        <f t="shared" si="36"/>
        <v/>
      </c>
    </row>
    <row r="2320" spans="1:5" x14ac:dyDescent="0.25">
      <c r="A2320" s="138">
        <v>736001</v>
      </c>
      <c r="B2320">
        <v>195</v>
      </c>
      <c r="C2320">
        <v>4</v>
      </c>
      <c r="D2320">
        <v>16</v>
      </c>
      <c r="E2320" s="2" t="str">
        <f t="shared" si="36"/>
        <v/>
      </c>
    </row>
    <row r="2321" spans="1:5" x14ac:dyDescent="0.25">
      <c r="A2321" s="138">
        <v>736002</v>
      </c>
      <c r="B2321">
        <v>195</v>
      </c>
      <c r="C2321">
        <v>4</v>
      </c>
      <c r="D2321">
        <v>16</v>
      </c>
      <c r="E2321" s="2" t="str">
        <f t="shared" si="36"/>
        <v/>
      </c>
    </row>
    <row r="2322" spans="1:5" x14ac:dyDescent="0.25">
      <c r="A2322" s="138">
        <v>736003</v>
      </c>
      <c r="B2322">
        <v>195</v>
      </c>
      <c r="C2322">
        <v>4</v>
      </c>
      <c r="D2322">
        <v>16</v>
      </c>
      <c r="E2322" s="2" t="str">
        <f t="shared" si="36"/>
        <v/>
      </c>
    </row>
    <row r="2323" spans="1:5" x14ac:dyDescent="0.25">
      <c r="A2323" s="138">
        <v>736004</v>
      </c>
      <c r="B2323">
        <v>195</v>
      </c>
      <c r="C2323">
        <v>4</v>
      </c>
      <c r="D2323">
        <v>16</v>
      </c>
      <c r="E2323" s="2" t="str">
        <f t="shared" si="36"/>
        <v/>
      </c>
    </row>
    <row r="2324" spans="1:5" x14ac:dyDescent="0.25">
      <c r="A2324" s="138">
        <v>736005</v>
      </c>
      <c r="B2324">
        <v>195</v>
      </c>
      <c r="C2324">
        <v>4</v>
      </c>
      <c r="D2324">
        <v>16</v>
      </c>
      <c r="E2324" s="2" t="str">
        <f t="shared" si="36"/>
        <v/>
      </c>
    </row>
    <row r="2325" spans="1:5" x14ac:dyDescent="0.25">
      <c r="A2325" s="138">
        <v>736006</v>
      </c>
      <c r="B2325">
        <v>195</v>
      </c>
      <c r="C2325">
        <v>4</v>
      </c>
      <c r="D2325">
        <v>16</v>
      </c>
      <c r="E2325" s="2" t="str">
        <f t="shared" si="36"/>
        <v/>
      </c>
    </row>
    <row r="2326" spans="1:5" x14ac:dyDescent="0.25">
      <c r="A2326" s="138">
        <v>736007</v>
      </c>
      <c r="B2326">
        <v>195</v>
      </c>
      <c r="C2326">
        <v>4</v>
      </c>
      <c r="D2326">
        <v>16</v>
      </c>
      <c r="E2326" s="2" t="str">
        <f t="shared" si="36"/>
        <v/>
      </c>
    </row>
    <row r="2327" spans="1:5" x14ac:dyDescent="0.25">
      <c r="A2327" s="138">
        <v>736008</v>
      </c>
      <c r="B2327">
        <v>195</v>
      </c>
      <c r="C2327">
        <v>4</v>
      </c>
      <c r="D2327">
        <v>16</v>
      </c>
      <c r="E2327" s="2" t="str">
        <f t="shared" si="36"/>
        <v/>
      </c>
    </row>
    <row r="2328" spans="1:5" x14ac:dyDescent="0.25">
      <c r="A2328" s="138">
        <v>736099</v>
      </c>
      <c r="B2328">
        <v>195</v>
      </c>
      <c r="C2328">
        <v>4</v>
      </c>
      <c r="D2328">
        <v>16</v>
      </c>
      <c r="E2328" s="2" t="str">
        <f t="shared" si="36"/>
        <v/>
      </c>
    </row>
    <row r="2329" spans="1:5" x14ac:dyDescent="0.25">
      <c r="A2329" s="138">
        <v>811000</v>
      </c>
      <c r="B2329">
        <v>196</v>
      </c>
      <c r="C2329">
        <v>19</v>
      </c>
      <c r="D2329">
        <v>45</v>
      </c>
      <c r="E2329" s="2" t="str">
        <f t="shared" si="36"/>
        <v/>
      </c>
    </row>
    <row r="2330" spans="1:5" x14ac:dyDescent="0.25">
      <c r="A2330" s="138">
        <v>811001</v>
      </c>
      <c r="B2330">
        <v>196</v>
      </c>
      <c r="C2330">
        <v>19</v>
      </c>
      <c r="D2330">
        <v>45</v>
      </c>
      <c r="E2330" s="2" t="str">
        <f t="shared" si="36"/>
        <v/>
      </c>
    </row>
    <row r="2331" spans="1:5" x14ac:dyDescent="0.25">
      <c r="A2331" s="138">
        <v>811002</v>
      </c>
      <c r="B2331">
        <v>196</v>
      </c>
      <c r="C2331">
        <v>19</v>
      </c>
      <c r="D2331">
        <v>45</v>
      </c>
      <c r="E2331" s="2" t="str">
        <f t="shared" si="36"/>
        <v/>
      </c>
    </row>
    <row r="2332" spans="1:5" x14ac:dyDescent="0.25">
      <c r="A2332" s="138">
        <v>811099</v>
      </c>
      <c r="B2332">
        <v>196</v>
      </c>
      <c r="C2332">
        <v>19</v>
      </c>
      <c r="D2332">
        <v>45</v>
      </c>
      <c r="E2332" s="2" t="str">
        <f t="shared" si="36"/>
        <v/>
      </c>
    </row>
    <row r="2333" spans="1:5" x14ac:dyDescent="0.25">
      <c r="A2333" s="138">
        <v>821000</v>
      </c>
      <c r="B2333">
        <v>166</v>
      </c>
      <c r="C2333">
        <v>19</v>
      </c>
      <c r="D2333">
        <v>45</v>
      </c>
      <c r="E2333" s="2" t="str">
        <f t="shared" si="36"/>
        <v/>
      </c>
    </row>
    <row r="2334" spans="1:5" x14ac:dyDescent="0.25">
      <c r="A2334" s="138">
        <v>821001</v>
      </c>
      <c r="B2334">
        <v>166</v>
      </c>
      <c r="C2334">
        <v>19</v>
      </c>
      <c r="D2334">
        <v>45</v>
      </c>
      <c r="E2334" s="2" t="str">
        <f t="shared" si="36"/>
        <v/>
      </c>
    </row>
    <row r="2335" spans="1:5" x14ac:dyDescent="0.25">
      <c r="A2335" s="138">
        <v>821002</v>
      </c>
      <c r="B2335">
        <v>166</v>
      </c>
      <c r="C2335">
        <v>19</v>
      </c>
      <c r="D2335">
        <v>45</v>
      </c>
      <c r="E2335" s="2" t="str">
        <f t="shared" si="36"/>
        <v/>
      </c>
    </row>
    <row r="2336" spans="1:5" x14ac:dyDescent="0.25">
      <c r="A2336" s="138">
        <v>821003</v>
      </c>
      <c r="B2336">
        <v>166</v>
      </c>
      <c r="C2336">
        <v>19</v>
      </c>
      <c r="D2336">
        <v>45</v>
      </c>
      <c r="E2336" s="2" t="str">
        <f t="shared" si="36"/>
        <v/>
      </c>
    </row>
    <row r="2337" spans="1:5" x14ac:dyDescent="0.25">
      <c r="A2337" s="138">
        <v>821004</v>
      </c>
      <c r="B2337">
        <v>166</v>
      </c>
      <c r="C2337">
        <v>19</v>
      </c>
      <c r="D2337">
        <v>45</v>
      </c>
      <c r="E2337" s="2" t="str">
        <f t="shared" si="36"/>
        <v/>
      </c>
    </row>
    <row r="2338" spans="1:5" x14ac:dyDescent="0.25">
      <c r="A2338" s="138">
        <v>821005</v>
      </c>
      <c r="B2338">
        <v>166</v>
      </c>
      <c r="C2338">
        <v>19</v>
      </c>
      <c r="D2338">
        <v>45</v>
      </c>
      <c r="E2338" s="2" t="str">
        <f t="shared" si="36"/>
        <v/>
      </c>
    </row>
    <row r="2339" spans="1:5" x14ac:dyDescent="0.25">
      <c r="A2339" s="138">
        <v>821006</v>
      </c>
      <c r="B2339">
        <v>166</v>
      </c>
      <c r="C2339">
        <v>19</v>
      </c>
      <c r="D2339">
        <v>45</v>
      </c>
      <c r="E2339" s="2" t="str">
        <f t="shared" si="36"/>
        <v/>
      </c>
    </row>
    <row r="2340" spans="1:5" x14ac:dyDescent="0.25">
      <c r="A2340" s="138">
        <v>821007</v>
      </c>
      <c r="B2340">
        <v>166</v>
      </c>
      <c r="C2340">
        <v>19</v>
      </c>
      <c r="D2340">
        <v>45</v>
      </c>
      <c r="E2340" s="2" t="str">
        <f t="shared" si="36"/>
        <v/>
      </c>
    </row>
    <row r="2341" spans="1:5" x14ac:dyDescent="0.25">
      <c r="A2341" s="138">
        <v>821008</v>
      </c>
      <c r="B2341">
        <v>166</v>
      </c>
      <c r="C2341">
        <v>19</v>
      </c>
      <c r="D2341">
        <v>45</v>
      </c>
      <c r="E2341" s="2" t="str">
        <f t="shared" si="36"/>
        <v/>
      </c>
    </row>
    <row r="2342" spans="1:5" x14ac:dyDescent="0.25">
      <c r="A2342" s="138">
        <v>821009</v>
      </c>
      <c r="B2342">
        <v>166</v>
      </c>
      <c r="C2342">
        <v>19</v>
      </c>
      <c r="D2342">
        <v>45</v>
      </c>
      <c r="E2342" s="2" t="str">
        <f t="shared" si="36"/>
        <v/>
      </c>
    </row>
    <row r="2343" spans="1:5" x14ac:dyDescent="0.25">
      <c r="A2343" s="138">
        <v>821010</v>
      </c>
      <c r="B2343">
        <v>166</v>
      </c>
      <c r="C2343">
        <v>19</v>
      </c>
      <c r="D2343">
        <v>45</v>
      </c>
      <c r="E2343" s="2" t="str">
        <f t="shared" si="36"/>
        <v/>
      </c>
    </row>
    <row r="2344" spans="1:5" x14ac:dyDescent="0.25">
      <c r="A2344" s="138">
        <v>821011</v>
      </c>
      <c r="B2344">
        <v>166</v>
      </c>
      <c r="C2344">
        <v>19</v>
      </c>
      <c r="D2344">
        <v>45</v>
      </c>
      <c r="E2344" s="2" t="str">
        <f t="shared" si="36"/>
        <v/>
      </c>
    </row>
    <row r="2345" spans="1:5" x14ac:dyDescent="0.25">
      <c r="A2345" s="138">
        <v>821099</v>
      </c>
      <c r="B2345">
        <v>166</v>
      </c>
      <c r="C2345">
        <v>19</v>
      </c>
      <c r="D2345">
        <v>45</v>
      </c>
      <c r="E2345" s="2" t="str">
        <f t="shared" si="36"/>
        <v/>
      </c>
    </row>
    <row r="2346" spans="1:5" x14ac:dyDescent="0.25">
      <c r="A2346" s="138">
        <v>831000</v>
      </c>
      <c r="B2346">
        <v>197</v>
      </c>
      <c r="C2346">
        <v>19</v>
      </c>
      <c r="D2346">
        <v>45</v>
      </c>
      <c r="E2346" s="2" t="str">
        <f t="shared" si="36"/>
        <v/>
      </c>
    </row>
    <row r="2347" spans="1:5" x14ac:dyDescent="0.25">
      <c r="A2347" s="138">
        <v>831001</v>
      </c>
      <c r="B2347">
        <v>197</v>
      </c>
      <c r="C2347">
        <v>19</v>
      </c>
      <c r="D2347">
        <v>45</v>
      </c>
      <c r="E2347" s="2" t="str">
        <f t="shared" si="36"/>
        <v/>
      </c>
    </row>
    <row r="2348" spans="1:5" x14ac:dyDescent="0.25">
      <c r="A2348" s="138">
        <v>831002</v>
      </c>
      <c r="B2348">
        <v>197</v>
      </c>
      <c r="C2348">
        <v>19</v>
      </c>
      <c r="D2348">
        <v>45</v>
      </c>
      <c r="E2348" s="2" t="str">
        <f t="shared" si="36"/>
        <v/>
      </c>
    </row>
    <row r="2349" spans="1:5" x14ac:dyDescent="0.25">
      <c r="A2349" s="138">
        <v>831003</v>
      </c>
      <c r="B2349">
        <v>197</v>
      </c>
      <c r="C2349">
        <v>19</v>
      </c>
      <c r="D2349">
        <v>45</v>
      </c>
      <c r="E2349" s="2" t="str">
        <f t="shared" si="36"/>
        <v/>
      </c>
    </row>
    <row r="2350" spans="1:5" x14ac:dyDescent="0.25">
      <c r="A2350" s="138">
        <v>831004</v>
      </c>
      <c r="B2350">
        <v>197</v>
      </c>
      <c r="C2350">
        <v>19</v>
      </c>
      <c r="D2350">
        <v>45</v>
      </c>
      <c r="E2350" s="2" t="str">
        <f t="shared" si="36"/>
        <v/>
      </c>
    </row>
    <row r="2351" spans="1:5" x14ac:dyDescent="0.25">
      <c r="A2351" s="138">
        <v>831005</v>
      </c>
      <c r="B2351">
        <v>197</v>
      </c>
      <c r="C2351">
        <v>19</v>
      </c>
      <c r="D2351">
        <v>45</v>
      </c>
      <c r="E2351" s="2" t="str">
        <f t="shared" si="36"/>
        <v/>
      </c>
    </row>
    <row r="2352" spans="1:5" x14ac:dyDescent="0.25">
      <c r="A2352" s="138">
        <v>831006</v>
      </c>
      <c r="B2352">
        <v>197</v>
      </c>
      <c r="C2352">
        <v>19</v>
      </c>
      <c r="D2352">
        <v>45</v>
      </c>
      <c r="E2352" s="2" t="str">
        <f t="shared" si="36"/>
        <v/>
      </c>
    </row>
    <row r="2353" spans="1:5" x14ac:dyDescent="0.25">
      <c r="A2353" s="138">
        <v>831007</v>
      </c>
      <c r="B2353">
        <v>197</v>
      </c>
      <c r="C2353">
        <v>19</v>
      </c>
      <c r="D2353">
        <v>45</v>
      </c>
      <c r="E2353" s="2" t="str">
        <f t="shared" si="36"/>
        <v/>
      </c>
    </row>
    <row r="2354" spans="1:5" x14ac:dyDescent="0.25">
      <c r="A2354" s="138">
        <v>831008</v>
      </c>
      <c r="B2354">
        <v>197</v>
      </c>
      <c r="C2354">
        <v>19</v>
      </c>
      <c r="D2354">
        <v>45</v>
      </c>
      <c r="E2354" s="2" t="str">
        <f t="shared" si="36"/>
        <v/>
      </c>
    </row>
    <row r="2355" spans="1:5" x14ac:dyDescent="0.25">
      <c r="A2355" s="138">
        <v>831009</v>
      </c>
      <c r="B2355">
        <v>197</v>
      </c>
      <c r="C2355">
        <v>19</v>
      </c>
      <c r="D2355">
        <v>45</v>
      </c>
      <c r="E2355" s="2" t="str">
        <f t="shared" si="36"/>
        <v/>
      </c>
    </row>
    <row r="2356" spans="1:5" x14ac:dyDescent="0.25">
      <c r="A2356" s="138">
        <v>831010</v>
      </c>
      <c r="B2356">
        <v>197</v>
      </c>
      <c r="C2356">
        <v>19</v>
      </c>
      <c r="D2356">
        <v>45</v>
      </c>
      <c r="E2356" s="2" t="str">
        <f t="shared" si="36"/>
        <v/>
      </c>
    </row>
    <row r="2357" spans="1:5" x14ac:dyDescent="0.25">
      <c r="A2357" s="138">
        <v>831011</v>
      </c>
      <c r="B2357">
        <v>197</v>
      </c>
      <c r="C2357">
        <v>19</v>
      </c>
      <c r="D2357">
        <v>45</v>
      </c>
      <c r="E2357" s="2" t="str">
        <f t="shared" si="36"/>
        <v/>
      </c>
    </row>
    <row r="2358" spans="1:5" x14ac:dyDescent="0.25">
      <c r="A2358" s="138">
        <v>831012</v>
      </c>
      <c r="B2358">
        <v>197</v>
      </c>
      <c r="C2358">
        <v>19</v>
      </c>
      <c r="D2358">
        <v>45</v>
      </c>
      <c r="E2358" s="2" t="str">
        <f t="shared" si="36"/>
        <v/>
      </c>
    </row>
    <row r="2359" spans="1:5" x14ac:dyDescent="0.25">
      <c r="A2359" s="138">
        <v>831013</v>
      </c>
      <c r="B2359">
        <v>197</v>
      </c>
      <c r="C2359">
        <v>19</v>
      </c>
      <c r="D2359">
        <v>45</v>
      </c>
      <c r="E2359" s="2" t="str">
        <f t="shared" si="36"/>
        <v/>
      </c>
    </row>
    <row r="2360" spans="1:5" x14ac:dyDescent="0.25">
      <c r="A2360" s="138">
        <v>831014</v>
      </c>
      <c r="B2360">
        <v>197</v>
      </c>
      <c r="C2360">
        <v>19</v>
      </c>
      <c r="D2360">
        <v>45</v>
      </c>
      <c r="E2360" s="2" t="str">
        <f t="shared" si="36"/>
        <v/>
      </c>
    </row>
    <row r="2361" spans="1:5" x14ac:dyDescent="0.25">
      <c r="A2361" s="138">
        <v>831015</v>
      </c>
      <c r="B2361">
        <v>197</v>
      </c>
      <c r="C2361">
        <v>19</v>
      </c>
      <c r="D2361">
        <v>45</v>
      </c>
      <c r="E2361" s="2" t="str">
        <f t="shared" si="36"/>
        <v/>
      </c>
    </row>
    <row r="2362" spans="1:5" x14ac:dyDescent="0.25">
      <c r="A2362" s="138">
        <v>831016</v>
      </c>
      <c r="B2362">
        <v>197</v>
      </c>
      <c r="C2362">
        <v>19</v>
      </c>
      <c r="D2362">
        <v>45</v>
      </c>
      <c r="E2362" s="2" t="str">
        <f t="shared" si="36"/>
        <v/>
      </c>
    </row>
    <row r="2363" spans="1:5" x14ac:dyDescent="0.25">
      <c r="A2363" s="138">
        <v>831017</v>
      </c>
      <c r="B2363">
        <v>197</v>
      </c>
      <c r="C2363">
        <v>19</v>
      </c>
      <c r="D2363">
        <v>45</v>
      </c>
      <c r="E2363" s="2" t="str">
        <f t="shared" si="36"/>
        <v/>
      </c>
    </row>
    <row r="2364" spans="1:5" x14ac:dyDescent="0.25">
      <c r="A2364" s="138">
        <v>831018</v>
      </c>
      <c r="B2364">
        <v>197</v>
      </c>
      <c r="C2364">
        <v>19</v>
      </c>
      <c r="D2364">
        <v>45</v>
      </c>
      <c r="E2364" s="2" t="str">
        <f t="shared" si="36"/>
        <v/>
      </c>
    </row>
    <row r="2365" spans="1:5" x14ac:dyDescent="0.25">
      <c r="A2365" s="138">
        <v>831019</v>
      </c>
      <c r="B2365">
        <v>197</v>
      </c>
      <c r="C2365">
        <v>19</v>
      </c>
      <c r="D2365">
        <v>45</v>
      </c>
      <c r="E2365" s="2" t="str">
        <f t="shared" si="36"/>
        <v/>
      </c>
    </row>
    <row r="2366" spans="1:5" x14ac:dyDescent="0.25">
      <c r="A2366" s="138">
        <v>831020</v>
      </c>
      <c r="B2366">
        <v>197</v>
      </c>
      <c r="C2366">
        <v>19</v>
      </c>
      <c r="D2366">
        <v>45</v>
      </c>
      <c r="E2366" s="2" t="str">
        <f t="shared" si="36"/>
        <v/>
      </c>
    </row>
    <row r="2367" spans="1:5" x14ac:dyDescent="0.25">
      <c r="A2367" s="138">
        <v>831021</v>
      </c>
      <c r="B2367">
        <v>197</v>
      </c>
      <c r="C2367">
        <v>19</v>
      </c>
      <c r="D2367">
        <v>45</v>
      </c>
      <c r="E2367" s="2" t="str">
        <f t="shared" si="36"/>
        <v/>
      </c>
    </row>
    <row r="2368" spans="1:5" x14ac:dyDescent="0.25">
      <c r="A2368" s="138">
        <v>831022</v>
      </c>
      <c r="B2368">
        <v>197</v>
      </c>
      <c r="C2368">
        <v>19</v>
      </c>
      <c r="D2368">
        <v>45</v>
      </c>
      <c r="E2368" s="2" t="str">
        <f t="shared" si="36"/>
        <v/>
      </c>
    </row>
    <row r="2369" spans="1:5" x14ac:dyDescent="0.25">
      <c r="A2369" s="138">
        <v>831099</v>
      </c>
      <c r="B2369">
        <v>197</v>
      </c>
      <c r="C2369">
        <v>19</v>
      </c>
      <c r="D2369">
        <v>45</v>
      </c>
      <c r="E2369" s="2" t="str">
        <f t="shared" si="36"/>
        <v/>
      </c>
    </row>
    <row r="2370" spans="1:5" x14ac:dyDescent="0.25">
      <c r="A2370" s="138">
        <v>911000</v>
      </c>
      <c r="B2370">
        <v>162</v>
      </c>
      <c r="C2370">
        <v>6</v>
      </c>
      <c r="D2370">
        <v>35</v>
      </c>
      <c r="E2370" s="2" t="str">
        <f t="shared" si="36"/>
        <v/>
      </c>
    </row>
    <row r="2371" spans="1:5" x14ac:dyDescent="0.25">
      <c r="A2371" s="138">
        <v>911001</v>
      </c>
      <c r="B2371">
        <v>162</v>
      </c>
      <c r="C2371">
        <v>6</v>
      </c>
      <c r="D2371">
        <v>35</v>
      </c>
      <c r="E2371" s="2" t="str">
        <f t="shared" ref="E2371:E2434" si="37">IF(B2371=B2370,IF(C2370=C2371,"",1),"")</f>
        <v/>
      </c>
    </row>
    <row r="2372" spans="1:5" x14ac:dyDescent="0.25">
      <c r="A2372" s="138">
        <v>911002</v>
      </c>
      <c r="B2372">
        <v>162</v>
      </c>
      <c r="C2372">
        <v>6</v>
      </c>
      <c r="D2372">
        <v>35</v>
      </c>
      <c r="E2372" s="2" t="str">
        <f t="shared" si="37"/>
        <v/>
      </c>
    </row>
    <row r="2373" spans="1:5" x14ac:dyDescent="0.25">
      <c r="A2373" s="138">
        <v>911003</v>
      </c>
      <c r="B2373">
        <v>162</v>
      </c>
      <c r="C2373">
        <v>6</v>
      </c>
      <c r="D2373">
        <v>35</v>
      </c>
      <c r="E2373" s="2" t="str">
        <f t="shared" si="37"/>
        <v/>
      </c>
    </row>
    <row r="2374" spans="1:5" x14ac:dyDescent="0.25">
      <c r="A2374" s="138">
        <v>911004</v>
      </c>
      <c r="B2374">
        <v>162</v>
      </c>
      <c r="C2374">
        <v>6</v>
      </c>
      <c r="D2374">
        <v>35</v>
      </c>
      <c r="E2374" s="2" t="str">
        <f t="shared" si="37"/>
        <v/>
      </c>
    </row>
    <row r="2375" spans="1:5" x14ac:dyDescent="0.25">
      <c r="A2375" s="138">
        <v>911005</v>
      </c>
      <c r="B2375">
        <v>162</v>
      </c>
      <c r="C2375">
        <v>6</v>
      </c>
      <c r="D2375">
        <v>35</v>
      </c>
      <c r="E2375" s="2" t="str">
        <f t="shared" si="37"/>
        <v/>
      </c>
    </row>
    <row r="2376" spans="1:5" x14ac:dyDescent="0.25">
      <c r="A2376" s="138">
        <v>911006</v>
      </c>
      <c r="B2376">
        <v>162</v>
      </c>
      <c r="C2376">
        <v>6</v>
      </c>
      <c r="D2376">
        <v>35</v>
      </c>
      <c r="E2376" s="2" t="str">
        <f t="shared" si="37"/>
        <v/>
      </c>
    </row>
    <row r="2377" spans="1:5" x14ac:dyDescent="0.25">
      <c r="A2377" s="138">
        <v>911007</v>
      </c>
      <c r="B2377">
        <v>162</v>
      </c>
      <c r="C2377">
        <v>6</v>
      </c>
      <c r="D2377">
        <v>35</v>
      </c>
      <c r="E2377" s="2" t="str">
        <f t="shared" si="37"/>
        <v/>
      </c>
    </row>
    <row r="2378" spans="1:5" x14ac:dyDescent="0.25">
      <c r="A2378" s="138">
        <v>911008</v>
      </c>
      <c r="B2378">
        <v>162</v>
      </c>
      <c r="C2378">
        <v>6</v>
      </c>
      <c r="D2378">
        <v>35</v>
      </c>
      <c r="E2378" s="2" t="str">
        <f t="shared" si="37"/>
        <v/>
      </c>
    </row>
    <row r="2379" spans="1:5" x14ac:dyDescent="0.25">
      <c r="A2379" s="138">
        <v>911009</v>
      </c>
      <c r="B2379">
        <v>162</v>
      </c>
      <c r="C2379">
        <v>6</v>
      </c>
      <c r="D2379">
        <v>35</v>
      </c>
      <c r="E2379" s="2" t="str">
        <f t="shared" si="37"/>
        <v/>
      </c>
    </row>
    <row r="2380" spans="1:5" x14ac:dyDescent="0.25">
      <c r="A2380" s="138">
        <v>911010</v>
      </c>
      <c r="B2380">
        <v>162</v>
      </c>
      <c r="C2380">
        <v>6</v>
      </c>
      <c r="D2380">
        <v>35</v>
      </c>
      <c r="E2380" s="2" t="str">
        <f t="shared" si="37"/>
        <v/>
      </c>
    </row>
    <row r="2381" spans="1:5" x14ac:dyDescent="0.25">
      <c r="A2381" s="138">
        <v>911011</v>
      </c>
      <c r="B2381">
        <v>162</v>
      </c>
      <c r="C2381">
        <v>6</v>
      </c>
      <c r="D2381">
        <v>35</v>
      </c>
      <c r="E2381" s="2" t="str">
        <f t="shared" si="37"/>
        <v/>
      </c>
    </row>
    <row r="2382" spans="1:5" x14ac:dyDescent="0.25">
      <c r="A2382" s="138">
        <v>911012</v>
      </c>
      <c r="B2382">
        <v>162</v>
      </c>
      <c r="C2382">
        <v>6</v>
      </c>
      <c r="D2382">
        <v>35</v>
      </c>
      <c r="E2382" s="2" t="str">
        <f t="shared" si="37"/>
        <v/>
      </c>
    </row>
    <row r="2383" spans="1:5" x14ac:dyDescent="0.25">
      <c r="A2383" s="138">
        <v>911013</v>
      </c>
      <c r="B2383">
        <v>162</v>
      </c>
      <c r="C2383">
        <v>6</v>
      </c>
      <c r="D2383">
        <v>35</v>
      </c>
      <c r="E2383" s="2" t="str">
        <f t="shared" si="37"/>
        <v/>
      </c>
    </row>
    <row r="2384" spans="1:5" x14ac:dyDescent="0.25">
      <c r="A2384" s="138">
        <v>911014</v>
      </c>
      <c r="B2384">
        <v>162</v>
      </c>
      <c r="C2384">
        <v>6</v>
      </c>
      <c r="D2384">
        <v>35</v>
      </c>
      <c r="E2384" s="2" t="str">
        <f t="shared" si="37"/>
        <v/>
      </c>
    </row>
    <row r="2385" spans="1:5" x14ac:dyDescent="0.25">
      <c r="A2385" s="138">
        <v>911015</v>
      </c>
      <c r="B2385">
        <v>162</v>
      </c>
      <c r="C2385">
        <v>6</v>
      </c>
      <c r="D2385">
        <v>35</v>
      </c>
      <c r="E2385" s="2" t="str">
        <f t="shared" si="37"/>
        <v/>
      </c>
    </row>
    <row r="2386" spans="1:5" x14ac:dyDescent="0.25">
      <c r="A2386" s="138">
        <v>911016</v>
      </c>
      <c r="B2386">
        <v>162</v>
      </c>
      <c r="C2386">
        <v>6</v>
      </c>
      <c r="D2386">
        <v>35</v>
      </c>
      <c r="E2386" s="2" t="str">
        <f t="shared" si="37"/>
        <v/>
      </c>
    </row>
    <row r="2387" spans="1:5" x14ac:dyDescent="0.25">
      <c r="A2387" s="138">
        <v>911017</v>
      </c>
      <c r="B2387">
        <v>162</v>
      </c>
      <c r="C2387">
        <v>6</v>
      </c>
      <c r="D2387">
        <v>35</v>
      </c>
      <c r="E2387" s="2" t="str">
        <f t="shared" si="37"/>
        <v/>
      </c>
    </row>
    <row r="2388" spans="1:5" x14ac:dyDescent="0.25">
      <c r="A2388" s="138">
        <v>911018</v>
      </c>
      <c r="B2388">
        <v>162</v>
      </c>
      <c r="C2388">
        <v>6</v>
      </c>
      <c r="D2388">
        <v>35</v>
      </c>
      <c r="E2388" s="2" t="str">
        <f t="shared" si="37"/>
        <v/>
      </c>
    </row>
    <row r="2389" spans="1:5" x14ac:dyDescent="0.25">
      <c r="A2389" s="138">
        <v>911019</v>
      </c>
      <c r="B2389">
        <v>162</v>
      </c>
      <c r="C2389">
        <v>6</v>
      </c>
      <c r="D2389">
        <v>35</v>
      </c>
      <c r="E2389" s="2" t="str">
        <f t="shared" si="37"/>
        <v/>
      </c>
    </row>
    <row r="2390" spans="1:5" x14ac:dyDescent="0.25">
      <c r="A2390" s="138">
        <v>911020</v>
      </c>
      <c r="B2390">
        <v>162</v>
      </c>
      <c r="C2390">
        <v>6</v>
      </c>
      <c r="D2390">
        <v>35</v>
      </c>
      <c r="E2390" s="2" t="str">
        <f t="shared" si="37"/>
        <v/>
      </c>
    </row>
    <row r="2391" spans="1:5" x14ac:dyDescent="0.25">
      <c r="A2391" s="138">
        <v>911021</v>
      </c>
      <c r="B2391">
        <v>162</v>
      </c>
      <c r="C2391">
        <v>6</v>
      </c>
      <c r="D2391">
        <v>35</v>
      </c>
      <c r="E2391" s="2" t="str">
        <f t="shared" si="37"/>
        <v/>
      </c>
    </row>
    <row r="2392" spans="1:5" x14ac:dyDescent="0.25">
      <c r="A2392" s="138">
        <v>911022</v>
      </c>
      <c r="B2392">
        <v>162</v>
      </c>
      <c r="C2392">
        <v>6</v>
      </c>
      <c r="D2392">
        <v>35</v>
      </c>
      <c r="E2392" s="2" t="str">
        <f t="shared" si="37"/>
        <v/>
      </c>
    </row>
    <row r="2393" spans="1:5" x14ac:dyDescent="0.25">
      <c r="A2393" s="138">
        <v>911023</v>
      </c>
      <c r="B2393">
        <v>162</v>
      </c>
      <c r="C2393">
        <v>6</v>
      </c>
      <c r="D2393">
        <v>35</v>
      </c>
      <c r="E2393" s="2" t="str">
        <f t="shared" si="37"/>
        <v/>
      </c>
    </row>
    <row r="2394" spans="1:5" x14ac:dyDescent="0.25">
      <c r="A2394" s="138">
        <v>911024</v>
      </c>
      <c r="B2394">
        <v>162</v>
      </c>
      <c r="C2394">
        <v>6</v>
      </c>
      <c r="D2394">
        <v>35</v>
      </c>
      <c r="E2394" s="2" t="str">
        <f t="shared" si="37"/>
        <v/>
      </c>
    </row>
    <row r="2395" spans="1:5" x14ac:dyDescent="0.25">
      <c r="A2395" s="138">
        <v>911025</v>
      </c>
      <c r="B2395">
        <v>162</v>
      </c>
      <c r="C2395">
        <v>6</v>
      </c>
      <c r="D2395">
        <v>35</v>
      </c>
      <c r="E2395" s="2" t="str">
        <f t="shared" si="37"/>
        <v/>
      </c>
    </row>
    <row r="2396" spans="1:5" x14ac:dyDescent="0.25">
      <c r="A2396" s="138">
        <v>911026</v>
      </c>
      <c r="B2396">
        <v>162</v>
      </c>
      <c r="C2396">
        <v>6</v>
      </c>
      <c r="D2396">
        <v>35</v>
      </c>
      <c r="E2396" s="2" t="str">
        <f t="shared" si="37"/>
        <v/>
      </c>
    </row>
    <row r="2397" spans="1:5" x14ac:dyDescent="0.25">
      <c r="A2397" s="138">
        <v>911027</v>
      </c>
      <c r="B2397">
        <v>162</v>
      </c>
      <c r="C2397">
        <v>6</v>
      </c>
      <c r="D2397">
        <v>35</v>
      </c>
      <c r="E2397" s="2" t="str">
        <f t="shared" si="37"/>
        <v/>
      </c>
    </row>
    <row r="2398" spans="1:5" x14ac:dyDescent="0.25">
      <c r="A2398" s="138">
        <v>911028</v>
      </c>
      <c r="B2398">
        <v>162</v>
      </c>
      <c r="C2398">
        <v>6</v>
      </c>
      <c r="D2398">
        <v>35</v>
      </c>
      <c r="E2398" s="2" t="str">
        <f t="shared" si="37"/>
        <v/>
      </c>
    </row>
    <row r="2399" spans="1:5" x14ac:dyDescent="0.25">
      <c r="A2399" s="138">
        <v>911029</v>
      </c>
      <c r="B2399">
        <v>162</v>
      </c>
      <c r="C2399">
        <v>6</v>
      </c>
      <c r="D2399">
        <v>35</v>
      </c>
      <c r="E2399" s="2" t="str">
        <f t="shared" si="37"/>
        <v/>
      </c>
    </row>
    <row r="2400" spans="1:5" x14ac:dyDescent="0.25">
      <c r="A2400" s="138">
        <v>911030</v>
      </c>
      <c r="B2400">
        <v>162</v>
      </c>
      <c r="C2400">
        <v>6</v>
      </c>
      <c r="D2400">
        <v>35</v>
      </c>
      <c r="E2400" s="2" t="str">
        <f t="shared" si="37"/>
        <v/>
      </c>
    </row>
    <row r="2401" spans="1:5" x14ac:dyDescent="0.25">
      <c r="A2401" s="138">
        <v>911031</v>
      </c>
      <c r="B2401">
        <v>162</v>
      </c>
      <c r="C2401">
        <v>6</v>
      </c>
      <c r="D2401">
        <v>35</v>
      </c>
      <c r="E2401" s="2" t="str">
        <f t="shared" si="37"/>
        <v/>
      </c>
    </row>
    <row r="2402" spans="1:5" x14ac:dyDescent="0.25">
      <c r="A2402" s="138">
        <v>911032</v>
      </c>
      <c r="B2402">
        <v>162</v>
      </c>
      <c r="C2402">
        <v>6</v>
      </c>
      <c r="D2402">
        <v>35</v>
      </c>
      <c r="E2402" s="2" t="str">
        <f t="shared" si="37"/>
        <v/>
      </c>
    </row>
    <row r="2403" spans="1:5" x14ac:dyDescent="0.25">
      <c r="A2403" s="138">
        <v>911033</v>
      </c>
      <c r="B2403">
        <v>162</v>
      </c>
      <c r="C2403">
        <v>6</v>
      </c>
      <c r="D2403">
        <v>35</v>
      </c>
      <c r="E2403" s="2" t="str">
        <f t="shared" si="37"/>
        <v/>
      </c>
    </row>
    <row r="2404" spans="1:5" x14ac:dyDescent="0.25">
      <c r="A2404" s="138">
        <v>911034</v>
      </c>
      <c r="B2404">
        <v>162</v>
      </c>
      <c r="C2404">
        <v>6</v>
      </c>
      <c r="D2404">
        <v>35</v>
      </c>
      <c r="E2404" s="2" t="str">
        <f t="shared" si="37"/>
        <v/>
      </c>
    </row>
    <row r="2405" spans="1:5" x14ac:dyDescent="0.25">
      <c r="A2405" s="138">
        <v>911035</v>
      </c>
      <c r="B2405">
        <v>162</v>
      </c>
      <c r="C2405">
        <v>6</v>
      </c>
      <c r="D2405">
        <v>35</v>
      </c>
      <c r="E2405" s="2" t="str">
        <f t="shared" si="37"/>
        <v/>
      </c>
    </row>
    <row r="2406" spans="1:5" x14ac:dyDescent="0.25">
      <c r="A2406" s="138">
        <v>911036</v>
      </c>
      <c r="B2406">
        <v>162</v>
      </c>
      <c r="C2406">
        <v>6</v>
      </c>
      <c r="D2406">
        <v>35</v>
      </c>
      <c r="E2406" s="2" t="str">
        <f t="shared" si="37"/>
        <v/>
      </c>
    </row>
    <row r="2407" spans="1:5" x14ac:dyDescent="0.25">
      <c r="A2407" s="138">
        <v>911037</v>
      </c>
      <c r="B2407">
        <v>162</v>
      </c>
      <c r="C2407">
        <v>6</v>
      </c>
      <c r="D2407">
        <v>35</v>
      </c>
      <c r="E2407" s="2" t="str">
        <f t="shared" si="37"/>
        <v/>
      </c>
    </row>
    <row r="2408" spans="1:5" x14ac:dyDescent="0.25">
      <c r="A2408" s="138">
        <v>911038</v>
      </c>
      <c r="B2408">
        <v>162</v>
      </c>
      <c r="C2408">
        <v>6</v>
      </c>
      <c r="D2408">
        <v>35</v>
      </c>
      <c r="E2408" s="2" t="str">
        <f t="shared" si="37"/>
        <v/>
      </c>
    </row>
    <row r="2409" spans="1:5" x14ac:dyDescent="0.25">
      <c r="A2409" s="138">
        <v>911099</v>
      </c>
      <c r="B2409">
        <v>162</v>
      </c>
      <c r="C2409">
        <v>6</v>
      </c>
      <c r="D2409">
        <v>35</v>
      </c>
      <c r="E2409" s="2" t="str">
        <f t="shared" si="37"/>
        <v/>
      </c>
    </row>
    <row r="2410" spans="1:5" x14ac:dyDescent="0.25">
      <c r="A2410" s="138">
        <v>912000</v>
      </c>
      <c r="B2410">
        <v>162</v>
      </c>
      <c r="C2410">
        <v>6</v>
      </c>
      <c r="D2410">
        <v>35</v>
      </c>
      <c r="E2410" s="2" t="str">
        <f t="shared" si="37"/>
        <v/>
      </c>
    </row>
    <row r="2411" spans="1:5" x14ac:dyDescent="0.25">
      <c r="A2411" s="138">
        <v>912001</v>
      </c>
      <c r="B2411">
        <v>162</v>
      </c>
      <c r="C2411">
        <v>6</v>
      </c>
      <c r="D2411">
        <v>35</v>
      </c>
      <c r="E2411" s="2" t="str">
        <f t="shared" si="37"/>
        <v/>
      </c>
    </row>
    <row r="2412" spans="1:5" x14ac:dyDescent="0.25">
      <c r="A2412" s="138">
        <v>912002</v>
      </c>
      <c r="B2412">
        <v>162</v>
      </c>
      <c r="C2412">
        <v>6</v>
      </c>
      <c r="D2412">
        <v>35</v>
      </c>
      <c r="E2412" s="2" t="str">
        <f t="shared" si="37"/>
        <v/>
      </c>
    </row>
    <row r="2413" spans="1:5" x14ac:dyDescent="0.25">
      <c r="A2413" s="138">
        <v>912003</v>
      </c>
      <c r="B2413">
        <v>162</v>
      </c>
      <c r="C2413">
        <v>6</v>
      </c>
      <c r="D2413">
        <v>35</v>
      </c>
      <c r="E2413" s="2" t="str">
        <f t="shared" si="37"/>
        <v/>
      </c>
    </row>
    <row r="2414" spans="1:5" x14ac:dyDescent="0.25">
      <c r="A2414" s="138">
        <v>912004</v>
      </c>
      <c r="B2414">
        <v>162</v>
      </c>
      <c r="C2414">
        <v>6</v>
      </c>
      <c r="D2414">
        <v>35</v>
      </c>
      <c r="E2414" s="2" t="str">
        <f t="shared" si="37"/>
        <v/>
      </c>
    </row>
    <row r="2415" spans="1:5" x14ac:dyDescent="0.25">
      <c r="A2415" s="138">
        <v>912005</v>
      </c>
      <c r="B2415">
        <v>162</v>
      </c>
      <c r="C2415">
        <v>6</v>
      </c>
      <c r="D2415">
        <v>35</v>
      </c>
      <c r="E2415" s="2" t="str">
        <f t="shared" si="37"/>
        <v/>
      </c>
    </row>
    <row r="2416" spans="1:5" x14ac:dyDescent="0.25">
      <c r="A2416" s="138">
        <v>912006</v>
      </c>
      <c r="B2416">
        <v>162</v>
      </c>
      <c r="C2416">
        <v>6</v>
      </c>
      <c r="D2416">
        <v>35</v>
      </c>
      <c r="E2416" s="2" t="str">
        <f t="shared" si="37"/>
        <v/>
      </c>
    </row>
    <row r="2417" spans="1:5" x14ac:dyDescent="0.25">
      <c r="A2417" s="138">
        <v>912007</v>
      </c>
      <c r="B2417">
        <v>162</v>
      </c>
      <c r="C2417">
        <v>6</v>
      </c>
      <c r="D2417">
        <v>35</v>
      </c>
      <c r="E2417" s="2" t="str">
        <f t="shared" si="37"/>
        <v/>
      </c>
    </row>
    <row r="2418" spans="1:5" x14ac:dyDescent="0.25">
      <c r="A2418" s="138">
        <v>912008</v>
      </c>
      <c r="B2418">
        <v>162</v>
      </c>
      <c r="C2418">
        <v>6</v>
      </c>
      <c r="D2418">
        <v>35</v>
      </c>
      <c r="E2418" s="2" t="str">
        <f t="shared" si="37"/>
        <v/>
      </c>
    </row>
    <row r="2419" spans="1:5" x14ac:dyDescent="0.25">
      <c r="A2419" s="138">
        <v>912009</v>
      </c>
      <c r="B2419">
        <v>162</v>
      </c>
      <c r="C2419">
        <v>6</v>
      </c>
      <c r="D2419">
        <v>35</v>
      </c>
      <c r="E2419" s="2" t="str">
        <f t="shared" si="37"/>
        <v/>
      </c>
    </row>
    <row r="2420" spans="1:5" x14ac:dyDescent="0.25">
      <c r="A2420" s="138">
        <v>912010</v>
      </c>
      <c r="B2420">
        <v>162</v>
      </c>
      <c r="C2420">
        <v>6</v>
      </c>
      <c r="D2420">
        <v>35</v>
      </c>
      <c r="E2420" s="2" t="str">
        <f t="shared" si="37"/>
        <v/>
      </c>
    </row>
    <row r="2421" spans="1:5" x14ac:dyDescent="0.25">
      <c r="A2421" s="138">
        <v>912011</v>
      </c>
      <c r="B2421">
        <v>162</v>
      </c>
      <c r="C2421">
        <v>6</v>
      </c>
      <c r="D2421">
        <v>35</v>
      </c>
      <c r="E2421" s="2" t="str">
        <f t="shared" si="37"/>
        <v/>
      </c>
    </row>
    <row r="2422" spans="1:5" x14ac:dyDescent="0.25">
      <c r="A2422" s="138">
        <v>912012</v>
      </c>
      <c r="B2422">
        <v>162</v>
      </c>
      <c r="C2422">
        <v>6</v>
      </c>
      <c r="D2422">
        <v>35</v>
      </c>
      <c r="E2422" s="2" t="str">
        <f t="shared" si="37"/>
        <v/>
      </c>
    </row>
    <row r="2423" spans="1:5" x14ac:dyDescent="0.25">
      <c r="A2423" s="138">
        <v>912013</v>
      </c>
      <c r="B2423">
        <v>162</v>
      </c>
      <c r="C2423">
        <v>6</v>
      </c>
      <c r="D2423">
        <v>35</v>
      </c>
      <c r="E2423" s="2" t="str">
        <f t="shared" si="37"/>
        <v/>
      </c>
    </row>
    <row r="2424" spans="1:5" x14ac:dyDescent="0.25">
      <c r="A2424" s="138">
        <v>912014</v>
      </c>
      <c r="B2424">
        <v>162</v>
      </c>
      <c r="C2424">
        <v>6</v>
      </c>
      <c r="D2424">
        <v>35</v>
      </c>
      <c r="E2424" s="2" t="str">
        <f t="shared" si="37"/>
        <v/>
      </c>
    </row>
    <row r="2425" spans="1:5" x14ac:dyDescent="0.25">
      <c r="A2425" s="138">
        <v>912015</v>
      </c>
      <c r="B2425">
        <v>162</v>
      </c>
      <c r="C2425">
        <v>6</v>
      </c>
      <c r="D2425">
        <v>35</v>
      </c>
      <c r="E2425" s="2" t="str">
        <f t="shared" si="37"/>
        <v/>
      </c>
    </row>
    <row r="2426" spans="1:5" x14ac:dyDescent="0.25">
      <c r="A2426" s="138">
        <v>912016</v>
      </c>
      <c r="B2426">
        <v>162</v>
      </c>
      <c r="C2426">
        <v>6</v>
      </c>
      <c r="D2426">
        <v>35</v>
      </c>
      <c r="E2426" s="2" t="str">
        <f t="shared" si="37"/>
        <v/>
      </c>
    </row>
    <row r="2427" spans="1:5" x14ac:dyDescent="0.25">
      <c r="A2427" s="138">
        <v>912017</v>
      </c>
      <c r="B2427">
        <v>162</v>
      </c>
      <c r="C2427">
        <v>6</v>
      </c>
      <c r="D2427">
        <v>35</v>
      </c>
      <c r="E2427" s="2" t="str">
        <f t="shared" si="37"/>
        <v/>
      </c>
    </row>
    <row r="2428" spans="1:5" x14ac:dyDescent="0.25">
      <c r="A2428" s="138">
        <v>912099</v>
      </c>
      <c r="B2428">
        <v>162</v>
      </c>
      <c r="C2428">
        <v>6</v>
      </c>
      <c r="D2428">
        <v>35</v>
      </c>
      <c r="E2428" s="2" t="str">
        <f t="shared" si="37"/>
        <v/>
      </c>
    </row>
    <row r="2429" spans="1:5" x14ac:dyDescent="0.25">
      <c r="A2429" s="138">
        <v>913000</v>
      </c>
      <c r="B2429">
        <v>164</v>
      </c>
      <c r="C2429">
        <v>6</v>
      </c>
      <c r="D2429">
        <v>35</v>
      </c>
      <c r="E2429" s="2" t="str">
        <f t="shared" si="37"/>
        <v/>
      </c>
    </row>
    <row r="2430" spans="1:5" x14ac:dyDescent="0.25">
      <c r="A2430" s="138">
        <v>913001</v>
      </c>
      <c r="B2430">
        <v>164</v>
      </c>
      <c r="C2430">
        <v>6</v>
      </c>
      <c r="D2430">
        <v>35</v>
      </c>
      <c r="E2430" s="2" t="str">
        <f t="shared" si="37"/>
        <v/>
      </c>
    </row>
    <row r="2431" spans="1:5" x14ac:dyDescent="0.25">
      <c r="A2431" s="138">
        <v>913002</v>
      </c>
      <c r="B2431">
        <v>164</v>
      </c>
      <c r="C2431">
        <v>6</v>
      </c>
      <c r="D2431">
        <v>35</v>
      </c>
      <c r="E2431" s="2" t="str">
        <f t="shared" si="37"/>
        <v/>
      </c>
    </row>
    <row r="2432" spans="1:5" x14ac:dyDescent="0.25">
      <c r="A2432" s="138">
        <v>913003</v>
      </c>
      <c r="B2432">
        <v>164</v>
      </c>
      <c r="C2432">
        <v>6</v>
      </c>
      <c r="D2432">
        <v>35</v>
      </c>
      <c r="E2432" s="2" t="str">
        <f t="shared" si="37"/>
        <v/>
      </c>
    </row>
    <row r="2433" spans="1:5" x14ac:dyDescent="0.25">
      <c r="A2433" s="138">
        <v>913004</v>
      </c>
      <c r="B2433">
        <v>164</v>
      </c>
      <c r="C2433">
        <v>6</v>
      </c>
      <c r="D2433">
        <v>35</v>
      </c>
      <c r="E2433" s="2" t="str">
        <f t="shared" si="37"/>
        <v/>
      </c>
    </row>
    <row r="2434" spans="1:5" x14ac:dyDescent="0.25">
      <c r="A2434" s="138">
        <v>913005</v>
      </c>
      <c r="B2434">
        <v>164</v>
      </c>
      <c r="C2434">
        <v>6</v>
      </c>
      <c r="D2434">
        <v>35</v>
      </c>
      <c r="E2434" s="2" t="str">
        <f t="shared" si="37"/>
        <v/>
      </c>
    </row>
    <row r="2435" spans="1:5" x14ac:dyDescent="0.25">
      <c r="A2435" s="138">
        <v>913006</v>
      </c>
      <c r="B2435">
        <v>164</v>
      </c>
      <c r="C2435">
        <v>6</v>
      </c>
      <c r="D2435">
        <v>35</v>
      </c>
      <c r="E2435" s="2" t="str">
        <f t="shared" ref="E2435:E2498" si="38">IF(B2435=B2434,IF(C2434=C2435,"",1),"")</f>
        <v/>
      </c>
    </row>
    <row r="2436" spans="1:5" x14ac:dyDescent="0.25">
      <c r="A2436" s="138">
        <v>913007</v>
      </c>
      <c r="B2436">
        <v>164</v>
      </c>
      <c r="C2436">
        <v>6</v>
      </c>
      <c r="D2436">
        <v>35</v>
      </c>
      <c r="E2436" s="2" t="str">
        <f t="shared" si="38"/>
        <v/>
      </c>
    </row>
    <row r="2437" spans="1:5" x14ac:dyDescent="0.25">
      <c r="A2437" s="138">
        <v>913008</v>
      </c>
      <c r="B2437">
        <v>164</v>
      </c>
      <c r="C2437">
        <v>6</v>
      </c>
      <c r="D2437">
        <v>35</v>
      </c>
      <c r="E2437" s="2" t="str">
        <f t="shared" si="38"/>
        <v/>
      </c>
    </row>
    <row r="2438" spans="1:5" x14ac:dyDescent="0.25">
      <c r="A2438" s="138">
        <v>913009</v>
      </c>
      <c r="B2438">
        <v>164</v>
      </c>
      <c r="C2438">
        <v>6</v>
      </c>
      <c r="D2438">
        <v>35</v>
      </c>
      <c r="E2438" s="2" t="str">
        <f t="shared" si="38"/>
        <v/>
      </c>
    </row>
    <row r="2439" spans="1:5" x14ac:dyDescent="0.25">
      <c r="A2439" s="138">
        <v>913010</v>
      </c>
      <c r="B2439">
        <v>164</v>
      </c>
      <c r="C2439">
        <v>6</v>
      </c>
      <c r="D2439">
        <v>35</v>
      </c>
      <c r="E2439" s="2" t="str">
        <f t="shared" si="38"/>
        <v/>
      </c>
    </row>
    <row r="2440" spans="1:5" x14ac:dyDescent="0.25">
      <c r="A2440" s="138">
        <v>913011</v>
      </c>
      <c r="B2440">
        <v>164</v>
      </c>
      <c r="C2440">
        <v>6</v>
      </c>
      <c r="D2440">
        <v>35</v>
      </c>
      <c r="E2440" s="2" t="str">
        <f t="shared" si="38"/>
        <v/>
      </c>
    </row>
    <row r="2441" spans="1:5" x14ac:dyDescent="0.25">
      <c r="A2441" s="138">
        <v>913012</v>
      </c>
      <c r="B2441">
        <v>164</v>
      </c>
      <c r="C2441">
        <v>6</v>
      </c>
      <c r="D2441">
        <v>35</v>
      </c>
      <c r="E2441" s="2" t="str">
        <f t="shared" si="38"/>
        <v/>
      </c>
    </row>
    <row r="2442" spans="1:5" x14ac:dyDescent="0.25">
      <c r="A2442" s="138">
        <v>913013</v>
      </c>
      <c r="B2442">
        <v>164</v>
      </c>
      <c r="C2442">
        <v>6</v>
      </c>
      <c r="D2442">
        <v>35</v>
      </c>
      <c r="E2442" s="2" t="str">
        <f t="shared" si="38"/>
        <v/>
      </c>
    </row>
    <row r="2443" spans="1:5" x14ac:dyDescent="0.25">
      <c r="A2443" s="138">
        <v>913014</v>
      </c>
      <c r="B2443">
        <v>164</v>
      </c>
      <c r="C2443">
        <v>6</v>
      </c>
      <c r="D2443">
        <v>35</v>
      </c>
      <c r="E2443" s="2" t="str">
        <f t="shared" si="38"/>
        <v/>
      </c>
    </row>
    <row r="2444" spans="1:5" x14ac:dyDescent="0.25">
      <c r="A2444" s="138">
        <v>913015</v>
      </c>
      <c r="B2444">
        <v>164</v>
      </c>
      <c r="C2444">
        <v>6</v>
      </c>
      <c r="D2444">
        <v>35</v>
      </c>
      <c r="E2444" s="2" t="str">
        <f t="shared" si="38"/>
        <v/>
      </c>
    </row>
    <row r="2445" spans="1:5" x14ac:dyDescent="0.25">
      <c r="A2445" s="138">
        <v>913016</v>
      </c>
      <c r="B2445">
        <v>164</v>
      </c>
      <c r="C2445">
        <v>6</v>
      </c>
      <c r="D2445">
        <v>35</v>
      </c>
      <c r="E2445" s="2" t="str">
        <f t="shared" si="38"/>
        <v/>
      </c>
    </row>
    <row r="2446" spans="1:5" x14ac:dyDescent="0.25">
      <c r="A2446" s="138">
        <v>913017</v>
      </c>
      <c r="B2446">
        <v>164</v>
      </c>
      <c r="C2446">
        <v>6</v>
      </c>
      <c r="D2446">
        <v>35</v>
      </c>
      <c r="E2446" s="2" t="str">
        <f t="shared" si="38"/>
        <v/>
      </c>
    </row>
    <row r="2447" spans="1:5" x14ac:dyDescent="0.25">
      <c r="A2447" s="138">
        <v>913018</v>
      </c>
      <c r="B2447">
        <v>164</v>
      </c>
      <c r="C2447">
        <v>6</v>
      </c>
      <c r="D2447">
        <v>35</v>
      </c>
      <c r="E2447" s="2" t="str">
        <f t="shared" si="38"/>
        <v/>
      </c>
    </row>
    <row r="2448" spans="1:5" x14ac:dyDescent="0.25">
      <c r="A2448" s="138">
        <v>913019</v>
      </c>
      <c r="B2448">
        <v>164</v>
      </c>
      <c r="C2448">
        <v>6</v>
      </c>
      <c r="D2448">
        <v>35</v>
      </c>
      <c r="E2448" s="2" t="str">
        <f t="shared" si="38"/>
        <v/>
      </c>
    </row>
    <row r="2449" spans="1:5" x14ac:dyDescent="0.25">
      <c r="A2449" s="138">
        <v>913020</v>
      </c>
      <c r="B2449">
        <v>164</v>
      </c>
      <c r="C2449">
        <v>6</v>
      </c>
      <c r="D2449">
        <v>35</v>
      </c>
      <c r="E2449" s="2" t="str">
        <f t="shared" si="38"/>
        <v/>
      </c>
    </row>
    <row r="2450" spans="1:5" x14ac:dyDescent="0.25">
      <c r="A2450" s="138">
        <v>913021</v>
      </c>
      <c r="B2450">
        <v>164</v>
      </c>
      <c r="C2450">
        <v>6</v>
      </c>
      <c r="D2450">
        <v>35</v>
      </c>
      <c r="E2450" s="2" t="str">
        <f t="shared" si="38"/>
        <v/>
      </c>
    </row>
    <row r="2451" spans="1:5" x14ac:dyDescent="0.25">
      <c r="A2451" s="138">
        <v>913022</v>
      </c>
      <c r="B2451">
        <v>164</v>
      </c>
      <c r="C2451">
        <v>6</v>
      </c>
      <c r="D2451">
        <v>35</v>
      </c>
      <c r="E2451" s="2" t="str">
        <f t="shared" si="38"/>
        <v/>
      </c>
    </row>
    <row r="2452" spans="1:5" x14ac:dyDescent="0.25">
      <c r="A2452" s="138">
        <v>913023</v>
      </c>
      <c r="B2452">
        <v>164</v>
      </c>
      <c r="C2452">
        <v>6</v>
      </c>
      <c r="D2452">
        <v>35</v>
      </c>
      <c r="E2452" s="2" t="str">
        <f t="shared" si="38"/>
        <v/>
      </c>
    </row>
    <row r="2453" spans="1:5" x14ac:dyDescent="0.25">
      <c r="A2453" s="138">
        <v>913024</v>
      </c>
      <c r="B2453">
        <v>164</v>
      </c>
      <c r="C2453">
        <v>6</v>
      </c>
      <c r="D2453">
        <v>35</v>
      </c>
      <c r="E2453" s="2" t="str">
        <f t="shared" si="38"/>
        <v/>
      </c>
    </row>
    <row r="2454" spans="1:5" x14ac:dyDescent="0.25">
      <c r="A2454" s="138">
        <v>913025</v>
      </c>
      <c r="B2454">
        <v>164</v>
      </c>
      <c r="C2454">
        <v>6</v>
      </c>
      <c r="D2454">
        <v>35</v>
      </c>
      <c r="E2454" s="2" t="str">
        <f t="shared" si="38"/>
        <v/>
      </c>
    </row>
    <row r="2455" spans="1:5" x14ac:dyDescent="0.25">
      <c r="A2455" s="138">
        <v>913026</v>
      </c>
      <c r="B2455">
        <v>164</v>
      </c>
      <c r="C2455">
        <v>6</v>
      </c>
      <c r="D2455">
        <v>35</v>
      </c>
      <c r="E2455" s="2" t="str">
        <f t="shared" si="38"/>
        <v/>
      </c>
    </row>
    <row r="2456" spans="1:5" x14ac:dyDescent="0.25">
      <c r="A2456" s="138">
        <v>913027</v>
      </c>
      <c r="B2456">
        <v>164</v>
      </c>
      <c r="C2456">
        <v>6</v>
      </c>
      <c r="D2456">
        <v>35</v>
      </c>
      <c r="E2456" s="2" t="str">
        <f t="shared" si="38"/>
        <v/>
      </c>
    </row>
    <row r="2457" spans="1:5" x14ac:dyDescent="0.25">
      <c r="A2457" s="138">
        <v>913028</v>
      </c>
      <c r="B2457">
        <v>164</v>
      </c>
      <c r="C2457">
        <v>6</v>
      </c>
      <c r="D2457">
        <v>35</v>
      </c>
      <c r="E2457" s="2" t="str">
        <f t="shared" si="38"/>
        <v/>
      </c>
    </row>
    <row r="2458" spans="1:5" x14ac:dyDescent="0.25">
      <c r="A2458" s="138">
        <v>913029</v>
      </c>
      <c r="B2458">
        <v>164</v>
      </c>
      <c r="C2458">
        <v>6</v>
      </c>
      <c r="D2458">
        <v>35</v>
      </c>
      <c r="E2458" s="2" t="str">
        <f t="shared" si="38"/>
        <v/>
      </c>
    </row>
    <row r="2459" spans="1:5" x14ac:dyDescent="0.25">
      <c r="A2459" s="138">
        <v>913030</v>
      </c>
      <c r="B2459">
        <v>164</v>
      </c>
      <c r="C2459">
        <v>6</v>
      </c>
      <c r="D2459">
        <v>35</v>
      </c>
      <c r="E2459" s="2" t="str">
        <f t="shared" si="38"/>
        <v/>
      </c>
    </row>
    <row r="2460" spans="1:5" x14ac:dyDescent="0.25">
      <c r="A2460" s="138">
        <v>913031</v>
      </c>
      <c r="B2460">
        <v>164</v>
      </c>
      <c r="C2460">
        <v>6</v>
      </c>
      <c r="D2460">
        <v>35</v>
      </c>
      <c r="E2460" s="2" t="str">
        <f t="shared" si="38"/>
        <v/>
      </c>
    </row>
    <row r="2461" spans="1:5" x14ac:dyDescent="0.25">
      <c r="A2461" s="138">
        <v>913032</v>
      </c>
      <c r="B2461">
        <v>164</v>
      </c>
      <c r="C2461">
        <v>6</v>
      </c>
      <c r="D2461">
        <v>35</v>
      </c>
      <c r="E2461" s="2" t="str">
        <f t="shared" si="38"/>
        <v/>
      </c>
    </row>
    <row r="2462" spans="1:5" x14ac:dyDescent="0.25">
      <c r="A2462" s="138">
        <v>913098</v>
      </c>
      <c r="B2462">
        <v>164</v>
      </c>
      <c r="C2462">
        <v>6</v>
      </c>
      <c r="D2462">
        <v>35</v>
      </c>
      <c r="E2462" s="2" t="str">
        <f t="shared" si="38"/>
        <v/>
      </c>
    </row>
    <row r="2463" spans="1:5" x14ac:dyDescent="0.25">
      <c r="A2463" s="138">
        <v>913099</v>
      </c>
      <c r="B2463">
        <v>164</v>
      </c>
      <c r="C2463">
        <v>6</v>
      </c>
      <c r="D2463">
        <v>35</v>
      </c>
      <c r="E2463" s="2" t="str">
        <f t="shared" si="38"/>
        <v/>
      </c>
    </row>
    <row r="2464" spans="1:5" x14ac:dyDescent="0.25">
      <c r="A2464" s="138">
        <v>914000</v>
      </c>
      <c r="B2464">
        <v>164</v>
      </c>
      <c r="C2464">
        <v>6</v>
      </c>
      <c r="D2464">
        <v>35</v>
      </c>
      <c r="E2464" s="2" t="str">
        <f t="shared" si="38"/>
        <v/>
      </c>
    </row>
    <row r="2465" spans="1:5" x14ac:dyDescent="0.25">
      <c r="A2465" s="138">
        <v>914001</v>
      </c>
      <c r="B2465">
        <v>164</v>
      </c>
      <c r="C2465">
        <v>6</v>
      </c>
      <c r="D2465">
        <v>35</v>
      </c>
      <c r="E2465" s="2" t="str">
        <f t="shared" si="38"/>
        <v/>
      </c>
    </row>
    <row r="2466" spans="1:5" x14ac:dyDescent="0.25">
      <c r="A2466" s="138">
        <v>914002</v>
      </c>
      <c r="B2466">
        <v>164</v>
      </c>
      <c r="C2466">
        <v>6</v>
      </c>
      <c r="D2466">
        <v>35</v>
      </c>
      <c r="E2466" s="2" t="str">
        <f t="shared" si="38"/>
        <v/>
      </c>
    </row>
    <row r="2467" spans="1:5" x14ac:dyDescent="0.25">
      <c r="A2467" s="138">
        <v>914003</v>
      </c>
      <c r="B2467">
        <v>164</v>
      </c>
      <c r="C2467">
        <v>6</v>
      </c>
      <c r="D2467">
        <v>35</v>
      </c>
      <c r="E2467" s="2" t="str">
        <f t="shared" si="38"/>
        <v/>
      </c>
    </row>
    <row r="2468" spans="1:5" x14ac:dyDescent="0.25">
      <c r="A2468" s="138">
        <v>914004</v>
      </c>
      <c r="B2468">
        <v>164</v>
      </c>
      <c r="C2468">
        <v>6</v>
      </c>
      <c r="D2468">
        <v>35</v>
      </c>
      <c r="E2468" s="2" t="str">
        <f t="shared" si="38"/>
        <v/>
      </c>
    </row>
    <row r="2469" spans="1:5" x14ac:dyDescent="0.25">
      <c r="A2469" s="138">
        <v>914005</v>
      </c>
      <c r="B2469">
        <v>164</v>
      </c>
      <c r="C2469">
        <v>6</v>
      </c>
      <c r="D2469">
        <v>35</v>
      </c>
      <c r="E2469" s="2" t="str">
        <f t="shared" si="38"/>
        <v/>
      </c>
    </row>
    <row r="2470" spans="1:5" x14ac:dyDescent="0.25">
      <c r="A2470" s="138">
        <v>914006</v>
      </c>
      <c r="B2470">
        <v>164</v>
      </c>
      <c r="C2470">
        <v>6</v>
      </c>
      <c r="D2470">
        <v>35</v>
      </c>
      <c r="E2470" s="2" t="str">
        <f t="shared" si="38"/>
        <v/>
      </c>
    </row>
    <row r="2471" spans="1:5" x14ac:dyDescent="0.25">
      <c r="A2471" s="138">
        <v>914007</v>
      </c>
      <c r="B2471">
        <v>164</v>
      </c>
      <c r="C2471">
        <v>6</v>
      </c>
      <c r="D2471">
        <v>35</v>
      </c>
      <c r="E2471" s="2" t="str">
        <f t="shared" si="38"/>
        <v/>
      </c>
    </row>
    <row r="2472" spans="1:5" x14ac:dyDescent="0.25">
      <c r="A2472" s="138">
        <v>914008</v>
      </c>
      <c r="B2472">
        <v>164</v>
      </c>
      <c r="C2472">
        <v>6</v>
      </c>
      <c r="D2472">
        <v>35</v>
      </c>
      <c r="E2472" s="2" t="str">
        <f t="shared" si="38"/>
        <v/>
      </c>
    </row>
    <row r="2473" spans="1:5" x14ac:dyDescent="0.25">
      <c r="A2473" s="138">
        <v>914009</v>
      </c>
      <c r="B2473">
        <v>164</v>
      </c>
      <c r="C2473">
        <v>6</v>
      </c>
      <c r="D2473">
        <v>35</v>
      </c>
      <c r="E2473" s="2" t="str">
        <f t="shared" si="38"/>
        <v/>
      </c>
    </row>
    <row r="2474" spans="1:5" x14ac:dyDescent="0.25">
      <c r="A2474" s="138">
        <v>914010</v>
      </c>
      <c r="B2474">
        <v>164</v>
      </c>
      <c r="C2474">
        <v>6</v>
      </c>
      <c r="D2474">
        <v>35</v>
      </c>
      <c r="E2474" s="2" t="str">
        <f t="shared" si="38"/>
        <v/>
      </c>
    </row>
    <row r="2475" spans="1:5" x14ac:dyDescent="0.25">
      <c r="A2475" s="138">
        <v>914011</v>
      </c>
      <c r="B2475">
        <v>164</v>
      </c>
      <c r="C2475">
        <v>6</v>
      </c>
      <c r="D2475">
        <v>35</v>
      </c>
      <c r="E2475" s="2" t="str">
        <f t="shared" si="38"/>
        <v/>
      </c>
    </row>
    <row r="2476" spans="1:5" x14ac:dyDescent="0.25">
      <c r="A2476" s="138">
        <v>914012</v>
      </c>
      <c r="B2476">
        <v>164</v>
      </c>
      <c r="C2476">
        <v>6</v>
      </c>
      <c r="D2476">
        <v>35</v>
      </c>
      <c r="E2476" s="2" t="str">
        <f t="shared" si="38"/>
        <v/>
      </c>
    </row>
    <row r="2477" spans="1:5" x14ac:dyDescent="0.25">
      <c r="A2477" s="138">
        <v>914013</v>
      </c>
      <c r="B2477">
        <v>164</v>
      </c>
      <c r="C2477">
        <v>6</v>
      </c>
      <c r="D2477">
        <v>35</v>
      </c>
      <c r="E2477" s="2" t="str">
        <f t="shared" si="38"/>
        <v/>
      </c>
    </row>
    <row r="2478" spans="1:5" x14ac:dyDescent="0.25">
      <c r="A2478" s="138">
        <v>914014</v>
      </c>
      <c r="B2478">
        <v>164</v>
      </c>
      <c r="C2478">
        <v>6</v>
      </c>
      <c r="D2478">
        <v>35</v>
      </c>
      <c r="E2478" s="2" t="str">
        <f t="shared" si="38"/>
        <v/>
      </c>
    </row>
    <row r="2479" spans="1:5" x14ac:dyDescent="0.25">
      <c r="A2479" s="138">
        <v>914015</v>
      </c>
      <c r="B2479">
        <v>164</v>
      </c>
      <c r="C2479">
        <v>6</v>
      </c>
      <c r="D2479">
        <v>35</v>
      </c>
      <c r="E2479" s="2" t="str">
        <f t="shared" si="38"/>
        <v/>
      </c>
    </row>
    <row r="2480" spans="1:5" x14ac:dyDescent="0.25">
      <c r="A2480" s="138">
        <v>914016</v>
      </c>
      <c r="B2480">
        <v>164</v>
      </c>
      <c r="C2480">
        <v>6</v>
      </c>
      <c r="D2480">
        <v>35</v>
      </c>
      <c r="E2480" s="2" t="str">
        <f t="shared" si="38"/>
        <v/>
      </c>
    </row>
    <row r="2481" spans="1:5" x14ac:dyDescent="0.25">
      <c r="A2481" s="138">
        <v>914017</v>
      </c>
      <c r="B2481">
        <v>164</v>
      </c>
      <c r="C2481">
        <v>6</v>
      </c>
      <c r="D2481">
        <v>35</v>
      </c>
      <c r="E2481" s="2" t="str">
        <f t="shared" si="38"/>
        <v/>
      </c>
    </row>
    <row r="2482" spans="1:5" x14ac:dyDescent="0.25">
      <c r="A2482" s="138">
        <v>914018</v>
      </c>
      <c r="B2482">
        <v>164</v>
      </c>
      <c r="C2482">
        <v>6</v>
      </c>
      <c r="D2482">
        <v>35</v>
      </c>
      <c r="E2482" s="2" t="str">
        <f t="shared" si="38"/>
        <v/>
      </c>
    </row>
    <row r="2483" spans="1:5" x14ac:dyDescent="0.25">
      <c r="A2483" s="138">
        <v>914099</v>
      </c>
      <c r="B2483">
        <v>164</v>
      </c>
      <c r="C2483">
        <v>6</v>
      </c>
      <c r="D2483">
        <v>35</v>
      </c>
      <c r="E2483" s="2" t="str">
        <f t="shared" si="38"/>
        <v/>
      </c>
    </row>
    <row r="2484" spans="1:5" x14ac:dyDescent="0.25">
      <c r="A2484" s="138">
        <v>915000</v>
      </c>
      <c r="B2484">
        <v>224</v>
      </c>
      <c r="C2484">
        <v>16</v>
      </c>
      <c r="D2484">
        <v>36</v>
      </c>
      <c r="E2484" s="2" t="str">
        <f t="shared" si="38"/>
        <v/>
      </c>
    </row>
    <row r="2485" spans="1:5" x14ac:dyDescent="0.25">
      <c r="A2485" s="138">
        <v>915001</v>
      </c>
      <c r="B2485">
        <v>224</v>
      </c>
      <c r="C2485">
        <v>16</v>
      </c>
      <c r="D2485">
        <v>36</v>
      </c>
      <c r="E2485" s="2" t="str">
        <f t="shared" si="38"/>
        <v/>
      </c>
    </row>
    <row r="2486" spans="1:5" x14ac:dyDescent="0.25">
      <c r="A2486" s="138">
        <v>915002</v>
      </c>
      <c r="B2486">
        <v>224</v>
      </c>
      <c r="C2486">
        <v>16</v>
      </c>
      <c r="D2486">
        <v>36</v>
      </c>
      <c r="E2486" s="2" t="str">
        <f t="shared" si="38"/>
        <v/>
      </c>
    </row>
    <row r="2487" spans="1:5" x14ac:dyDescent="0.25">
      <c r="A2487" s="138">
        <v>915003</v>
      </c>
      <c r="B2487">
        <v>224</v>
      </c>
      <c r="C2487">
        <v>16</v>
      </c>
      <c r="D2487">
        <v>36</v>
      </c>
      <c r="E2487" s="2" t="str">
        <f t="shared" si="38"/>
        <v/>
      </c>
    </row>
    <row r="2488" spans="1:5" x14ac:dyDescent="0.25">
      <c r="A2488" s="138">
        <v>915004</v>
      </c>
      <c r="B2488">
        <v>224</v>
      </c>
      <c r="C2488">
        <v>16</v>
      </c>
      <c r="D2488">
        <v>36</v>
      </c>
      <c r="E2488" s="2" t="str">
        <f t="shared" si="38"/>
        <v/>
      </c>
    </row>
    <row r="2489" spans="1:5" x14ac:dyDescent="0.25">
      <c r="A2489" s="138">
        <v>915005</v>
      </c>
      <c r="B2489">
        <v>224</v>
      </c>
      <c r="C2489">
        <v>16</v>
      </c>
      <c r="D2489">
        <v>36</v>
      </c>
      <c r="E2489" s="2" t="str">
        <f t="shared" si="38"/>
        <v/>
      </c>
    </row>
    <row r="2490" spans="1:5" x14ac:dyDescent="0.25">
      <c r="A2490" s="138">
        <v>915006</v>
      </c>
      <c r="B2490">
        <v>224</v>
      </c>
      <c r="C2490">
        <v>16</v>
      </c>
      <c r="D2490">
        <v>36</v>
      </c>
      <c r="E2490" s="2" t="str">
        <f t="shared" si="38"/>
        <v/>
      </c>
    </row>
    <row r="2491" spans="1:5" x14ac:dyDescent="0.25">
      <c r="A2491" s="138">
        <v>915007</v>
      </c>
      <c r="B2491">
        <v>224</v>
      </c>
      <c r="C2491">
        <v>16</v>
      </c>
      <c r="D2491">
        <v>36</v>
      </c>
      <c r="E2491" s="2" t="str">
        <f t="shared" si="38"/>
        <v/>
      </c>
    </row>
    <row r="2492" spans="1:5" x14ac:dyDescent="0.25">
      <c r="A2492" s="138">
        <v>915008</v>
      </c>
      <c r="B2492">
        <v>224</v>
      </c>
      <c r="C2492">
        <v>16</v>
      </c>
      <c r="D2492">
        <v>36</v>
      </c>
      <c r="E2492" s="2" t="str">
        <f t="shared" si="38"/>
        <v/>
      </c>
    </row>
    <row r="2493" spans="1:5" x14ac:dyDescent="0.25">
      <c r="A2493" s="138">
        <v>915009</v>
      </c>
      <c r="B2493">
        <v>224</v>
      </c>
      <c r="C2493">
        <v>16</v>
      </c>
      <c r="D2493">
        <v>36</v>
      </c>
      <c r="E2493" s="2" t="str">
        <f t="shared" si="38"/>
        <v/>
      </c>
    </row>
    <row r="2494" spans="1:5" x14ac:dyDescent="0.25">
      <c r="A2494" s="138">
        <v>915010</v>
      </c>
      <c r="B2494">
        <v>224</v>
      </c>
      <c r="C2494">
        <v>16</v>
      </c>
      <c r="D2494">
        <v>36</v>
      </c>
      <c r="E2494" s="2" t="str">
        <f t="shared" si="38"/>
        <v/>
      </c>
    </row>
    <row r="2495" spans="1:5" x14ac:dyDescent="0.25">
      <c r="A2495" s="138">
        <v>915011</v>
      </c>
      <c r="B2495">
        <v>224</v>
      </c>
      <c r="C2495">
        <v>16</v>
      </c>
      <c r="D2495">
        <v>36</v>
      </c>
      <c r="E2495" s="2" t="str">
        <f t="shared" si="38"/>
        <v/>
      </c>
    </row>
    <row r="2496" spans="1:5" x14ac:dyDescent="0.25">
      <c r="A2496" s="138">
        <v>915099</v>
      </c>
      <c r="B2496">
        <v>224</v>
      </c>
      <c r="C2496">
        <v>16</v>
      </c>
      <c r="D2496">
        <v>36</v>
      </c>
      <c r="E2496" s="2" t="str">
        <f t="shared" si="38"/>
        <v/>
      </c>
    </row>
    <row r="2497" spans="1:5" x14ac:dyDescent="0.25">
      <c r="A2497" s="138">
        <v>921000</v>
      </c>
      <c r="B2497">
        <v>146</v>
      </c>
      <c r="C2497">
        <v>6</v>
      </c>
      <c r="D2497">
        <v>35</v>
      </c>
      <c r="E2497" s="2" t="str">
        <f t="shared" si="38"/>
        <v/>
      </c>
    </row>
    <row r="2498" spans="1:5" x14ac:dyDescent="0.25">
      <c r="A2498" s="138">
        <v>921001</v>
      </c>
      <c r="B2498">
        <v>146</v>
      </c>
      <c r="C2498">
        <v>6</v>
      </c>
      <c r="D2498">
        <v>35</v>
      </c>
      <c r="E2498" s="2" t="str">
        <f t="shared" si="38"/>
        <v/>
      </c>
    </row>
    <row r="2499" spans="1:5" x14ac:dyDescent="0.25">
      <c r="A2499" s="138">
        <v>921002</v>
      </c>
      <c r="B2499">
        <v>146</v>
      </c>
      <c r="C2499">
        <v>6</v>
      </c>
      <c r="D2499">
        <v>35</v>
      </c>
      <c r="E2499" s="2" t="str">
        <f t="shared" ref="E2499:E2562" si="39">IF(B2499=B2498,IF(C2498=C2499,"",1),"")</f>
        <v/>
      </c>
    </row>
    <row r="2500" spans="1:5" x14ac:dyDescent="0.25">
      <c r="A2500" s="138">
        <v>921003</v>
      </c>
      <c r="B2500">
        <v>146</v>
      </c>
      <c r="C2500">
        <v>6</v>
      </c>
      <c r="D2500">
        <v>35</v>
      </c>
      <c r="E2500" s="2" t="str">
        <f t="shared" si="39"/>
        <v/>
      </c>
    </row>
    <row r="2501" spans="1:5" x14ac:dyDescent="0.25">
      <c r="A2501" s="138">
        <v>921004</v>
      </c>
      <c r="B2501">
        <v>146</v>
      </c>
      <c r="C2501">
        <v>6</v>
      </c>
      <c r="D2501">
        <v>35</v>
      </c>
      <c r="E2501" s="2" t="str">
        <f t="shared" si="39"/>
        <v/>
      </c>
    </row>
    <row r="2502" spans="1:5" x14ac:dyDescent="0.25">
      <c r="A2502" s="138">
        <v>921005</v>
      </c>
      <c r="B2502">
        <v>146</v>
      </c>
      <c r="C2502">
        <v>6</v>
      </c>
      <c r="D2502">
        <v>35</v>
      </c>
      <c r="E2502" s="2" t="str">
        <f t="shared" si="39"/>
        <v/>
      </c>
    </row>
    <row r="2503" spans="1:5" x14ac:dyDescent="0.25">
      <c r="A2503" s="138">
        <v>921006</v>
      </c>
      <c r="B2503">
        <v>146</v>
      </c>
      <c r="C2503">
        <v>6</v>
      </c>
      <c r="D2503">
        <v>35</v>
      </c>
      <c r="E2503" s="2" t="str">
        <f t="shared" si="39"/>
        <v/>
      </c>
    </row>
    <row r="2504" spans="1:5" x14ac:dyDescent="0.25">
      <c r="A2504" s="138">
        <v>921007</v>
      </c>
      <c r="B2504">
        <v>146</v>
      </c>
      <c r="C2504">
        <v>6</v>
      </c>
      <c r="D2504">
        <v>35</v>
      </c>
      <c r="E2504" s="2" t="str">
        <f t="shared" si="39"/>
        <v/>
      </c>
    </row>
    <row r="2505" spans="1:5" x14ac:dyDescent="0.25">
      <c r="A2505" s="138">
        <v>921008</v>
      </c>
      <c r="B2505">
        <v>146</v>
      </c>
      <c r="C2505">
        <v>6</v>
      </c>
      <c r="D2505">
        <v>35</v>
      </c>
      <c r="E2505" s="2" t="str">
        <f t="shared" si="39"/>
        <v/>
      </c>
    </row>
    <row r="2506" spans="1:5" x14ac:dyDescent="0.25">
      <c r="A2506" s="138">
        <v>921009</v>
      </c>
      <c r="B2506">
        <v>146</v>
      </c>
      <c r="C2506">
        <v>6</v>
      </c>
      <c r="D2506">
        <v>35</v>
      </c>
      <c r="E2506" s="2" t="str">
        <f t="shared" si="39"/>
        <v/>
      </c>
    </row>
    <row r="2507" spans="1:5" x14ac:dyDescent="0.25">
      <c r="A2507" s="138">
        <v>921010</v>
      </c>
      <c r="B2507">
        <v>146</v>
      </c>
      <c r="C2507">
        <v>6</v>
      </c>
      <c r="D2507">
        <v>35</v>
      </c>
      <c r="E2507" s="2" t="str">
        <f t="shared" si="39"/>
        <v/>
      </c>
    </row>
    <row r="2508" spans="1:5" x14ac:dyDescent="0.25">
      <c r="A2508" s="138">
        <v>921011</v>
      </c>
      <c r="B2508">
        <v>146</v>
      </c>
      <c r="C2508">
        <v>6</v>
      </c>
      <c r="D2508">
        <v>35</v>
      </c>
      <c r="E2508" s="2" t="str">
        <f t="shared" si="39"/>
        <v/>
      </c>
    </row>
    <row r="2509" spans="1:5" x14ac:dyDescent="0.25">
      <c r="A2509" s="138">
        <v>921012</v>
      </c>
      <c r="B2509">
        <v>146</v>
      </c>
      <c r="C2509">
        <v>6</v>
      </c>
      <c r="D2509">
        <v>35</v>
      </c>
      <c r="E2509" s="2" t="str">
        <f t="shared" si="39"/>
        <v/>
      </c>
    </row>
    <row r="2510" spans="1:5" x14ac:dyDescent="0.25">
      <c r="A2510" s="138">
        <v>921013</v>
      </c>
      <c r="B2510">
        <v>146</v>
      </c>
      <c r="C2510">
        <v>6</v>
      </c>
      <c r="D2510">
        <v>35</v>
      </c>
      <c r="E2510" s="2" t="str">
        <f t="shared" si="39"/>
        <v/>
      </c>
    </row>
    <row r="2511" spans="1:5" x14ac:dyDescent="0.25">
      <c r="A2511" s="138">
        <v>921014</v>
      </c>
      <c r="B2511">
        <v>146</v>
      </c>
      <c r="C2511">
        <v>6</v>
      </c>
      <c r="D2511">
        <v>35</v>
      </c>
      <c r="E2511" s="2" t="str">
        <f t="shared" si="39"/>
        <v/>
      </c>
    </row>
    <row r="2512" spans="1:5" x14ac:dyDescent="0.25">
      <c r="A2512" s="138">
        <v>921015</v>
      </c>
      <c r="B2512">
        <v>146</v>
      </c>
      <c r="C2512">
        <v>6</v>
      </c>
      <c r="D2512">
        <v>35</v>
      </c>
      <c r="E2512" s="2" t="str">
        <f t="shared" si="39"/>
        <v/>
      </c>
    </row>
    <row r="2513" spans="1:5" x14ac:dyDescent="0.25">
      <c r="A2513" s="138">
        <v>921016</v>
      </c>
      <c r="B2513">
        <v>146</v>
      </c>
      <c r="C2513">
        <v>6</v>
      </c>
      <c r="D2513">
        <v>35</v>
      </c>
      <c r="E2513" s="2" t="str">
        <f t="shared" si="39"/>
        <v/>
      </c>
    </row>
    <row r="2514" spans="1:5" x14ac:dyDescent="0.25">
      <c r="A2514" s="138">
        <v>921017</v>
      </c>
      <c r="B2514">
        <v>146</v>
      </c>
      <c r="C2514">
        <v>6</v>
      </c>
      <c r="D2514">
        <v>35</v>
      </c>
      <c r="E2514" s="2" t="str">
        <f t="shared" si="39"/>
        <v/>
      </c>
    </row>
    <row r="2515" spans="1:5" x14ac:dyDescent="0.25">
      <c r="A2515" s="138">
        <v>921018</v>
      </c>
      <c r="B2515">
        <v>146</v>
      </c>
      <c r="C2515">
        <v>6</v>
      </c>
      <c r="D2515">
        <v>35</v>
      </c>
      <c r="E2515" s="2" t="str">
        <f t="shared" si="39"/>
        <v/>
      </c>
    </row>
    <row r="2516" spans="1:5" x14ac:dyDescent="0.25">
      <c r="A2516" s="138">
        <v>921019</v>
      </c>
      <c r="B2516">
        <v>146</v>
      </c>
      <c r="C2516">
        <v>6</v>
      </c>
      <c r="D2516">
        <v>35</v>
      </c>
      <c r="E2516" s="2" t="str">
        <f t="shared" si="39"/>
        <v/>
      </c>
    </row>
    <row r="2517" spans="1:5" x14ac:dyDescent="0.25">
      <c r="A2517" s="138">
        <v>921020</v>
      </c>
      <c r="B2517">
        <v>146</v>
      </c>
      <c r="C2517">
        <v>6</v>
      </c>
      <c r="D2517">
        <v>35</v>
      </c>
      <c r="E2517" s="2" t="str">
        <f t="shared" si="39"/>
        <v/>
      </c>
    </row>
    <row r="2518" spans="1:5" x14ac:dyDescent="0.25">
      <c r="A2518" s="138">
        <v>921021</v>
      </c>
      <c r="B2518">
        <v>146</v>
      </c>
      <c r="C2518">
        <v>6</v>
      </c>
      <c r="D2518">
        <v>35</v>
      </c>
      <c r="E2518" s="2" t="str">
        <f t="shared" si="39"/>
        <v/>
      </c>
    </row>
    <row r="2519" spans="1:5" x14ac:dyDescent="0.25">
      <c r="A2519" s="138">
        <v>921022</v>
      </c>
      <c r="B2519">
        <v>146</v>
      </c>
      <c r="C2519">
        <v>6</v>
      </c>
      <c r="D2519">
        <v>35</v>
      </c>
      <c r="E2519" s="2" t="str">
        <f t="shared" si="39"/>
        <v/>
      </c>
    </row>
    <row r="2520" spans="1:5" x14ac:dyDescent="0.25">
      <c r="A2520" s="138">
        <v>921023</v>
      </c>
      <c r="B2520">
        <v>146</v>
      </c>
      <c r="C2520">
        <v>6</v>
      </c>
      <c r="D2520">
        <v>35</v>
      </c>
      <c r="E2520" s="2" t="str">
        <f t="shared" si="39"/>
        <v/>
      </c>
    </row>
    <row r="2521" spans="1:5" x14ac:dyDescent="0.25">
      <c r="A2521" s="138">
        <v>921099</v>
      </c>
      <c r="B2521">
        <v>146</v>
      </c>
      <c r="C2521">
        <v>6</v>
      </c>
      <c r="D2521">
        <v>35</v>
      </c>
      <c r="E2521" s="2" t="str">
        <f t="shared" si="39"/>
        <v/>
      </c>
    </row>
    <row r="2522" spans="1:5" x14ac:dyDescent="0.25">
      <c r="A2522" s="138">
        <v>922000</v>
      </c>
      <c r="B2522">
        <v>162</v>
      </c>
      <c r="C2522">
        <v>6</v>
      </c>
      <c r="D2522">
        <v>35</v>
      </c>
      <c r="E2522" s="2" t="str">
        <f t="shared" si="39"/>
        <v/>
      </c>
    </row>
    <row r="2523" spans="1:5" x14ac:dyDescent="0.25">
      <c r="A2523" s="138">
        <v>922001</v>
      </c>
      <c r="B2523">
        <v>162</v>
      </c>
      <c r="C2523">
        <v>6</v>
      </c>
      <c r="D2523">
        <v>35</v>
      </c>
      <c r="E2523" s="2" t="str">
        <f t="shared" si="39"/>
        <v/>
      </c>
    </row>
    <row r="2524" spans="1:5" x14ac:dyDescent="0.25">
      <c r="A2524" s="138">
        <v>922002</v>
      </c>
      <c r="B2524">
        <v>162</v>
      </c>
      <c r="C2524">
        <v>6</v>
      </c>
      <c r="D2524">
        <v>35</v>
      </c>
      <c r="E2524" s="2" t="str">
        <f t="shared" si="39"/>
        <v/>
      </c>
    </row>
    <row r="2525" spans="1:5" x14ac:dyDescent="0.25">
      <c r="A2525" s="138">
        <v>922003</v>
      </c>
      <c r="B2525">
        <v>162</v>
      </c>
      <c r="C2525">
        <v>6</v>
      </c>
      <c r="D2525">
        <v>35</v>
      </c>
      <c r="E2525" s="2" t="str">
        <f t="shared" si="39"/>
        <v/>
      </c>
    </row>
    <row r="2526" spans="1:5" x14ac:dyDescent="0.25">
      <c r="A2526" s="138">
        <v>922004</v>
      </c>
      <c r="B2526">
        <v>162</v>
      </c>
      <c r="C2526">
        <v>6</v>
      </c>
      <c r="D2526">
        <v>35</v>
      </c>
      <c r="E2526" s="2" t="str">
        <f t="shared" si="39"/>
        <v/>
      </c>
    </row>
    <row r="2527" spans="1:5" x14ac:dyDescent="0.25">
      <c r="A2527" s="138">
        <v>922005</v>
      </c>
      <c r="B2527">
        <v>162</v>
      </c>
      <c r="C2527">
        <v>6</v>
      </c>
      <c r="D2527">
        <v>35</v>
      </c>
      <c r="E2527" s="2" t="str">
        <f t="shared" si="39"/>
        <v/>
      </c>
    </row>
    <row r="2528" spans="1:5" x14ac:dyDescent="0.25">
      <c r="A2528" s="138">
        <v>922006</v>
      </c>
      <c r="B2528">
        <v>162</v>
      </c>
      <c r="C2528">
        <v>6</v>
      </c>
      <c r="D2528">
        <v>35</v>
      </c>
      <c r="E2528" s="2" t="str">
        <f t="shared" si="39"/>
        <v/>
      </c>
    </row>
    <row r="2529" spans="1:5" x14ac:dyDescent="0.25">
      <c r="A2529" s="138">
        <v>922007</v>
      </c>
      <c r="B2529">
        <v>162</v>
      </c>
      <c r="C2529">
        <v>6</v>
      </c>
      <c r="D2529">
        <v>35</v>
      </c>
      <c r="E2529" s="2" t="str">
        <f t="shared" si="39"/>
        <v/>
      </c>
    </row>
    <row r="2530" spans="1:5" x14ac:dyDescent="0.25">
      <c r="A2530" s="138">
        <v>922008</v>
      </c>
      <c r="B2530">
        <v>162</v>
      </c>
      <c r="C2530">
        <v>6</v>
      </c>
      <c r="D2530">
        <v>35</v>
      </c>
      <c r="E2530" s="2" t="str">
        <f t="shared" si="39"/>
        <v/>
      </c>
    </row>
    <row r="2531" spans="1:5" x14ac:dyDescent="0.25">
      <c r="A2531" s="138">
        <v>922009</v>
      </c>
      <c r="B2531">
        <v>162</v>
      </c>
      <c r="C2531">
        <v>6</v>
      </c>
      <c r="D2531">
        <v>35</v>
      </c>
      <c r="E2531" s="2" t="str">
        <f t="shared" si="39"/>
        <v/>
      </c>
    </row>
    <row r="2532" spans="1:5" x14ac:dyDescent="0.25">
      <c r="A2532" s="138">
        <v>922010</v>
      </c>
      <c r="B2532">
        <v>162</v>
      </c>
      <c r="C2532">
        <v>6</v>
      </c>
      <c r="D2532">
        <v>35</v>
      </c>
      <c r="E2532" s="2" t="str">
        <f t="shared" si="39"/>
        <v/>
      </c>
    </row>
    <row r="2533" spans="1:5" x14ac:dyDescent="0.25">
      <c r="A2533" s="138">
        <v>922011</v>
      </c>
      <c r="B2533">
        <v>162</v>
      </c>
      <c r="C2533">
        <v>6</v>
      </c>
      <c r="D2533">
        <v>35</v>
      </c>
      <c r="E2533" s="2" t="str">
        <f t="shared" si="39"/>
        <v/>
      </c>
    </row>
    <row r="2534" spans="1:5" x14ac:dyDescent="0.25">
      <c r="A2534" s="138">
        <v>922012</v>
      </c>
      <c r="B2534">
        <v>162</v>
      </c>
      <c r="C2534">
        <v>6</v>
      </c>
      <c r="D2534">
        <v>35</v>
      </c>
      <c r="E2534" s="2" t="str">
        <f t="shared" si="39"/>
        <v/>
      </c>
    </row>
    <row r="2535" spans="1:5" x14ac:dyDescent="0.25">
      <c r="A2535" s="138">
        <v>922013</v>
      </c>
      <c r="B2535">
        <v>162</v>
      </c>
      <c r="C2535">
        <v>6</v>
      </c>
      <c r="D2535">
        <v>35</v>
      </c>
      <c r="E2535" s="2" t="str">
        <f t="shared" si="39"/>
        <v/>
      </c>
    </row>
    <row r="2536" spans="1:5" x14ac:dyDescent="0.25">
      <c r="A2536" s="138">
        <v>922014</v>
      </c>
      <c r="B2536">
        <v>162</v>
      </c>
      <c r="C2536">
        <v>6</v>
      </c>
      <c r="D2536">
        <v>35</v>
      </c>
      <c r="E2536" s="2" t="str">
        <f t="shared" si="39"/>
        <v/>
      </c>
    </row>
    <row r="2537" spans="1:5" x14ac:dyDescent="0.25">
      <c r="A2537" s="138">
        <v>922015</v>
      </c>
      <c r="B2537">
        <v>162</v>
      </c>
      <c r="C2537">
        <v>6</v>
      </c>
      <c r="D2537">
        <v>35</v>
      </c>
      <c r="E2537" s="2" t="str">
        <f t="shared" si="39"/>
        <v/>
      </c>
    </row>
    <row r="2538" spans="1:5" x14ac:dyDescent="0.25">
      <c r="A2538" s="138">
        <v>922016</v>
      </c>
      <c r="B2538">
        <v>162</v>
      </c>
      <c r="C2538">
        <v>6</v>
      </c>
      <c r="D2538">
        <v>35</v>
      </c>
      <c r="E2538" s="2" t="str">
        <f t="shared" si="39"/>
        <v/>
      </c>
    </row>
    <row r="2539" spans="1:5" x14ac:dyDescent="0.25">
      <c r="A2539" s="138">
        <v>922017</v>
      </c>
      <c r="B2539">
        <v>162</v>
      </c>
      <c r="C2539">
        <v>6</v>
      </c>
      <c r="D2539">
        <v>35</v>
      </c>
      <c r="E2539" s="2" t="str">
        <f t="shared" si="39"/>
        <v/>
      </c>
    </row>
    <row r="2540" spans="1:5" x14ac:dyDescent="0.25">
      <c r="A2540" s="138">
        <v>922018</v>
      </c>
      <c r="B2540">
        <v>162</v>
      </c>
      <c r="C2540">
        <v>6</v>
      </c>
      <c r="D2540">
        <v>35</v>
      </c>
      <c r="E2540" s="2" t="str">
        <f t="shared" si="39"/>
        <v/>
      </c>
    </row>
    <row r="2541" spans="1:5" x14ac:dyDescent="0.25">
      <c r="A2541" s="138">
        <v>922019</v>
      </c>
      <c r="B2541">
        <v>162</v>
      </c>
      <c r="C2541">
        <v>6</v>
      </c>
      <c r="D2541">
        <v>35</v>
      </c>
      <c r="E2541" s="2" t="str">
        <f t="shared" si="39"/>
        <v/>
      </c>
    </row>
    <row r="2542" spans="1:5" x14ac:dyDescent="0.25">
      <c r="A2542" s="138">
        <v>922020</v>
      </c>
      <c r="B2542">
        <v>162</v>
      </c>
      <c r="C2542">
        <v>6</v>
      </c>
      <c r="D2542">
        <v>35</v>
      </c>
      <c r="E2542" s="2" t="str">
        <f t="shared" si="39"/>
        <v/>
      </c>
    </row>
    <row r="2543" spans="1:5" x14ac:dyDescent="0.25">
      <c r="A2543" s="138">
        <v>922021</v>
      </c>
      <c r="B2543">
        <v>162</v>
      </c>
      <c r="C2543">
        <v>6</v>
      </c>
      <c r="D2543">
        <v>35</v>
      </c>
      <c r="E2543" s="2" t="str">
        <f t="shared" si="39"/>
        <v/>
      </c>
    </row>
    <row r="2544" spans="1:5" x14ac:dyDescent="0.25">
      <c r="A2544" s="138">
        <v>922022</v>
      </c>
      <c r="B2544">
        <v>162</v>
      </c>
      <c r="C2544">
        <v>6</v>
      </c>
      <c r="D2544">
        <v>35</v>
      </c>
      <c r="E2544" s="2" t="str">
        <f t="shared" si="39"/>
        <v/>
      </c>
    </row>
    <row r="2545" spans="1:5" x14ac:dyDescent="0.25">
      <c r="A2545" s="138">
        <v>922023</v>
      </c>
      <c r="B2545">
        <v>162</v>
      </c>
      <c r="C2545">
        <v>6</v>
      </c>
      <c r="D2545">
        <v>35</v>
      </c>
      <c r="E2545" s="2" t="str">
        <f t="shared" si="39"/>
        <v/>
      </c>
    </row>
    <row r="2546" spans="1:5" x14ac:dyDescent="0.25">
      <c r="A2546" s="138">
        <v>922024</v>
      </c>
      <c r="B2546">
        <v>162</v>
      </c>
      <c r="C2546">
        <v>6</v>
      </c>
      <c r="D2546">
        <v>35</v>
      </c>
      <c r="E2546" s="2" t="str">
        <f t="shared" si="39"/>
        <v/>
      </c>
    </row>
    <row r="2547" spans="1:5" x14ac:dyDescent="0.25">
      <c r="A2547" s="138">
        <v>922025</v>
      </c>
      <c r="B2547">
        <v>162</v>
      </c>
      <c r="C2547">
        <v>6</v>
      </c>
      <c r="D2547">
        <v>35</v>
      </c>
      <c r="E2547" s="2" t="str">
        <f t="shared" si="39"/>
        <v/>
      </c>
    </row>
    <row r="2548" spans="1:5" x14ac:dyDescent="0.25">
      <c r="A2548" s="138">
        <v>922026</v>
      </c>
      <c r="B2548">
        <v>162</v>
      </c>
      <c r="C2548">
        <v>6</v>
      </c>
      <c r="D2548">
        <v>35</v>
      </c>
      <c r="E2548" s="2" t="str">
        <f t="shared" si="39"/>
        <v/>
      </c>
    </row>
    <row r="2549" spans="1:5" x14ac:dyDescent="0.25">
      <c r="A2549" s="138">
        <v>922027</v>
      </c>
      <c r="B2549">
        <v>162</v>
      </c>
      <c r="C2549">
        <v>6</v>
      </c>
      <c r="D2549">
        <v>35</v>
      </c>
      <c r="E2549" s="2" t="str">
        <f t="shared" si="39"/>
        <v/>
      </c>
    </row>
    <row r="2550" spans="1:5" x14ac:dyDescent="0.25">
      <c r="A2550" s="138">
        <v>922028</v>
      </c>
      <c r="B2550">
        <v>162</v>
      </c>
      <c r="C2550">
        <v>6</v>
      </c>
      <c r="D2550">
        <v>35</v>
      </c>
      <c r="E2550" s="2" t="str">
        <f t="shared" si="39"/>
        <v/>
      </c>
    </row>
    <row r="2551" spans="1:5" x14ac:dyDescent="0.25">
      <c r="A2551" s="138">
        <v>922029</v>
      </c>
      <c r="B2551">
        <v>162</v>
      </c>
      <c r="C2551">
        <v>6</v>
      </c>
      <c r="D2551">
        <v>35</v>
      </c>
      <c r="E2551" s="2" t="str">
        <f t="shared" si="39"/>
        <v/>
      </c>
    </row>
    <row r="2552" spans="1:5" x14ac:dyDescent="0.25">
      <c r="A2552" s="138">
        <v>922030</v>
      </c>
      <c r="B2552">
        <v>162</v>
      </c>
      <c r="C2552">
        <v>6</v>
      </c>
      <c r="D2552">
        <v>35</v>
      </c>
      <c r="E2552" s="2" t="str">
        <f t="shared" si="39"/>
        <v/>
      </c>
    </row>
    <row r="2553" spans="1:5" x14ac:dyDescent="0.25">
      <c r="A2553" s="138">
        <v>922031</v>
      </c>
      <c r="B2553">
        <v>162</v>
      </c>
      <c r="C2553">
        <v>6</v>
      </c>
      <c r="D2553">
        <v>35</v>
      </c>
      <c r="E2553" s="2" t="str">
        <f t="shared" si="39"/>
        <v/>
      </c>
    </row>
    <row r="2554" spans="1:5" x14ac:dyDescent="0.25">
      <c r="A2554" s="138">
        <v>922099</v>
      </c>
      <c r="B2554">
        <v>162</v>
      </c>
      <c r="C2554">
        <v>6</v>
      </c>
      <c r="D2554">
        <v>35</v>
      </c>
      <c r="E2554" s="2" t="str">
        <f t="shared" si="39"/>
        <v/>
      </c>
    </row>
    <row r="2555" spans="1:5" x14ac:dyDescent="0.25">
      <c r="A2555" s="138">
        <v>923000</v>
      </c>
      <c r="B2555">
        <v>224</v>
      </c>
      <c r="C2555">
        <v>16</v>
      </c>
      <c r="D2555">
        <v>36</v>
      </c>
      <c r="E2555" s="2" t="str">
        <f t="shared" si="39"/>
        <v/>
      </c>
    </row>
    <row r="2556" spans="1:5" x14ac:dyDescent="0.25">
      <c r="A2556" s="138">
        <v>923001</v>
      </c>
      <c r="B2556">
        <v>224</v>
      </c>
      <c r="C2556">
        <v>16</v>
      </c>
      <c r="D2556">
        <v>36</v>
      </c>
      <c r="E2556" s="2" t="str">
        <f t="shared" si="39"/>
        <v/>
      </c>
    </row>
    <row r="2557" spans="1:5" x14ac:dyDescent="0.25">
      <c r="A2557" s="138">
        <v>923002</v>
      </c>
      <c r="B2557">
        <v>224</v>
      </c>
      <c r="C2557">
        <v>16</v>
      </c>
      <c r="D2557">
        <v>36</v>
      </c>
      <c r="E2557" s="2" t="str">
        <f t="shared" si="39"/>
        <v/>
      </c>
    </row>
    <row r="2558" spans="1:5" x14ac:dyDescent="0.25">
      <c r="A2558" s="138">
        <v>923003</v>
      </c>
      <c r="B2558">
        <v>224</v>
      </c>
      <c r="C2558">
        <v>16</v>
      </c>
      <c r="D2558">
        <v>36</v>
      </c>
      <c r="E2558" s="2" t="str">
        <f t="shared" si="39"/>
        <v/>
      </c>
    </row>
    <row r="2559" spans="1:5" x14ac:dyDescent="0.25">
      <c r="A2559" s="138">
        <v>923004</v>
      </c>
      <c r="B2559">
        <v>224</v>
      </c>
      <c r="C2559">
        <v>16</v>
      </c>
      <c r="D2559">
        <v>36</v>
      </c>
      <c r="E2559" s="2" t="str">
        <f t="shared" si="39"/>
        <v/>
      </c>
    </row>
    <row r="2560" spans="1:5" x14ac:dyDescent="0.25">
      <c r="A2560" s="138">
        <v>923005</v>
      </c>
      <c r="B2560">
        <v>224</v>
      </c>
      <c r="C2560">
        <v>16</v>
      </c>
      <c r="D2560">
        <v>36</v>
      </c>
      <c r="E2560" s="2" t="str">
        <f t="shared" si="39"/>
        <v/>
      </c>
    </row>
    <row r="2561" spans="1:5" x14ac:dyDescent="0.25">
      <c r="A2561" s="138">
        <v>923006</v>
      </c>
      <c r="B2561">
        <v>224</v>
      </c>
      <c r="C2561">
        <v>16</v>
      </c>
      <c r="D2561">
        <v>36</v>
      </c>
      <c r="E2561" s="2" t="str">
        <f t="shared" si="39"/>
        <v/>
      </c>
    </row>
    <row r="2562" spans="1:5" x14ac:dyDescent="0.25">
      <c r="A2562" s="138">
        <v>923007</v>
      </c>
      <c r="B2562">
        <v>224</v>
      </c>
      <c r="C2562">
        <v>16</v>
      </c>
      <c r="D2562">
        <v>36</v>
      </c>
      <c r="E2562" s="2" t="str">
        <f t="shared" si="39"/>
        <v/>
      </c>
    </row>
    <row r="2563" spans="1:5" x14ac:dyDescent="0.25">
      <c r="A2563" s="138">
        <v>923008</v>
      </c>
      <c r="B2563">
        <v>224</v>
      </c>
      <c r="C2563">
        <v>16</v>
      </c>
      <c r="D2563">
        <v>36</v>
      </c>
      <c r="E2563" s="2" t="str">
        <f t="shared" ref="E2563:E2626" si="40">IF(B2563=B2562,IF(C2562=C2563,"",1),"")</f>
        <v/>
      </c>
    </row>
    <row r="2564" spans="1:5" x14ac:dyDescent="0.25">
      <c r="A2564" s="138">
        <v>923009</v>
      </c>
      <c r="B2564">
        <v>224</v>
      </c>
      <c r="C2564">
        <v>16</v>
      </c>
      <c r="D2564">
        <v>36</v>
      </c>
      <c r="E2564" s="2" t="str">
        <f t="shared" si="40"/>
        <v/>
      </c>
    </row>
    <row r="2565" spans="1:5" x14ac:dyDescent="0.25">
      <c r="A2565" s="138">
        <v>923010</v>
      </c>
      <c r="B2565">
        <v>224</v>
      </c>
      <c r="C2565">
        <v>16</v>
      </c>
      <c r="D2565">
        <v>36</v>
      </c>
      <c r="E2565" s="2" t="str">
        <f t="shared" si="40"/>
        <v/>
      </c>
    </row>
    <row r="2566" spans="1:5" x14ac:dyDescent="0.25">
      <c r="A2566" s="138">
        <v>923011</v>
      </c>
      <c r="B2566">
        <v>224</v>
      </c>
      <c r="C2566">
        <v>16</v>
      </c>
      <c r="D2566">
        <v>36</v>
      </c>
      <c r="E2566" s="2" t="str">
        <f t="shared" si="40"/>
        <v/>
      </c>
    </row>
    <row r="2567" spans="1:5" x14ac:dyDescent="0.25">
      <c r="A2567" s="138">
        <v>923012</v>
      </c>
      <c r="B2567">
        <v>224</v>
      </c>
      <c r="C2567">
        <v>16</v>
      </c>
      <c r="D2567">
        <v>36</v>
      </c>
      <c r="E2567" s="2" t="str">
        <f t="shared" si="40"/>
        <v/>
      </c>
    </row>
    <row r="2568" spans="1:5" x14ac:dyDescent="0.25">
      <c r="A2568" s="138">
        <v>923099</v>
      </c>
      <c r="B2568">
        <v>224</v>
      </c>
      <c r="C2568">
        <v>16</v>
      </c>
      <c r="D2568">
        <v>36</v>
      </c>
      <c r="E2568" s="2" t="str">
        <f t="shared" si="40"/>
        <v/>
      </c>
    </row>
    <row r="2569" spans="1:5" x14ac:dyDescent="0.25">
      <c r="A2569" s="138">
        <v>931000</v>
      </c>
      <c r="B2569">
        <v>146</v>
      </c>
      <c r="C2569">
        <v>16</v>
      </c>
      <c r="D2569">
        <v>21</v>
      </c>
      <c r="E2569" s="2" t="str">
        <f t="shared" si="40"/>
        <v/>
      </c>
    </row>
    <row r="2570" spans="1:5" x14ac:dyDescent="0.25">
      <c r="A2570" s="138">
        <v>931001</v>
      </c>
      <c r="B2570">
        <v>146</v>
      </c>
      <c r="C2570">
        <v>16</v>
      </c>
      <c r="D2570">
        <v>21</v>
      </c>
      <c r="E2570" s="2" t="str">
        <f t="shared" si="40"/>
        <v/>
      </c>
    </row>
    <row r="2571" spans="1:5" x14ac:dyDescent="0.25">
      <c r="A2571" s="138">
        <v>931002</v>
      </c>
      <c r="B2571">
        <v>146</v>
      </c>
      <c r="C2571">
        <v>16</v>
      </c>
      <c r="D2571">
        <v>21</v>
      </c>
      <c r="E2571" s="2" t="str">
        <f t="shared" si="40"/>
        <v/>
      </c>
    </row>
    <row r="2572" spans="1:5" x14ac:dyDescent="0.25">
      <c r="A2572" s="138">
        <v>931003</v>
      </c>
      <c r="B2572">
        <v>146</v>
      </c>
      <c r="C2572">
        <v>16</v>
      </c>
      <c r="D2572">
        <v>21</v>
      </c>
      <c r="E2572" s="2" t="str">
        <f t="shared" si="40"/>
        <v/>
      </c>
    </row>
    <row r="2573" spans="1:5" x14ac:dyDescent="0.25">
      <c r="A2573" s="138">
        <v>931004</v>
      </c>
      <c r="B2573">
        <v>146</v>
      </c>
      <c r="C2573">
        <v>16</v>
      </c>
      <c r="D2573">
        <v>21</v>
      </c>
      <c r="E2573" s="2" t="str">
        <f t="shared" si="40"/>
        <v/>
      </c>
    </row>
    <row r="2574" spans="1:5" x14ac:dyDescent="0.25">
      <c r="A2574" s="138">
        <v>931005</v>
      </c>
      <c r="B2574">
        <v>146</v>
      </c>
      <c r="C2574">
        <v>16</v>
      </c>
      <c r="D2574">
        <v>21</v>
      </c>
      <c r="E2574" s="2" t="str">
        <f t="shared" si="40"/>
        <v/>
      </c>
    </row>
    <row r="2575" spans="1:5" x14ac:dyDescent="0.25">
      <c r="A2575" s="138">
        <v>931006</v>
      </c>
      <c r="B2575">
        <v>146</v>
      </c>
      <c r="C2575">
        <v>16</v>
      </c>
      <c r="D2575">
        <v>21</v>
      </c>
      <c r="E2575" s="2" t="str">
        <f t="shared" si="40"/>
        <v/>
      </c>
    </row>
    <row r="2576" spans="1:5" x14ac:dyDescent="0.25">
      <c r="A2576" s="138">
        <v>931007</v>
      </c>
      <c r="B2576">
        <v>146</v>
      </c>
      <c r="C2576">
        <v>16</v>
      </c>
      <c r="D2576">
        <v>21</v>
      </c>
      <c r="E2576" s="2" t="str">
        <f t="shared" si="40"/>
        <v/>
      </c>
    </row>
    <row r="2577" spans="1:5" x14ac:dyDescent="0.25">
      <c r="A2577" s="138">
        <v>931008</v>
      </c>
      <c r="B2577">
        <v>146</v>
      </c>
      <c r="C2577">
        <v>16</v>
      </c>
      <c r="D2577">
        <v>21</v>
      </c>
      <c r="E2577" s="2" t="str">
        <f t="shared" si="40"/>
        <v/>
      </c>
    </row>
    <row r="2578" spans="1:5" x14ac:dyDescent="0.25">
      <c r="A2578" s="138">
        <v>931009</v>
      </c>
      <c r="B2578">
        <v>146</v>
      </c>
      <c r="C2578">
        <v>16</v>
      </c>
      <c r="D2578">
        <v>21</v>
      </c>
      <c r="E2578" s="2" t="str">
        <f t="shared" si="40"/>
        <v/>
      </c>
    </row>
    <row r="2579" spans="1:5" x14ac:dyDescent="0.25">
      <c r="A2579" s="138">
        <v>931010</v>
      </c>
      <c r="B2579">
        <v>146</v>
      </c>
      <c r="C2579">
        <v>16</v>
      </c>
      <c r="D2579">
        <v>21</v>
      </c>
      <c r="E2579" s="2" t="str">
        <f t="shared" si="40"/>
        <v/>
      </c>
    </row>
    <row r="2580" spans="1:5" x14ac:dyDescent="0.25">
      <c r="A2580" s="138">
        <v>931011</v>
      </c>
      <c r="B2580">
        <v>146</v>
      </c>
      <c r="C2580">
        <v>16</v>
      </c>
      <c r="D2580">
        <v>21</v>
      </c>
      <c r="E2580" s="2" t="str">
        <f t="shared" si="40"/>
        <v/>
      </c>
    </row>
    <row r="2581" spans="1:5" x14ac:dyDescent="0.25">
      <c r="A2581" s="138">
        <v>931012</v>
      </c>
      <c r="B2581">
        <v>146</v>
      </c>
      <c r="C2581">
        <v>16</v>
      </c>
      <c r="D2581">
        <v>21</v>
      </c>
      <c r="E2581" s="2" t="str">
        <f t="shared" si="40"/>
        <v/>
      </c>
    </row>
    <row r="2582" spans="1:5" x14ac:dyDescent="0.25">
      <c r="A2582" s="138">
        <v>931013</v>
      </c>
      <c r="B2582">
        <v>146</v>
      </c>
      <c r="C2582">
        <v>16</v>
      </c>
      <c r="D2582">
        <v>21</v>
      </c>
      <c r="E2582" s="2" t="str">
        <f t="shared" si="40"/>
        <v/>
      </c>
    </row>
    <row r="2583" spans="1:5" x14ac:dyDescent="0.25">
      <c r="A2583" s="138">
        <v>931014</v>
      </c>
      <c r="B2583">
        <v>146</v>
      </c>
      <c r="C2583">
        <v>16</v>
      </c>
      <c r="D2583">
        <v>21</v>
      </c>
      <c r="E2583" s="2" t="str">
        <f t="shared" si="40"/>
        <v/>
      </c>
    </row>
    <row r="2584" spans="1:5" x14ac:dyDescent="0.25">
      <c r="A2584" s="138">
        <v>931015</v>
      </c>
      <c r="B2584">
        <v>146</v>
      </c>
      <c r="C2584">
        <v>16</v>
      </c>
      <c r="D2584">
        <v>21</v>
      </c>
      <c r="E2584" s="2" t="str">
        <f t="shared" si="40"/>
        <v/>
      </c>
    </row>
    <row r="2585" spans="1:5" x14ac:dyDescent="0.25">
      <c r="A2585" s="138">
        <v>931016</v>
      </c>
      <c r="B2585">
        <v>146</v>
      </c>
      <c r="C2585">
        <v>16</v>
      </c>
      <c r="D2585">
        <v>21</v>
      </c>
      <c r="E2585" s="2" t="str">
        <f t="shared" si="40"/>
        <v/>
      </c>
    </row>
    <row r="2586" spans="1:5" x14ac:dyDescent="0.25">
      <c r="A2586" s="138">
        <v>931017</v>
      </c>
      <c r="B2586">
        <v>146</v>
      </c>
      <c r="C2586">
        <v>16</v>
      </c>
      <c r="D2586">
        <v>21</v>
      </c>
      <c r="E2586" s="2" t="str">
        <f t="shared" si="40"/>
        <v/>
      </c>
    </row>
    <row r="2587" spans="1:5" x14ac:dyDescent="0.25">
      <c r="A2587" s="138">
        <v>931018</v>
      </c>
      <c r="B2587">
        <v>146</v>
      </c>
      <c r="C2587">
        <v>16</v>
      </c>
      <c r="D2587">
        <v>21</v>
      </c>
      <c r="E2587" s="2" t="str">
        <f t="shared" si="40"/>
        <v/>
      </c>
    </row>
    <row r="2588" spans="1:5" x14ac:dyDescent="0.25">
      <c r="A2588" s="138">
        <v>931019</v>
      </c>
      <c r="B2588">
        <v>146</v>
      </c>
      <c r="C2588">
        <v>16</v>
      </c>
      <c r="D2588">
        <v>21</v>
      </c>
      <c r="E2588" s="2" t="str">
        <f t="shared" si="40"/>
        <v/>
      </c>
    </row>
    <row r="2589" spans="1:5" x14ac:dyDescent="0.25">
      <c r="A2589" s="138">
        <v>931020</v>
      </c>
      <c r="B2589">
        <v>146</v>
      </c>
      <c r="C2589">
        <v>16</v>
      </c>
      <c r="D2589">
        <v>21</v>
      </c>
      <c r="E2589" s="2" t="str">
        <f t="shared" si="40"/>
        <v/>
      </c>
    </row>
    <row r="2590" spans="1:5" x14ac:dyDescent="0.25">
      <c r="A2590" s="138">
        <v>931021</v>
      </c>
      <c r="B2590">
        <v>146</v>
      </c>
      <c r="C2590">
        <v>16</v>
      </c>
      <c r="D2590">
        <v>21</v>
      </c>
      <c r="E2590" s="2" t="str">
        <f t="shared" si="40"/>
        <v/>
      </c>
    </row>
    <row r="2591" spans="1:5" x14ac:dyDescent="0.25">
      <c r="A2591" s="138">
        <v>931022</v>
      </c>
      <c r="B2591">
        <v>146</v>
      </c>
      <c r="C2591">
        <v>16</v>
      </c>
      <c r="D2591">
        <v>21</v>
      </c>
      <c r="E2591" s="2" t="str">
        <f t="shared" si="40"/>
        <v/>
      </c>
    </row>
    <row r="2592" spans="1:5" x14ac:dyDescent="0.25">
      <c r="A2592" s="138">
        <v>931023</v>
      </c>
      <c r="B2592">
        <v>146</v>
      </c>
      <c r="C2592">
        <v>16</v>
      </c>
      <c r="D2592">
        <v>21</v>
      </c>
      <c r="E2592" s="2" t="str">
        <f t="shared" si="40"/>
        <v/>
      </c>
    </row>
    <row r="2593" spans="1:5" x14ac:dyDescent="0.25">
      <c r="A2593" s="138">
        <v>931024</v>
      </c>
      <c r="B2593">
        <v>146</v>
      </c>
      <c r="C2593">
        <v>16</v>
      </c>
      <c r="D2593">
        <v>21</v>
      </c>
      <c r="E2593" s="2" t="str">
        <f t="shared" si="40"/>
        <v/>
      </c>
    </row>
    <row r="2594" spans="1:5" x14ac:dyDescent="0.25">
      <c r="A2594" s="138">
        <v>931025</v>
      </c>
      <c r="B2594">
        <v>146</v>
      </c>
      <c r="C2594">
        <v>16</v>
      </c>
      <c r="D2594">
        <v>21</v>
      </c>
      <c r="E2594" s="2" t="str">
        <f t="shared" si="40"/>
        <v/>
      </c>
    </row>
    <row r="2595" spans="1:5" x14ac:dyDescent="0.25">
      <c r="A2595" s="138">
        <v>931026</v>
      </c>
      <c r="B2595">
        <v>146</v>
      </c>
      <c r="C2595">
        <v>16</v>
      </c>
      <c r="D2595">
        <v>21</v>
      </c>
      <c r="E2595" s="2" t="str">
        <f t="shared" si="40"/>
        <v/>
      </c>
    </row>
    <row r="2596" spans="1:5" x14ac:dyDescent="0.25">
      <c r="A2596" s="138">
        <v>931027</v>
      </c>
      <c r="B2596">
        <v>146</v>
      </c>
      <c r="C2596">
        <v>16</v>
      </c>
      <c r="D2596">
        <v>21</v>
      </c>
      <c r="E2596" s="2" t="str">
        <f t="shared" si="40"/>
        <v/>
      </c>
    </row>
    <row r="2597" spans="1:5" x14ac:dyDescent="0.25">
      <c r="A2597" s="138">
        <v>931028</v>
      </c>
      <c r="B2597">
        <v>146</v>
      </c>
      <c r="C2597">
        <v>16</v>
      </c>
      <c r="D2597">
        <v>21</v>
      </c>
      <c r="E2597" s="2" t="str">
        <f t="shared" si="40"/>
        <v/>
      </c>
    </row>
    <row r="2598" spans="1:5" x14ac:dyDescent="0.25">
      <c r="A2598" s="138">
        <v>931029</v>
      </c>
      <c r="B2598">
        <v>146</v>
      </c>
      <c r="C2598">
        <v>16</v>
      </c>
      <c r="D2598">
        <v>21</v>
      </c>
      <c r="E2598" s="2" t="str">
        <f t="shared" si="40"/>
        <v/>
      </c>
    </row>
    <row r="2599" spans="1:5" x14ac:dyDescent="0.25">
      <c r="A2599" s="138">
        <v>931030</v>
      </c>
      <c r="B2599">
        <v>146</v>
      </c>
      <c r="C2599">
        <v>16</v>
      </c>
      <c r="D2599">
        <v>21</v>
      </c>
      <c r="E2599" s="2" t="str">
        <f t="shared" si="40"/>
        <v/>
      </c>
    </row>
    <row r="2600" spans="1:5" x14ac:dyDescent="0.25">
      <c r="A2600" s="138">
        <v>931031</v>
      </c>
      <c r="B2600">
        <v>146</v>
      </c>
      <c r="C2600">
        <v>16</v>
      </c>
      <c r="D2600">
        <v>21</v>
      </c>
      <c r="E2600" s="2" t="str">
        <f t="shared" si="40"/>
        <v/>
      </c>
    </row>
    <row r="2601" spans="1:5" x14ac:dyDescent="0.25">
      <c r="A2601" s="138">
        <v>931032</v>
      </c>
      <c r="B2601">
        <v>146</v>
      </c>
      <c r="C2601">
        <v>16</v>
      </c>
      <c r="D2601">
        <v>21</v>
      </c>
      <c r="E2601" s="2" t="str">
        <f t="shared" si="40"/>
        <v/>
      </c>
    </row>
    <row r="2602" spans="1:5" x14ac:dyDescent="0.25">
      <c r="A2602" s="138">
        <v>931033</v>
      </c>
      <c r="B2602">
        <v>146</v>
      </c>
      <c r="C2602">
        <v>16</v>
      </c>
      <c r="D2602">
        <v>21</v>
      </c>
      <c r="E2602" s="2" t="str">
        <f t="shared" si="40"/>
        <v/>
      </c>
    </row>
    <row r="2603" spans="1:5" x14ac:dyDescent="0.25">
      <c r="A2603" s="138">
        <v>931034</v>
      </c>
      <c r="B2603">
        <v>146</v>
      </c>
      <c r="C2603">
        <v>16</v>
      </c>
      <c r="D2603">
        <v>21</v>
      </c>
      <c r="E2603" s="2" t="str">
        <f t="shared" si="40"/>
        <v/>
      </c>
    </row>
    <row r="2604" spans="1:5" x14ac:dyDescent="0.25">
      <c r="A2604" s="138">
        <v>931035</v>
      </c>
      <c r="B2604">
        <v>146</v>
      </c>
      <c r="C2604">
        <v>16</v>
      </c>
      <c r="D2604">
        <v>21</v>
      </c>
      <c r="E2604" s="2" t="str">
        <f t="shared" si="40"/>
        <v/>
      </c>
    </row>
    <row r="2605" spans="1:5" x14ac:dyDescent="0.25">
      <c r="A2605" s="138">
        <v>931036</v>
      </c>
      <c r="B2605">
        <v>146</v>
      </c>
      <c r="C2605">
        <v>16</v>
      </c>
      <c r="D2605">
        <v>21</v>
      </c>
      <c r="E2605" s="2" t="str">
        <f t="shared" si="40"/>
        <v/>
      </c>
    </row>
    <row r="2606" spans="1:5" x14ac:dyDescent="0.25">
      <c r="A2606" s="138">
        <v>931037</v>
      </c>
      <c r="B2606">
        <v>146</v>
      </c>
      <c r="C2606">
        <v>16</v>
      </c>
      <c r="D2606">
        <v>21</v>
      </c>
      <c r="E2606" s="2" t="str">
        <f t="shared" si="40"/>
        <v/>
      </c>
    </row>
    <row r="2607" spans="1:5" x14ac:dyDescent="0.25">
      <c r="A2607" s="138">
        <v>931038</v>
      </c>
      <c r="B2607">
        <v>146</v>
      </c>
      <c r="C2607">
        <v>16</v>
      </c>
      <c r="D2607">
        <v>21</v>
      </c>
      <c r="E2607" s="2" t="str">
        <f t="shared" si="40"/>
        <v/>
      </c>
    </row>
    <row r="2608" spans="1:5" x14ac:dyDescent="0.25">
      <c r="A2608" s="138">
        <v>931039</v>
      </c>
      <c r="B2608">
        <v>146</v>
      </c>
      <c r="C2608">
        <v>16</v>
      </c>
      <c r="D2608">
        <v>21</v>
      </c>
      <c r="E2608" s="2" t="str">
        <f t="shared" si="40"/>
        <v/>
      </c>
    </row>
    <row r="2609" spans="1:5" x14ac:dyDescent="0.25">
      <c r="A2609" s="138">
        <v>931040</v>
      </c>
      <c r="B2609">
        <v>146</v>
      </c>
      <c r="C2609">
        <v>16</v>
      </c>
      <c r="D2609">
        <v>21</v>
      </c>
      <c r="E2609" s="2" t="str">
        <f t="shared" si="40"/>
        <v/>
      </c>
    </row>
    <row r="2610" spans="1:5" x14ac:dyDescent="0.25">
      <c r="A2610" s="138">
        <v>931041</v>
      </c>
      <c r="B2610">
        <v>146</v>
      </c>
      <c r="C2610">
        <v>16</v>
      </c>
      <c r="D2610">
        <v>21</v>
      </c>
      <c r="E2610" s="2" t="str">
        <f t="shared" si="40"/>
        <v/>
      </c>
    </row>
    <row r="2611" spans="1:5" x14ac:dyDescent="0.25">
      <c r="A2611" s="138">
        <v>931042</v>
      </c>
      <c r="B2611">
        <v>146</v>
      </c>
      <c r="C2611">
        <v>16</v>
      </c>
      <c r="D2611">
        <v>21</v>
      </c>
      <c r="E2611" s="2" t="str">
        <f t="shared" si="40"/>
        <v/>
      </c>
    </row>
    <row r="2612" spans="1:5" x14ac:dyDescent="0.25">
      <c r="A2612" s="138">
        <v>931043</v>
      </c>
      <c r="B2612">
        <v>146</v>
      </c>
      <c r="C2612">
        <v>16</v>
      </c>
      <c r="D2612">
        <v>21</v>
      </c>
      <c r="E2612" s="2" t="str">
        <f t="shared" si="40"/>
        <v/>
      </c>
    </row>
    <row r="2613" spans="1:5" x14ac:dyDescent="0.25">
      <c r="A2613" s="138">
        <v>931044</v>
      </c>
      <c r="B2613">
        <v>146</v>
      </c>
      <c r="C2613">
        <v>16</v>
      </c>
      <c r="D2613">
        <v>21</v>
      </c>
      <c r="E2613" s="2" t="str">
        <f t="shared" si="40"/>
        <v/>
      </c>
    </row>
    <row r="2614" spans="1:5" x14ac:dyDescent="0.25">
      <c r="A2614" s="138">
        <v>931045</v>
      </c>
      <c r="B2614">
        <v>146</v>
      </c>
      <c r="C2614">
        <v>16</v>
      </c>
      <c r="D2614">
        <v>21</v>
      </c>
      <c r="E2614" s="2" t="str">
        <f t="shared" si="40"/>
        <v/>
      </c>
    </row>
    <row r="2615" spans="1:5" x14ac:dyDescent="0.25">
      <c r="A2615" s="138">
        <v>931046</v>
      </c>
      <c r="B2615">
        <v>146</v>
      </c>
      <c r="C2615">
        <v>16</v>
      </c>
      <c r="D2615">
        <v>21</v>
      </c>
      <c r="E2615" s="2" t="str">
        <f t="shared" si="40"/>
        <v/>
      </c>
    </row>
    <row r="2616" spans="1:5" x14ac:dyDescent="0.25">
      <c r="A2616" s="138">
        <v>931047</v>
      </c>
      <c r="B2616">
        <v>146</v>
      </c>
      <c r="C2616">
        <v>16</v>
      </c>
      <c r="D2616">
        <v>21</v>
      </c>
      <c r="E2616" s="2" t="str">
        <f t="shared" si="40"/>
        <v/>
      </c>
    </row>
    <row r="2617" spans="1:5" x14ac:dyDescent="0.25">
      <c r="A2617" s="138">
        <v>931048</v>
      </c>
      <c r="B2617">
        <v>146</v>
      </c>
      <c r="C2617">
        <v>16</v>
      </c>
      <c r="D2617">
        <v>21</v>
      </c>
      <c r="E2617" s="2" t="str">
        <f t="shared" si="40"/>
        <v/>
      </c>
    </row>
    <row r="2618" spans="1:5" x14ac:dyDescent="0.25">
      <c r="A2618" s="138">
        <v>931049</v>
      </c>
      <c r="B2618">
        <v>146</v>
      </c>
      <c r="C2618">
        <v>16</v>
      </c>
      <c r="D2618">
        <v>21</v>
      </c>
      <c r="E2618" s="2" t="str">
        <f t="shared" si="40"/>
        <v/>
      </c>
    </row>
    <row r="2619" spans="1:5" x14ac:dyDescent="0.25">
      <c r="A2619" s="138">
        <v>931050</v>
      </c>
      <c r="B2619">
        <v>146</v>
      </c>
      <c r="C2619">
        <v>16</v>
      </c>
      <c r="D2619">
        <v>21</v>
      </c>
      <c r="E2619" s="2" t="str">
        <f t="shared" si="40"/>
        <v/>
      </c>
    </row>
    <row r="2620" spans="1:5" x14ac:dyDescent="0.25">
      <c r="A2620" s="138">
        <v>931098</v>
      </c>
      <c r="B2620">
        <v>146</v>
      </c>
      <c r="C2620">
        <v>16</v>
      </c>
      <c r="D2620">
        <v>21</v>
      </c>
      <c r="E2620" s="2" t="str">
        <f t="shared" si="40"/>
        <v/>
      </c>
    </row>
    <row r="2621" spans="1:5" x14ac:dyDescent="0.25">
      <c r="A2621" s="138">
        <v>931099</v>
      </c>
      <c r="B2621">
        <v>146</v>
      </c>
      <c r="C2621">
        <v>16</v>
      </c>
      <c r="D2621">
        <v>21</v>
      </c>
      <c r="E2621" s="2" t="str">
        <f t="shared" si="40"/>
        <v/>
      </c>
    </row>
    <row r="2622" spans="1:5" x14ac:dyDescent="0.25">
      <c r="A2622" s="138">
        <v>932000</v>
      </c>
      <c r="B2622">
        <v>146</v>
      </c>
      <c r="C2622">
        <v>16</v>
      </c>
      <c r="D2622">
        <v>21</v>
      </c>
      <c r="E2622" s="2" t="str">
        <f t="shared" si="40"/>
        <v/>
      </c>
    </row>
    <row r="2623" spans="1:5" x14ac:dyDescent="0.25">
      <c r="A2623" s="138">
        <v>932001</v>
      </c>
      <c r="B2623">
        <v>146</v>
      </c>
      <c r="C2623">
        <v>16</v>
      </c>
      <c r="D2623">
        <v>21</v>
      </c>
      <c r="E2623" s="2" t="str">
        <f t="shared" si="40"/>
        <v/>
      </c>
    </row>
    <row r="2624" spans="1:5" x14ac:dyDescent="0.25">
      <c r="A2624" s="138">
        <v>932002</v>
      </c>
      <c r="B2624">
        <v>146</v>
      </c>
      <c r="C2624">
        <v>16</v>
      </c>
      <c r="D2624">
        <v>21</v>
      </c>
      <c r="E2624" s="2" t="str">
        <f t="shared" si="40"/>
        <v/>
      </c>
    </row>
    <row r="2625" spans="1:5" x14ac:dyDescent="0.25">
      <c r="A2625" s="138">
        <v>932003</v>
      </c>
      <c r="B2625">
        <v>146</v>
      </c>
      <c r="C2625">
        <v>16</v>
      </c>
      <c r="D2625">
        <v>21</v>
      </c>
      <c r="E2625" s="2" t="str">
        <f t="shared" si="40"/>
        <v/>
      </c>
    </row>
    <row r="2626" spans="1:5" x14ac:dyDescent="0.25">
      <c r="A2626" s="138">
        <v>932004</v>
      </c>
      <c r="B2626">
        <v>146</v>
      </c>
      <c r="C2626">
        <v>16</v>
      </c>
      <c r="D2626">
        <v>21</v>
      </c>
      <c r="E2626" s="2" t="str">
        <f t="shared" si="40"/>
        <v/>
      </c>
    </row>
    <row r="2627" spans="1:5" x14ac:dyDescent="0.25">
      <c r="A2627" s="138">
        <v>932005</v>
      </c>
      <c r="B2627">
        <v>146</v>
      </c>
      <c r="C2627">
        <v>16</v>
      </c>
      <c r="D2627">
        <v>21</v>
      </c>
      <c r="E2627" s="2" t="str">
        <f t="shared" ref="E2627:E2690" si="41">IF(B2627=B2626,IF(C2626=C2627,"",1),"")</f>
        <v/>
      </c>
    </row>
    <row r="2628" spans="1:5" x14ac:dyDescent="0.25">
      <c r="A2628" s="138">
        <v>932006</v>
      </c>
      <c r="B2628">
        <v>146</v>
      </c>
      <c r="C2628">
        <v>16</v>
      </c>
      <c r="D2628">
        <v>21</v>
      </c>
      <c r="E2628" s="2" t="str">
        <f t="shared" si="41"/>
        <v/>
      </c>
    </row>
    <row r="2629" spans="1:5" x14ac:dyDescent="0.25">
      <c r="A2629" s="138">
        <v>932007</v>
      </c>
      <c r="B2629">
        <v>146</v>
      </c>
      <c r="C2629">
        <v>16</v>
      </c>
      <c r="D2629">
        <v>21</v>
      </c>
      <c r="E2629" s="2" t="str">
        <f t="shared" si="41"/>
        <v/>
      </c>
    </row>
    <row r="2630" spans="1:5" x14ac:dyDescent="0.25">
      <c r="A2630" s="138">
        <v>932008</v>
      </c>
      <c r="B2630">
        <v>146</v>
      </c>
      <c r="C2630">
        <v>16</v>
      </c>
      <c r="D2630">
        <v>21</v>
      </c>
      <c r="E2630" s="2" t="str">
        <f t="shared" si="41"/>
        <v/>
      </c>
    </row>
    <row r="2631" spans="1:5" x14ac:dyDescent="0.25">
      <c r="A2631" s="138">
        <v>932009</v>
      </c>
      <c r="B2631">
        <v>146</v>
      </c>
      <c r="C2631">
        <v>16</v>
      </c>
      <c r="D2631">
        <v>21</v>
      </c>
      <c r="E2631" s="2" t="str">
        <f t="shared" si="41"/>
        <v/>
      </c>
    </row>
    <row r="2632" spans="1:5" x14ac:dyDescent="0.25">
      <c r="A2632" s="138">
        <v>932010</v>
      </c>
      <c r="B2632">
        <v>146</v>
      </c>
      <c r="C2632">
        <v>16</v>
      </c>
      <c r="D2632">
        <v>21</v>
      </c>
      <c r="E2632" s="2" t="str">
        <f t="shared" si="41"/>
        <v/>
      </c>
    </row>
    <row r="2633" spans="1:5" x14ac:dyDescent="0.25">
      <c r="A2633" s="138">
        <v>932011</v>
      </c>
      <c r="B2633">
        <v>146</v>
      </c>
      <c r="C2633">
        <v>16</v>
      </c>
      <c r="D2633">
        <v>21</v>
      </c>
      <c r="E2633" s="2" t="str">
        <f t="shared" si="41"/>
        <v/>
      </c>
    </row>
    <row r="2634" spans="1:5" x14ac:dyDescent="0.25">
      <c r="A2634" s="138">
        <v>932012</v>
      </c>
      <c r="B2634">
        <v>146</v>
      </c>
      <c r="C2634">
        <v>16</v>
      </c>
      <c r="D2634">
        <v>21</v>
      </c>
      <c r="E2634" s="2" t="str">
        <f t="shared" si="41"/>
        <v/>
      </c>
    </row>
    <row r="2635" spans="1:5" x14ac:dyDescent="0.25">
      <c r="A2635" s="138">
        <v>932013</v>
      </c>
      <c r="B2635">
        <v>146</v>
      </c>
      <c r="C2635">
        <v>16</v>
      </c>
      <c r="D2635">
        <v>21</v>
      </c>
      <c r="E2635" s="2" t="str">
        <f t="shared" si="41"/>
        <v/>
      </c>
    </row>
    <row r="2636" spans="1:5" x14ac:dyDescent="0.25">
      <c r="A2636" s="138">
        <v>932014</v>
      </c>
      <c r="B2636">
        <v>146</v>
      </c>
      <c r="C2636">
        <v>16</v>
      </c>
      <c r="D2636">
        <v>21</v>
      </c>
      <c r="E2636" s="2" t="str">
        <f t="shared" si="41"/>
        <v/>
      </c>
    </row>
    <row r="2637" spans="1:5" x14ac:dyDescent="0.25">
      <c r="A2637" s="138">
        <v>932015</v>
      </c>
      <c r="B2637">
        <v>146</v>
      </c>
      <c r="C2637">
        <v>16</v>
      </c>
      <c r="D2637">
        <v>21</v>
      </c>
      <c r="E2637" s="2" t="str">
        <f t="shared" si="41"/>
        <v/>
      </c>
    </row>
    <row r="2638" spans="1:5" x14ac:dyDescent="0.25">
      <c r="A2638" s="138">
        <v>932016</v>
      </c>
      <c r="B2638">
        <v>146</v>
      </c>
      <c r="C2638">
        <v>16</v>
      </c>
      <c r="D2638">
        <v>21</v>
      </c>
      <c r="E2638" s="2" t="str">
        <f t="shared" si="41"/>
        <v/>
      </c>
    </row>
    <row r="2639" spans="1:5" x14ac:dyDescent="0.25">
      <c r="A2639" s="138">
        <v>932017</v>
      </c>
      <c r="B2639">
        <v>146</v>
      </c>
      <c r="C2639">
        <v>16</v>
      </c>
      <c r="D2639">
        <v>21</v>
      </c>
      <c r="E2639" s="2" t="str">
        <f t="shared" si="41"/>
        <v/>
      </c>
    </row>
    <row r="2640" spans="1:5" x14ac:dyDescent="0.25">
      <c r="A2640" s="138">
        <v>932018</v>
      </c>
      <c r="B2640">
        <v>146</v>
      </c>
      <c r="C2640">
        <v>16</v>
      </c>
      <c r="D2640">
        <v>21</v>
      </c>
      <c r="E2640" s="2" t="str">
        <f t="shared" si="41"/>
        <v/>
      </c>
    </row>
    <row r="2641" spans="1:5" x14ac:dyDescent="0.25">
      <c r="A2641" s="138">
        <v>932019</v>
      </c>
      <c r="B2641">
        <v>146</v>
      </c>
      <c r="C2641">
        <v>16</v>
      </c>
      <c r="D2641">
        <v>21</v>
      </c>
      <c r="E2641" s="2" t="str">
        <f t="shared" si="41"/>
        <v/>
      </c>
    </row>
    <row r="2642" spans="1:5" x14ac:dyDescent="0.25">
      <c r="A2642" s="138">
        <v>932020</v>
      </c>
      <c r="B2642">
        <v>146</v>
      </c>
      <c r="C2642">
        <v>16</v>
      </c>
      <c r="D2642">
        <v>21</v>
      </c>
      <c r="E2642" s="2" t="str">
        <f t="shared" si="41"/>
        <v/>
      </c>
    </row>
    <row r="2643" spans="1:5" x14ac:dyDescent="0.25">
      <c r="A2643" s="138">
        <v>932021</v>
      </c>
      <c r="B2643">
        <v>146</v>
      </c>
      <c r="C2643">
        <v>16</v>
      </c>
      <c r="D2643">
        <v>21</v>
      </c>
      <c r="E2643" s="2" t="str">
        <f t="shared" si="41"/>
        <v/>
      </c>
    </row>
    <row r="2644" spans="1:5" x14ac:dyDescent="0.25">
      <c r="A2644" s="138">
        <v>932022</v>
      </c>
      <c r="B2644">
        <v>146</v>
      </c>
      <c r="C2644">
        <v>16</v>
      </c>
      <c r="D2644">
        <v>21</v>
      </c>
      <c r="E2644" s="2" t="str">
        <f t="shared" si="41"/>
        <v/>
      </c>
    </row>
    <row r="2645" spans="1:5" x14ac:dyDescent="0.25">
      <c r="A2645" s="138">
        <v>932023</v>
      </c>
      <c r="B2645">
        <v>146</v>
      </c>
      <c r="C2645">
        <v>16</v>
      </c>
      <c r="D2645">
        <v>21</v>
      </c>
      <c r="E2645" s="2" t="str">
        <f t="shared" si="41"/>
        <v/>
      </c>
    </row>
    <row r="2646" spans="1:5" x14ac:dyDescent="0.25">
      <c r="A2646" s="138">
        <v>932024</v>
      </c>
      <c r="B2646">
        <v>146</v>
      </c>
      <c r="C2646">
        <v>16</v>
      </c>
      <c r="D2646">
        <v>21</v>
      </c>
      <c r="E2646" s="2" t="str">
        <f t="shared" si="41"/>
        <v/>
      </c>
    </row>
    <row r="2647" spans="1:5" x14ac:dyDescent="0.25">
      <c r="A2647" s="138">
        <v>932025</v>
      </c>
      <c r="B2647">
        <v>146</v>
      </c>
      <c r="C2647">
        <v>16</v>
      </c>
      <c r="D2647">
        <v>21</v>
      </c>
      <c r="E2647" s="2" t="str">
        <f t="shared" si="41"/>
        <v/>
      </c>
    </row>
    <row r="2648" spans="1:5" x14ac:dyDescent="0.25">
      <c r="A2648" s="138">
        <v>932026</v>
      </c>
      <c r="B2648">
        <v>146</v>
      </c>
      <c r="C2648">
        <v>16</v>
      </c>
      <c r="D2648">
        <v>21</v>
      </c>
      <c r="E2648" s="2" t="str">
        <f t="shared" si="41"/>
        <v/>
      </c>
    </row>
    <row r="2649" spans="1:5" x14ac:dyDescent="0.25">
      <c r="A2649" s="138">
        <v>932027</v>
      </c>
      <c r="B2649">
        <v>146</v>
      </c>
      <c r="C2649">
        <v>16</v>
      </c>
      <c r="D2649">
        <v>21</v>
      </c>
      <c r="E2649" s="2" t="str">
        <f t="shared" si="41"/>
        <v/>
      </c>
    </row>
    <row r="2650" spans="1:5" x14ac:dyDescent="0.25">
      <c r="A2650" s="138">
        <v>932028</v>
      </c>
      <c r="B2650">
        <v>146</v>
      </c>
      <c r="C2650">
        <v>16</v>
      </c>
      <c r="D2650">
        <v>21</v>
      </c>
      <c r="E2650" s="2" t="str">
        <f t="shared" si="41"/>
        <v/>
      </c>
    </row>
    <row r="2651" spans="1:5" x14ac:dyDescent="0.25">
      <c r="A2651" s="138">
        <v>932029</v>
      </c>
      <c r="B2651">
        <v>146</v>
      </c>
      <c r="C2651">
        <v>16</v>
      </c>
      <c r="D2651">
        <v>21</v>
      </c>
      <c r="E2651" s="2" t="str">
        <f t="shared" si="41"/>
        <v/>
      </c>
    </row>
    <row r="2652" spans="1:5" x14ac:dyDescent="0.25">
      <c r="A2652" s="138">
        <v>932030</v>
      </c>
      <c r="B2652">
        <v>146</v>
      </c>
      <c r="C2652">
        <v>16</v>
      </c>
      <c r="D2652">
        <v>21</v>
      </c>
      <c r="E2652" s="2" t="str">
        <f t="shared" si="41"/>
        <v/>
      </c>
    </row>
    <row r="2653" spans="1:5" x14ac:dyDescent="0.25">
      <c r="A2653" s="138">
        <v>932031</v>
      </c>
      <c r="B2653">
        <v>146</v>
      </c>
      <c r="C2653">
        <v>16</v>
      </c>
      <c r="D2653">
        <v>21</v>
      </c>
      <c r="E2653" s="2" t="str">
        <f t="shared" si="41"/>
        <v/>
      </c>
    </row>
    <row r="2654" spans="1:5" x14ac:dyDescent="0.25">
      <c r="A2654" s="138">
        <v>932032</v>
      </c>
      <c r="B2654">
        <v>146</v>
      </c>
      <c r="C2654">
        <v>16</v>
      </c>
      <c r="D2654">
        <v>21</v>
      </c>
      <c r="E2654" s="2" t="str">
        <f t="shared" si="41"/>
        <v/>
      </c>
    </row>
    <row r="2655" spans="1:5" x14ac:dyDescent="0.25">
      <c r="A2655" s="138">
        <v>932033</v>
      </c>
      <c r="B2655">
        <v>146</v>
      </c>
      <c r="C2655">
        <v>16</v>
      </c>
      <c r="D2655">
        <v>21</v>
      </c>
      <c r="E2655" s="2" t="str">
        <f t="shared" si="41"/>
        <v/>
      </c>
    </row>
    <row r="2656" spans="1:5" x14ac:dyDescent="0.25">
      <c r="A2656" s="138">
        <v>932034</v>
      </c>
      <c r="B2656">
        <v>146</v>
      </c>
      <c r="C2656">
        <v>16</v>
      </c>
      <c r="D2656">
        <v>21</v>
      </c>
      <c r="E2656" s="2" t="str">
        <f t="shared" si="41"/>
        <v/>
      </c>
    </row>
    <row r="2657" spans="1:5" x14ac:dyDescent="0.25">
      <c r="A2657" s="138">
        <v>932035</v>
      </c>
      <c r="B2657">
        <v>146</v>
      </c>
      <c r="C2657">
        <v>16</v>
      </c>
      <c r="D2657">
        <v>21</v>
      </c>
      <c r="E2657" s="2" t="str">
        <f t="shared" si="41"/>
        <v/>
      </c>
    </row>
    <row r="2658" spans="1:5" x14ac:dyDescent="0.25">
      <c r="A2658" s="138">
        <v>932036</v>
      </c>
      <c r="B2658">
        <v>146</v>
      </c>
      <c r="C2658">
        <v>16</v>
      </c>
      <c r="D2658">
        <v>21</v>
      </c>
      <c r="E2658" s="2" t="str">
        <f t="shared" si="41"/>
        <v/>
      </c>
    </row>
    <row r="2659" spans="1:5" x14ac:dyDescent="0.25">
      <c r="A2659" s="138">
        <v>932037</v>
      </c>
      <c r="B2659">
        <v>146</v>
      </c>
      <c r="C2659">
        <v>16</v>
      </c>
      <c r="D2659">
        <v>21</v>
      </c>
      <c r="E2659" s="2" t="str">
        <f t="shared" si="41"/>
        <v/>
      </c>
    </row>
    <row r="2660" spans="1:5" x14ac:dyDescent="0.25">
      <c r="A2660" s="138">
        <v>932038</v>
      </c>
      <c r="B2660">
        <v>146</v>
      </c>
      <c r="C2660">
        <v>16</v>
      </c>
      <c r="D2660">
        <v>21</v>
      </c>
      <c r="E2660" s="2" t="str">
        <f t="shared" si="41"/>
        <v/>
      </c>
    </row>
    <row r="2661" spans="1:5" x14ac:dyDescent="0.25">
      <c r="A2661" s="138">
        <v>932039</v>
      </c>
      <c r="B2661">
        <v>146</v>
      </c>
      <c r="C2661">
        <v>16</v>
      </c>
      <c r="D2661">
        <v>21</v>
      </c>
      <c r="E2661" s="2" t="str">
        <f t="shared" si="41"/>
        <v/>
      </c>
    </row>
    <row r="2662" spans="1:5" x14ac:dyDescent="0.25">
      <c r="A2662" s="138">
        <v>932040</v>
      </c>
      <c r="B2662">
        <v>146</v>
      </c>
      <c r="C2662">
        <v>16</v>
      </c>
      <c r="D2662">
        <v>21</v>
      </c>
      <c r="E2662" s="2" t="str">
        <f t="shared" si="41"/>
        <v/>
      </c>
    </row>
    <row r="2663" spans="1:5" x14ac:dyDescent="0.25">
      <c r="A2663" s="138">
        <v>932041</v>
      </c>
      <c r="B2663">
        <v>146</v>
      </c>
      <c r="C2663">
        <v>16</v>
      </c>
      <c r="D2663">
        <v>21</v>
      </c>
      <c r="E2663" s="2" t="str">
        <f t="shared" si="41"/>
        <v/>
      </c>
    </row>
    <row r="2664" spans="1:5" x14ac:dyDescent="0.25">
      <c r="A2664" s="138">
        <v>932042</v>
      </c>
      <c r="B2664">
        <v>146</v>
      </c>
      <c r="C2664">
        <v>16</v>
      </c>
      <c r="D2664">
        <v>21</v>
      </c>
      <c r="E2664" s="2" t="str">
        <f t="shared" si="41"/>
        <v/>
      </c>
    </row>
    <row r="2665" spans="1:5" x14ac:dyDescent="0.25">
      <c r="A2665" s="138">
        <v>932043</v>
      </c>
      <c r="B2665">
        <v>146</v>
      </c>
      <c r="C2665">
        <v>16</v>
      </c>
      <c r="D2665">
        <v>21</v>
      </c>
      <c r="E2665" s="2" t="str">
        <f t="shared" si="41"/>
        <v/>
      </c>
    </row>
    <row r="2666" spans="1:5" x14ac:dyDescent="0.25">
      <c r="A2666" s="138">
        <v>932044</v>
      </c>
      <c r="B2666">
        <v>146</v>
      </c>
      <c r="C2666">
        <v>16</v>
      </c>
      <c r="D2666">
        <v>21</v>
      </c>
      <c r="E2666" s="2" t="str">
        <f t="shared" si="41"/>
        <v/>
      </c>
    </row>
    <row r="2667" spans="1:5" x14ac:dyDescent="0.25">
      <c r="A2667" s="138">
        <v>932045</v>
      </c>
      <c r="B2667">
        <v>146</v>
      </c>
      <c r="C2667">
        <v>16</v>
      </c>
      <c r="D2667">
        <v>21</v>
      </c>
      <c r="E2667" s="2" t="str">
        <f t="shared" si="41"/>
        <v/>
      </c>
    </row>
    <row r="2668" spans="1:5" x14ac:dyDescent="0.25">
      <c r="A2668" s="138">
        <v>932046</v>
      </c>
      <c r="B2668">
        <v>146</v>
      </c>
      <c r="C2668">
        <v>16</v>
      </c>
      <c r="D2668">
        <v>21</v>
      </c>
      <c r="E2668" s="2" t="str">
        <f t="shared" si="41"/>
        <v/>
      </c>
    </row>
    <row r="2669" spans="1:5" x14ac:dyDescent="0.25">
      <c r="A2669" s="138">
        <v>932047</v>
      </c>
      <c r="B2669">
        <v>146</v>
      </c>
      <c r="C2669">
        <v>16</v>
      </c>
      <c r="D2669">
        <v>21</v>
      </c>
      <c r="E2669" s="2" t="str">
        <f t="shared" si="41"/>
        <v/>
      </c>
    </row>
    <row r="2670" spans="1:5" x14ac:dyDescent="0.25">
      <c r="A2670" s="138">
        <v>932048</v>
      </c>
      <c r="B2670">
        <v>146</v>
      </c>
      <c r="C2670">
        <v>16</v>
      </c>
      <c r="D2670">
        <v>21</v>
      </c>
      <c r="E2670" s="2" t="str">
        <f t="shared" si="41"/>
        <v/>
      </c>
    </row>
    <row r="2671" spans="1:5" x14ac:dyDescent="0.25">
      <c r="A2671" s="138">
        <v>932049</v>
      </c>
      <c r="B2671">
        <v>146</v>
      </c>
      <c r="C2671">
        <v>16</v>
      </c>
      <c r="D2671">
        <v>21</v>
      </c>
      <c r="E2671" s="2" t="str">
        <f t="shared" si="41"/>
        <v/>
      </c>
    </row>
    <row r="2672" spans="1:5" x14ac:dyDescent="0.25">
      <c r="A2672" s="138">
        <v>932050</v>
      </c>
      <c r="B2672">
        <v>146</v>
      </c>
      <c r="C2672">
        <v>16</v>
      </c>
      <c r="D2672">
        <v>21</v>
      </c>
      <c r="E2672" s="2" t="str">
        <f t="shared" si="41"/>
        <v/>
      </c>
    </row>
    <row r="2673" spans="1:5" x14ac:dyDescent="0.25">
      <c r="A2673" s="138">
        <v>932051</v>
      </c>
      <c r="B2673">
        <v>146</v>
      </c>
      <c r="C2673">
        <v>16</v>
      </c>
      <c r="D2673">
        <v>21</v>
      </c>
      <c r="E2673" s="2" t="str">
        <f t="shared" si="41"/>
        <v/>
      </c>
    </row>
    <row r="2674" spans="1:5" x14ac:dyDescent="0.25">
      <c r="A2674" s="138">
        <v>932052</v>
      </c>
      <c r="B2674">
        <v>146</v>
      </c>
      <c r="C2674">
        <v>16</v>
      </c>
      <c r="D2674">
        <v>21</v>
      </c>
      <c r="E2674" s="2" t="str">
        <f t="shared" si="41"/>
        <v/>
      </c>
    </row>
    <row r="2675" spans="1:5" x14ac:dyDescent="0.25">
      <c r="A2675" s="138">
        <v>932053</v>
      </c>
      <c r="B2675">
        <v>146</v>
      </c>
      <c r="C2675">
        <v>16</v>
      </c>
      <c r="D2675">
        <v>21</v>
      </c>
      <c r="E2675" s="2" t="str">
        <f t="shared" si="41"/>
        <v/>
      </c>
    </row>
    <row r="2676" spans="1:5" x14ac:dyDescent="0.25">
      <c r="A2676" s="138">
        <v>932054</v>
      </c>
      <c r="B2676">
        <v>146</v>
      </c>
      <c r="C2676">
        <v>16</v>
      </c>
      <c r="D2676">
        <v>21</v>
      </c>
      <c r="E2676" s="2" t="str">
        <f t="shared" si="41"/>
        <v/>
      </c>
    </row>
    <row r="2677" spans="1:5" x14ac:dyDescent="0.25">
      <c r="A2677" s="138">
        <v>932055</v>
      </c>
      <c r="B2677">
        <v>146</v>
      </c>
      <c r="C2677">
        <v>16</v>
      </c>
      <c r="D2677">
        <v>21</v>
      </c>
      <c r="E2677" s="2" t="str">
        <f t="shared" si="41"/>
        <v/>
      </c>
    </row>
    <row r="2678" spans="1:5" x14ac:dyDescent="0.25">
      <c r="A2678" s="138">
        <v>932056</v>
      </c>
      <c r="B2678">
        <v>146</v>
      </c>
      <c r="C2678">
        <v>16</v>
      </c>
      <c r="D2678">
        <v>21</v>
      </c>
      <c r="E2678" s="2" t="str">
        <f t="shared" si="41"/>
        <v/>
      </c>
    </row>
    <row r="2679" spans="1:5" x14ac:dyDescent="0.25">
      <c r="A2679" s="138">
        <v>932099</v>
      </c>
      <c r="B2679">
        <v>146</v>
      </c>
      <c r="C2679">
        <v>16</v>
      </c>
      <c r="D2679">
        <v>21</v>
      </c>
      <c r="E2679" s="2" t="str">
        <f t="shared" si="41"/>
        <v/>
      </c>
    </row>
    <row r="2680" spans="1:5" x14ac:dyDescent="0.25">
      <c r="A2680" s="138">
        <v>933000</v>
      </c>
      <c r="B2680">
        <v>14</v>
      </c>
      <c r="C2680">
        <v>16</v>
      </c>
      <c r="D2680">
        <v>21</v>
      </c>
      <c r="E2680" s="2" t="str">
        <f t="shared" si="41"/>
        <v/>
      </c>
    </row>
    <row r="2681" spans="1:5" x14ac:dyDescent="0.25">
      <c r="A2681" s="138">
        <v>933001</v>
      </c>
      <c r="B2681">
        <v>14</v>
      </c>
      <c r="C2681">
        <v>16</v>
      </c>
      <c r="D2681">
        <v>21</v>
      </c>
      <c r="E2681" s="2" t="str">
        <f t="shared" si="41"/>
        <v/>
      </c>
    </row>
    <row r="2682" spans="1:5" x14ac:dyDescent="0.25">
      <c r="A2682" s="138">
        <v>933002</v>
      </c>
      <c r="B2682">
        <v>14</v>
      </c>
      <c r="C2682">
        <v>16</v>
      </c>
      <c r="D2682">
        <v>21</v>
      </c>
      <c r="E2682" s="2" t="str">
        <f t="shared" si="41"/>
        <v/>
      </c>
    </row>
    <row r="2683" spans="1:5" x14ac:dyDescent="0.25">
      <c r="A2683" s="138">
        <v>933003</v>
      </c>
      <c r="B2683">
        <v>14</v>
      </c>
      <c r="C2683">
        <v>16</v>
      </c>
      <c r="D2683">
        <v>21</v>
      </c>
      <c r="E2683" s="2" t="str">
        <f t="shared" si="41"/>
        <v/>
      </c>
    </row>
    <row r="2684" spans="1:5" x14ac:dyDescent="0.25">
      <c r="A2684" s="138">
        <v>933004</v>
      </c>
      <c r="B2684">
        <v>14</v>
      </c>
      <c r="C2684">
        <v>16</v>
      </c>
      <c r="D2684">
        <v>21</v>
      </c>
      <c r="E2684" s="2" t="str">
        <f t="shared" si="41"/>
        <v/>
      </c>
    </row>
    <row r="2685" spans="1:5" x14ac:dyDescent="0.25">
      <c r="A2685" s="138">
        <v>933005</v>
      </c>
      <c r="B2685">
        <v>14</v>
      </c>
      <c r="C2685">
        <v>16</v>
      </c>
      <c r="D2685">
        <v>21</v>
      </c>
      <c r="E2685" s="2" t="str">
        <f t="shared" si="41"/>
        <v/>
      </c>
    </row>
    <row r="2686" spans="1:5" x14ac:dyDescent="0.25">
      <c r="A2686" s="138">
        <v>933006</v>
      </c>
      <c r="B2686">
        <v>14</v>
      </c>
      <c r="C2686">
        <v>16</v>
      </c>
      <c r="D2686">
        <v>21</v>
      </c>
      <c r="E2686" s="2" t="str">
        <f t="shared" si="41"/>
        <v/>
      </c>
    </row>
    <row r="2687" spans="1:5" x14ac:dyDescent="0.25">
      <c r="A2687" s="138">
        <v>933007</v>
      </c>
      <c r="B2687">
        <v>14</v>
      </c>
      <c r="C2687">
        <v>16</v>
      </c>
      <c r="D2687">
        <v>21</v>
      </c>
      <c r="E2687" s="2" t="str">
        <f t="shared" si="41"/>
        <v/>
      </c>
    </row>
    <row r="2688" spans="1:5" x14ac:dyDescent="0.25">
      <c r="A2688" s="138">
        <v>933008</v>
      </c>
      <c r="B2688">
        <v>14</v>
      </c>
      <c r="C2688">
        <v>16</v>
      </c>
      <c r="D2688">
        <v>21</v>
      </c>
      <c r="E2688" s="2" t="str">
        <f t="shared" si="41"/>
        <v/>
      </c>
    </row>
    <row r="2689" spans="1:5" x14ac:dyDescent="0.25">
      <c r="A2689" s="138">
        <v>933009</v>
      </c>
      <c r="B2689">
        <v>14</v>
      </c>
      <c r="C2689">
        <v>16</v>
      </c>
      <c r="D2689">
        <v>21</v>
      </c>
      <c r="E2689" s="2" t="str">
        <f t="shared" si="41"/>
        <v/>
      </c>
    </row>
    <row r="2690" spans="1:5" x14ac:dyDescent="0.25">
      <c r="A2690" s="138">
        <v>933010</v>
      </c>
      <c r="B2690">
        <v>14</v>
      </c>
      <c r="C2690">
        <v>16</v>
      </c>
      <c r="D2690">
        <v>21</v>
      </c>
      <c r="E2690" s="2" t="str">
        <f t="shared" si="41"/>
        <v/>
      </c>
    </row>
    <row r="2691" spans="1:5" x14ac:dyDescent="0.25">
      <c r="A2691" s="138">
        <v>933011</v>
      </c>
      <c r="B2691">
        <v>14</v>
      </c>
      <c r="C2691">
        <v>16</v>
      </c>
      <c r="D2691">
        <v>21</v>
      </c>
      <c r="E2691" s="2" t="str">
        <f t="shared" ref="E2691:E2754" si="42">IF(B2691=B2690,IF(C2690=C2691,"",1),"")</f>
        <v/>
      </c>
    </row>
    <row r="2692" spans="1:5" x14ac:dyDescent="0.25">
      <c r="A2692" s="138">
        <v>933012</v>
      </c>
      <c r="B2692">
        <v>14</v>
      </c>
      <c r="C2692">
        <v>16</v>
      </c>
      <c r="D2692">
        <v>21</v>
      </c>
      <c r="E2692" s="2" t="str">
        <f t="shared" si="42"/>
        <v/>
      </c>
    </row>
    <row r="2693" spans="1:5" x14ac:dyDescent="0.25">
      <c r="A2693" s="138">
        <v>933013</v>
      </c>
      <c r="B2693">
        <v>14</v>
      </c>
      <c r="C2693">
        <v>16</v>
      </c>
      <c r="D2693">
        <v>21</v>
      </c>
      <c r="E2693" s="2" t="str">
        <f t="shared" si="42"/>
        <v/>
      </c>
    </row>
    <row r="2694" spans="1:5" x14ac:dyDescent="0.25">
      <c r="A2694" s="138">
        <v>933014</v>
      </c>
      <c r="B2694">
        <v>14</v>
      </c>
      <c r="C2694">
        <v>16</v>
      </c>
      <c r="D2694">
        <v>21</v>
      </c>
      <c r="E2694" s="2" t="str">
        <f t="shared" si="42"/>
        <v/>
      </c>
    </row>
    <row r="2695" spans="1:5" x14ac:dyDescent="0.25">
      <c r="A2695" s="138">
        <v>933015</v>
      </c>
      <c r="B2695">
        <v>14</v>
      </c>
      <c r="C2695">
        <v>16</v>
      </c>
      <c r="D2695">
        <v>21</v>
      </c>
      <c r="E2695" s="2" t="str">
        <f t="shared" si="42"/>
        <v/>
      </c>
    </row>
    <row r="2696" spans="1:5" x14ac:dyDescent="0.25">
      <c r="A2696" s="138">
        <v>933016</v>
      </c>
      <c r="B2696">
        <v>14</v>
      </c>
      <c r="C2696">
        <v>16</v>
      </c>
      <c r="D2696">
        <v>21</v>
      </c>
      <c r="E2696" s="2" t="str">
        <f t="shared" si="42"/>
        <v/>
      </c>
    </row>
    <row r="2697" spans="1:5" x14ac:dyDescent="0.25">
      <c r="A2697" s="138">
        <v>933099</v>
      </c>
      <c r="B2697">
        <v>14</v>
      </c>
      <c r="C2697">
        <v>16</v>
      </c>
      <c r="D2697">
        <v>21</v>
      </c>
      <c r="E2697" s="2" t="str">
        <f t="shared" si="42"/>
        <v/>
      </c>
    </row>
    <row r="2698" spans="1:5" x14ac:dyDescent="0.25">
      <c r="A2698" s="138">
        <v>934000</v>
      </c>
      <c r="B2698">
        <v>60</v>
      </c>
      <c r="C2698">
        <v>16</v>
      </c>
      <c r="D2698">
        <v>21</v>
      </c>
      <c r="E2698" s="2" t="str">
        <f t="shared" si="42"/>
        <v/>
      </c>
    </row>
    <row r="2699" spans="1:5" x14ac:dyDescent="0.25">
      <c r="A2699" s="138">
        <v>934001</v>
      </c>
      <c r="B2699">
        <v>60</v>
      </c>
      <c r="C2699">
        <v>16</v>
      </c>
      <c r="D2699">
        <v>21</v>
      </c>
      <c r="E2699" s="2" t="str">
        <f t="shared" si="42"/>
        <v/>
      </c>
    </row>
    <row r="2700" spans="1:5" x14ac:dyDescent="0.25">
      <c r="A2700" s="138">
        <v>934002</v>
      </c>
      <c r="B2700">
        <v>60</v>
      </c>
      <c r="C2700">
        <v>16</v>
      </c>
      <c r="D2700">
        <v>21</v>
      </c>
      <c r="E2700" s="2" t="str">
        <f t="shared" si="42"/>
        <v/>
      </c>
    </row>
    <row r="2701" spans="1:5" x14ac:dyDescent="0.25">
      <c r="A2701" s="138">
        <v>934003</v>
      </c>
      <c r="B2701">
        <v>60</v>
      </c>
      <c r="C2701">
        <v>16</v>
      </c>
      <c r="D2701">
        <v>21</v>
      </c>
      <c r="E2701" s="2" t="str">
        <f t="shared" si="42"/>
        <v/>
      </c>
    </row>
    <row r="2702" spans="1:5" x14ac:dyDescent="0.25">
      <c r="A2702" s="138">
        <v>934004</v>
      </c>
      <c r="B2702">
        <v>60</v>
      </c>
      <c r="C2702">
        <v>16</v>
      </c>
      <c r="D2702">
        <v>21</v>
      </c>
      <c r="E2702" s="2" t="str">
        <f t="shared" si="42"/>
        <v/>
      </c>
    </row>
    <row r="2703" spans="1:5" x14ac:dyDescent="0.25">
      <c r="A2703" s="138">
        <v>934005</v>
      </c>
      <c r="B2703">
        <v>60</v>
      </c>
      <c r="C2703">
        <v>16</v>
      </c>
      <c r="D2703">
        <v>21</v>
      </c>
      <c r="E2703" s="2" t="str">
        <f t="shared" si="42"/>
        <v/>
      </c>
    </row>
    <row r="2704" spans="1:5" x14ac:dyDescent="0.25">
      <c r="A2704" s="138">
        <v>934006</v>
      </c>
      <c r="B2704">
        <v>60</v>
      </c>
      <c r="C2704">
        <v>16</v>
      </c>
      <c r="D2704">
        <v>21</v>
      </c>
      <c r="E2704" s="2" t="str">
        <f t="shared" si="42"/>
        <v/>
      </c>
    </row>
    <row r="2705" spans="1:5" x14ac:dyDescent="0.25">
      <c r="A2705" s="138">
        <v>934007</v>
      </c>
      <c r="B2705">
        <v>60</v>
      </c>
      <c r="C2705">
        <v>16</v>
      </c>
      <c r="D2705">
        <v>21</v>
      </c>
      <c r="E2705" s="2" t="str">
        <f t="shared" si="42"/>
        <v/>
      </c>
    </row>
    <row r="2706" spans="1:5" x14ac:dyDescent="0.25">
      <c r="A2706" s="138">
        <v>934008</v>
      </c>
      <c r="B2706">
        <v>60</v>
      </c>
      <c r="C2706">
        <v>16</v>
      </c>
      <c r="D2706">
        <v>21</v>
      </c>
      <c r="E2706" s="2" t="str">
        <f t="shared" si="42"/>
        <v/>
      </c>
    </row>
    <row r="2707" spans="1:5" x14ac:dyDescent="0.25">
      <c r="A2707" s="138">
        <v>934009</v>
      </c>
      <c r="B2707">
        <v>60</v>
      </c>
      <c r="C2707">
        <v>16</v>
      </c>
      <c r="D2707">
        <v>21</v>
      </c>
      <c r="E2707" s="2" t="str">
        <f t="shared" si="42"/>
        <v/>
      </c>
    </row>
    <row r="2708" spans="1:5" x14ac:dyDescent="0.25">
      <c r="A2708" s="138">
        <v>934010</v>
      </c>
      <c r="B2708">
        <v>60</v>
      </c>
      <c r="C2708">
        <v>16</v>
      </c>
      <c r="D2708">
        <v>21</v>
      </c>
      <c r="E2708" s="2" t="str">
        <f t="shared" si="42"/>
        <v/>
      </c>
    </row>
    <row r="2709" spans="1:5" x14ac:dyDescent="0.25">
      <c r="A2709" s="138">
        <v>934011</v>
      </c>
      <c r="B2709">
        <v>60</v>
      </c>
      <c r="C2709">
        <v>16</v>
      </c>
      <c r="D2709">
        <v>21</v>
      </c>
      <c r="E2709" s="2" t="str">
        <f t="shared" si="42"/>
        <v/>
      </c>
    </row>
    <row r="2710" spans="1:5" x14ac:dyDescent="0.25">
      <c r="A2710" s="138">
        <v>934012</v>
      </c>
      <c r="B2710">
        <v>60</v>
      </c>
      <c r="C2710">
        <v>16</v>
      </c>
      <c r="D2710">
        <v>21</v>
      </c>
      <c r="E2710" s="2" t="str">
        <f t="shared" si="42"/>
        <v/>
      </c>
    </row>
    <row r="2711" spans="1:5" x14ac:dyDescent="0.25">
      <c r="A2711" s="138">
        <v>934013</v>
      </c>
      <c r="B2711">
        <v>60</v>
      </c>
      <c r="C2711">
        <v>16</v>
      </c>
      <c r="D2711">
        <v>21</v>
      </c>
      <c r="E2711" s="2" t="str">
        <f t="shared" si="42"/>
        <v/>
      </c>
    </row>
    <row r="2712" spans="1:5" x14ac:dyDescent="0.25">
      <c r="A2712" s="138">
        <v>934014</v>
      </c>
      <c r="B2712">
        <v>60</v>
      </c>
      <c r="C2712">
        <v>16</v>
      </c>
      <c r="D2712">
        <v>21</v>
      </c>
      <c r="E2712" s="2" t="str">
        <f t="shared" si="42"/>
        <v/>
      </c>
    </row>
    <row r="2713" spans="1:5" x14ac:dyDescent="0.25">
      <c r="A2713" s="138">
        <v>934015</v>
      </c>
      <c r="B2713">
        <v>60</v>
      </c>
      <c r="C2713">
        <v>16</v>
      </c>
      <c r="D2713">
        <v>21</v>
      </c>
      <c r="E2713" s="2" t="str">
        <f t="shared" si="42"/>
        <v/>
      </c>
    </row>
    <row r="2714" spans="1:5" x14ac:dyDescent="0.25">
      <c r="A2714" s="138">
        <v>934016</v>
      </c>
      <c r="B2714">
        <v>60</v>
      </c>
      <c r="C2714">
        <v>16</v>
      </c>
      <c r="D2714">
        <v>21</v>
      </c>
      <c r="E2714" s="2" t="str">
        <f t="shared" si="42"/>
        <v/>
      </c>
    </row>
    <row r="2715" spans="1:5" x14ac:dyDescent="0.25">
      <c r="A2715" s="138">
        <v>934017</v>
      </c>
      <c r="B2715">
        <v>60</v>
      </c>
      <c r="C2715">
        <v>16</v>
      </c>
      <c r="D2715">
        <v>21</v>
      </c>
      <c r="E2715" s="2" t="str">
        <f t="shared" si="42"/>
        <v/>
      </c>
    </row>
    <row r="2716" spans="1:5" x14ac:dyDescent="0.25">
      <c r="A2716" s="138">
        <v>934018</v>
      </c>
      <c r="B2716">
        <v>60</v>
      </c>
      <c r="C2716">
        <v>16</v>
      </c>
      <c r="D2716">
        <v>21</v>
      </c>
      <c r="E2716" s="2" t="str">
        <f t="shared" si="42"/>
        <v/>
      </c>
    </row>
    <row r="2717" spans="1:5" x14ac:dyDescent="0.25">
      <c r="A2717" s="138">
        <v>934019</v>
      </c>
      <c r="B2717">
        <v>60</v>
      </c>
      <c r="C2717">
        <v>16</v>
      </c>
      <c r="D2717">
        <v>21</v>
      </c>
      <c r="E2717" s="2" t="str">
        <f t="shared" si="42"/>
        <v/>
      </c>
    </row>
    <row r="2718" spans="1:5" x14ac:dyDescent="0.25">
      <c r="A2718" s="138">
        <v>934020</v>
      </c>
      <c r="B2718">
        <v>60</v>
      </c>
      <c r="C2718">
        <v>16</v>
      </c>
      <c r="D2718">
        <v>21</v>
      </c>
      <c r="E2718" s="2" t="str">
        <f t="shared" si="42"/>
        <v/>
      </c>
    </row>
    <row r="2719" spans="1:5" x14ac:dyDescent="0.25">
      <c r="A2719" s="138">
        <v>934021</v>
      </c>
      <c r="B2719">
        <v>60</v>
      </c>
      <c r="C2719">
        <v>16</v>
      </c>
      <c r="D2719">
        <v>21</v>
      </c>
      <c r="E2719" s="2" t="str">
        <f t="shared" si="42"/>
        <v/>
      </c>
    </row>
    <row r="2720" spans="1:5" x14ac:dyDescent="0.25">
      <c r="A2720" s="138">
        <v>934022</v>
      </c>
      <c r="B2720">
        <v>60</v>
      </c>
      <c r="C2720">
        <v>16</v>
      </c>
      <c r="D2720">
        <v>21</v>
      </c>
      <c r="E2720" s="2" t="str">
        <f t="shared" si="42"/>
        <v/>
      </c>
    </row>
    <row r="2721" spans="1:5" x14ac:dyDescent="0.25">
      <c r="A2721" s="138">
        <v>934023</v>
      </c>
      <c r="B2721">
        <v>60</v>
      </c>
      <c r="C2721">
        <v>16</v>
      </c>
      <c r="D2721">
        <v>21</v>
      </c>
      <c r="E2721" s="2" t="str">
        <f t="shared" si="42"/>
        <v/>
      </c>
    </row>
    <row r="2722" spans="1:5" x14ac:dyDescent="0.25">
      <c r="A2722" s="138">
        <v>934024</v>
      </c>
      <c r="B2722">
        <v>60</v>
      </c>
      <c r="C2722">
        <v>16</v>
      </c>
      <c r="D2722">
        <v>21</v>
      </c>
      <c r="E2722" s="2" t="str">
        <f t="shared" si="42"/>
        <v/>
      </c>
    </row>
    <row r="2723" spans="1:5" x14ac:dyDescent="0.25">
      <c r="A2723" s="138">
        <v>934099</v>
      </c>
      <c r="B2723">
        <v>60</v>
      </c>
      <c r="C2723">
        <v>16</v>
      </c>
      <c r="D2723">
        <v>21</v>
      </c>
      <c r="E2723" s="2" t="str">
        <f t="shared" si="42"/>
        <v/>
      </c>
    </row>
    <row r="2724" spans="1:5" x14ac:dyDescent="0.25">
      <c r="A2724" s="138">
        <v>935000</v>
      </c>
      <c r="B2724">
        <v>218</v>
      </c>
      <c r="C2724">
        <v>16</v>
      </c>
      <c r="D2724">
        <v>36</v>
      </c>
      <c r="E2724" s="2" t="str">
        <f t="shared" si="42"/>
        <v/>
      </c>
    </row>
    <row r="2725" spans="1:5" x14ac:dyDescent="0.25">
      <c r="A2725" s="138">
        <v>935001</v>
      </c>
      <c r="B2725">
        <v>218</v>
      </c>
      <c r="C2725">
        <v>16</v>
      </c>
      <c r="D2725">
        <v>36</v>
      </c>
      <c r="E2725" s="2" t="str">
        <f t="shared" si="42"/>
        <v/>
      </c>
    </row>
    <row r="2726" spans="1:5" x14ac:dyDescent="0.25">
      <c r="A2726" s="138">
        <v>935002</v>
      </c>
      <c r="B2726">
        <v>218</v>
      </c>
      <c r="C2726">
        <v>16</v>
      </c>
      <c r="D2726">
        <v>36</v>
      </c>
      <c r="E2726" s="2" t="str">
        <f t="shared" si="42"/>
        <v/>
      </c>
    </row>
    <row r="2727" spans="1:5" x14ac:dyDescent="0.25">
      <c r="A2727" s="138">
        <v>935003</v>
      </c>
      <c r="B2727">
        <v>218</v>
      </c>
      <c r="C2727">
        <v>16</v>
      </c>
      <c r="D2727">
        <v>36</v>
      </c>
      <c r="E2727" s="2" t="str">
        <f t="shared" si="42"/>
        <v/>
      </c>
    </row>
    <row r="2728" spans="1:5" x14ac:dyDescent="0.25">
      <c r="A2728" s="138">
        <v>935004</v>
      </c>
      <c r="B2728">
        <v>218</v>
      </c>
      <c r="C2728">
        <v>16</v>
      </c>
      <c r="D2728">
        <v>36</v>
      </c>
      <c r="E2728" s="2" t="str">
        <f t="shared" si="42"/>
        <v/>
      </c>
    </row>
    <row r="2729" spans="1:5" x14ac:dyDescent="0.25">
      <c r="A2729" s="138">
        <v>935005</v>
      </c>
      <c r="B2729">
        <v>218</v>
      </c>
      <c r="C2729">
        <v>16</v>
      </c>
      <c r="D2729">
        <v>36</v>
      </c>
      <c r="E2729" s="2" t="str">
        <f t="shared" si="42"/>
        <v/>
      </c>
    </row>
    <row r="2730" spans="1:5" x14ac:dyDescent="0.25">
      <c r="A2730" s="138">
        <v>935006</v>
      </c>
      <c r="B2730">
        <v>218</v>
      </c>
      <c r="C2730">
        <v>16</v>
      </c>
      <c r="D2730">
        <v>36</v>
      </c>
      <c r="E2730" s="2" t="str">
        <f t="shared" si="42"/>
        <v/>
      </c>
    </row>
    <row r="2731" spans="1:5" x14ac:dyDescent="0.25">
      <c r="A2731" s="138">
        <v>935007</v>
      </c>
      <c r="B2731">
        <v>218</v>
      </c>
      <c r="C2731">
        <v>16</v>
      </c>
      <c r="D2731">
        <v>36</v>
      </c>
      <c r="E2731" s="2" t="str">
        <f t="shared" si="42"/>
        <v/>
      </c>
    </row>
    <row r="2732" spans="1:5" x14ac:dyDescent="0.25">
      <c r="A2732" s="138">
        <v>935099</v>
      </c>
      <c r="B2732">
        <v>218</v>
      </c>
      <c r="C2732">
        <v>16</v>
      </c>
      <c r="D2732">
        <v>36</v>
      </c>
      <c r="E2732" s="2" t="str">
        <f t="shared" si="42"/>
        <v/>
      </c>
    </row>
    <row r="2733" spans="1:5" x14ac:dyDescent="0.25">
      <c r="A2733" s="138">
        <v>941000</v>
      </c>
      <c r="B2733">
        <v>242</v>
      </c>
      <c r="C2733">
        <v>16</v>
      </c>
      <c r="D2733">
        <v>36</v>
      </c>
      <c r="E2733" s="2" t="str">
        <f t="shared" si="42"/>
        <v/>
      </c>
    </row>
    <row r="2734" spans="1:5" x14ac:dyDescent="0.25">
      <c r="A2734" s="138">
        <v>941001</v>
      </c>
      <c r="B2734">
        <v>242</v>
      </c>
      <c r="C2734">
        <v>16</v>
      </c>
      <c r="D2734">
        <v>36</v>
      </c>
      <c r="E2734" s="2" t="str">
        <f t="shared" si="42"/>
        <v/>
      </c>
    </row>
    <row r="2735" spans="1:5" x14ac:dyDescent="0.25">
      <c r="A2735" s="138">
        <v>941002</v>
      </c>
      <c r="B2735">
        <v>242</v>
      </c>
      <c r="C2735">
        <v>16</v>
      </c>
      <c r="D2735">
        <v>36</v>
      </c>
      <c r="E2735" s="2" t="str">
        <f t="shared" si="42"/>
        <v/>
      </c>
    </row>
    <row r="2736" spans="1:5" x14ac:dyDescent="0.25">
      <c r="A2736" s="138">
        <v>941003</v>
      </c>
      <c r="B2736">
        <v>242</v>
      </c>
      <c r="C2736">
        <v>16</v>
      </c>
      <c r="D2736">
        <v>36</v>
      </c>
      <c r="E2736" s="2" t="str">
        <f t="shared" si="42"/>
        <v/>
      </c>
    </row>
    <row r="2737" spans="1:5" x14ac:dyDescent="0.25">
      <c r="A2737" s="138">
        <v>941004</v>
      </c>
      <c r="B2737">
        <v>242</v>
      </c>
      <c r="C2737">
        <v>16</v>
      </c>
      <c r="D2737">
        <v>36</v>
      </c>
      <c r="E2737" s="2" t="str">
        <f t="shared" si="42"/>
        <v/>
      </c>
    </row>
    <row r="2738" spans="1:5" x14ac:dyDescent="0.25">
      <c r="A2738" s="138">
        <v>941005</v>
      </c>
      <c r="B2738">
        <v>242</v>
      </c>
      <c r="C2738">
        <v>16</v>
      </c>
      <c r="D2738">
        <v>36</v>
      </c>
      <c r="E2738" s="2" t="str">
        <f t="shared" si="42"/>
        <v/>
      </c>
    </row>
    <row r="2739" spans="1:5" x14ac:dyDescent="0.25">
      <c r="A2739" s="138">
        <v>941006</v>
      </c>
      <c r="B2739">
        <v>242</v>
      </c>
      <c r="C2739">
        <v>16</v>
      </c>
      <c r="D2739">
        <v>36</v>
      </c>
      <c r="E2739" s="2" t="str">
        <f t="shared" si="42"/>
        <v/>
      </c>
    </row>
    <row r="2740" spans="1:5" x14ac:dyDescent="0.25">
      <c r="A2740" s="138">
        <v>941007</v>
      </c>
      <c r="B2740">
        <v>242</v>
      </c>
      <c r="C2740">
        <v>16</v>
      </c>
      <c r="D2740">
        <v>36</v>
      </c>
      <c r="E2740" s="2" t="str">
        <f t="shared" si="42"/>
        <v/>
      </c>
    </row>
    <row r="2741" spans="1:5" x14ac:dyDescent="0.25">
      <c r="A2741" s="138">
        <v>941008</v>
      </c>
      <c r="B2741">
        <v>242</v>
      </c>
      <c r="C2741">
        <v>16</v>
      </c>
      <c r="D2741">
        <v>36</v>
      </c>
      <c r="E2741" s="2" t="str">
        <f t="shared" si="42"/>
        <v/>
      </c>
    </row>
    <row r="2742" spans="1:5" x14ac:dyDescent="0.25">
      <c r="A2742" s="138">
        <v>941009</v>
      </c>
      <c r="B2742">
        <v>242</v>
      </c>
      <c r="C2742">
        <v>16</v>
      </c>
      <c r="D2742">
        <v>36</v>
      </c>
      <c r="E2742" s="2" t="str">
        <f t="shared" si="42"/>
        <v/>
      </c>
    </row>
    <row r="2743" spans="1:5" x14ac:dyDescent="0.25">
      <c r="A2743" s="138">
        <v>941010</v>
      </c>
      <c r="B2743">
        <v>242</v>
      </c>
      <c r="C2743">
        <v>16</v>
      </c>
      <c r="D2743">
        <v>36</v>
      </c>
      <c r="E2743" s="2" t="str">
        <f t="shared" si="42"/>
        <v/>
      </c>
    </row>
    <row r="2744" spans="1:5" x14ac:dyDescent="0.25">
      <c r="A2744" s="138">
        <v>941011</v>
      </c>
      <c r="B2744">
        <v>242</v>
      </c>
      <c r="C2744">
        <v>16</v>
      </c>
      <c r="D2744">
        <v>36</v>
      </c>
      <c r="E2744" s="2" t="str">
        <f t="shared" si="42"/>
        <v/>
      </c>
    </row>
    <row r="2745" spans="1:5" x14ac:dyDescent="0.25">
      <c r="A2745" s="138">
        <v>941012</v>
      </c>
      <c r="B2745">
        <v>242</v>
      </c>
      <c r="C2745">
        <v>16</v>
      </c>
      <c r="D2745">
        <v>36</v>
      </c>
      <c r="E2745" s="2" t="str">
        <f t="shared" si="42"/>
        <v/>
      </c>
    </row>
    <row r="2746" spans="1:5" x14ac:dyDescent="0.25">
      <c r="A2746" s="138">
        <v>941013</v>
      </c>
      <c r="B2746">
        <v>242</v>
      </c>
      <c r="C2746">
        <v>16</v>
      </c>
      <c r="D2746">
        <v>36</v>
      </c>
      <c r="E2746" s="2" t="str">
        <f t="shared" si="42"/>
        <v/>
      </c>
    </row>
    <row r="2747" spans="1:5" x14ac:dyDescent="0.25">
      <c r="A2747" s="138">
        <v>941014</v>
      </c>
      <c r="B2747">
        <v>242</v>
      </c>
      <c r="C2747">
        <v>16</v>
      </c>
      <c r="D2747">
        <v>36</v>
      </c>
      <c r="E2747" s="2" t="str">
        <f t="shared" si="42"/>
        <v/>
      </c>
    </row>
    <row r="2748" spans="1:5" x14ac:dyDescent="0.25">
      <c r="A2748" s="138">
        <v>941015</v>
      </c>
      <c r="B2748">
        <v>242</v>
      </c>
      <c r="C2748">
        <v>16</v>
      </c>
      <c r="D2748">
        <v>36</v>
      </c>
      <c r="E2748" s="2" t="str">
        <f t="shared" si="42"/>
        <v/>
      </c>
    </row>
    <row r="2749" spans="1:5" x14ac:dyDescent="0.25">
      <c r="A2749" s="138">
        <v>941016</v>
      </c>
      <c r="B2749">
        <v>242</v>
      </c>
      <c r="C2749">
        <v>16</v>
      </c>
      <c r="D2749">
        <v>36</v>
      </c>
      <c r="E2749" s="2" t="str">
        <f t="shared" si="42"/>
        <v/>
      </c>
    </row>
    <row r="2750" spans="1:5" x14ac:dyDescent="0.25">
      <c r="A2750" s="138">
        <v>941017</v>
      </c>
      <c r="B2750">
        <v>242</v>
      </c>
      <c r="C2750">
        <v>16</v>
      </c>
      <c r="D2750">
        <v>36</v>
      </c>
      <c r="E2750" s="2" t="str">
        <f t="shared" si="42"/>
        <v/>
      </c>
    </row>
    <row r="2751" spans="1:5" x14ac:dyDescent="0.25">
      <c r="A2751" s="138">
        <v>941018</v>
      </c>
      <c r="B2751">
        <v>242</v>
      </c>
      <c r="C2751">
        <v>16</v>
      </c>
      <c r="D2751">
        <v>36</v>
      </c>
      <c r="E2751" s="2" t="str">
        <f t="shared" si="42"/>
        <v/>
      </c>
    </row>
    <row r="2752" spans="1:5" x14ac:dyDescent="0.25">
      <c r="A2752" s="138">
        <v>941019</v>
      </c>
      <c r="B2752">
        <v>242</v>
      </c>
      <c r="C2752">
        <v>16</v>
      </c>
      <c r="D2752">
        <v>36</v>
      </c>
      <c r="E2752" s="2" t="str">
        <f t="shared" si="42"/>
        <v/>
      </c>
    </row>
    <row r="2753" spans="1:5" x14ac:dyDescent="0.25">
      <c r="A2753" s="138">
        <v>941020</v>
      </c>
      <c r="B2753">
        <v>242</v>
      </c>
      <c r="C2753">
        <v>16</v>
      </c>
      <c r="D2753">
        <v>36</v>
      </c>
      <c r="E2753" s="2" t="str">
        <f t="shared" si="42"/>
        <v/>
      </c>
    </row>
    <row r="2754" spans="1:5" x14ac:dyDescent="0.25">
      <c r="A2754" s="138">
        <v>941021</v>
      </c>
      <c r="B2754">
        <v>242</v>
      </c>
      <c r="C2754">
        <v>16</v>
      </c>
      <c r="D2754">
        <v>36</v>
      </c>
      <c r="E2754" s="2" t="str">
        <f t="shared" si="42"/>
        <v/>
      </c>
    </row>
    <row r="2755" spans="1:5" x14ac:dyDescent="0.25">
      <c r="A2755" s="138">
        <v>941022</v>
      </c>
      <c r="B2755">
        <v>242</v>
      </c>
      <c r="C2755">
        <v>16</v>
      </c>
      <c r="D2755">
        <v>36</v>
      </c>
      <c r="E2755" s="2" t="str">
        <f t="shared" ref="E2755:E2818" si="43">IF(B2755=B2754,IF(C2754=C2755,"",1),"")</f>
        <v/>
      </c>
    </row>
    <row r="2756" spans="1:5" x14ac:dyDescent="0.25">
      <c r="A2756" s="138">
        <v>941023</v>
      </c>
      <c r="B2756">
        <v>242</v>
      </c>
      <c r="C2756">
        <v>16</v>
      </c>
      <c r="D2756">
        <v>36</v>
      </c>
      <c r="E2756" s="2" t="str">
        <f t="shared" si="43"/>
        <v/>
      </c>
    </row>
    <row r="2757" spans="1:5" x14ac:dyDescent="0.25">
      <c r="A2757" s="138">
        <v>941024</v>
      </c>
      <c r="B2757">
        <v>242</v>
      </c>
      <c r="C2757">
        <v>16</v>
      </c>
      <c r="D2757">
        <v>36</v>
      </c>
      <c r="E2757" s="2" t="str">
        <f t="shared" si="43"/>
        <v/>
      </c>
    </row>
    <row r="2758" spans="1:5" x14ac:dyDescent="0.25">
      <c r="A2758" s="138">
        <v>941025</v>
      </c>
      <c r="B2758">
        <v>242</v>
      </c>
      <c r="C2758">
        <v>16</v>
      </c>
      <c r="D2758">
        <v>36</v>
      </c>
      <c r="E2758" s="2" t="str">
        <f t="shared" si="43"/>
        <v/>
      </c>
    </row>
    <row r="2759" spans="1:5" x14ac:dyDescent="0.25">
      <c r="A2759" s="138">
        <v>941026</v>
      </c>
      <c r="B2759">
        <v>242</v>
      </c>
      <c r="C2759">
        <v>16</v>
      </c>
      <c r="D2759">
        <v>36</v>
      </c>
      <c r="E2759" s="2" t="str">
        <f t="shared" si="43"/>
        <v/>
      </c>
    </row>
    <row r="2760" spans="1:5" x14ac:dyDescent="0.25">
      <c r="A2760" s="138">
        <v>941027</v>
      </c>
      <c r="B2760">
        <v>242</v>
      </c>
      <c r="C2760">
        <v>16</v>
      </c>
      <c r="D2760">
        <v>36</v>
      </c>
      <c r="E2760" s="2" t="str">
        <f t="shared" si="43"/>
        <v/>
      </c>
    </row>
    <row r="2761" spans="1:5" x14ac:dyDescent="0.25">
      <c r="A2761" s="138">
        <v>941028</v>
      </c>
      <c r="B2761">
        <v>242</v>
      </c>
      <c r="C2761">
        <v>16</v>
      </c>
      <c r="D2761">
        <v>36</v>
      </c>
      <c r="E2761" s="2" t="str">
        <f t="shared" si="43"/>
        <v/>
      </c>
    </row>
    <row r="2762" spans="1:5" x14ac:dyDescent="0.25">
      <c r="A2762" s="138">
        <v>941029</v>
      </c>
      <c r="B2762">
        <v>242</v>
      </c>
      <c r="C2762">
        <v>16</v>
      </c>
      <c r="D2762">
        <v>36</v>
      </c>
      <c r="E2762" s="2" t="str">
        <f t="shared" si="43"/>
        <v/>
      </c>
    </row>
    <row r="2763" spans="1:5" x14ac:dyDescent="0.25">
      <c r="A2763" s="138">
        <v>941030</v>
      </c>
      <c r="B2763">
        <v>242</v>
      </c>
      <c r="C2763">
        <v>16</v>
      </c>
      <c r="D2763">
        <v>36</v>
      </c>
      <c r="E2763" s="2" t="str">
        <f t="shared" si="43"/>
        <v/>
      </c>
    </row>
    <row r="2764" spans="1:5" x14ac:dyDescent="0.25">
      <c r="A2764" s="138">
        <v>941031</v>
      </c>
      <c r="B2764">
        <v>242</v>
      </c>
      <c r="C2764">
        <v>16</v>
      </c>
      <c r="D2764">
        <v>36</v>
      </c>
      <c r="E2764" s="2" t="str">
        <f t="shared" si="43"/>
        <v/>
      </c>
    </row>
    <row r="2765" spans="1:5" x14ac:dyDescent="0.25">
      <c r="A2765" s="138">
        <v>941032</v>
      </c>
      <c r="B2765">
        <v>242</v>
      </c>
      <c r="C2765">
        <v>16</v>
      </c>
      <c r="D2765">
        <v>36</v>
      </c>
      <c r="E2765" s="2" t="str">
        <f t="shared" si="43"/>
        <v/>
      </c>
    </row>
    <row r="2766" spans="1:5" x14ac:dyDescent="0.25">
      <c r="A2766" s="138">
        <v>941099</v>
      </c>
      <c r="B2766">
        <v>242</v>
      </c>
      <c r="C2766">
        <v>16</v>
      </c>
      <c r="D2766">
        <v>36</v>
      </c>
      <c r="E2766" s="2" t="str">
        <f t="shared" si="43"/>
        <v/>
      </c>
    </row>
    <row r="2767" spans="1:5" x14ac:dyDescent="0.25">
      <c r="A2767" s="138">
        <v>942000</v>
      </c>
      <c r="B2767">
        <v>242</v>
      </c>
      <c r="C2767">
        <v>16</v>
      </c>
      <c r="D2767">
        <v>36</v>
      </c>
      <c r="E2767" s="2" t="str">
        <f t="shared" si="43"/>
        <v/>
      </c>
    </row>
    <row r="2768" spans="1:5" x14ac:dyDescent="0.25">
      <c r="A2768" s="138">
        <v>942001</v>
      </c>
      <c r="B2768">
        <v>242</v>
      </c>
      <c r="C2768">
        <v>16</v>
      </c>
      <c r="D2768">
        <v>36</v>
      </c>
      <c r="E2768" s="2" t="str">
        <f t="shared" si="43"/>
        <v/>
      </c>
    </row>
    <row r="2769" spans="1:5" x14ac:dyDescent="0.25">
      <c r="A2769" s="138">
        <v>942002</v>
      </c>
      <c r="B2769">
        <v>242</v>
      </c>
      <c r="C2769">
        <v>16</v>
      </c>
      <c r="D2769">
        <v>36</v>
      </c>
      <c r="E2769" s="2" t="str">
        <f t="shared" si="43"/>
        <v/>
      </c>
    </row>
    <row r="2770" spans="1:5" x14ac:dyDescent="0.25">
      <c r="A2770" s="138">
        <v>942003</v>
      </c>
      <c r="B2770">
        <v>242</v>
      </c>
      <c r="C2770">
        <v>16</v>
      </c>
      <c r="D2770">
        <v>36</v>
      </c>
      <c r="E2770" s="2" t="str">
        <f t="shared" si="43"/>
        <v/>
      </c>
    </row>
    <row r="2771" spans="1:5" x14ac:dyDescent="0.25">
      <c r="A2771" s="138">
        <v>942004</v>
      </c>
      <c r="B2771">
        <v>242</v>
      </c>
      <c r="C2771">
        <v>16</v>
      </c>
      <c r="D2771">
        <v>36</v>
      </c>
      <c r="E2771" s="2" t="str">
        <f t="shared" si="43"/>
        <v/>
      </c>
    </row>
    <row r="2772" spans="1:5" x14ac:dyDescent="0.25">
      <c r="A2772" s="138">
        <v>942005</v>
      </c>
      <c r="B2772">
        <v>242</v>
      </c>
      <c r="C2772">
        <v>16</v>
      </c>
      <c r="D2772">
        <v>36</v>
      </c>
      <c r="E2772" s="2" t="str">
        <f t="shared" si="43"/>
        <v/>
      </c>
    </row>
    <row r="2773" spans="1:5" x14ac:dyDescent="0.25">
      <c r="A2773" s="138">
        <v>942006</v>
      </c>
      <c r="B2773">
        <v>242</v>
      </c>
      <c r="C2773">
        <v>16</v>
      </c>
      <c r="D2773">
        <v>36</v>
      </c>
      <c r="E2773" s="2" t="str">
        <f t="shared" si="43"/>
        <v/>
      </c>
    </row>
    <row r="2774" spans="1:5" x14ac:dyDescent="0.25">
      <c r="A2774" s="138">
        <v>942007</v>
      </c>
      <c r="B2774">
        <v>242</v>
      </c>
      <c r="C2774">
        <v>16</v>
      </c>
      <c r="D2774">
        <v>36</v>
      </c>
      <c r="E2774" s="2" t="str">
        <f t="shared" si="43"/>
        <v/>
      </c>
    </row>
    <row r="2775" spans="1:5" x14ac:dyDescent="0.25">
      <c r="A2775" s="138">
        <v>942008</v>
      </c>
      <c r="B2775">
        <v>242</v>
      </c>
      <c r="C2775">
        <v>16</v>
      </c>
      <c r="D2775">
        <v>36</v>
      </c>
      <c r="E2775" s="2" t="str">
        <f t="shared" si="43"/>
        <v/>
      </c>
    </row>
    <row r="2776" spans="1:5" x14ac:dyDescent="0.25">
      <c r="A2776" s="138">
        <v>942009</v>
      </c>
      <c r="B2776">
        <v>242</v>
      </c>
      <c r="C2776">
        <v>16</v>
      </c>
      <c r="D2776">
        <v>36</v>
      </c>
      <c r="E2776" s="2" t="str">
        <f t="shared" si="43"/>
        <v/>
      </c>
    </row>
    <row r="2777" spans="1:5" x14ac:dyDescent="0.25">
      <c r="A2777" s="138">
        <v>942010</v>
      </c>
      <c r="B2777">
        <v>242</v>
      </c>
      <c r="C2777">
        <v>16</v>
      </c>
      <c r="D2777">
        <v>36</v>
      </c>
      <c r="E2777" s="2" t="str">
        <f t="shared" si="43"/>
        <v/>
      </c>
    </row>
    <row r="2778" spans="1:5" x14ac:dyDescent="0.25">
      <c r="A2778" s="138">
        <v>942011</v>
      </c>
      <c r="B2778">
        <v>242</v>
      </c>
      <c r="C2778">
        <v>16</v>
      </c>
      <c r="D2778">
        <v>36</v>
      </c>
      <c r="E2778" s="2" t="str">
        <f t="shared" si="43"/>
        <v/>
      </c>
    </row>
    <row r="2779" spans="1:5" x14ac:dyDescent="0.25">
      <c r="A2779" s="138">
        <v>942012</v>
      </c>
      <c r="B2779">
        <v>242</v>
      </c>
      <c r="C2779">
        <v>16</v>
      </c>
      <c r="D2779">
        <v>36</v>
      </c>
      <c r="E2779" s="2" t="str">
        <f t="shared" si="43"/>
        <v/>
      </c>
    </row>
    <row r="2780" spans="1:5" x14ac:dyDescent="0.25">
      <c r="A2780" s="138">
        <v>942013</v>
      </c>
      <c r="B2780">
        <v>242</v>
      </c>
      <c r="C2780">
        <v>16</v>
      </c>
      <c r="D2780">
        <v>36</v>
      </c>
      <c r="E2780" s="2" t="str">
        <f t="shared" si="43"/>
        <v/>
      </c>
    </row>
    <row r="2781" spans="1:5" x14ac:dyDescent="0.25">
      <c r="A2781" s="138">
        <v>942014</v>
      </c>
      <c r="B2781">
        <v>242</v>
      </c>
      <c r="C2781">
        <v>16</v>
      </c>
      <c r="D2781">
        <v>36</v>
      </c>
      <c r="E2781" s="2" t="str">
        <f t="shared" si="43"/>
        <v/>
      </c>
    </row>
    <row r="2782" spans="1:5" x14ac:dyDescent="0.25">
      <c r="A2782" s="138">
        <v>942015</v>
      </c>
      <c r="B2782">
        <v>242</v>
      </c>
      <c r="C2782">
        <v>16</v>
      </c>
      <c r="D2782">
        <v>36</v>
      </c>
      <c r="E2782" s="2" t="str">
        <f t="shared" si="43"/>
        <v/>
      </c>
    </row>
    <row r="2783" spans="1:5" x14ac:dyDescent="0.25">
      <c r="A2783" s="138">
        <v>942016</v>
      </c>
      <c r="B2783">
        <v>242</v>
      </c>
      <c r="C2783">
        <v>16</v>
      </c>
      <c r="D2783">
        <v>36</v>
      </c>
      <c r="E2783" s="2" t="str">
        <f t="shared" si="43"/>
        <v/>
      </c>
    </row>
    <row r="2784" spans="1:5" x14ac:dyDescent="0.25">
      <c r="A2784" s="138">
        <v>942017</v>
      </c>
      <c r="B2784">
        <v>242</v>
      </c>
      <c r="C2784">
        <v>16</v>
      </c>
      <c r="D2784">
        <v>36</v>
      </c>
      <c r="E2784" s="2" t="str">
        <f t="shared" si="43"/>
        <v/>
      </c>
    </row>
    <row r="2785" spans="1:5" x14ac:dyDescent="0.25">
      <c r="A2785" s="138">
        <v>942018</v>
      </c>
      <c r="B2785">
        <v>242</v>
      </c>
      <c r="C2785">
        <v>16</v>
      </c>
      <c r="D2785">
        <v>36</v>
      </c>
      <c r="E2785" s="2" t="str">
        <f t="shared" si="43"/>
        <v/>
      </c>
    </row>
    <row r="2786" spans="1:5" x14ac:dyDescent="0.25">
      <c r="A2786" s="138">
        <v>942019</v>
      </c>
      <c r="B2786">
        <v>242</v>
      </c>
      <c r="C2786">
        <v>16</v>
      </c>
      <c r="D2786">
        <v>36</v>
      </c>
      <c r="E2786" s="2" t="str">
        <f t="shared" si="43"/>
        <v/>
      </c>
    </row>
    <row r="2787" spans="1:5" x14ac:dyDescent="0.25">
      <c r="A2787" s="138">
        <v>942020</v>
      </c>
      <c r="B2787">
        <v>242</v>
      </c>
      <c r="C2787">
        <v>16</v>
      </c>
      <c r="D2787">
        <v>36</v>
      </c>
      <c r="E2787" s="2" t="str">
        <f t="shared" si="43"/>
        <v/>
      </c>
    </row>
    <row r="2788" spans="1:5" x14ac:dyDescent="0.25">
      <c r="A2788" s="138">
        <v>942021</v>
      </c>
      <c r="B2788">
        <v>242</v>
      </c>
      <c r="C2788">
        <v>16</v>
      </c>
      <c r="D2788">
        <v>36</v>
      </c>
      <c r="E2788" s="2" t="str">
        <f t="shared" si="43"/>
        <v/>
      </c>
    </row>
    <row r="2789" spans="1:5" x14ac:dyDescent="0.25">
      <c r="A2789" s="138">
        <v>942022</v>
      </c>
      <c r="B2789">
        <v>242</v>
      </c>
      <c r="C2789">
        <v>16</v>
      </c>
      <c r="D2789">
        <v>36</v>
      </c>
      <c r="E2789" s="2" t="str">
        <f t="shared" si="43"/>
        <v/>
      </c>
    </row>
    <row r="2790" spans="1:5" x14ac:dyDescent="0.25">
      <c r="A2790" s="138">
        <v>942023</v>
      </c>
      <c r="B2790">
        <v>242</v>
      </c>
      <c r="C2790">
        <v>16</v>
      </c>
      <c r="D2790">
        <v>36</v>
      </c>
      <c r="E2790" s="2" t="str">
        <f t="shared" si="43"/>
        <v/>
      </c>
    </row>
    <row r="2791" spans="1:5" x14ac:dyDescent="0.25">
      <c r="A2791" s="138">
        <v>942024</v>
      </c>
      <c r="B2791">
        <v>242</v>
      </c>
      <c r="C2791">
        <v>16</v>
      </c>
      <c r="D2791">
        <v>36</v>
      </c>
      <c r="E2791" s="2" t="str">
        <f t="shared" si="43"/>
        <v/>
      </c>
    </row>
    <row r="2792" spans="1:5" x14ac:dyDescent="0.25">
      <c r="A2792" s="138">
        <v>942025</v>
      </c>
      <c r="B2792">
        <v>242</v>
      </c>
      <c r="C2792">
        <v>16</v>
      </c>
      <c r="D2792">
        <v>36</v>
      </c>
      <c r="E2792" s="2" t="str">
        <f t="shared" si="43"/>
        <v/>
      </c>
    </row>
    <row r="2793" spans="1:5" x14ac:dyDescent="0.25">
      <c r="A2793" s="138">
        <v>942099</v>
      </c>
      <c r="B2793">
        <v>242</v>
      </c>
      <c r="C2793">
        <v>16</v>
      </c>
      <c r="D2793">
        <v>36</v>
      </c>
      <c r="E2793" s="2" t="str">
        <f t="shared" si="43"/>
        <v/>
      </c>
    </row>
    <row r="2794" spans="1:5" x14ac:dyDescent="0.25">
      <c r="A2794" s="138">
        <v>943000</v>
      </c>
      <c r="B2794">
        <v>242</v>
      </c>
      <c r="C2794">
        <v>16</v>
      </c>
      <c r="D2794">
        <v>36</v>
      </c>
      <c r="E2794" s="2" t="str">
        <f t="shared" si="43"/>
        <v/>
      </c>
    </row>
    <row r="2795" spans="1:5" x14ac:dyDescent="0.25">
      <c r="A2795" s="138">
        <v>943001</v>
      </c>
      <c r="B2795">
        <v>242</v>
      </c>
      <c r="C2795">
        <v>16</v>
      </c>
      <c r="D2795">
        <v>36</v>
      </c>
      <c r="E2795" s="2" t="str">
        <f t="shared" si="43"/>
        <v/>
      </c>
    </row>
    <row r="2796" spans="1:5" x14ac:dyDescent="0.25">
      <c r="A2796" s="138">
        <v>943002</v>
      </c>
      <c r="B2796">
        <v>242</v>
      </c>
      <c r="C2796">
        <v>16</v>
      </c>
      <c r="D2796">
        <v>36</v>
      </c>
      <c r="E2796" s="2" t="str">
        <f t="shared" si="43"/>
        <v/>
      </c>
    </row>
    <row r="2797" spans="1:5" x14ac:dyDescent="0.25">
      <c r="A2797" s="138">
        <v>943003</v>
      </c>
      <c r="B2797">
        <v>242</v>
      </c>
      <c r="C2797">
        <v>16</v>
      </c>
      <c r="D2797">
        <v>36</v>
      </c>
      <c r="E2797" s="2" t="str">
        <f t="shared" si="43"/>
        <v/>
      </c>
    </row>
    <row r="2798" spans="1:5" x14ac:dyDescent="0.25">
      <c r="A2798" s="138">
        <v>943004</v>
      </c>
      <c r="B2798">
        <v>242</v>
      </c>
      <c r="C2798">
        <v>16</v>
      </c>
      <c r="D2798">
        <v>36</v>
      </c>
      <c r="E2798" s="2" t="str">
        <f t="shared" si="43"/>
        <v/>
      </c>
    </row>
    <row r="2799" spans="1:5" x14ac:dyDescent="0.25">
      <c r="A2799" s="138">
        <v>943005</v>
      </c>
      <c r="B2799">
        <v>242</v>
      </c>
      <c r="C2799">
        <v>16</v>
      </c>
      <c r="D2799">
        <v>36</v>
      </c>
      <c r="E2799" s="2" t="str">
        <f t="shared" si="43"/>
        <v/>
      </c>
    </row>
    <row r="2800" spans="1:5" x14ac:dyDescent="0.25">
      <c r="A2800" s="138">
        <v>943006</v>
      </c>
      <c r="B2800">
        <v>242</v>
      </c>
      <c r="C2800">
        <v>16</v>
      </c>
      <c r="D2800">
        <v>36</v>
      </c>
      <c r="E2800" s="2" t="str">
        <f t="shared" si="43"/>
        <v/>
      </c>
    </row>
    <row r="2801" spans="1:5" x14ac:dyDescent="0.25">
      <c r="A2801" s="138">
        <v>943007</v>
      </c>
      <c r="B2801">
        <v>242</v>
      </c>
      <c r="C2801">
        <v>16</v>
      </c>
      <c r="D2801">
        <v>36</v>
      </c>
      <c r="E2801" s="2" t="str">
        <f t="shared" si="43"/>
        <v/>
      </c>
    </row>
    <row r="2802" spans="1:5" x14ac:dyDescent="0.25">
      <c r="A2802" s="138">
        <v>943008</v>
      </c>
      <c r="B2802">
        <v>242</v>
      </c>
      <c r="C2802">
        <v>16</v>
      </c>
      <c r="D2802">
        <v>36</v>
      </c>
      <c r="E2802" s="2" t="str">
        <f t="shared" si="43"/>
        <v/>
      </c>
    </row>
    <row r="2803" spans="1:5" x14ac:dyDescent="0.25">
      <c r="A2803" s="138">
        <v>943099</v>
      </c>
      <c r="B2803">
        <v>242</v>
      </c>
      <c r="C2803">
        <v>16</v>
      </c>
      <c r="D2803">
        <v>36</v>
      </c>
      <c r="E2803" s="2" t="str">
        <f t="shared" si="43"/>
        <v/>
      </c>
    </row>
    <row r="2804" spans="1:5" x14ac:dyDescent="0.25">
      <c r="A2804" s="138">
        <v>951000</v>
      </c>
      <c r="B2804">
        <v>129</v>
      </c>
      <c r="C2804">
        <v>16</v>
      </c>
      <c r="D2804">
        <v>37</v>
      </c>
      <c r="E2804" s="2" t="str">
        <f t="shared" si="43"/>
        <v/>
      </c>
    </row>
    <row r="2805" spans="1:5" x14ac:dyDescent="0.25">
      <c r="A2805" s="138">
        <v>951001</v>
      </c>
      <c r="B2805">
        <v>129</v>
      </c>
      <c r="C2805">
        <v>16</v>
      </c>
      <c r="D2805">
        <v>37</v>
      </c>
      <c r="E2805" s="2" t="str">
        <f t="shared" si="43"/>
        <v/>
      </c>
    </row>
    <row r="2806" spans="1:5" x14ac:dyDescent="0.25">
      <c r="A2806" s="138">
        <v>951002</v>
      </c>
      <c r="B2806">
        <v>129</v>
      </c>
      <c r="C2806">
        <v>16</v>
      </c>
      <c r="D2806">
        <v>37</v>
      </c>
      <c r="E2806" s="2" t="str">
        <f t="shared" si="43"/>
        <v/>
      </c>
    </row>
    <row r="2807" spans="1:5" x14ac:dyDescent="0.25">
      <c r="A2807" s="138">
        <v>951003</v>
      </c>
      <c r="B2807">
        <v>129</v>
      </c>
      <c r="C2807">
        <v>16</v>
      </c>
      <c r="D2807">
        <v>37</v>
      </c>
      <c r="E2807" s="2" t="str">
        <f t="shared" si="43"/>
        <v/>
      </c>
    </row>
    <row r="2808" spans="1:5" x14ac:dyDescent="0.25">
      <c r="A2808" s="138">
        <v>951004</v>
      </c>
      <c r="B2808">
        <v>129</v>
      </c>
      <c r="C2808">
        <v>16</v>
      </c>
      <c r="D2808">
        <v>37</v>
      </c>
      <c r="E2808" s="2" t="str">
        <f t="shared" si="43"/>
        <v/>
      </c>
    </row>
    <row r="2809" spans="1:5" x14ac:dyDescent="0.25">
      <c r="A2809" s="138">
        <v>951005</v>
      </c>
      <c r="B2809">
        <v>129</v>
      </c>
      <c r="C2809">
        <v>16</v>
      </c>
      <c r="D2809">
        <v>37</v>
      </c>
      <c r="E2809" s="2" t="str">
        <f t="shared" si="43"/>
        <v/>
      </c>
    </row>
    <row r="2810" spans="1:5" x14ac:dyDescent="0.25">
      <c r="A2810" s="138">
        <v>951006</v>
      </c>
      <c r="B2810">
        <v>129</v>
      </c>
      <c r="C2810">
        <v>16</v>
      </c>
      <c r="D2810">
        <v>37</v>
      </c>
      <c r="E2810" s="2" t="str">
        <f t="shared" si="43"/>
        <v/>
      </c>
    </row>
    <row r="2811" spans="1:5" x14ac:dyDescent="0.25">
      <c r="A2811" s="138">
        <v>951007</v>
      </c>
      <c r="B2811">
        <v>129</v>
      </c>
      <c r="C2811">
        <v>16</v>
      </c>
      <c r="D2811">
        <v>37</v>
      </c>
      <c r="E2811" s="2" t="str">
        <f t="shared" si="43"/>
        <v/>
      </c>
    </row>
    <row r="2812" spans="1:5" x14ac:dyDescent="0.25">
      <c r="A2812" s="138">
        <v>951008</v>
      </c>
      <c r="B2812">
        <v>129</v>
      </c>
      <c r="C2812">
        <v>16</v>
      </c>
      <c r="D2812">
        <v>37</v>
      </c>
      <c r="E2812" s="2" t="str">
        <f t="shared" si="43"/>
        <v/>
      </c>
    </row>
    <row r="2813" spans="1:5" x14ac:dyDescent="0.25">
      <c r="A2813" s="138">
        <v>951009</v>
      </c>
      <c r="B2813">
        <v>129</v>
      </c>
      <c r="C2813">
        <v>16</v>
      </c>
      <c r="D2813">
        <v>37</v>
      </c>
      <c r="E2813" s="2" t="str">
        <f t="shared" si="43"/>
        <v/>
      </c>
    </row>
    <row r="2814" spans="1:5" x14ac:dyDescent="0.25">
      <c r="A2814" s="138">
        <v>951010</v>
      </c>
      <c r="B2814">
        <v>129</v>
      </c>
      <c r="C2814">
        <v>16</v>
      </c>
      <c r="D2814">
        <v>37</v>
      </c>
      <c r="E2814" s="2" t="str">
        <f t="shared" si="43"/>
        <v/>
      </c>
    </row>
    <row r="2815" spans="1:5" x14ac:dyDescent="0.25">
      <c r="A2815" s="138">
        <v>951011</v>
      </c>
      <c r="B2815">
        <v>129</v>
      </c>
      <c r="C2815">
        <v>16</v>
      </c>
      <c r="D2815">
        <v>37</v>
      </c>
      <c r="E2815" s="2" t="str">
        <f t="shared" si="43"/>
        <v/>
      </c>
    </row>
    <row r="2816" spans="1:5" x14ac:dyDescent="0.25">
      <c r="A2816" s="138">
        <v>951012</v>
      </c>
      <c r="B2816">
        <v>129</v>
      </c>
      <c r="C2816">
        <v>16</v>
      </c>
      <c r="D2816">
        <v>37</v>
      </c>
      <c r="E2816" s="2" t="str">
        <f t="shared" si="43"/>
        <v/>
      </c>
    </row>
    <row r="2817" spans="1:5" x14ac:dyDescent="0.25">
      <c r="A2817" s="138">
        <v>951013</v>
      </c>
      <c r="B2817">
        <v>129</v>
      </c>
      <c r="C2817">
        <v>16</v>
      </c>
      <c r="D2817">
        <v>37</v>
      </c>
      <c r="E2817" s="2" t="str">
        <f t="shared" si="43"/>
        <v/>
      </c>
    </row>
    <row r="2818" spans="1:5" x14ac:dyDescent="0.25">
      <c r="A2818" s="138">
        <v>951014</v>
      </c>
      <c r="B2818">
        <v>129</v>
      </c>
      <c r="C2818">
        <v>16</v>
      </c>
      <c r="D2818">
        <v>37</v>
      </c>
      <c r="E2818" s="2" t="str">
        <f t="shared" si="43"/>
        <v/>
      </c>
    </row>
    <row r="2819" spans="1:5" x14ac:dyDescent="0.25">
      <c r="A2819" s="138">
        <v>951015</v>
      </c>
      <c r="B2819">
        <v>129</v>
      </c>
      <c r="C2819">
        <v>16</v>
      </c>
      <c r="D2819">
        <v>37</v>
      </c>
      <c r="E2819" s="2" t="str">
        <f t="shared" ref="E2819:E2882" si="44">IF(B2819=B2818,IF(C2818=C2819,"",1),"")</f>
        <v/>
      </c>
    </row>
    <row r="2820" spans="1:5" x14ac:dyDescent="0.25">
      <c r="A2820" s="138">
        <v>951016</v>
      </c>
      <c r="B2820">
        <v>129</v>
      </c>
      <c r="C2820">
        <v>16</v>
      </c>
      <c r="D2820">
        <v>37</v>
      </c>
      <c r="E2820" s="2" t="str">
        <f t="shared" si="44"/>
        <v/>
      </c>
    </row>
    <row r="2821" spans="1:5" x14ac:dyDescent="0.25">
      <c r="A2821" s="138">
        <v>951017</v>
      </c>
      <c r="B2821">
        <v>129</v>
      </c>
      <c r="C2821">
        <v>16</v>
      </c>
      <c r="D2821">
        <v>37</v>
      </c>
      <c r="E2821" s="2" t="str">
        <f t="shared" si="44"/>
        <v/>
      </c>
    </row>
    <row r="2822" spans="1:5" x14ac:dyDescent="0.25">
      <c r="A2822" s="138">
        <v>951018</v>
      </c>
      <c r="B2822">
        <v>129</v>
      </c>
      <c r="C2822">
        <v>16</v>
      </c>
      <c r="D2822">
        <v>37</v>
      </c>
      <c r="E2822" s="2" t="str">
        <f t="shared" si="44"/>
        <v/>
      </c>
    </row>
    <row r="2823" spans="1:5" x14ac:dyDescent="0.25">
      <c r="A2823" s="138">
        <v>951019</v>
      </c>
      <c r="B2823">
        <v>129</v>
      </c>
      <c r="C2823">
        <v>16</v>
      </c>
      <c r="D2823">
        <v>37</v>
      </c>
      <c r="E2823" s="2" t="str">
        <f t="shared" si="44"/>
        <v/>
      </c>
    </row>
    <row r="2824" spans="1:5" x14ac:dyDescent="0.25">
      <c r="A2824" s="138">
        <v>951020</v>
      </c>
      <c r="B2824">
        <v>129</v>
      </c>
      <c r="C2824">
        <v>16</v>
      </c>
      <c r="D2824">
        <v>37</v>
      </c>
      <c r="E2824" s="2" t="str">
        <f t="shared" si="44"/>
        <v/>
      </c>
    </row>
    <row r="2825" spans="1:5" x14ac:dyDescent="0.25">
      <c r="A2825" s="138">
        <v>951021</v>
      </c>
      <c r="B2825">
        <v>129</v>
      </c>
      <c r="C2825">
        <v>16</v>
      </c>
      <c r="D2825">
        <v>37</v>
      </c>
      <c r="E2825" s="2" t="str">
        <f t="shared" si="44"/>
        <v/>
      </c>
    </row>
    <row r="2826" spans="1:5" x14ac:dyDescent="0.25">
      <c r="A2826" s="138">
        <v>951022</v>
      </c>
      <c r="B2826">
        <v>129</v>
      </c>
      <c r="C2826">
        <v>16</v>
      </c>
      <c r="D2826">
        <v>37</v>
      </c>
      <c r="E2826" s="2" t="str">
        <f t="shared" si="44"/>
        <v/>
      </c>
    </row>
    <row r="2827" spans="1:5" x14ac:dyDescent="0.25">
      <c r="A2827" s="138">
        <v>951023</v>
      </c>
      <c r="B2827">
        <v>129</v>
      </c>
      <c r="C2827">
        <v>16</v>
      </c>
      <c r="D2827">
        <v>37</v>
      </c>
      <c r="E2827" s="2" t="str">
        <f t="shared" si="44"/>
        <v/>
      </c>
    </row>
    <row r="2828" spans="1:5" x14ac:dyDescent="0.25">
      <c r="A2828" s="138">
        <v>951024</v>
      </c>
      <c r="B2828">
        <v>129</v>
      </c>
      <c r="C2828">
        <v>16</v>
      </c>
      <c r="D2828">
        <v>37</v>
      </c>
      <c r="E2828" s="2" t="str">
        <f t="shared" si="44"/>
        <v/>
      </c>
    </row>
    <row r="2829" spans="1:5" x14ac:dyDescent="0.25">
      <c r="A2829" s="138">
        <v>951099</v>
      </c>
      <c r="B2829">
        <v>129</v>
      </c>
      <c r="C2829">
        <v>16</v>
      </c>
      <c r="D2829">
        <v>37</v>
      </c>
      <c r="E2829" s="2" t="str">
        <f t="shared" si="44"/>
        <v/>
      </c>
    </row>
    <row r="2830" spans="1:5" x14ac:dyDescent="0.25">
      <c r="A2830" s="138">
        <v>952000</v>
      </c>
      <c r="B2830">
        <v>129</v>
      </c>
      <c r="C2830">
        <v>16</v>
      </c>
      <c r="D2830">
        <v>37</v>
      </c>
      <c r="E2830" s="2" t="str">
        <f t="shared" si="44"/>
        <v/>
      </c>
    </row>
    <row r="2831" spans="1:5" x14ac:dyDescent="0.25">
      <c r="A2831" s="138">
        <v>952001</v>
      </c>
      <c r="B2831">
        <v>129</v>
      </c>
      <c r="C2831">
        <v>16</v>
      </c>
      <c r="D2831">
        <v>37</v>
      </c>
      <c r="E2831" s="2" t="str">
        <f t="shared" si="44"/>
        <v/>
      </c>
    </row>
    <row r="2832" spans="1:5" x14ac:dyDescent="0.25">
      <c r="A2832" s="138">
        <v>952002</v>
      </c>
      <c r="B2832">
        <v>129</v>
      </c>
      <c r="C2832">
        <v>16</v>
      </c>
      <c r="D2832">
        <v>37</v>
      </c>
      <c r="E2832" s="2" t="str">
        <f t="shared" si="44"/>
        <v/>
      </c>
    </row>
    <row r="2833" spans="1:5" x14ac:dyDescent="0.25">
      <c r="A2833" s="138">
        <v>952003</v>
      </c>
      <c r="B2833">
        <v>129</v>
      </c>
      <c r="C2833">
        <v>16</v>
      </c>
      <c r="D2833">
        <v>37</v>
      </c>
      <c r="E2833" s="2" t="str">
        <f t="shared" si="44"/>
        <v/>
      </c>
    </row>
    <row r="2834" spans="1:5" x14ac:dyDescent="0.25">
      <c r="A2834" s="138">
        <v>952004</v>
      </c>
      <c r="B2834">
        <v>129</v>
      </c>
      <c r="C2834">
        <v>16</v>
      </c>
      <c r="D2834">
        <v>37</v>
      </c>
      <c r="E2834" s="2" t="str">
        <f t="shared" si="44"/>
        <v/>
      </c>
    </row>
    <row r="2835" spans="1:5" x14ac:dyDescent="0.25">
      <c r="A2835" s="138">
        <v>952005</v>
      </c>
      <c r="B2835">
        <v>129</v>
      </c>
      <c r="C2835">
        <v>16</v>
      </c>
      <c r="D2835">
        <v>37</v>
      </c>
      <c r="E2835" s="2" t="str">
        <f t="shared" si="44"/>
        <v/>
      </c>
    </row>
    <row r="2836" spans="1:5" x14ac:dyDescent="0.25">
      <c r="A2836" s="138">
        <v>952006</v>
      </c>
      <c r="B2836">
        <v>129</v>
      </c>
      <c r="C2836">
        <v>16</v>
      </c>
      <c r="D2836">
        <v>37</v>
      </c>
      <c r="E2836" s="2" t="str">
        <f t="shared" si="44"/>
        <v/>
      </c>
    </row>
    <row r="2837" spans="1:5" x14ac:dyDescent="0.25">
      <c r="A2837" s="138">
        <v>952099</v>
      </c>
      <c r="B2837">
        <v>129</v>
      </c>
      <c r="C2837">
        <v>16</v>
      </c>
      <c r="D2837">
        <v>37</v>
      </c>
      <c r="E2837" s="2" t="str">
        <f t="shared" si="44"/>
        <v/>
      </c>
    </row>
    <row r="2838" spans="1:5" x14ac:dyDescent="0.25">
      <c r="A2838" s="138">
        <v>953000</v>
      </c>
      <c r="B2838">
        <v>129</v>
      </c>
      <c r="C2838">
        <v>16</v>
      </c>
      <c r="D2838">
        <v>37</v>
      </c>
      <c r="E2838" s="2" t="str">
        <f t="shared" si="44"/>
        <v/>
      </c>
    </row>
    <row r="2839" spans="1:5" x14ac:dyDescent="0.25">
      <c r="A2839" s="138">
        <v>953001</v>
      </c>
      <c r="B2839">
        <v>129</v>
      </c>
      <c r="C2839">
        <v>16</v>
      </c>
      <c r="D2839">
        <v>37</v>
      </c>
      <c r="E2839" s="2" t="str">
        <f t="shared" si="44"/>
        <v/>
      </c>
    </row>
    <row r="2840" spans="1:5" x14ac:dyDescent="0.25">
      <c r="A2840" s="138">
        <v>953002</v>
      </c>
      <c r="B2840">
        <v>129</v>
      </c>
      <c r="C2840">
        <v>16</v>
      </c>
      <c r="D2840">
        <v>37</v>
      </c>
      <c r="E2840" s="2" t="str">
        <f t="shared" si="44"/>
        <v/>
      </c>
    </row>
    <row r="2841" spans="1:5" x14ac:dyDescent="0.25">
      <c r="A2841" s="138">
        <v>953003</v>
      </c>
      <c r="B2841">
        <v>129</v>
      </c>
      <c r="C2841">
        <v>16</v>
      </c>
      <c r="D2841">
        <v>37</v>
      </c>
      <c r="E2841" s="2" t="str">
        <f t="shared" si="44"/>
        <v/>
      </c>
    </row>
    <row r="2842" spans="1:5" x14ac:dyDescent="0.25">
      <c r="A2842" s="138">
        <v>953004</v>
      </c>
      <c r="B2842">
        <v>129</v>
      </c>
      <c r="C2842">
        <v>16</v>
      </c>
      <c r="D2842">
        <v>37</v>
      </c>
      <c r="E2842" s="2" t="str">
        <f t="shared" si="44"/>
        <v/>
      </c>
    </row>
    <row r="2843" spans="1:5" x14ac:dyDescent="0.25">
      <c r="A2843" s="138">
        <v>953005</v>
      </c>
      <c r="B2843">
        <v>129</v>
      </c>
      <c r="C2843">
        <v>16</v>
      </c>
      <c r="D2843">
        <v>37</v>
      </c>
      <c r="E2843" s="2" t="str">
        <f t="shared" si="44"/>
        <v/>
      </c>
    </row>
    <row r="2844" spans="1:5" x14ac:dyDescent="0.25">
      <c r="A2844" s="138">
        <v>953006</v>
      </c>
      <c r="B2844">
        <v>129</v>
      </c>
      <c r="C2844">
        <v>16</v>
      </c>
      <c r="D2844">
        <v>37</v>
      </c>
      <c r="E2844" s="2" t="str">
        <f t="shared" si="44"/>
        <v/>
      </c>
    </row>
    <row r="2845" spans="1:5" x14ac:dyDescent="0.25">
      <c r="A2845" s="138">
        <v>953007</v>
      </c>
      <c r="B2845">
        <v>129</v>
      </c>
      <c r="C2845">
        <v>16</v>
      </c>
      <c r="D2845">
        <v>37</v>
      </c>
      <c r="E2845" s="2" t="str">
        <f t="shared" si="44"/>
        <v/>
      </c>
    </row>
    <row r="2846" spans="1:5" x14ac:dyDescent="0.25">
      <c r="A2846" s="138">
        <v>953008</v>
      </c>
      <c r="B2846">
        <v>129</v>
      </c>
      <c r="C2846">
        <v>16</v>
      </c>
      <c r="D2846">
        <v>37</v>
      </c>
      <c r="E2846" s="2" t="str">
        <f t="shared" si="44"/>
        <v/>
      </c>
    </row>
    <row r="2847" spans="1:5" x14ac:dyDescent="0.25">
      <c r="A2847" s="138">
        <v>953009</v>
      </c>
      <c r="B2847">
        <v>129</v>
      </c>
      <c r="C2847">
        <v>16</v>
      </c>
      <c r="D2847">
        <v>37</v>
      </c>
      <c r="E2847" s="2" t="str">
        <f t="shared" si="44"/>
        <v/>
      </c>
    </row>
    <row r="2848" spans="1:5" x14ac:dyDescent="0.25">
      <c r="A2848" s="138">
        <v>953010</v>
      </c>
      <c r="B2848">
        <v>129</v>
      </c>
      <c r="C2848">
        <v>16</v>
      </c>
      <c r="D2848">
        <v>37</v>
      </c>
      <c r="E2848" s="2" t="str">
        <f t="shared" si="44"/>
        <v/>
      </c>
    </row>
    <row r="2849" spans="1:5" x14ac:dyDescent="0.25">
      <c r="A2849" s="138">
        <v>953011</v>
      </c>
      <c r="B2849">
        <v>129</v>
      </c>
      <c r="C2849">
        <v>16</v>
      </c>
      <c r="D2849">
        <v>37</v>
      </c>
      <c r="E2849" s="2" t="str">
        <f t="shared" si="44"/>
        <v/>
      </c>
    </row>
    <row r="2850" spans="1:5" x14ac:dyDescent="0.25">
      <c r="A2850" s="138">
        <v>953099</v>
      </c>
      <c r="B2850">
        <v>129</v>
      </c>
      <c r="C2850">
        <v>16</v>
      </c>
      <c r="D2850">
        <v>37</v>
      </c>
      <c r="E2850" s="2" t="str">
        <f t="shared" si="44"/>
        <v/>
      </c>
    </row>
    <row r="2851" spans="1:5" x14ac:dyDescent="0.25">
      <c r="A2851" s="138">
        <v>954000</v>
      </c>
      <c r="B2851">
        <v>127</v>
      </c>
      <c r="C2851">
        <v>16</v>
      </c>
      <c r="D2851">
        <v>16</v>
      </c>
      <c r="E2851" s="2" t="str">
        <f t="shared" si="44"/>
        <v/>
      </c>
    </row>
    <row r="2852" spans="1:5" x14ac:dyDescent="0.25">
      <c r="A2852" s="138">
        <v>954001</v>
      </c>
      <c r="B2852">
        <v>127</v>
      </c>
      <c r="C2852">
        <v>16</v>
      </c>
      <c r="D2852">
        <v>16</v>
      </c>
      <c r="E2852" s="2" t="str">
        <f t="shared" si="44"/>
        <v/>
      </c>
    </row>
    <row r="2853" spans="1:5" x14ac:dyDescent="0.25">
      <c r="A2853" s="138">
        <v>954002</v>
      </c>
      <c r="B2853">
        <v>127</v>
      </c>
      <c r="C2853">
        <v>16</v>
      </c>
      <c r="D2853">
        <v>16</v>
      </c>
      <c r="E2853" s="2" t="str">
        <f t="shared" si="44"/>
        <v/>
      </c>
    </row>
    <row r="2854" spans="1:5" x14ac:dyDescent="0.25">
      <c r="A2854" s="138">
        <v>954003</v>
      </c>
      <c r="B2854">
        <v>127</v>
      </c>
      <c r="C2854">
        <v>16</v>
      </c>
      <c r="D2854">
        <v>16</v>
      </c>
      <c r="E2854" s="2" t="str">
        <f t="shared" si="44"/>
        <v/>
      </c>
    </row>
    <row r="2855" spans="1:5" x14ac:dyDescent="0.25">
      <c r="A2855" s="138">
        <v>954004</v>
      </c>
      <c r="B2855">
        <v>127</v>
      </c>
      <c r="C2855">
        <v>16</v>
      </c>
      <c r="D2855">
        <v>16</v>
      </c>
      <c r="E2855" s="2" t="str">
        <f t="shared" si="44"/>
        <v/>
      </c>
    </row>
    <row r="2856" spans="1:5" x14ac:dyDescent="0.25">
      <c r="A2856" s="138">
        <v>954005</v>
      </c>
      <c r="B2856">
        <v>127</v>
      </c>
      <c r="C2856">
        <v>16</v>
      </c>
      <c r="D2856">
        <v>16</v>
      </c>
      <c r="E2856" s="2" t="str">
        <f t="shared" si="44"/>
        <v/>
      </c>
    </row>
    <row r="2857" spans="1:5" x14ac:dyDescent="0.25">
      <c r="A2857" s="138">
        <v>954006</v>
      </c>
      <c r="B2857">
        <v>127</v>
      </c>
      <c r="C2857">
        <v>16</v>
      </c>
      <c r="D2857">
        <v>16</v>
      </c>
      <c r="E2857" s="2" t="str">
        <f t="shared" si="44"/>
        <v/>
      </c>
    </row>
    <row r="2858" spans="1:5" x14ac:dyDescent="0.25">
      <c r="A2858" s="138">
        <v>954007</v>
      </c>
      <c r="B2858">
        <v>127</v>
      </c>
      <c r="C2858">
        <v>16</v>
      </c>
      <c r="D2858">
        <v>16</v>
      </c>
      <c r="E2858" s="2" t="str">
        <f t="shared" si="44"/>
        <v/>
      </c>
    </row>
    <row r="2859" spans="1:5" x14ac:dyDescent="0.25">
      <c r="A2859" s="138">
        <v>954008</v>
      </c>
      <c r="B2859">
        <v>127</v>
      </c>
      <c r="C2859">
        <v>16</v>
      </c>
      <c r="D2859">
        <v>16</v>
      </c>
      <c r="E2859" s="2" t="str">
        <f t="shared" si="44"/>
        <v/>
      </c>
    </row>
    <row r="2860" spans="1:5" x14ac:dyDescent="0.25">
      <c r="A2860" s="138">
        <v>954009</v>
      </c>
      <c r="B2860">
        <v>127</v>
      </c>
      <c r="C2860">
        <v>16</v>
      </c>
      <c r="D2860">
        <v>16</v>
      </c>
      <c r="E2860" s="2" t="str">
        <f t="shared" si="44"/>
        <v/>
      </c>
    </row>
    <row r="2861" spans="1:5" x14ac:dyDescent="0.25">
      <c r="A2861" s="138">
        <v>954010</v>
      </c>
      <c r="B2861">
        <v>127</v>
      </c>
      <c r="C2861">
        <v>16</v>
      </c>
      <c r="D2861">
        <v>16</v>
      </c>
      <c r="E2861" s="2" t="str">
        <f t="shared" si="44"/>
        <v/>
      </c>
    </row>
    <row r="2862" spans="1:5" x14ac:dyDescent="0.25">
      <c r="A2862" s="138">
        <v>954011</v>
      </c>
      <c r="B2862">
        <v>127</v>
      </c>
      <c r="C2862">
        <v>16</v>
      </c>
      <c r="D2862">
        <v>16</v>
      </c>
      <c r="E2862" s="2" t="str">
        <f t="shared" si="44"/>
        <v/>
      </c>
    </row>
    <row r="2863" spans="1:5" x14ac:dyDescent="0.25">
      <c r="A2863" s="138">
        <v>954012</v>
      </c>
      <c r="B2863">
        <v>127</v>
      </c>
      <c r="C2863">
        <v>16</v>
      </c>
      <c r="D2863">
        <v>16</v>
      </c>
      <c r="E2863" s="2" t="str">
        <f t="shared" si="44"/>
        <v/>
      </c>
    </row>
    <row r="2864" spans="1:5" x14ac:dyDescent="0.25">
      <c r="A2864" s="138">
        <v>954013</v>
      </c>
      <c r="B2864">
        <v>127</v>
      </c>
      <c r="C2864">
        <v>16</v>
      </c>
      <c r="D2864">
        <v>16</v>
      </c>
      <c r="E2864" s="2" t="str">
        <f t="shared" si="44"/>
        <v/>
      </c>
    </row>
    <row r="2865" spans="1:5" x14ac:dyDescent="0.25">
      <c r="A2865" s="138">
        <v>954014</v>
      </c>
      <c r="B2865">
        <v>127</v>
      </c>
      <c r="C2865">
        <v>16</v>
      </c>
      <c r="D2865">
        <v>16</v>
      </c>
      <c r="E2865" s="2" t="str">
        <f t="shared" si="44"/>
        <v/>
      </c>
    </row>
    <row r="2866" spans="1:5" x14ac:dyDescent="0.25">
      <c r="A2866" s="138">
        <v>954015</v>
      </c>
      <c r="B2866">
        <v>127</v>
      </c>
      <c r="C2866">
        <v>16</v>
      </c>
      <c r="D2866">
        <v>16</v>
      </c>
      <c r="E2866" s="2" t="str">
        <f t="shared" si="44"/>
        <v/>
      </c>
    </row>
    <row r="2867" spans="1:5" x14ac:dyDescent="0.25">
      <c r="A2867" s="138">
        <v>954016</v>
      </c>
      <c r="B2867">
        <v>127</v>
      </c>
      <c r="C2867">
        <v>16</v>
      </c>
      <c r="D2867">
        <v>16</v>
      </c>
      <c r="E2867" s="2" t="str">
        <f t="shared" si="44"/>
        <v/>
      </c>
    </row>
    <row r="2868" spans="1:5" x14ac:dyDescent="0.25">
      <c r="A2868" s="138">
        <v>954017</v>
      </c>
      <c r="B2868">
        <v>127</v>
      </c>
      <c r="C2868">
        <v>16</v>
      </c>
      <c r="D2868">
        <v>16</v>
      </c>
      <c r="E2868" s="2" t="str">
        <f t="shared" si="44"/>
        <v/>
      </c>
    </row>
    <row r="2869" spans="1:5" x14ac:dyDescent="0.25">
      <c r="A2869" s="138">
        <v>954018</v>
      </c>
      <c r="B2869">
        <v>127</v>
      </c>
      <c r="C2869">
        <v>16</v>
      </c>
      <c r="D2869">
        <v>16</v>
      </c>
      <c r="E2869" s="2" t="str">
        <f t="shared" si="44"/>
        <v/>
      </c>
    </row>
    <row r="2870" spans="1:5" x14ac:dyDescent="0.25">
      <c r="A2870" s="138">
        <v>954019</v>
      </c>
      <c r="B2870">
        <v>127</v>
      </c>
      <c r="C2870">
        <v>16</v>
      </c>
      <c r="D2870">
        <v>16</v>
      </c>
      <c r="E2870" s="2" t="str">
        <f t="shared" si="44"/>
        <v/>
      </c>
    </row>
    <row r="2871" spans="1:5" x14ac:dyDescent="0.25">
      <c r="A2871" s="138">
        <v>954020</v>
      </c>
      <c r="B2871">
        <v>127</v>
      </c>
      <c r="C2871">
        <v>16</v>
      </c>
      <c r="D2871">
        <v>16</v>
      </c>
      <c r="E2871" s="2" t="str">
        <f t="shared" si="44"/>
        <v/>
      </c>
    </row>
    <row r="2872" spans="1:5" x14ac:dyDescent="0.25">
      <c r="A2872" s="138">
        <v>954021</v>
      </c>
      <c r="B2872">
        <v>127</v>
      </c>
      <c r="C2872">
        <v>16</v>
      </c>
      <c r="D2872">
        <v>16</v>
      </c>
      <c r="E2872" s="2" t="str">
        <f t="shared" si="44"/>
        <v/>
      </c>
    </row>
    <row r="2873" spans="1:5" x14ac:dyDescent="0.25">
      <c r="A2873" s="138">
        <v>954022</v>
      </c>
      <c r="B2873">
        <v>127</v>
      </c>
      <c r="C2873">
        <v>16</v>
      </c>
      <c r="D2873">
        <v>16</v>
      </c>
      <c r="E2873" s="2" t="str">
        <f t="shared" si="44"/>
        <v/>
      </c>
    </row>
    <row r="2874" spans="1:5" x14ac:dyDescent="0.25">
      <c r="A2874" s="138">
        <v>954023</v>
      </c>
      <c r="B2874">
        <v>127</v>
      </c>
      <c r="C2874">
        <v>16</v>
      </c>
      <c r="D2874">
        <v>16</v>
      </c>
      <c r="E2874" s="2" t="str">
        <f t="shared" si="44"/>
        <v/>
      </c>
    </row>
    <row r="2875" spans="1:5" x14ac:dyDescent="0.25">
      <c r="A2875" s="138">
        <v>954024</v>
      </c>
      <c r="B2875">
        <v>127</v>
      </c>
      <c r="C2875">
        <v>16</v>
      </c>
      <c r="D2875">
        <v>16</v>
      </c>
      <c r="E2875" s="2" t="str">
        <f t="shared" si="44"/>
        <v/>
      </c>
    </row>
    <row r="2876" spans="1:5" x14ac:dyDescent="0.25">
      <c r="A2876" s="138">
        <v>954025</v>
      </c>
      <c r="B2876">
        <v>127</v>
      </c>
      <c r="C2876">
        <v>16</v>
      </c>
      <c r="D2876">
        <v>16</v>
      </c>
      <c r="E2876" s="2" t="str">
        <f t="shared" si="44"/>
        <v/>
      </c>
    </row>
    <row r="2877" spans="1:5" x14ac:dyDescent="0.25">
      <c r="A2877" s="138">
        <v>954026</v>
      </c>
      <c r="B2877">
        <v>127</v>
      </c>
      <c r="C2877">
        <v>16</v>
      </c>
      <c r="D2877">
        <v>16</v>
      </c>
      <c r="E2877" s="2" t="str">
        <f t="shared" si="44"/>
        <v/>
      </c>
    </row>
    <row r="2878" spans="1:5" x14ac:dyDescent="0.25">
      <c r="A2878" s="138">
        <v>954027</v>
      </c>
      <c r="B2878">
        <v>127</v>
      </c>
      <c r="C2878">
        <v>16</v>
      </c>
      <c r="D2878">
        <v>16</v>
      </c>
      <c r="E2878" s="2" t="str">
        <f t="shared" si="44"/>
        <v/>
      </c>
    </row>
    <row r="2879" spans="1:5" x14ac:dyDescent="0.25">
      <c r="A2879" s="138">
        <v>954028</v>
      </c>
      <c r="B2879">
        <v>127</v>
      </c>
      <c r="C2879">
        <v>16</v>
      </c>
      <c r="D2879">
        <v>16</v>
      </c>
      <c r="E2879" s="2" t="str">
        <f t="shared" si="44"/>
        <v/>
      </c>
    </row>
    <row r="2880" spans="1:5" x14ac:dyDescent="0.25">
      <c r="A2880" s="138">
        <v>954029</v>
      </c>
      <c r="B2880">
        <v>127</v>
      </c>
      <c r="C2880">
        <v>16</v>
      </c>
      <c r="D2880">
        <v>16</v>
      </c>
      <c r="E2880" s="2" t="str">
        <f t="shared" si="44"/>
        <v/>
      </c>
    </row>
    <row r="2881" spans="1:5" x14ac:dyDescent="0.25">
      <c r="A2881" s="138">
        <v>954030</v>
      </c>
      <c r="B2881">
        <v>127</v>
      </c>
      <c r="C2881">
        <v>16</v>
      </c>
      <c r="D2881">
        <v>16</v>
      </c>
      <c r="E2881" s="2" t="str">
        <f t="shared" si="44"/>
        <v/>
      </c>
    </row>
    <row r="2882" spans="1:5" x14ac:dyDescent="0.25">
      <c r="A2882" s="138">
        <v>954031</v>
      </c>
      <c r="B2882">
        <v>127</v>
      </c>
      <c r="C2882">
        <v>16</v>
      </c>
      <c r="D2882">
        <v>16</v>
      </c>
      <c r="E2882" s="2" t="str">
        <f t="shared" si="44"/>
        <v/>
      </c>
    </row>
    <row r="2883" spans="1:5" x14ac:dyDescent="0.25">
      <c r="A2883" s="138">
        <v>954032</v>
      </c>
      <c r="B2883">
        <v>127</v>
      </c>
      <c r="C2883">
        <v>16</v>
      </c>
      <c r="D2883">
        <v>16</v>
      </c>
      <c r="E2883" s="2" t="str">
        <f t="shared" ref="E2883:E2946" si="45">IF(B2883=B2882,IF(C2882=C2883,"",1),"")</f>
        <v/>
      </c>
    </row>
    <row r="2884" spans="1:5" x14ac:dyDescent="0.25">
      <c r="A2884" s="138">
        <v>954033</v>
      </c>
      <c r="B2884">
        <v>127</v>
      </c>
      <c r="C2884">
        <v>16</v>
      </c>
      <c r="D2884">
        <v>16</v>
      </c>
      <c r="E2884" s="2" t="str">
        <f t="shared" si="45"/>
        <v/>
      </c>
    </row>
    <row r="2885" spans="1:5" x14ac:dyDescent="0.25">
      <c r="A2885" s="138">
        <v>954034</v>
      </c>
      <c r="B2885">
        <v>127</v>
      </c>
      <c r="C2885">
        <v>16</v>
      </c>
      <c r="D2885">
        <v>16</v>
      </c>
      <c r="E2885" s="2" t="str">
        <f t="shared" si="45"/>
        <v/>
      </c>
    </row>
    <row r="2886" spans="1:5" x14ac:dyDescent="0.25">
      <c r="A2886" s="138">
        <v>954035</v>
      </c>
      <c r="B2886">
        <v>127</v>
      </c>
      <c r="C2886">
        <v>16</v>
      </c>
      <c r="D2886">
        <v>16</v>
      </c>
      <c r="E2886" s="2" t="str">
        <f t="shared" si="45"/>
        <v/>
      </c>
    </row>
    <row r="2887" spans="1:5" x14ac:dyDescent="0.25">
      <c r="A2887" s="138">
        <v>954036</v>
      </c>
      <c r="B2887">
        <v>127</v>
      </c>
      <c r="C2887">
        <v>16</v>
      </c>
      <c r="D2887">
        <v>16</v>
      </c>
      <c r="E2887" s="2" t="str">
        <f t="shared" si="45"/>
        <v/>
      </c>
    </row>
    <row r="2888" spans="1:5" x14ac:dyDescent="0.25">
      <c r="A2888" s="138">
        <v>954037</v>
      </c>
      <c r="B2888">
        <v>127</v>
      </c>
      <c r="C2888">
        <v>16</v>
      </c>
      <c r="D2888">
        <v>16</v>
      </c>
      <c r="E2888" s="2" t="str">
        <f t="shared" si="45"/>
        <v/>
      </c>
    </row>
    <row r="2889" spans="1:5" x14ac:dyDescent="0.25">
      <c r="A2889" s="138">
        <v>954038</v>
      </c>
      <c r="B2889">
        <v>127</v>
      </c>
      <c r="C2889">
        <v>16</v>
      </c>
      <c r="D2889">
        <v>16</v>
      </c>
      <c r="E2889" s="2" t="str">
        <f t="shared" si="45"/>
        <v/>
      </c>
    </row>
    <row r="2890" spans="1:5" x14ac:dyDescent="0.25">
      <c r="A2890" s="138">
        <v>954039</v>
      </c>
      <c r="B2890">
        <v>127</v>
      </c>
      <c r="C2890">
        <v>16</v>
      </c>
      <c r="D2890">
        <v>16</v>
      </c>
      <c r="E2890" s="2" t="str">
        <f t="shared" si="45"/>
        <v/>
      </c>
    </row>
    <row r="2891" spans="1:5" x14ac:dyDescent="0.25">
      <c r="A2891" s="138">
        <v>954040</v>
      </c>
      <c r="B2891">
        <v>127</v>
      </c>
      <c r="C2891">
        <v>16</v>
      </c>
      <c r="D2891">
        <v>16</v>
      </c>
      <c r="E2891" s="2" t="str">
        <f t="shared" si="45"/>
        <v/>
      </c>
    </row>
    <row r="2892" spans="1:5" x14ac:dyDescent="0.25">
      <c r="A2892" s="138">
        <v>954041</v>
      </c>
      <c r="B2892">
        <v>127</v>
      </c>
      <c r="C2892">
        <v>16</v>
      </c>
      <c r="D2892">
        <v>16</v>
      </c>
      <c r="E2892" s="2" t="str">
        <f t="shared" si="45"/>
        <v/>
      </c>
    </row>
    <row r="2893" spans="1:5" x14ac:dyDescent="0.25">
      <c r="A2893" s="138">
        <v>954042</v>
      </c>
      <c r="B2893">
        <v>127</v>
      </c>
      <c r="C2893">
        <v>16</v>
      </c>
      <c r="D2893">
        <v>16</v>
      </c>
      <c r="E2893" s="2" t="str">
        <f t="shared" si="45"/>
        <v/>
      </c>
    </row>
    <row r="2894" spans="1:5" x14ac:dyDescent="0.25">
      <c r="A2894" s="138">
        <v>954043</v>
      </c>
      <c r="B2894">
        <v>127</v>
      </c>
      <c r="C2894">
        <v>16</v>
      </c>
      <c r="D2894">
        <v>16</v>
      </c>
      <c r="E2894" s="2" t="str">
        <f t="shared" si="45"/>
        <v/>
      </c>
    </row>
    <row r="2895" spans="1:5" x14ac:dyDescent="0.25">
      <c r="A2895" s="138">
        <v>954044</v>
      </c>
      <c r="B2895">
        <v>127</v>
      </c>
      <c r="C2895">
        <v>16</v>
      </c>
      <c r="D2895">
        <v>16</v>
      </c>
      <c r="E2895" s="2" t="str">
        <f t="shared" si="45"/>
        <v/>
      </c>
    </row>
    <row r="2896" spans="1:5" x14ac:dyDescent="0.25">
      <c r="A2896" s="138">
        <v>954045</v>
      </c>
      <c r="B2896">
        <v>127</v>
      </c>
      <c r="C2896">
        <v>16</v>
      </c>
      <c r="D2896">
        <v>16</v>
      </c>
      <c r="E2896" s="2" t="str">
        <f t="shared" si="45"/>
        <v/>
      </c>
    </row>
    <row r="2897" spans="1:5" x14ac:dyDescent="0.25">
      <c r="A2897" s="138">
        <v>954046</v>
      </c>
      <c r="B2897">
        <v>127</v>
      </c>
      <c r="C2897">
        <v>16</v>
      </c>
      <c r="D2897">
        <v>16</v>
      </c>
      <c r="E2897" s="2" t="str">
        <f t="shared" si="45"/>
        <v/>
      </c>
    </row>
    <row r="2898" spans="1:5" x14ac:dyDescent="0.25">
      <c r="A2898" s="138">
        <v>954047</v>
      </c>
      <c r="B2898">
        <v>127</v>
      </c>
      <c r="C2898">
        <v>16</v>
      </c>
      <c r="D2898">
        <v>16</v>
      </c>
      <c r="E2898" s="2" t="str">
        <f t="shared" si="45"/>
        <v/>
      </c>
    </row>
    <row r="2899" spans="1:5" x14ac:dyDescent="0.25">
      <c r="A2899" s="138">
        <v>954048</v>
      </c>
      <c r="B2899">
        <v>127</v>
      </c>
      <c r="C2899">
        <v>16</v>
      </c>
      <c r="D2899">
        <v>16</v>
      </c>
      <c r="E2899" s="2" t="str">
        <f t="shared" si="45"/>
        <v/>
      </c>
    </row>
    <row r="2900" spans="1:5" x14ac:dyDescent="0.25">
      <c r="A2900" s="138">
        <v>954049</v>
      </c>
      <c r="B2900">
        <v>127</v>
      </c>
      <c r="C2900">
        <v>16</v>
      </c>
      <c r="D2900">
        <v>16</v>
      </c>
      <c r="E2900" s="2" t="str">
        <f t="shared" si="45"/>
        <v/>
      </c>
    </row>
    <row r="2901" spans="1:5" x14ac:dyDescent="0.25">
      <c r="A2901" s="138">
        <v>954050</v>
      </c>
      <c r="B2901">
        <v>127</v>
      </c>
      <c r="C2901">
        <v>16</v>
      </c>
      <c r="D2901">
        <v>16</v>
      </c>
      <c r="E2901" s="2" t="str">
        <f t="shared" si="45"/>
        <v/>
      </c>
    </row>
    <row r="2902" spans="1:5" x14ac:dyDescent="0.25">
      <c r="A2902" s="138">
        <v>954051</v>
      </c>
      <c r="B2902">
        <v>127</v>
      </c>
      <c r="C2902">
        <v>16</v>
      </c>
      <c r="D2902">
        <v>16</v>
      </c>
      <c r="E2902" s="2" t="str">
        <f t="shared" si="45"/>
        <v/>
      </c>
    </row>
    <row r="2903" spans="1:5" x14ac:dyDescent="0.25">
      <c r="A2903" s="138">
        <v>954052</v>
      </c>
      <c r="B2903">
        <v>127</v>
      </c>
      <c r="C2903">
        <v>16</v>
      </c>
      <c r="D2903">
        <v>16</v>
      </c>
      <c r="E2903" s="2" t="str">
        <f t="shared" si="45"/>
        <v/>
      </c>
    </row>
    <row r="2904" spans="1:5" x14ac:dyDescent="0.25">
      <c r="A2904" s="138">
        <v>954053</v>
      </c>
      <c r="B2904">
        <v>127</v>
      </c>
      <c r="C2904">
        <v>16</v>
      </c>
      <c r="D2904">
        <v>16</v>
      </c>
      <c r="E2904" s="2" t="str">
        <f t="shared" si="45"/>
        <v/>
      </c>
    </row>
    <row r="2905" spans="1:5" x14ac:dyDescent="0.25">
      <c r="A2905" s="138">
        <v>954054</v>
      </c>
      <c r="B2905">
        <v>127</v>
      </c>
      <c r="C2905">
        <v>16</v>
      </c>
      <c r="D2905">
        <v>16</v>
      </c>
      <c r="E2905" s="2" t="str">
        <f t="shared" si="45"/>
        <v/>
      </c>
    </row>
    <row r="2906" spans="1:5" x14ac:dyDescent="0.25">
      <c r="A2906" s="138">
        <v>954055</v>
      </c>
      <c r="B2906">
        <v>127</v>
      </c>
      <c r="C2906">
        <v>16</v>
      </c>
      <c r="D2906">
        <v>16</v>
      </c>
      <c r="E2906" s="2" t="str">
        <f t="shared" si="45"/>
        <v/>
      </c>
    </row>
    <row r="2907" spans="1:5" x14ac:dyDescent="0.25">
      <c r="A2907" s="138">
        <v>954056</v>
      </c>
      <c r="B2907">
        <v>127</v>
      </c>
      <c r="C2907">
        <v>16</v>
      </c>
      <c r="D2907">
        <v>16</v>
      </c>
      <c r="E2907" s="2" t="str">
        <f t="shared" si="45"/>
        <v/>
      </c>
    </row>
    <row r="2908" spans="1:5" x14ac:dyDescent="0.25">
      <c r="A2908" s="138">
        <v>954057</v>
      </c>
      <c r="B2908">
        <v>127</v>
      </c>
      <c r="C2908">
        <v>16</v>
      </c>
      <c r="D2908">
        <v>16</v>
      </c>
      <c r="E2908" s="2" t="str">
        <f t="shared" si="45"/>
        <v/>
      </c>
    </row>
    <row r="2909" spans="1:5" x14ac:dyDescent="0.25">
      <c r="A2909" s="138">
        <v>954058</v>
      </c>
      <c r="B2909">
        <v>127</v>
      </c>
      <c r="C2909">
        <v>16</v>
      </c>
      <c r="D2909">
        <v>16</v>
      </c>
      <c r="E2909" s="2" t="str">
        <f t="shared" si="45"/>
        <v/>
      </c>
    </row>
    <row r="2910" spans="1:5" x14ac:dyDescent="0.25">
      <c r="A2910" s="138">
        <v>954059</v>
      </c>
      <c r="B2910">
        <v>127</v>
      </c>
      <c r="C2910">
        <v>16</v>
      </c>
      <c r="D2910">
        <v>16</v>
      </c>
      <c r="E2910" s="2" t="str">
        <f t="shared" si="45"/>
        <v/>
      </c>
    </row>
    <row r="2911" spans="1:5" x14ac:dyDescent="0.25">
      <c r="A2911" s="138">
        <v>954060</v>
      </c>
      <c r="B2911">
        <v>127</v>
      </c>
      <c r="C2911">
        <v>16</v>
      </c>
      <c r="D2911">
        <v>16</v>
      </c>
      <c r="E2911" s="2" t="str">
        <f t="shared" si="45"/>
        <v/>
      </c>
    </row>
    <row r="2912" spans="1:5" x14ac:dyDescent="0.25">
      <c r="A2912" s="138">
        <v>954061</v>
      </c>
      <c r="B2912">
        <v>127</v>
      </c>
      <c r="C2912">
        <v>16</v>
      </c>
      <c r="D2912">
        <v>16</v>
      </c>
      <c r="E2912" s="2" t="str">
        <f t="shared" si="45"/>
        <v/>
      </c>
    </row>
    <row r="2913" spans="1:5" x14ac:dyDescent="0.25">
      <c r="A2913" s="138">
        <v>954062</v>
      </c>
      <c r="B2913">
        <v>127</v>
      </c>
      <c r="C2913">
        <v>16</v>
      </c>
      <c r="D2913">
        <v>16</v>
      </c>
      <c r="E2913" s="2" t="str">
        <f t="shared" si="45"/>
        <v/>
      </c>
    </row>
    <row r="2914" spans="1:5" x14ac:dyDescent="0.25">
      <c r="A2914" s="138">
        <v>954063</v>
      </c>
      <c r="B2914">
        <v>127</v>
      </c>
      <c r="C2914">
        <v>16</v>
      </c>
      <c r="D2914">
        <v>16</v>
      </c>
      <c r="E2914" s="2" t="str">
        <f t="shared" si="45"/>
        <v/>
      </c>
    </row>
    <row r="2915" spans="1:5" x14ac:dyDescent="0.25">
      <c r="A2915" s="138">
        <v>954064</v>
      </c>
      <c r="B2915">
        <v>127</v>
      </c>
      <c r="C2915">
        <v>16</v>
      </c>
      <c r="D2915">
        <v>16</v>
      </c>
      <c r="E2915" s="2" t="str">
        <f t="shared" si="45"/>
        <v/>
      </c>
    </row>
    <row r="2916" spans="1:5" x14ac:dyDescent="0.25">
      <c r="A2916" s="138">
        <v>954065</v>
      </c>
      <c r="B2916">
        <v>127</v>
      </c>
      <c r="C2916">
        <v>16</v>
      </c>
      <c r="D2916">
        <v>16</v>
      </c>
      <c r="E2916" s="2" t="str">
        <f t="shared" si="45"/>
        <v/>
      </c>
    </row>
    <row r="2917" spans="1:5" x14ac:dyDescent="0.25">
      <c r="A2917" s="138">
        <v>954066</v>
      </c>
      <c r="B2917">
        <v>127</v>
      </c>
      <c r="C2917">
        <v>16</v>
      </c>
      <c r="D2917">
        <v>16</v>
      </c>
      <c r="E2917" s="2" t="str">
        <f t="shared" si="45"/>
        <v/>
      </c>
    </row>
    <row r="2918" spans="1:5" x14ac:dyDescent="0.25">
      <c r="A2918" s="138">
        <v>954067</v>
      </c>
      <c r="B2918">
        <v>127</v>
      </c>
      <c r="C2918">
        <v>16</v>
      </c>
      <c r="D2918">
        <v>16</v>
      </c>
      <c r="E2918" s="2" t="str">
        <f t="shared" si="45"/>
        <v/>
      </c>
    </row>
    <row r="2919" spans="1:5" x14ac:dyDescent="0.25">
      <c r="A2919" s="138">
        <v>954068</v>
      </c>
      <c r="B2919">
        <v>127</v>
      </c>
      <c r="C2919">
        <v>16</v>
      </c>
      <c r="D2919">
        <v>16</v>
      </c>
      <c r="E2919" s="2" t="str">
        <f t="shared" si="45"/>
        <v/>
      </c>
    </row>
    <row r="2920" spans="1:5" x14ac:dyDescent="0.25">
      <c r="A2920" s="138">
        <v>954099</v>
      </c>
      <c r="B2920">
        <v>127</v>
      </c>
      <c r="C2920">
        <v>16</v>
      </c>
      <c r="D2920">
        <v>16</v>
      </c>
      <c r="E2920" s="2" t="str">
        <f t="shared" si="45"/>
        <v/>
      </c>
    </row>
    <row r="2921" spans="1:5" x14ac:dyDescent="0.25">
      <c r="A2921" s="138">
        <v>955000</v>
      </c>
      <c r="B2921">
        <v>127</v>
      </c>
      <c r="C2921">
        <v>16</v>
      </c>
      <c r="D2921">
        <v>16</v>
      </c>
      <c r="E2921" s="2" t="str">
        <f t="shared" si="45"/>
        <v/>
      </c>
    </row>
    <row r="2922" spans="1:5" x14ac:dyDescent="0.25">
      <c r="A2922" s="138">
        <v>955001</v>
      </c>
      <c r="B2922">
        <v>127</v>
      </c>
      <c r="C2922">
        <v>16</v>
      </c>
      <c r="D2922">
        <v>16</v>
      </c>
      <c r="E2922" s="2" t="str">
        <f t="shared" si="45"/>
        <v/>
      </c>
    </row>
    <row r="2923" spans="1:5" x14ac:dyDescent="0.25">
      <c r="A2923" s="138">
        <v>961000</v>
      </c>
      <c r="B2923">
        <v>183</v>
      </c>
      <c r="C2923">
        <v>16</v>
      </c>
      <c r="D2923">
        <v>16</v>
      </c>
      <c r="E2923" s="2" t="str">
        <f t="shared" si="45"/>
        <v/>
      </c>
    </row>
    <row r="2924" spans="1:5" x14ac:dyDescent="0.25">
      <c r="A2924" s="138">
        <v>961001</v>
      </c>
      <c r="B2924">
        <v>183</v>
      </c>
      <c r="C2924">
        <v>16</v>
      </c>
      <c r="D2924">
        <v>16</v>
      </c>
      <c r="E2924" s="2" t="str">
        <f t="shared" si="45"/>
        <v/>
      </c>
    </row>
    <row r="2925" spans="1:5" x14ac:dyDescent="0.25">
      <c r="A2925" s="138">
        <v>961002</v>
      </c>
      <c r="B2925">
        <v>183</v>
      </c>
      <c r="C2925">
        <v>16</v>
      </c>
      <c r="D2925">
        <v>16</v>
      </c>
      <c r="E2925" s="2" t="str">
        <f t="shared" si="45"/>
        <v/>
      </c>
    </row>
    <row r="2926" spans="1:5" x14ac:dyDescent="0.25">
      <c r="A2926" s="138">
        <v>961003</v>
      </c>
      <c r="B2926">
        <v>183</v>
      </c>
      <c r="C2926">
        <v>16</v>
      </c>
      <c r="D2926">
        <v>16</v>
      </c>
      <c r="E2926" s="2" t="str">
        <f t="shared" si="45"/>
        <v/>
      </c>
    </row>
    <row r="2927" spans="1:5" x14ac:dyDescent="0.25">
      <c r="A2927" s="138">
        <v>961004</v>
      </c>
      <c r="B2927">
        <v>183</v>
      </c>
      <c r="C2927">
        <v>16</v>
      </c>
      <c r="D2927">
        <v>16</v>
      </c>
      <c r="E2927" s="2" t="str">
        <f t="shared" si="45"/>
        <v/>
      </c>
    </row>
    <row r="2928" spans="1:5" x14ac:dyDescent="0.25">
      <c r="A2928" s="138">
        <v>961099</v>
      </c>
      <c r="B2928">
        <v>183</v>
      </c>
      <c r="C2928">
        <v>16</v>
      </c>
      <c r="D2928">
        <v>16</v>
      </c>
      <c r="E2928" s="2" t="str">
        <f t="shared" si="45"/>
        <v/>
      </c>
    </row>
    <row r="2929" spans="1:5" x14ac:dyDescent="0.25">
      <c r="A2929" s="138">
        <v>1011000</v>
      </c>
      <c r="B2929">
        <v>233</v>
      </c>
      <c r="C2929">
        <v>20</v>
      </c>
      <c r="D2929">
        <v>46</v>
      </c>
      <c r="E2929" s="2" t="str">
        <f t="shared" si="45"/>
        <v/>
      </c>
    </row>
    <row r="2930" spans="1:5" x14ac:dyDescent="0.25">
      <c r="A2930" s="138">
        <v>1011001</v>
      </c>
      <c r="B2930">
        <v>233</v>
      </c>
      <c r="C2930">
        <v>20</v>
      </c>
      <c r="D2930">
        <v>46</v>
      </c>
      <c r="E2930" s="2" t="str">
        <f t="shared" si="45"/>
        <v/>
      </c>
    </row>
    <row r="2931" spans="1:5" x14ac:dyDescent="0.25">
      <c r="A2931" s="138">
        <v>1011002</v>
      </c>
      <c r="B2931">
        <v>233</v>
      </c>
      <c r="C2931">
        <v>20</v>
      </c>
      <c r="D2931">
        <v>46</v>
      </c>
      <c r="E2931" s="2" t="str">
        <f t="shared" si="45"/>
        <v/>
      </c>
    </row>
    <row r="2932" spans="1:5" x14ac:dyDescent="0.25">
      <c r="A2932" s="138">
        <v>1011003</v>
      </c>
      <c r="B2932">
        <v>233</v>
      </c>
      <c r="C2932">
        <v>20</v>
      </c>
      <c r="D2932">
        <v>46</v>
      </c>
      <c r="E2932" s="2" t="str">
        <f t="shared" si="45"/>
        <v/>
      </c>
    </row>
    <row r="2933" spans="1:5" x14ac:dyDescent="0.25">
      <c r="A2933" s="138">
        <v>1021000</v>
      </c>
      <c r="B2933">
        <v>234</v>
      </c>
      <c r="C2933">
        <v>20</v>
      </c>
      <c r="D2933">
        <v>46</v>
      </c>
      <c r="E2933" s="2" t="str">
        <f t="shared" si="45"/>
        <v/>
      </c>
    </row>
    <row r="2934" spans="1:5" x14ac:dyDescent="0.25">
      <c r="A2934" s="138">
        <v>1021001</v>
      </c>
      <c r="B2934">
        <v>234</v>
      </c>
      <c r="C2934">
        <v>20</v>
      </c>
      <c r="D2934">
        <v>46</v>
      </c>
      <c r="E2934" s="2" t="str">
        <f t="shared" si="45"/>
        <v/>
      </c>
    </row>
    <row r="2935" spans="1:5" x14ac:dyDescent="0.25">
      <c r="A2935" s="138">
        <v>1021002</v>
      </c>
      <c r="B2935">
        <v>234</v>
      </c>
      <c r="C2935">
        <v>20</v>
      </c>
      <c r="D2935">
        <v>46</v>
      </c>
      <c r="E2935" s="2" t="str">
        <f t="shared" si="45"/>
        <v/>
      </c>
    </row>
    <row r="2936" spans="1:5" x14ac:dyDescent="0.25">
      <c r="A2936" s="138">
        <v>1021003</v>
      </c>
      <c r="B2936">
        <v>234</v>
      </c>
      <c r="C2936">
        <v>20</v>
      </c>
      <c r="D2936">
        <v>46</v>
      </c>
      <c r="E2936" s="2" t="str">
        <f t="shared" si="45"/>
        <v/>
      </c>
    </row>
    <row r="2937" spans="1:5" x14ac:dyDescent="0.25">
      <c r="A2937" s="138">
        <v>1031000</v>
      </c>
      <c r="B2937">
        <v>231</v>
      </c>
      <c r="C2937">
        <v>20</v>
      </c>
      <c r="D2937">
        <v>46</v>
      </c>
      <c r="E2937" s="2" t="str">
        <f t="shared" si="45"/>
        <v/>
      </c>
    </row>
    <row r="2938" spans="1:5" x14ac:dyDescent="0.25">
      <c r="A2938" s="138">
        <v>1031001</v>
      </c>
      <c r="B2938">
        <v>231</v>
      </c>
      <c r="C2938">
        <v>20</v>
      </c>
      <c r="D2938">
        <v>46</v>
      </c>
      <c r="E2938" s="2" t="str">
        <f t="shared" si="45"/>
        <v/>
      </c>
    </row>
    <row r="2939" spans="1:5" x14ac:dyDescent="0.25">
      <c r="A2939" s="138">
        <v>1041000</v>
      </c>
      <c r="B2939">
        <v>235</v>
      </c>
      <c r="C2939">
        <v>20</v>
      </c>
      <c r="D2939">
        <v>46</v>
      </c>
      <c r="E2939" s="2" t="str">
        <f t="shared" si="45"/>
        <v/>
      </c>
    </row>
    <row r="2940" spans="1:5" x14ac:dyDescent="0.25">
      <c r="A2940" s="138">
        <v>1041001</v>
      </c>
      <c r="B2940">
        <v>235</v>
      </c>
      <c r="C2940">
        <v>20</v>
      </c>
      <c r="D2940">
        <v>46</v>
      </c>
      <c r="E2940" s="2" t="str">
        <f t="shared" si="45"/>
        <v/>
      </c>
    </row>
    <row r="2941" spans="1:5" x14ac:dyDescent="0.25">
      <c r="A2941" s="138">
        <v>1041002</v>
      </c>
      <c r="B2941">
        <v>235</v>
      </c>
      <c r="C2941">
        <v>20</v>
      </c>
      <c r="D2941">
        <v>46</v>
      </c>
      <c r="E2941" s="2" t="str">
        <f t="shared" si="45"/>
        <v/>
      </c>
    </row>
    <row r="2942" spans="1:5" x14ac:dyDescent="0.25">
      <c r="A2942" s="138">
        <v>1041003</v>
      </c>
      <c r="B2942">
        <v>235</v>
      </c>
      <c r="C2942">
        <v>20</v>
      </c>
      <c r="D2942">
        <v>46</v>
      </c>
      <c r="E2942" s="2" t="str">
        <f t="shared" si="45"/>
        <v/>
      </c>
    </row>
    <row r="2943" spans="1:5" x14ac:dyDescent="0.25">
      <c r="A2943" s="138">
        <v>1041004</v>
      </c>
      <c r="B2943">
        <v>235</v>
      </c>
      <c r="C2943">
        <v>20</v>
      </c>
      <c r="D2943">
        <v>46</v>
      </c>
      <c r="E2943" s="2" t="str">
        <f t="shared" si="45"/>
        <v/>
      </c>
    </row>
    <row r="2944" spans="1:5" x14ac:dyDescent="0.25">
      <c r="A2944" s="138">
        <v>1041099</v>
      </c>
      <c r="B2944">
        <v>235</v>
      </c>
      <c r="C2944">
        <v>20</v>
      </c>
      <c r="D2944">
        <v>46</v>
      </c>
      <c r="E2944" s="2" t="str">
        <f t="shared" si="45"/>
        <v/>
      </c>
    </row>
    <row r="2945" spans="1:5" x14ac:dyDescent="0.25">
      <c r="A2945" s="138">
        <v>1051000</v>
      </c>
      <c r="B2945">
        <v>231</v>
      </c>
      <c r="C2945">
        <v>20</v>
      </c>
      <c r="D2945">
        <v>46</v>
      </c>
      <c r="E2945" s="2" t="str">
        <f t="shared" si="45"/>
        <v/>
      </c>
    </row>
    <row r="2946" spans="1:5" x14ac:dyDescent="0.25">
      <c r="A2946" s="138">
        <v>1051001</v>
      </c>
      <c r="B2946">
        <v>231</v>
      </c>
      <c r="C2946">
        <v>20</v>
      </c>
      <c r="D2946">
        <v>46</v>
      </c>
      <c r="E2946" s="2" t="str">
        <f t="shared" si="45"/>
        <v/>
      </c>
    </row>
    <row r="2947" spans="1:5" x14ac:dyDescent="0.25">
      <c r="A2947" s="138">
        <v>1051002</v>
      </c>
      <c r="B2947">
        <v>231</v>
      </c>
      <c r="C2947">
        <v>20</v>
      </c>
      <c r="D2947">
        <v>46</v>
      </c>
      <c r="E2947" s="2" t="str">
        <f t="shared" ref="E2947:E3010" si="46">IF(B2947=B2946,IF(C2946=C2947,"",1),"")</f>
        <v/>
      </c>
    </row>
    <row r="2948" spans="1:5" x14ac:dyDescent="0.25">
      <c r="A2948" s="138">
        <v>1051003</v>
      </c>
      <c r="B2948">
        <v>231</v>
      </c>
      <c r="C2948">
        <v>20</v>
      </c>
      <c r="D2948">
        <v>46</v>
      </c>
      <c r="E2948" s="2" t="str">
        <f t="shared" si="46"/>
        <v/>
      </c>
    </row>
    <row r="2949" spans="1:5" x14ac:dyDescent="0.25">
      <c r="A2949" s="138">
        <v>1051004</v>
      </c>
      <c r="B2949">
        <v>231</v>
      </c>
      <c r="C2949">
        <v>20</v>
      </c>
      <c r="D2949">
        <v>46</v>
      </c>
      <c r="E2949" s="2" t="str">
        <f t="shared" si="46"/>
        <v/>
      </c>
    </row>
    <row r="2950" spans="1:5" x14ac:dyDescent="0.25">
      <c r="A2950" s="138">
        <v>1051005</v>
      </c>
      <c r="B2950">
        <v>231</v>
      </c>
      <c r="C2950">
        <v>20</v>
      </c>
      <c r="D2950">
        <v>46</v>
      </c>
      <c r="E2950" s="2" t="str">
        <f t="shared" si="46"/>
        <v/>
      </c>
    </row>
    <row r="2951" spans="1:5" x14ac:dyDescent="0.25">
      <c r="A2951" s="138">
        <v>1051006</v>
      </c>
      <c r="B2951">
        <v>231</v>
      </c>
      <c r="C2951">
        <v>20</v>
      </c>
      <c r="D2951">
        <v>46</v>
      </c>
      <c r="E2951" s="2" t="str">
        <f t="shared" si="46"/>
        <v/>
      </c>
    </row>
    <row r="2952" spans="1:5" x14ac:dyDescent="0.25">
      <c r="A2952" s="138">
        <v>1051007</v>
      </c>
      <c r="B2952">
        <v>231</v>
      </c>
      <c r="C2952">
        <v>20</v>
      </c>
      <c r="D2952">
        <v>46</v>
      </c>
      <c r="E2952" s="2" t="str">
        <f t="shared" si="46"/>
        <v/>
      </c>
    </row>
    <row r="2953" spans="1:5" x14ac:dyDescent="0.25">
      <c r="A2953" s="138">
        <v>1051008</v>
      </c>
      <c r="B2953">
        <v>231</v>
      </c>
      <c r="C2953">
        <v>20</v>
      </c>
      <c r="D2953">
        <v>46</v>
      </c>
      <c r="E2953" s="2" t="str">
        <f t="shared" si="46"/>
        <v/>
      </c>
    </row>
    <row r="2954" spans="1:5" x14ac:dyDescent="0.25">
      <c r="A2954" s="138">
        <v>1051009</v>
      </c>
      <c r="B2954">
        <v>231</v>
      </c>
      <c r="C2954">
        <v>20</v>
      </c>
      <c r="D2954">
        <v>46</v>
      </c>
      <c r="E2954" s="2" t="str">
        <f t="shared" si="46"/>
        <v/>
      </c>
    </row>
    <row r="2955" spans="1:5" x14ac:dyDescent="0.25">
      <c r="A2955" s="138">
        <v>1051010</v>
      </c>
      <c r="B2955">
        <v>231</v>
      </c>
      <c r="C2955">
        <v>20</v>
      </c>
      <c r="D2955">
        <v>46</v>
      </c>
      <c r="E2955" s="2" t="str">
        <f t="shared" si="46"/>
        <v/>
      </c>
    </row>
    <row r="2956" spans="1:5" x14ac:dyDescent="0.25">
      <c r="A2956" s="138">
        <v>1051011</v>
      </c>
      <c r="B2956">
        <v>231</v>
      </c>
      <c r="C2956">
        <v>20</v>
      </c>
      <c r="D2956">
        <v>46</v>
      </c>
      <c r="E2956" s="2" t="str">
        <f t="shared" si="46"/>
        <v/>
      </c>
    </row>
    <row r="2957" spans="1:5" x14ac:dyDescent="0.25">
      <c r="A2957" s="138">
        <v>1051012</v>
      </c>
      <c r="B2957">
        <v>231</v>
      </c>
      <c r="C2957">
        <v>20</v>
      </c>
      <c r="D2957">
        <v>46</v>
      </c>
      <c r="E2957" s="2" t="str">
        <f t="shared" si="46"/>
        <v/>
      </c>
    </row>
    <row r="2958" spans="1:5" x14ac:dyDescent="0.25">
      <c r="A2958" s="138">
        <v>1051013</v>
      </c>
      <c r="B2958">
        <v>231</v>
      </c>
      <c r="C2958">
        <v>20</v>
      </c>
      <c r="D2958">
        <v>46</v>
      </c>
      <c r="E2958" s="2" t="str">
        <f t="shared" si="46"/>
        <v/>
      </c>
    </row>
    <row r="2959" spans="1:5" x14ac:dyDescent="0.25">
      <c r="A2959" s="138">
        <v>1051014</v>
      </c>
      <c r="B2959">
        <v>231</v>
      </c>
      <c r="C2959">
        <v>20</v>
      </c>
      <c r="D2959">
        <v>46</v>
      </c>
      <c r="E2959" s="2" t="str">
        <f t="shared" si="46"/>
        <v/>
      </c>
    </row>
    <row r="2960" spans="1:5" x14ac:dyDescent="0.25">
      <c r="A2960" s="138">
        <v>1051015</v>
      </c>
      <c r="B2960">
        <v>231</v>
      </c>
      <c r="C2960">
        <v>20</v>
      </c>
      <c r="D2960">
        <v>46</v>
      </c>
      <c r="E2960" s="2" t="str">
        <f t="shared" si="46"/>
        <v/>
      </c>
    </row>
    <row r="2961" spans="1:5" x14ac:dyDescent="0.25">
      <c r="A2961" s="138">
        <v>1051016</v>
      </c>
      <c r="B2961">
        <v>231</v>
      </c>
      <c r="C2961">
        <v>20</v>
      </c>
      <c r="D2961">
        <v>46</v>
      </c>
      <c r="E2961" s="2" t="str">
        <f t="shared" si="46"/>
        <v/>
      </c>
    </row>
    <row r="2962" spans="1:5" x14ac:dyDescent="0.25">
      <c r="A2962" s="138">
        <v>1051017</v>
      </c>
      <c r="B2962">
        <v>231</v>
      </c>
      <c r="C2962">
        <v>20</v>
      </c>
      <c r="D2962">
        <v>46</v>
      </c>
      <c r="E2962" s="2" t="str">
        <f t="shared" si="46"/>
        <v/>
      </c>
    </row>
    <row r="2963" spans="1:5" x14ac:dyDescent="0.25">
      <c r="A2963" s="138">
        <v>1051018</v>
      </c>
      <c r="B2963">
        <v>231</v>
      </c>
      <c r="C2963">
        <v>20</v>
      </c>
      <c r="D2963">
        <v>46</v>
      </c>
      <c r="E2963" s="2" t="str">
        <f t="shared" si="46"/>
        <v/>
      </c>
    </row>
    <row r="2964" spans="1:5" x14ac:dyDescent="0.25">
      <c r="A2964" s="138">
        <v>1051019</v>
      </c>
      <c r="B2964">
        <v>231</v>
      </c>
      <c r="C2964">
        <v>20</v>
      </c>
      <c r="D2964">
        <v>46</v>
      </c>
      <c r="E2964" s="2" t="str">
        <f t="shared" si="46"/>
        <v/>
      </c>
    </row>
    <row r="2965" spans="1:5" x14ac:dyDescent="0.25">
      <c r="A2965" s="138">
        <v>1051020</v>
      </c>
      <c r="B2965">
        <v>231</v>
      </c>
      <c r="C2965">
        <v>20</v>
      </c>
      <c r="D2965">
        <v>46</v>
      </c>
      <c r="E2965" s="2" t="str">
        <f t="shared" si="46"/>
        <v/>
      </c>
    </row>
    <row r="2966" spans="1:5" x14ac:dyDescent="0.25">
      <c r="A2966" s="138">
        <v>1051021</v>
      </c>
      <c r="B2966">
        <v>231</v>
      </c>
      <c r="C2966">
        <v>20</v>
      </c>
      <c r="D2966">
        <v>46</v>
      </c>
      <c r="E2966" s="2" t="str">
        <f t="shared" si="46"/>
        <v/>
      </c>
    </row>
    <row r="2967" spans="1:5" x14ac:dyDescent="0.25">
      <c r="A2967" s="138">
        <v>1051022</v>
      </c>
      <c r="B2967">
        <v>231</v>
      </c>
      <c r="C2967">
        <v>20</v>
      </c>
      <c r="D2967">
        <v>46</v>
      </c>
      <c r="E2967" s="2" t="str">
        <f t="shared" si="46"/>
        <v/>
      </c>
    </row>
    <row r="2968" spans="1:5" x14ac:dyDescent="0.25">
      <c r="A2968" s="138">
        <v>1051023</v>
      </c>
      <c r="B2968">
        <v>231</v>
      </c>
      <c r="C2968">
        <v>20</v>
      </c>
      <c r="D2968">
        <v>46</v>
      </c>
      <c r="E2968" s="2" t="str">
        <f t="shared" si="46"/>
        <v/>
      </c>
    </row>
    <row r="2969" spans="1:5" x14ac:dyDescent="0.25">
      <c r="A2969" s="138">
        <v>1051024</v>
      </c>
      <c r="B2969">
        <v>231</v>
      </c>
      <c r="C2969">
        <v>20</v>
      </c>
      <c r="D2969">
        <v>46</v>
      </c>
      <c r="E2969" s="2" t="str">
        <f t="shared" si="46"/>
        <v/>
      </c>
    </row>
    <row r="2970" spans="1:5" x14ac:dyDescent="0.25">
      <c r="A2970" s="138">
        <v>1051025</v>
      </c>
      <c r="B2970">
        <v>231</v>
      </c>
      <c r="C2970">
        <v>20</v>
      </c>
      <c r="D2970">
        <v>46</v>
      </c>
      <c r="E2970" s="2" t="str">
        <f t="shared" si="46"/>
        <v/>
      </c>
    </row>
    <row r="2971" spans="1:5" x14ac:dyDescent="0.25">
      <c r="A2971" s="138">
        <v>1051026</v>
      </c>
      <c r="B2971">
        <v>231</v>
      </c>
      <c r="C2971">
        <v>20</v>
      </c>
      <c r="D2971">
        <v>46</v>
      </c>
      <c r="E2971" s="2" t="str">
        <f t="shared" si="46"/>
        <v/>
      </c>
    </row>
    <row r="2972" spans="1:5" x14ac:dyDescent="0.25">
      <c r="A2972" s="138">
        <v>1051027</v>
      </c>
      <c r="B2972">
        <v>231</v>
      </c>
      <c r="C2972">
        <v>20</v>
      </c>
      <c r="D2972">
        <v>46</v>
      </c>
      <c r="E2972" s="2" t="str">
        <f t="shared" si="46"/>
        <v/>
      </c>
    </row>
    <row r="2973" spans="1:5" x14ac:dyDescent="0.25">
      <c r="A2973" s="138">
        <v>1051028</v>
      </c>
      <c r="B2973">
        <v>231</v>
      </c>
      <c r="C2973">
        <v>20</v>
      </c>
      <c r="D2973">
        <v>46</v>
      </c>
      <c r="E2973" s="2" t="str">
        <f t="shared" si="46"/>
        <v/>
      </c>
    </row>
    <row r="2974" spans="1:5" x14ac:dyDescent="0.25">
      <c r="A2974" s="138">
        <v>1051029</v>
      </c>
      <c r="B2974">
        <v>231</v>
      </c>
      <c r="C2974">
        <v>20</v>
      </c>
      <c r="D2974">
        <v>46</v>
      </c>
      <c r="E2974" s="2" t="str">
        <f t="shared" si="46"/>
        <v/>
      </c>
    </row>
    <row r="2975" spans="1:5" x14ac:dyDescent="0.25">
      <c r="A2975" s="138">
        <v>1051030</v>
      </c>
      <c r="B2975">
        <v>231</v>
      </c>
      <c r="C2975">
        <v>20</v>
      </c>
      <c r="D2975">
        <v>46</v>
      </c>
      <c r="E2975" s="2" t="str">
        <f t="shared" si="46"/>
        <v/>
      </c>
    </row>
    <row r="2976" spans="1:5" x14ac:dyDescent="0.25">
      <c r="A2976" s="138">
        <v>1051031</v>
      </c>
      <c r="B2976">
        <v>231</v>
      </c>
      <c r="C2976">
        <v>20</v>
      </c>
      <c r="D2976">
        <v>46</v>
      </c>
      <c r="E2976" s="2" t="str">
        <f t="shared" si="46"/>
        <v/>
      </c>
    </row>
    <row r="2977" spans="1:5" x14ac:dyDescent="0.25">
      <c r="A2977" s="138">
        <v>1051032</v>
      </c>
      <c r="B2977">
        <v>231</v>
      </c>
      <c r="C2977">
        <v>20</v>
      </c>
      <c r="D2977">
        <v>46</v>
      </c>
      <c r="E2977" s="2" t="str">
        <f t="shared" si="46"/>
        <v/>
      </c>
    </row>
    <row r="2978" spans="1:5" x14ac:dyDescent="0.25">
      <c r="A2978" s="138">
        <v>1051033</v>
      </c>
      <c r="B2978">
        <v>231</v>
      </c>
      <c r="C2978">
        <v>20</v>
      </c>
      <c r="D2978">
        <v>46</v>
      </c>
      <c r="E2978" s="2" t="str">
        <f t="shared" si="46"/>
        <v/>
      </c>
    </row>
    <row r="2979" spans="1:5" x14ac:dyDescent="0.25">
      <c r="A2979" s="138">
        <v>1051034</v>
      </c>
      <c r="B2979">
        <v>231</v>
      </c>
      <c r="C2979">
        <v>20</v>
      </c>
      <c r="D2979">
        <v>46</v>
      </c>
      <c r="E2979" s="2" t="str">
        <f t="shared" si="46"/>
        <v/>
      </c>
    </row>
    <row r="2980" spans="1:5" x14ac:dyDescent="0.25">
      <c r="A2980" s="138">
        <v>1051035</v>
      </c>
      <c r="B2980">
        <v>231</v>
      </c>
      <c r="C2980">
        <v>20</v>
      </c>
      <c r="D2980">
        <v>46</v>
      </c>
      <c r="E2980" s="2" t="str">
        <f t="shared" si="46"/>
        <v/>
      </c>
    </row>
    <row r="2981" spans="1:5" x14ac:dyDescent="0.25">
      <c r="A2981" s="138">
        <v>1051036</v>
      </c>
      <c r="B2981">
        <v>231</v>
      </c>
      <c r="C2981">
        <v>20</v>
      </c>
      <c r="D2981">
        <v>46</v>
      </c>
      <c r="E2981" s="2" t="str">
        <f t="shared" si="46"/>
        <v/>
      </c>
    </row>
    <row r="2982" spans="1:5" x14ac:dyDescent="0.25">
      <c r="A2982" s="138">
        <v>1051037</v>
      </c>
      <c r="B2982">
        <v>231</v>
      </c>
      <c r="C2982">
        <v>20</v>
      </c>
      <c r="D2982">
        <v>46</v>
      </c>
      <c r="E2982" s="2" t="str">
        <f t="shared" si="46"/>
        <v/>
      </c>
    </row>
    <row r="2983" spans="1:5" x14ac:dyDescent="0.25">
      <c r="A2983" s="138">
        <v>1051099</v>
      </c>
      <c r="B2983">
        <v>231</v>
      </c>
      <c r="C2983">
        <v>20</v>
      </c>
      <c r="D2983">
        <v>46</v>
      </c>
      <c r="E2983" s="2" t="str">
        <f t="shared" si="46"/>
        <v/>
      </c>
    </row>
    <row r="2984" spans="1:5" x14ac:dyDescent="0.25">
      <c r="A2984" s="138">
        <v>1061000</v>
      </c>
      <c r="B2984">
        <v>236</v>
      </c>
      <c r="C2984">
        <v>20</v>
      </c>
      <c r="D2984">
        <v>46</v>
      </c>
      <c r="E2984" s="2" t="str">
        <f t="shared" si="46"/>
        <v/>
      </c>
    </row>
    <row r="2985" spans="1:5" x14ac:dyDescent="0.25">
      <c r="A2985" s="138">
        <v>1061001</v>
      </c>
      <c r="B2985">
        <v>236</v>
      </c>
      <c r="C2985">
        <v>20</v>
      </c>
      <c r="D2985">
        <v>46</v>
      </c>
      <c r="E2985" s="2" t="str">
        <f t="shared" si="46"/>
        <v/>
      </c>
    </row>
    <row r="2986" spans="1:5" x14ac:dyDescent="0.25">
      <c r="A2986" s="138">
        <v>1061002</v>
      </c>
      <c r="B2986">
        <v>236</v>
      </c>
      <c r="C2986">
        <v>20</v>
      </c>
      <c r="D2986">
        <v>46</v>
      </c>
      <c r="E2986" s="2" t="str">
        <f t="shared" si="46"/>
        <v/>
      </c>
    </row>
    <row r="2987" spans="1:5" x14ac:dyDescent="0.25">
      <c r="A2987" s="138">
        <v>1061003</v>
      </c>
      <c r="B2987">
        <v>236</v>
      </c>
      <c r="C2987">
        <v>20</v>
      </c>
      <c r="D2987">
        <v>46</v>
      </c>
      <c r="E2987" s="2" t="str">
        <f t="shared" si="46"/>
        <v/>
      </c>
    </row>
    <row r="2988" spans="1:5" x14ac:dyDescent="0.25">
      <c r="A2988" s="138">
        <v>1061004</v>
      </c>
      <c r="B2988">
        <v>236</v>
      </c>
      <c r="C2988">
        <v>20</v>
      </c>
      <c r="D2988">
        <v>46</v>
      </c>
      <c r="E2988" s="2" t="str">
        <f t="shared" si="46"/>
        <v/>
      </c>
    </row>
    <row r="2989" spans="1:5" x14ac:dyDescent="0.25">
      <c r="A2989" s="138">
        <v>1061005</v>
      </c>
      <c r="B2989">
        <v>236</v>
      </c>
      <c r="C2989">
        <v>20</v>
      </c>
      <c r="D2989">
        <v>46</v>
      </c>
      <c r="E2989" s="2" t="str">
        <f t="shared" si="46"/>
        <v/>
      </c>
    </row>
    <row r="2990" spans="1:5" x14ac:dyDescent="0.25">
      <c r="A2990" s="138">
        <v>1061006</v>
      </c>
      <c r="B2990">
        <v>236</v>
      </c>
      <c r="C2990">
        <v>20</v>
      </c>
      <c r="D2990">
        <v>46</v>
      </c>
      <c r="E2990" s="2" t="str">
        <f t="shared" si="46"/>
        <v/>
      </c>
    </row>
    <row r="2991" spans="1:5" x14ac:dyDescent="0.25">
      <c r="A2991" s="138">
        <v>1061007</v>
      </c>
      <c r="B2991">
        <v>236</v>
      </c>
      <c r="C2991">
        <v>20</v>
      </c>
      <c r="D2991">
        <v>46</v>
      </c>
      <c r="E2991" s="2" t="str">
        <f t="shared" si="46"/>
        <v/>
      </c>
    </row>
    <row r="2992" spans="1:5" x14ac:dyDescent="0.25">
      <c r="A2992" s="138">
        <v>1061008</v>
      </c>
      <c r="B2992">
        <v>236</v>
      </c>
      <c r="C2992">
        <v>20</v>
      </c>
      <c r="D2992">
        <v>46</v>
      </c>
      <c r="E2992" s="2" t="str">
        <f t="shared" si="46"/>
        <v/>
      </c>
    </row>
    <row r="2993" spans="1:5" x14ac:dyDescent="0.25">
      <c r="A2993" s="138">
        <v>1061009</v>
      </c>
      <c r="B2993">
        <v>236</v>
      </c>
      <c r="C2993">
        <v>20</v>
      </c>
      <c r="D2993">
        <v>46</v>
      </c>
      <c r="E2993" s="2" t="str">
        <f t="shared" si="46"/>
        <v/>
      </c>
    </row>
    <row r="2994" spans="1:5" x14ac:dyDescent="0.25">
      <c r="A2994" s="138">
        <v>1061010</v>
      </c>
      <c r="B2994">
        <v>236</v>
      </c>
      <c r="C2994">
        <v>20</v>
      </c>
      <c r="D2994">
        <v>46</v>
      </c>
      <c r="E2994" s="2" t="str">
        <f t="shared" si="46"/>
        <v/>
      </c>
    </row>
    <row r="2995" spans="1:5" x14ac:dyDescent="0.25">
      <c r="A2995" s="138">
        <v>1061011</v>
      </c>
      <c r="B2995">
        <v>236</v>
      </c>
      <c r="C2995">
        <v>20</v>
      </c>
      <c r="D2995">
        <v>46</v>
      </c>
      <c r="E2995" s="2" t="str">
        <f t="shared" si="46"/>
        <v/>
      </c>
    </row>
    <row r="2996" spans="1:5" x14ac:dyDescent="0.25">
      <c r="A2996" s="138">
        <v>1111000</v>
      </c>
      <c r="B2996">
        <v>184</v>
      </c>
      <c r="C2996">
        <v>17</v>
      </c>
      <c r="D2996">
        <v>38</v>
      </c>
      <c r="E2996" s="2" t="str">
        <f t="shared" si="46"/>
        <v/>
      </c>
    </row>
    <row r="2997" spans="1:5" x14ac:dyDescent="0.25">
      <c r="A2997" s="138">
        <v>1111001</v>
      </c>
      <c r="B2997">
        <v>184</v>
      </c>
      <c r="C2997">
        <v>17</v>
      </c>
      <c r="D2997">
        <v>38</v>
      </c>
      <c r="E2997" s="2" t="str">
        <f t="shared" si="46"/>
        <v/>
      </c>
    </row>
    <row r="2998" spans="1:5" x14ac:dyDescent="0.25">
      <c r="A2998" s="138">
        <v>1111002</v>
      </c>
      <c r="B2998">
        <v>184</v>
      </c>
      <c r="C2998">
        <v>17</v>
      </c>
      <c r="D2998">
        <v>38</v>
      </c>
      <c r="E2998" s="2" t="str">
        <f t="shared" si="46"/>
        <v/>
      </c>
    </row>
    <row r="2999" spans="1:5" x14ac:dyDescent="0.25">
      <c r="A2999" s="138">
        <v>1111003</v>
      </c>
      <c r="B2999">
        <v>184</v>
      </c>
      <c r="C2999">
        <v>17</v>
      </c>
      <c r="D2999">
        <v>38</v>
      </c>
      <c r="E2999" s="2" t="str">
        <f t="shared" si="46"/>
        <v/>
      </c>
    </row>
    <row r="3000" spans="1:5" x14ac:dyDescent="0.25">
      <c r="A3000" s="138">
        <v>1111004</v>
      </c>
      <c r="B3000">
        <v>184</v>
      </c>
      <c r="C3000">
        <v>17</v>
      </c>
      <c r="D3000">
        <v>38</v>
      </c>
      <c r="E3000" s="2" t="str">
        <f t="shared" si="46"/>
        <v/>
      </c>
    </row>
    <row r="3001" spans="1:5" x14ac:dyDescent="0.25">
      <c r="A3001" s="138">
        <v>1111005</v>
      </c>
      <c r="B3001">
        <v>184</v>
      </c>
      <c r="C3001">
        <v>17</v>
      </c>
      <c r="D3001">
        <v>38</v>
      </c>
      <c r="E3001" s="2" t="str">
        <f t="shared" si="46"/>
        <v/>
      </c>
    </row>
    <row r="3002" spans="1:5" x14ac:dyDescent="0.25">
      <c r="A3002" s="138">
        <v>1111006</v>
      </c>
      <c r="B3002">
        <v>184</v>
      </c>
      <c r="C3002">
        <v>17</v>
      </c>
      <c r="D3002">
        <v>38</v>
      </c>
      <c r="E3002" s="2" t="str">
        <f t="shared" si="46"/>
        <v/>
      </c>
    </row>
    <row r="3003" spans="1:5" x14ac:dyDescent="0.25">
      <c r="A3003" s="138">
        <v>1111007</v>
      </c>
      <c r="B3003">
        <v>184</v>
      </c>
      <c r="C3003">
        <v>17</v>
      </c>
      <c r="D3003">
        <v>38</v>
      </c>
      <c r="E3003" s="2" t="str">
        <f t="shared" si="46"/>
        <v/>
      </c>
    </row>
    <row r="3004" spans="1:5" x14ac:dyDescent="0.25">
      <c r="A3004" s="138">
        <v>1111008</v>
      </c>
      <c r="B3004">
        <v>184</v>
      </c>
      <c r="C3004">
        <v>17</v>
      </c>
      <c r="D3004">
        <v>38</v>
      </c>
      <c r="E3004" s="2" t="str">
        <f t="shared" si="46"/>
        <v/>
      </c>
    </row>
    <row r="3005" spans="1:5" x14ac:dyDescent="0.25">
      <c r="A3005" s="138">
        <v>1111009</v>
      </c>
      <c r="B3005">
        <v>184</v>
      </c>
      <c r="C3005">
        <v>17</v>
      </c>
      <c r="D3005">
        <v>38</v>
      </c>
      <c r="E3005" s="2" t="str">
        <f t="shared" si="46"/>
        <v/>
      </c>
    </row>
    <row r="3006" spans="1:5" x14ac:dyDescent="0.25">
      <c r="A3006" s="138">
        <v>1111010</v>
      </c>
      <c r="B3006">
        <v>184</v>
      </c>
      <c r="C3006">
        <v>17</v>
      </c>
      <c r="D3006">
        <v>38</v>
      </c>
      <c r="E3006" s="2" t="str">
        <f t="shared" si="46"/>
        <v/>
      </c>
    </row>
    <row r="3007" spans="1:5" x14ac:dyDescent="0.25">
      <c r="A3007" s="138">
        <v>1111011</v>
      </c>
      <c r="B3007">
        <v>184</v>
      </c>
      <c r="C3007">
        <v>17</v>
      </c>
      <c r="D3007">
        <v>38</v>
      </c>
      <c r="E3007" s="2" t="str">
        <f t="shared" si="46"/>
        <v/>
      </c>
    </row>
    <row r="3008" spans="1:5" x14ac:dyDescent="0.25">
      <c r="A3008" s="138">
        <v>1111012</v>
      </c>
      <c r="B3008">
        <v>184</v>
      </c>
      <c r="C3008">
        <v>17</v>
      </c>
      <c r="D3008">
        <v>38</v>
      </c>
      <c r="E3008" s="2" t="str">
        <f t="shared" si="46"/>
        <v/>
      </c>
    </row>
    <row r="3009" spans="1:5" x14ac:dyDescent="0.25">
      <c r="A3009" s="138">
        <v>1111013</v>
      </c>
      <c r="B3009">
        <v>184</v>
      </c>
      <c r="C3009">
        <v>17</v>
      </c>
      <c r="D3009">
        <v>38</v>
      </c>
      <c r="E3009" s="2" t="str">
        <f t="shared" si="46"/>
        <v/>
      </c>
    </row>
    <row r="3010" spans="1:5" x14ac:dyDescent="0.25">
      <c r="A3010" s="138">
        <v>1111014</v>
      </c>
      <c r="B3010">
        <v>184</v>
      </c>
      <c r="C3010">
        <v>17</v>
      </c>
      <c r="D3010">
        <v>38</v>
      </c>
      <c r="E3010" s="2" t="str">
        <f t="shared" si="46"/>
        <v/>
      </c>
    </row>
    <row r="3011" spans="1:5" x14ac:dyDescent="0.25">
      <c r="A3011" s="138">
        <v>1111015</v>
      </c>
      <c r="B3011">
        <v>184</v>
      </c>
      <c r="C3011">
        <v>17</v>
      </c>
      <c r="D3011">
        <v>38</v>
      </c>
      <c r="E3011" s="2" t="str">
        <f t="shared" ref="E3011:E3074" si="47">IF(B3011=B3010,IF(C3010=C3011,"",1),"")</f>
        <v/>
      </c>
    </row>
    <row r="3012" spans="1:5" x14ac:dyDescent="0.25">
      <c r="A3012" s="138">
        <v>1111016</v>
      </c>
      <c r="B3012">
        <v>184</v>
      </c>
      <c r="C3012">
        <v>17</v>
      </c>
      <c r="D3012">
        <v>38</v>
      </c>
      <c r="E3012" s="2" t="str">
        <f t="shared" si="47"/>
        <v/>
      </c>
    </row>
    <row r="3013" spans="1:5" x14ac:dyDescent="0.25">
      <c r="A3013" s="138">
        <v>1111017</v>
      </c>
      <c r="B3013">
        <v>184</v>
      </c>
      <c r="C3013">
        <v>17</v>
      </c>
      <c r="D3013">
        <v>38</v>
      </c>
      <c r="E3013" s="2" t="str">
        <f t="shared" si="47"/>
        <v/>
      </c>
    </row>
    <row r="3014" spans="1:5" x14ac:dyDescent="0.25">
      <c r="A3014" s="138">
        <v>1111018</v>
      </c>
      <c r="B3014">
        <v>184</v>
      </c>
      <c r="C3014">
        <v>17</v>
      </c>
      <c r="D3014">
        <v>38</v>
      </c>
      <c r="E3014" s="2" t="str">
        <f t="shared" si="47"/>
        <v/>
      </c>
    </row>
    <row r="3015" spans="1:5" x14ac:dyDescent="0.25">
      <c r="A3015" s="138">
        <v>1111019</v>
      </c>
      <c r="B3015">
        <v>184</v>
      </c>
      <c r="C3015">
        <v>17</v>
      </c>
      <c r="D3015">
        <v>38</v>
      </c>
      <c r="E3015" s="2" t="str">
        <f t="shared" si="47"/>
        <v/>
      </c>
    </row>
    <row r="3016" spans="1:5" x14ac:dyDescent="0.25">
      <c r="A3016" s="138">
        <v>1111020</v>
      </c>
      <c r="B3016">
        <v>184</v>
      </c>
      <c r="C3016">
        <v>17</v>
      </c>
      <c r="D3016">
        <v>38</v>
      </c>
      <c r="E3016" s="2" t="str">
        <f t="shared" si="47"/>
        <v/>
      </c>
    </row>
    <row r="3017" spans="1:5" x14ac:dyDescent="0.25">
      <c r="A3017" s="138">
        <v>1111021</v>
      </c>
      <c r="B3017">
        <v>184</v>
      </c>
      <c r="C3017">
        <v>17</v>
      </c>
      <c r="D3017">
        <v>38</v>
      </c>
      <c r="E3017" s="2" t="str">
        <f t="shared" si="47"/>
        <v/>
      </c>
    </row>
    <row r="3018" spans="1:5" x14ac:dyDescent="0.25">
      <c r="A3018" s="138">
        <v>1111022</v>
      </c>
      <c r="B3018">
        <v>184</v>
      </c>
      <c r="C3018">
        <v>17</v>
      </c>
      <c r="D3018">
        <v>38</v>
      </c>
      <c r="E3018" s="2" t="str">
        <f t="shared" si="47"/>
        <v/>
      </c>
    </row>
    <row r="3019" spans="1:5" x14ac:dyDescent="0.25">
      <c r="A3019" s="138">
        <v>1111023</v>
      </c>
      <c r="B3019">
        <v>184</v>
      </c>
      <c r="C3019">
        <v>17</v>
      </c>
      <c r="D3019">
        <v>38</v>
      </c>
      <c r="E3019" s="2" t="str">
        <f t="shared" si="47"/>
        <v/>
      </c>
    </row>
    <row r="3020" spans="1:5" x14ac:dyDescent="0.25">
      <c r="A3020" s="138">
        <v>1111024</v>
      </c>
      <c r="B3020">
        <v>184</v>
      </c>
      <c r="C3020">
        <v>17</v>
      </c>
      <c r="D3020">
        <v>38</v>
      </c>
      <c r="E3020" s="2" t="str">
        <f t="shared" si="47"/>
        <v/>
      </c>
    </row>
    <row r="3021" spans="1:5" x14ac:dyDescent="0.25">
      <c r="A3021" s="138">
        <v>1111025</v>
      </c>
      <c r="B3021">
        <v>184</v>
      </c>
      <c r="C3021">
        <v>17</v>
      </c>
      <c r="D3021">
        <v>38</v>
      </c>
      <c r="E3021" s="2" t="str">
        <f t="shared" si="47"/>
        <v/>
      </c>
    </row>
    <row r="3022" spans="1:5" x14ac:dyDescent="0.25">
      <c r="A3022" s="138">
        <v>1111026</v>
      </c>
      <c r="B3022">
        <v>184</v>
      </c>
      <c r="C3022">
        <v>17</v>
      </c>
      <c r="D3022">
        <v>38</v>
      </c>
      <c r="E3022" s="2" t="str">
        <f t="shared" si="47"/>
        <v/>
      </c>
    </row>
    <row r="3023" spans="1:5" x14ac:dyDescent="0.25">
      <c r="A3023" s="138">
        <v>1111027</v>
      </c>
      <c r="B3023">
        <v>184</v>
      </c>
      <c r="C3023">
        <v>17</v>
      </c>
      <c r="D3023">
        <v>38</v>
      </c>
      <c r="E3023" s="2" t="str">
        <f t="shared" si="47"/>
        <v/>
      </c>
    </row>
    <row r="3024" spans="1:5" x14ac:dyDescent="0.25">
      <c r="A3024" s="138">
        <v>1111028</v>
      </c>
      <c r="B3024">
        <v>184</v>
      </c>
      <c r="C3024">
        <v>17</v>
      </c>
      <c r="D3024">
        <v>38</v>
      </c>
      <c r="E3024" s="2" t="str">
        <f t="shared" si="47"/>
        <v/>
      </c>
    </row>
    <row r="3025" spans="1:5" x14ac:dyDescent="0.25">
      <c r="A3025" s="138">
        <v>1111029</v>
      </c>
      <c r="B3025">
        <v>184</v>
      </c>
      <c r="C3025">
        <v>17</v>
      </c>
      <c r="D3025">
        <v>38</v>
      </c>
      <c r="E3025" s="2" t="str">
        <f t="shared" si="47"/>
        <v/>
      </c>
    </row>
    <row r="3026" spans="1:5" x14ac:dyDescent="0.25">
      <c r="A3026" s="138">
        <v>1111030</v>
      </c>
      <c r="B3026">
        <v>184</v>
      </c>
      <c r="C3026">
        <v>17</v>
      </c>
      <c r="D3026">
        <v>38</v>
      </c>
      <c r="E3026" s="2" t="str">
        <f t="shared" si="47"/>
        <v/>
      </c>
    </row>
    <row r="3027" spans="1:5" x14ac:dyDescent="0.25">
      <c r="A3027" s="138">
        <v>1111031</v>
      </c>
      <c r="B3027">
        <v>184</v>
      </c>
      <c r="C3027">
        <v>17</v>
      </c>
      <c r="D3027">
        <v>38</v>
      </c>
      <c r="E3027" s="2" t="str">
        <f t="shared" si="47"/>
        <v/>
      </c>
    </row>
    <row r="3028" spans="1:5" x14ac:dyDescent="0.25">
      <c r="A3028" s="138">
        <v>1111032</v>
      </c>
      <c r="B3028">
        <v>184</v>
      </c>
      <c r="C3028">
        <v>17</v>
      </c>
      <c r="D3028">
        <v>38</v>
      </c>
      <c r="E3028" s="2" t="str">
        <f t="shared" si="47"/>
        <v/>
      </c>
    </row>
    <row r="3029" spans="1:5" x14ac:dyDescent="0.25">
      <c r="A3029" s="138">
        <v>1111033</v>
      </c>
      <c r="B3029">
        <v>184</v>
      </c>
      <c r="C3029">
        <v>17</v>
      </c>
      <c r="D3029">
        <v>38</v>
      </c>
      <c r="E3029" s="2" t="str">
        <f t="shared" si="47"/>
        <v/>
      </c>
    </row>
    <row r="3030" spans="1:5" x14ac:dyDescent="0.25">
      <c r="A3030" s="138">
        <v>1111034</v>
      </c>
      <c r="B3030">
        <v>184</v>
      </c>
      <c r="C3030">
        <v>17</v>
      </c>
      <c r="D3030">
        <v>38</v>
      </c>
      <c r="E3030" s="2" t="str">
        <f t="shared" si="47"/>
        <v/>
      </c>
    </row>
    <row r="3031" spans="1:5" x14ac:dyDescent="0.25">
      <c r="A3031" s="138">
        <v>1111035</v>
      </c>
      <c r="B3031">
        <v>184</v>
      </c>
      <c r="C3031">
        <v>17</v>
      </c>
      <c r="D3031">
        <v>38</v>
      </c>
      <c r="E3031" s="2" t="str">
        <f t="shared" si="47"/>
        <v/>
      </c>
    </row>
    <row r="3032" spans="1:5" x14ac:dyDescent="0.25">
      <c r="A3032" s="138">
        <v>1111036</v>
      </c>
      <c r="B3032">
        <v>184</v>
      </c>
      <c r="C3032">
        <v>17</v>
      </c>
      <c r="D3032">
        <v>38</v>
      </c>
      <c r="E3032" s="2" t="str">
        <f t="shared" si="47"/>
        <v/>
      </c>
    </row>
    <row r="3033" spans="1:5" x14ac:dyDescent="0.25">
      <c r="A3033" s="138">
        <v>1111037</v>
      </c>
      <c r="B3033">
        <v>184</v>
      </c>
      <c r="C3033">
        <v>17</v>
      </c>
      <c r="D3033">
        <v>38</v>
      </c>
      <c r="E3033" s="2" t="str">
        <f t="shared" si="47"/>
        <v/>
      </c>
    </row>
    <row r="3034" spans="1:5" x14ac:dyDescent="0.25">
      <c r="A3034" s="138">
        <v>1111038</v>
      </c>
      <c r="B3034">
        <v>184</v>
      </c>
      <c r="C3034">
        <v>17</v>
      </c>
      <c r="D3034">
        <v>38</v>
      </c>
      <c r="E3034" s="2" t="str">
        <f t="shared" si="47"/>
        <v/>
      </c>
    </row>
    <row r="3035" spans="1:5" x14ac:dyDescent="0.25">
      <c r="A3035" s="138">
        <v>1111039</v>
      </c>
      <c r="B3035">
        <v>184</v>
      </c>
      <c r="C3035">
        <v>17</v>
      </c>
      <c r="D3035">
        <v>38</v>
      </c>
      <c r="E3035" s="2" t="str">
        <f t="shared" si="47"/>
        <v/>
      </c>
    </row>
    <row r="3036" spans="1:5" x14ac:dyDescent="0.25">
      <c r="A3036" s="138">
        <v>1111040</v>
      </c>
      <c r="B3036">
        <v>184</v>
      </c>
      <c r="C3036">
        <v>17</v>
      </c>
      <c r="D3036">
        <v>38</v>
      </c>
      <c r="E3036" s="2" t="str">
        <f t="shared" si="47"/>
        <v/>
      </c>
    </row>
    <row r="3037" spans="1:5" x14ac:dyDescent="0.25">
      <c r="A3037" s="138">
        <v>1111041</v>
      </c>
      <c r="B3037">
        <v>184</v>
      </c>
      <c r="C3037">
        <v>17</v>
      </c>
      <c r="D3037">
        <v>38</v>
      </c>
      <c r="E3037" s="2" t="str">
        <f t="shared" si="47"/>
        <v/>
      </c>
    </row>
    <row r="3038" spans="1:5" x14ac:dyDescent="0.25">
      <c r="A3038" s="138">
        <v>1111042</v>
      </c>
      <c r="B3038">
        <v>184</v>
      </c>
      <c r="C3038">
        <v>17</v>
      </c>
      <c r="D3038">
        <v>38</v>
      </c>
      <c r="E3038" s="2" t="str">
        <f t="shared" si="47"/>
        <v/>
      </c>
    </row>
    <row r="3039" spans="1:5" x14ac:dyDescent="0.25">
      <c r="A3039" s="138">
        <v>1111043</v>
      </c>
      <c r="B3039">
        <v>184</v>
      </c>
      <c r="C3039">
        <v>17</v>
      </c>
      <c r="D3039">
        <v>38</v>
      </c>
      <c r="E3039" s="2" t="str">
        <f t="shared" si="47"/>
        <v/>
      </c>
    </row>
    <row r="3040" spans="1:5" x14ac:dyDescent="0.25">
      <c r="A3040" s="138">
        <v>1111044</v>
      </c>
      <c r="B3040">
        <v>184</v>
      </c>
      <c r="C3040">
        <v>17</v>
      </c>
      <c r="D3040">
        <v>38</v>
      </c>
      <c r="E3040" s="2" t="str">
        <f t="shared" si="47"/>
        <v/>
      </c>
    </row>
    <row r="3041" spans="1:5" x14ac:dyDescent="0.25">
      <c r="A3041" s="138">
        <v>1111045</v>
      </c>
      <c r="B3041">
        <v>184</v>
      </c>
      <c r="C3041">
        <v>17</v>
      </c>
      <c r="D3041">
        <v>38</v>
      </c>
      <c r="E3041" s="2" t="str">
        <f t="shared" si="47"/>
        <v/>
      </c>
    </row>
    <row r="3042" spans="1:5" x14ac:dyDescent="0.25">
      <c r="A3042" s="138">
        <v>1111046</v>
      </c>
      <c r="B3042">
        <v>184</v>
      </c>
      <c r="C3042">
        <v>17</v>
      </c>
      <c r="D3042">
        <v>38</v>
      </c>
      <c r="E3042" s="2" t="str">
        <f t="shared" si="47"/>
        <v/>
      </c>
    </row>
    <row r="3043" spans="1:5" x14ac:dyDescent="0.25">
      <c r="A3043" s="138">
        <v>1111047</v>
      </c>
      <c r="B3043">
        <v>184</v>
      </c>
      <c r="C3043">
        <v>17</v>
      </c>
      <c r="D3043">
        <v>38</v>
      </c>
      <c r="E3043" s="2" t="str">
        <f t="shared" si="47"/>
        <v/>
      </c>
    </row>
    <row r="3044" spans="1:5" x14ac:dyDescent="0.25">
      <c r="A3044" s="138">
        <v>1111048</v>
      </c>
      <c r="B3044">
        <v>184</v>
      </c>
      <c r="C3044">
        <v>17</v>
      </c>
      <c r="D3044">
        <v>38</v>
      </c>
      <c r="E3044" s="2" t="str">
        <f t="shared" si="47"/>
        <v/>
      </c>
    </row>
    <row r="3045" spans="1:5" x14ac:dyDescent="0.25">
      <c r="A3045" s="138">
        <v>1111049</v>
      </c>
      <c r="B3045">
        <v>184</v>
      </c>
      <c r="C3045">
        <v>17</v>
      </c>
      <c r="D3045">
        <v>38</v>
      </c>
      <c r="E3045" s="2" t="str">
        <f t="shared" si="47"/>
        <v/>
      </c>
    </row>
    <row r="3046" spans="1:5" x14ac:dyDescent="0.25">
      <c r="A3046" s="138">
        <v>1111050</v>
      </c>
      <c r="B3046">
        <v>184</v>
      </c>
      <c r="C3046">
        <v>17</v>
      </c>
      <c r="D3046">
        <v>38</v>
      </c>
      <c r="E3046" s="2" t="str">
        <f t="shared" si="47"/>
        <v/>
      </c>
    </row>
    <row r="3047" spans="1:5" x14ac:dyDescent="0.25">
      <c r="A3047" s="138">
        <v>1111051</v>
      </c>
      <c r="B3047">
        <v>184</v>
      </c>
      <c r="C3047">
        <v>17</v>
      </c>
      <c r="D3047">
        <v>38</v>
      </c>
      <c r="E3047" s="2" t="str">
        <f t="shared" si="47"/>
        <v/>
      </c>
    </row>
    <row r="3048" spans="1:5" x14ac:dyDescent="0.25">
      <c r="A3048" s="138">
        <v>1111052</v>
      </c>
      <c r="B3048">
        <v>184</v>
      </c>
      <c r="C3048">
        <v>17</v>
      </c>
      <c r="D3048">
        <v>38</v>
      </c>
      <c r="E3048" s="2" t="str">
        <f t="shared" si="47"/>
        <v/>
      </c>
    </row>
    <row r="3049" spans="1:5" x14ac:dyDescent="0.25">
      <c r="A3049" s="138">
        <v>1111053</v>
      </c>
      <c r="B3049">
        <v>184</v>
      </c>
      <c r="C3049">
        <v>17</v>
      </c>
      <c r="D3049">
        <v>38</v>
      </c>
      <c r="E3049" s="2" t="str">
        <f t="shared" si="47"/>
        <v/>
      </c>
    </row>
    <row r="3050" spans="1:5" x14ac:dyDescent="0.25">
      <c r="A3050" s="138">
        <v>1111054</v>
      </c>
      <c r="B3050">
        <v>184</v>
      </c>
      <c r="C3050">
        <v>17</v>
      </c>
      <c r="D3050">
        <v>38</v>
      </c>
      <c r="E3050" s="2" t="str">
        <f t="shared" si="47"/>
        <v/>
      </c>
    </row>
    <row r="3051" spans="1:5" x14ac:dyDescent="0.25">
      <c r="A3051" s="138">
        <v>1111055</v>
      </c>
      <c r="B3051">
        <v>184</v>
      </c>
      <c r="C3051">
        <v>17</v>
      </c>
      <c r="D3051">
        <v>38</v>
      </c>
      <c r="E3051" s="2" t="str">
        <f t="shared" si="47"/>
        <v/>
      </c>
    </row>
    <row r="3052" spans="1:5" x14ac:dyDescent="0.25">
      <c r="A3052" s="138">
        <v>1111056</v>
      </c>
      <c r="B3052">
        <v>184</v>
      </c>
      <c r="C3052">
        <v>17</v>
      </c>
      <c r="D3052">
        <v>38</v>
      </c>
      <c r="E3052" s="2" t="str">
        <f t="shared" si="47"/>
        <v/>
      </c>
    </row>
    <row r="3053" spans="1:5" x14ac:dyDescent="0.25">
      <c r="A3053" s="138">
        <v>1111057</v>
      </c>
      <c r="B3053">
        <v>184</v>
      </c>
      <c r="C3053">
        <v>17</v>
      </c>
      <c r="D3053">
        <v>38</v>
      </c>
      <c r="E3053" s="2" t="str">
        <f t="shared" si="47"/>
        <v/>
      </c>
    </row>
    <row r="3054" spans="1:5" x14ac:dyDescent="0.25">
      <c r="A3054" s="138">
        <v>1111058</v>
      </c>
      <c r="B3054">
        <v>184</v>
      </c>
      <c r="C3054">
        <v>17</v>
      </c>
      <c r="D3054">
        <v>38</v>
      </c>
      <c r="E3054" s="2" t="str">
        <f t="shared" si="47"/>
        <v/>
      </c>
    </row>
    <row r="3055" spans="1:5" x14ac:dyDescent="0.25">
      <c r="A3055" s="138">
        <v>1111059</v>
      </c>
      <c r="B3055">
        <v>184</v>
      </c>
      <c r="C3055">
        <v>17</v>
      </c>
      <c r="D3055">
        <v>38</v>
      </c>
      <c r="E3055" s="2" t="str">
        <f t="shared" si="47"/>
        <v/>
      </c>
    </row>
    <row r="3056" spans="1:5" x14ac:dyDescent="0.25">
      <c r="A3056" s="138">
        <v>1111060</v>
      </c>
      <c r="B3056">
        <v>184</v>
      </c>
      <c r="C3056">
        <v>17</v>
      </c>
      <c r="D3056">
        <v>38</v>
      </c>
      <c r="E3056" s="2" t="str">
        <f t="shared" si="47"/>
        <v/>
      </c>
    </row>
    <row r="3057" spans="1:5" x14ac:dyDescent="0.25">
      <c r="A3057" s="138">
        <v>1111061</v>
      </c>
      <c r="B3057">
        <v>184</v>
      </c>
      <c r="C3057">
        <v>17</v>
      </c>
      <c r="D3057">
        <v>38</v>
      </c>
      <c r="E3057" s="2" t="str">
        <f t="shared" si="47"/>
        <v/>
      </c>
    </row>
    <row r="3058" spans="1:5" x14ac:dyDescent="0.25">
      <c r="A3058" s="138">
        <v>1111062</v>
      </c>
      <c r="B3058">
        <v>184</v>
      </c>
      <c r="C3058">
        <v>17</v>
      </c>
      <c r="D3058">
        <v>38</v>
      </c>
      <c r="E3058" s="2" t="str">
        <f t="shared" si="47"/>
        <v/>
      </c>
    </row>
    <row r="3059" spans="1:5" x14ac:dyDescent="0.25">
      <c r="A3059" s="138">
        <v>1111063</v>
      </c>
      <c r="B3059">
        <v>184</v>
      </c>
      <c r="C3059">
        <v>17</v>
      </c>
      <c r="D3059">
        <v>38</v>
      </c>
      <c r="E3059" s="2" t="str">
        <f t="shared" si="47"/>
        <v/>
      </c>
    </row>
    <row r="3060" spans="1:5" x14ac:dyDescent="0.25">
      <c r="A3060" s="138">
        <v>1111064</v>
      </c>
      <c r="B3060">
        <v>184</v>
      </c>
      <c r="C3060">
        <v>17</v>
      </c>
      <c r="D3060">
        <v>38</v>
      </c>
      <c r="E3060" s="2" t="str">
        <f t="shared" si="47"/>
        <v/>
      </c>
    </row>
    <row r="3061" spans="1:5" x14ac:dyDescent="0.25">
      <c r="A3061" s="138">
        <v>1111065</v>
      </c>
      <c r="B3061">
        <v>184</v>
      </c>
      <c r="C3061">
        <v>17</v>
      </c>
      <c r="D3061">
        <v>38</v>
      </c>
      <c r="E3061" s="2" t="str">
        <f t="shared" si="47"/>
        <v/>
      </c>
    </row>
    <row r="3062" spans="1:5" x14ac:dyDescent="0.25">
      <c r="A3062" s="138">
        <v>1111066</v>
      </c>
      <c r="B3062">
        <v>184</v>
      </c>
      <c r="C3062">
        <v>17</v>
      </c>
      <c r="D3062">
        <v>38</v>
      </c>
      <c r="E3062" s="2" t="str">
        <f t="shared" si="47"/>
        <v/>
      </c>
    </row>
    <row r="3063" spans="1:5" x14ac:dyDescent="0.25">
      <c r="A3063" s="138">
        <v>1111067</v>
      </c>
      <c r="B3063">
        <v>184</v>
      </c>
      <c r="C3063">
        <v>17</v>
      </c>
      <c r="D3063">
        <v>38</v>
      </c>
      <c r="E3063" s="2" t="str">
        <f t="shared" si="47"/>
        <v/>
      </c>
    </row>
    <row r="3064" spans="1:5" x14ac:dyDescent="0.25">
      <c r="A3064" s="138">
        <v>1111068</v>
      </c>
      <c r="B3064">
        <v>184</v>
      </c>
      <c r="C3064">
        <v>17</v>
      </c>
      <c r="D3064">
        <v>38</v>
      </c>
      <c r="E3064" s="2" t="str">
        <f t="shared" si="47"/>
        <v/>
      </c>
    </row>
    <row r="3065" spans="1:5" x14ac:dyDescent="0.25">
      <c r="A3065" s="138">
        <v>1111069</v>
      </c>
      <c r="B3065">
        <v>184</v>
      </c>
      <c r="C3065">
        <v>17</v>
      </c>
      <c r="D3065">
        <v>38</v>
      </c>
      <c r="E3065" s="2" t="str">
        <f t="shared" si="47"/>
        <v/>
      </c>
    </row>
    <row r="3066" spans="1:5" x14ac:dyDescent="0.25">
      <c r="A3066" s="138">
        <v>1111070</v>
      </c>
      <c r="B3066">
        <v>184</v>
      </c>
      <c r="C3066">
        <v>17</v>
      </c>
      <c r="D3066">
        <v>38</v>
      </c>
      <c r="E3066" s="2" t="str">
        <f t="shared" si="47"/>
        <v/>
      </c>
    </row>
    <row r="3067" spans="1:5" x14ac:dyDescent="0.25">
      <c r="A3067" s="138">
        <v>1111071</v>
      </c>
      <c r="B3067">
        <v>184</v>
      </c>
      <c r="C3067">
        <v>17</v>
      </c>
      <c r="D3067">
        <v>38</v>
      </c>
      <c r="E3067" s="2" t="str">
        <f t="shared" si="47"/>
        <v/>
      </c>
    </row>
    <row r="3068" spans="1:5" x14ac:dyDescent="0.25">
      <c r="A3068" s="138">
        <v>1111072</v>
      </c>
      <c r="B3068">
        <v>184</v>
      </c>
      <c r="C3068">
        <v>17</v>
      </c>
      <c r="D3068">
        <v>38</v>
      </c>
      <c r="E3068" s="2" t="str">
        <f t="shared" si="47"/>
        <v/>
      </c>
    </row>
    <row r="3069" spans="1:5" x14ac:dyDescent="0.25">
      <c r="A3069" s="138">
        <v>1111073</v>
      </c>
      <c r="B3069">
        <v>184</v>
      </c>
      <c r="C3069">
        <v>17</v>
      </c>
      <c r="D3069">
        <v>38</v>
      </c>
      <c r="E3069" s="2" t="str">
        <f t="shared" si="47"/>
        <v/>
      </c>
    </row>
    <row r="3070" spans="1:5" x14ac:dyDescent="0.25">
      <c r="A3070" s="138">
        <v>1111099</v>
      </c>
      <c r="B3070">
        <v>184</v>
      </c>
      <c r="C3070">
        <v>17</v>
      </c>
      <c r="D3070">
        <v>38</v>
      </c>
      <c r="E3070" s="2" t="str">
        <f t="shared" si="47"/>
        <v/>
      </c>
    </row>
    <row r="3071" spans="1:5" x14ac:dyDescent="0.25">
      <c r="A3071" s="138">
        <v>1111100</v>
      </c>
      <c r="B3071">
        <v>184</v>
      </c>
      <c r="C3071">
        <v>17</v>
      </c>
      <c r="D3071">
        <v>38</v>
      </c>
      <c r="E3071" s="2" t="str">
        <f t="shared" si="47"/>
        <v/>
      </c>
    </row>
    <row r="3072" spans="1:5" x14ac:dyDescent="0.25">
      <c r="A3072" s="138">
        <v>1111101</v>
      </c>
      <c r="B3072">
        <v>184</v>
      </c>
      <c r="C3072">
        <v>17</v>
      </c>
      <c r="D3072">
        <v>38</v>
      </c>
      <c r="E3072" s="2" t="str">
        <f t="shared" si="47"/>
        <v/>
      </c>
    </row>
    <row r="3073" spans="1:5" x14ac:dyDescent="0.25">
      <c r="A3073" s="138">
        <v>1111102</v>
      </c>
      <c r="B3073">
        <v>184</v>
      </c>
      <c r="C3073">
        <v>17</v>
      </c>
      <c r="D3073">
        <v>38</v>
      </c>
      <c r="E3073" s="2" t="str">
        <f t="shared" si="47"/>
        <v/>
      </c>
    </row>
    <row r="3074" spans="1:5" x14ac:dyDescent="0.25">
      <c r="A3074" s="138">
        <v>1111103</v>
      </c>
      <c r="B3074">
        <v>184</v>
      </c>
      <c r="C3074">
        <v>17</v>
      </c>
      <c r="D3074">
        <v>38</v>
      </c>
      <c r="E3074" s="2" t="str">
        <f t="shared" si="47"/>
        <v/>
      </c>
    </row>
    <row r="3075" spans="1:5" x14ac:dyDescent="0.25">
      <c r="A3075" s="138">
        <v>1111104</v>
      </c>
      <c r="B3075">
        <v>184</v>
      </c>
      <c r="C3075">
        <v>17</v>
      </c>
      <c r="D3075">
        <v>38</v>
      </c>
      <c r="E3075" s="2" t="str">
        <f t="shared" ref="E3075:E3138" si="48">IF(B3075=B3074,IF(C3074=C3075,"",1),"")</f>
        <v/>
      </c>
    </row>
    <row r="3076" spans="1:5" x14ac:dyDescent="0.25">
      <c r="A3076" s="138">
        <v>1111105</v>
      </c>
      <c r="B3076">
        <v>184</v>
      </c>
      <c r="C3076">
        <v>17</v>
      </c>
      <c r="D3076">
        <v>38</v>
      </c>
      <c r="E3076" s="2" t="str">
        <f t="shared" si="48"/>
        <v/>
      </c>
    </row>
    <row r="3077" spans="1:5" x14ac:dyDescent="0.25">
      <c r="A3077" s="138">
        <v>1111106</v>
      </c>
      <c r="B3077">
        <v>184</v>
      </c>
      <c r="C3077">
        <v>17</v>
      </c>
      <c r="D3077">
        <v>38</v>
      </c>
      <c r="E3077" s="2" t="str">
        <f t="shared" si="48"/>
        <v/>
      </c>
    </row>
    <row r="3078" spans="1:5" x14ac:dyDescent="0.25">
      <c r="A3078" s="138">
        <v>1111107</v>
      </c>
      <c r="B3078">
        <v>184</v>
      </c>
      <c r="C3078">
        <v>17</v>
      </c>
      <c r="D3078">
        <v>38</v>
      </c>
      <c r="E3078" s="2" t="str">
        <f t="shared" si="48"/>
        <v/>
      </c>
    </row>
    <row r="3079" spans="1:5" x14ac:dyDescent="0.25">
      <c r="A3079" s="138">
        <v>1111108</v>
      </c>
      <c r="B3079">
        <v>184</v>
      </c>
      <c r="C3079">
        <v>17</v>
      </c>
      <c r="D3079">
        <v>38</v>
      </c>
      <c r="E3079" s="2" t="str">
        <f t="shared" si="48"/>
        <v/>
      </c>
    </row>
    <row r="3080" spans="1:5" x14ac:dyDescent="0.25">
      <c r="A3080" s="138">
        <v>1111109</v>
      </c>
      <c r="B3080">
        <v>184</v>
      </c>
      <c r="C3080">
        <v>17</v>
      </c>
      <c r="D3080">
        <v>38</v>
      </c>
      <c r="E3080" s="2" t="str">
        <f t="shared" si="48"/>
        <v/>
      </c>
    </row>
    <row r="3081" spans="1:5" x14ac:dyDescent="0.25">
      <c r="A3081" s="138">
        <v>1111110</v>
      </c>
      <c r="B3081">
        <v>184</v>
      </c>
      <c r="C3081">
        <v>17</v>
      </c>
      <c r="D3081">
        <v>38</v>
      </c>
      <c r="E3081" s="2" t="str">
        <f t="shared" si="48"/>
        <v/>
      </c>
    </row>
    <row r="3082" spans="1:5" x14ac:dyDescent="0.25">
      <c r="A3082" s="138">
        <v>1111111</v>
      </c>
      <c r="B3082">
        <v>184</v>
      </c>
      <c r="C3082">
        <v>17</v>
      </c>
      <c r="D3082">
        <v>38</v>
      </c>
      <c r="E3082" s="2" t="str">
        <f t="shared" si="48"/>
        <v/>
      </c>
    </row>
    <row r="3083" spans="1:5" x14ac:dyDescent="0.25">
      <c r="A3083" s="138">
        <v>1111112</v>
      </c>
      <c r="B3083">
        <v>184</v>
      </c>
      <c r="C3083">
        <v>17</v>
      </c>
      <c r="D3083">
        <v>38</v>
      </c>
      <c r="E3083" s="2" t="str">
        <f t="shared" si="48"/>
        <v/>
      </c>
    </row>
    <row r="3084" spans="1:5" x14ac:dyDescent="0.25">
      <c r="A3084" s="138">
        <v>1111113</v>
      </c>
      <c r="B3084">
        <v>184</v>
      </c>
      <c r="C3084">
        <v>17</v>
      </c>
      <c r="D3084">
        <v>38</v>
      </c>
      <c r="E3084" s="2" t="str">
        <f t="shared" si="48"/>
        <v/>
      </c>
    </row>
    <row r="3085" spans="1:5" x14ac:dyDescent="0.25">
      <c r="A3085" s="138">
        <v>1111114</v>
      </c>
      <c r="B3085">
        <v>184</v>
      </c>
      <c r="C3085">
        <v>17</v>
      </c>
      <c r="D3085">
        <v>38</v>
      </c>
      <c r="E3085" s="2" t="str">
        <f t="shared" si="48"/>
        <v/>
      </c>
    </row>
    <row r="3086" spans="1:5" x14ac:dyDescent="0.25">
      <c r="A3086" s="138">
        <v>1111115</v>
      </c>
      <c r="B3086">
        <v>184</v>
      </c>
      <c r="C3086">
        <v>17</v>
      </c>
      <c r="D3086">
        <v>38</v>
      </c>
      <c r="E3086" s="2" t="str">
        <f t="shared" si="48"/>
        <v/>
      </c>
    </row>
    <row r="3087" spans="1:5" x14ac:dyDescent="0.25">
      <c r="A3087" s="138">
        <v>1111116</v>
      </c>
      <c r="B3087">
        <v>184</v>
      </c>
      <c r="C3087">
        <v>17</v>
      </c>
      <c r="D3087">
        <v>38</v>
      </c>
      <c r="E3087" s="2" t="str">
        <f t="shared" si="48"/>
        <v/>
      </c>
    </row>
    <row r="3088" spans="1:5" x14ac:dyDescent="0.25">
      <c r="A3088" s="138">
        <v>1111117</v>
      </c>
      <c r="B3088">
        <v>184</v>
      </c>
      <c r="C3088">
        <v>17</v>
      </c>
      <c r="D3088">
        <v>38</v>
      </c>
      <c r="E3088" s="2" t="str">
        <f t="shared" si="48"/>
        <v/>
      </c>
    </row>
    <row r="3089" spans="1:5" x14ac:dyDescent="0.25">
      <c r="A3089" s="138">
        <v>1111118</v>
      </c>
      <c r="B3089">
        <v>184</v>
      </c>
      <c r="C3089">
        <v>17</v>
      </c>
      <c r="D3089">
        <v>38</v>
      </c>
      <c r="E3089" s="2" t="str">
        <f t="shared" si="48"/>
        <v/>
      </c>
    </row>
    <row r="3090" spans="1:5" x14ac:dyDescent="0.25">
      <c r="A3090" s="138">
        <v>1111119</v>
      </c>
      <c r="B3090">
        <v>184</v>
      </c>
      <c r="C3090">
        <v>17</v>
      </c>
      <c r="D3090">
        <v>38</v>
      </c>
      <c r="E3090" s="2" t="str">
        <f t="shared" si="48"/>
        <v/>
      </c>
    </row>
    <row r="3091" spans="1:5" x14ac:dyDescent="0.25">
      <c r="A3091" s="138">
        <v>1111120</v>
      </c>
      <c r="B3091">
        <v>184</v>
      </c>
      <c r="C3091">
        <v>17</v>
      </c>
      <c r="D3091">
        <v>38</v>
      </c>
      <c r="E3091" s="2" t="str">
        <f t="shared" si="48"/>
        <v/>
      </c>
    </row>
    <row r="3092" spans="1:5" x14ac:dyDescent="0.25">
      <c r="A3092" s="138">
        <v>1111121</v>
      </c>
      <c r="B3092">
        <v>184</v>
      </c>
      <c r="C3092">
        <v>17</v>
      </c>
      <c r="D3092">
        <v>38</v>
      </c>
      <c r="E3092" s="2" t="str">
        <f t="shared" si="48"/>
        <v/>
      </c>
    </row>
    <row r="3093" spans="1:5" x14ac:dyDescent="0.25">
      <c r="A3093" s="138">
        <v>1111122</v>
      </c>
      <c r="B3093">
        <v>184</v>
      </c>
      <c r="C3093">
        <v>17</v>
      </c>
      <c r="D3093">
        <v>38</v>
      </c>
      <c r="E3093" s="2" t="str">
        <f t="shared" si="48"/>
        <v/>
      </c>
    </row>
    <row r="3094" spans="1:5" x14ac:dyDescent="0.25">
      <c r="A3094" s="138">
        <v>1111123</v>
      </c>
      <c r="B3094">
        <v>184</v>
      </c>
      <c r="C3094">
        <v>17</v>
      </c>
      <c r="D3094">
        <v>38</v>
      </c>
      <c r="E3094" s="2" t="str">
        <f t="shared" si="48"/>
        <v/>
      </c>
    </row>
    <row r="3095" spans="1:5" x14ac:dyDescent="0.25">
      <c r="A3095" s="138">
        <v>1111124</v>
      </c>
      <c r="B3095">
        <v>184</v>
      </c>
      <c r="C3095">
        <v>17</v>
      </c>
      <c r="D3095">
        <v>38</v>
      </c>
      <c r="E3095" s="2" t="str">
        <f t="shared" si="48"/>
        <v/>
      </c>
    </row>
    <row r="3096" spans="1:5" x14ac:dyDescent="0.25">
      <c r="A3096" s="138">
        <v>1111125</v>
      </c>
      <c r="B3096">
        <v>184</v>
      </c>
      <c r="C3096">
        <v>17</v>
      </c>
      <c r="D3096">
        <v>38</v>
      </c>
      <c r="E3096" s="2" t="str">
        <f t="shared" si="48"/>
        <v/>
      </c>
    </row>
    <row r="3097" spans="1:5" x14ac:dyDescent="0.25">
      <c r="A3097" s="138">
        <v>1111126</v>
      </c>
      <c r="B3097">
        <v>184</v>
      </c>
      <c r="C3097">
        <v>17</v>
      </c>
      <c r="D3097">
        <v>38</v>
      </c>
      <c r="E3097" s="2" t="str">
        <f t="shared" si="48"/>
        <v/>
      </c>
    </row>
    <row r="3098" spans="1:5" x14ac:dyDescent="0.25">
      <c r="A3098" s="138">
        <v>1111127</v>
      </c>
      <c r="B3098">
        <v>184</v>
      </c>
      <c r="C3098">
        <v>17</v>
      </c>
      <c r="D3098">
        <v>38</v>
      </c>
      <c r="E3098" s="2" t="str">
        <f t="shared" si="48"/>
        <v/>
      </c>
    </row>
    <row r="3099" spans="1:5" x14ac:dyDescent="0.25">
      <c r="A3099" s="138">
        <v>1111128</v>
      </c>
      <c r="B3099">
        <v>184</v>
      </c>
      <c r="C3099">
        <v>17</v>
      </c>
      <c r="D3099">
        <v>38</v>
      </c>
      <c r="E3099" s="2" t="str">
        <f t="shared" si="48"/>
        <v/>
      </c>
    </row>
    <row r="3100" spans="1:5" x14ac:dyDescent="0.25">
      <c r="A3100" s="138">
        <v>1111129</v>
      </c>
      <c r="B3100">
        <v>184</v>
      </c>
      <c r="C3100">
        <v>17</v>
      </c>
      <c r="D3100">
        <v>38</v>
      </c>
      <c r="E3100" s="2" t="str">
        <f t="shared" si="48"/>
        <v/>
      </c>
    </row>
    <row r="3101" spans="1:5" x14ac:dyDescent="0.25">
      <c r="A3101" s="138">
        <v>1111130</v>
      </c>
      <c r="B3101">
        <v>184</v>
      </c>
      <c r="C3101">
        <v>17</v>
      </c>
      <c r="D3101">
        <v>38</v>
      </c>
      <c r="E3101" s="2" t="str">
        <f t="shared" si="48"/>
        <v/>
      </c>
    </row>
    <row r="3102" spans="1:5" x14ac:dyDescent="0.25">
      <c r="A3102" s="138">
        <v>1111131</v>
      </c>
      <c r="B3102">
        <v>184</v>
      </c>
      <c r="C3102">
        <v>17</v>
      </c>
      <c r="D3102">
        <v>38</v>
      </c>
      <c r="E3102" s="2" t="str">
        <f t="shared" si="48"/>
        <v/>
      </c>
    </row>
    <row r="3103" spans="1:5" x14ac:dyDescent="0.25">
      <c r="A3103" s="138">
        <v>1111132</v>
      </c>
      <c r="B3103">
        <v>184</v>
      </c>
      <c r="C3103">
        <v>17</v>
      </c>
      <c r="D3103">
        <v>38</v>
      </c>
      <c r="E3103" s="2" t="str">
        <f t="shared" si="48"/>
        <v/>
      </c>
    </row>
    <row r="3104" spans="1:5" x14ac:dyDescent="0.25">
      <c r="A3104" s="138">
        <v>1111133</v>
      </c>
      <c r="B3104">
        <v>184</v>
      </c>
      <c r="C3104">
        <v>17</v>
      </c>
      <c r="D3104">
        <v>38</v>
      </c>
      <c r="E3104" s="2" t="str">
        <f t="shared" si="48"/>
        <v/>
      </c>
    </row>
    <row r="3105" spans="1:5" x14ac:dyDescent="0.25">
      <c r="A3105" s="138">
        <v>1111134</v>
      </c>
      <c r="B3105">
        <v>184</v>
      </c>
      <c r="C3105">
        <v>17</v>
      </c>
      <c r="D3105">
        <v>38</v>
      </c>
      <c r="E3105" s="2" t="str">
        <f t="shared" si="48"/>
        <v/>
      </c>
    </row>
    <row r="3106" spans="1:5" x14ac:dyDescent="0.25">
      <c r="A3106" s="138">
        <v>1111135</v>
      </c>
      <c r="B3106">
        <v>184</v>
      </c>
      <c r="C3106">
        <v>17</v>
      </c>
      <c r="D3106">
        <v>38</v>
      </c>
      <c r="E3106" s="2" t="str">
        <f t="shared" si="48"/>
        <v/>
      </c>
    </row>
    <row r="3107" spans="1:5" x14ac:dyDescent="0.25">
      <c r="A3107" s="138">
        <v>1111136</v>
      </c>
      <c r="B3107">
        <v>184</v>
      </c>
      <c r="C3107">
        <v>17</v>
      </c>
      <c r="D3107">
        <v>38</v>
      </c>
      <c r="E3107" s="2" t="str">
        <f t="shared" si="48"/>
        <v/>
      </c>
    </row>
    <row r="3108" spans="1:5" x14ac:dyDescent="0.25">
      <c r="A3108" s="138">
        <v>1111137</v>
      </c>
      <c r="B3108">
        <v>184</v>
      </c>
      <c r="C3108">
        <v>17</v>
      </c>
      <c r="D3108">
        <v>38</v>
      </c>
      <c r="E3108" s="2" t="str">
        <f t="shared" si="48"/>
        <v/>
      </c>
    </row>
    <row r="3109" spans="1:5" x14ac:dyDescent="0.25">
      <c r="A3109" s="138">
        <v>1111138</v>
      </c>
      <c r="B3109">
        <v>184</v>
      </c>
      <c r="C3109">
        <v>17</v>
      </c>
      <c r="D3109">
        <v>38</v>
      </c>
      <c r="E3109" s="2" t="str">
        <f t="shared" si="48"/>
        <v/>
      </c>
    </row>
    <row r="3110" spans="1:5" x14ac:dyDescent="0.25">
      <c r="A3110" s="138">
        <v>1111139</v>
      </c>
      <c r="B3110">
        <v>184</v>
      </c>
      <c r="C3110">
        <v>17</v>
      </c>
      <c r="D3110">
        <v>38</v>
      </c>
      <c r="E3110" s="2" t="str">
        <f t="shared" si="48"/>
        <v/>
      </c>
    </row>
    <row r="3111" spans="1:5" x14ac:dyDescent="0.25">
      <c r="A3111" s="138">
        <v>1111140</v>
      </c>
      <c r="B3111">
        <v>184</v>
      </c>
      <c r="C3111">
        <v>17</v>
      </c>
      <c r="D3111">
        <v>38</v>
      </c>
      <c r="E3111" s="2" t="str">
        <f t="shared" si="48"/>
        <v/>
      </c>
    </row>
    <row r="3112" spans="1:5" x14ac:dyDescent="0.25">
      <c r="A3112" s="138">
        <v>1111141</v>
      </c>
      <c r="B3112">
        <v>184</v>
      </c>
      <c r="C3112">
        <v>17</v>
      </c>
      <c r="D3112">
        <v>38</v>
      </c>
      <c r="E3112" s="2" t="str">
        <f t="shared" si="48"/>
        <v/>
      </c>
    </row>
    <row r="3113" spans="1:5" x14ac:dyDescent="0.25">
      <c r="A3113" s="138">
        <v>1111142</v>
      </c>
      <c r="B3113">
        <v>184</v>
      </c>
      <c r="C3113">
        <v>17</v>
      </c>
      <c r="D3113">
        <v>38</v>
      </c>
      <c r="E3113" s="2" t="str">
        <f t="shared" si="48"/>
        <v/>
      </c>
    </row>
    <row r="3114" spans="1:5" x14ac:dyDescent="0.25">
      <c r="A3114" s="138">
        <v>1111143</v>
      </c>
      <c r="B3114">
        <v>184</v>
      </c>
      <c r="C3114">
        <v>17</v>
      </c>
      <c r="D3114">
        <v>38</v>
      </c>
      <c r="E3114" s="2" t="str">
        <f t="shared" si="48"/>
        <v/>
      </c>
    </row>
    <row r="3115" spans="1:5" x14ac:dyDescent="0.25">
      <c r="A3115" s="138">
        <v>1111144</v>
      </c>
      <c r="B3115">
        <v>184</v>
      </c>
      <c r="C3115">
        <v>17</v>
      </c>
      <c r="D3115">
        <v>38</v>
      </c>
      <c r="E3115" s="2" t="str">
        <f t="shared" si="48"/>
        <v/>
      </c>
    </row>
    <row r="3116" spans="1:5" x14ac:dyDescent="0.25">
      <c r="A3116" s="138">
        <v>1111145</v>
      </c>
      <c r="B3116">
        <v>184</v>
      </c>
      <c r="C3116">
        <v>17</v>
      </c>
      <c r="D3116">
        <v>38</v>
      </c>
      <c r="E3116" s="2" t="str">
        <f t="shared" si="48"/>
        <v/>
      </c>
    </row>
    <row r="3117" spans="1:5" x14ac:dyDescent="0.25">
      <c r="A3117" s="138">
        <v>1111146</v>
      </c>
      <c r="B3117">
        <v>184</v>
      </c>
      <c r="C3117">
        <v>17</v>
      </c>
      <c r="D3117">
        <v>38</v>
      </c>
      <c r="E3117" s="2" t="str">
        <f t="shared" si="48"/>
        <v/>
      </c>
    </row>
    <row r="3118" spans="1:5" x14ac:dyDescent="0.25">
      <c r="A3118" s="138">
        <v>1111199</v>
      </c>
      <c r="B3118">
        <v>184</v>
      </c>
      <c r="C3118">
        <v>17</v>
      </c>
      <c r="D3118">
        <v>38</v>
      </c>
      <c r="E3118" s="2" t="str">
        <f t="shared" si="48"/>
        <v/>
      </c>
    </row>
    <row r="3119" spans="1:5" x14ac:dyDescent="0.25">
      <c r="A3119" s="138">
        <v>1111200</v>
      </c>
      <c r="B3119">
        <v>184</v>
      </c>
      <c r="C3119">
        <v>17</v>
      </c>
      <c r="D3119">
        <v>38</v>
      </c>
      <c r="E3119" s="2" t="str">
        <f t="shared" si="48"/>
        <v/>
      </c>
    </row>
    <row r="3120" spans="1:5" x14ac:dyDescent="0.25">
      <c r="A3120" s="138">
        <v>1111201</v>
      </c>
      <c r="B3120">
        <v>184</v>
      </c>
      <c r="C3120">
        <v>17</v>
      </c>
      <c r="D3120">
        <v>38</v>
      </c>
      <c r="E3120" s="2" t="str">
        <f t="shared" si="48"/>
        <v/>
      </c>
    </row>
    <row r="3121" spans="1:5" x14ac:dyDescent="0.25">
      <c r="A3121" s="138">
        <v>1111202</v>
      </c>
      <c r="B3121">
        <v>184</v>
      </c>
      <c r="C3121">
        <v>17</v>
      </c>
      <c r="D3121">
        <v>38</v>
      </c>
      <c r="E3121" s="2" t="str">
        <f t="shared" si="48"/>
        <v/>
      </c>
    </row>
    <row r="3122" spans="1:5" x14ac:dyDescent="0.25">
      <c r="A3122" s="138">
        <v>1111203</v>
      </c>
      <c r="B3122">
        <v>184</v>
      </c>
      <c r="C3122">
        <v>17</v>
      </c>
      <c r="D3122">
        <v>38</v>
      </c>
      <c r="E3122" s="2" t="str">
        <f t="shared" si="48"/>
        <v/>
      </c>
    </row>
    <row r="3123" spans="1:5" x14ac:dyDescent="0.25">
      <c r="A3123" s="138">
        <v>1111204</v>
      </c>
      <c r="B3123">
        <v>184</v>
      </c>
      <c r="C3123">
        <v>17</v>
      </c>
      <c r="D3123">
        <v>38</v>
      </c>
      <c r="E3123" s="2" t="str">
        <f t="shared" si="48"/>
        <v/>
      </c>
    </row>
    <row r="3124" spans="1:5" x14ac:dyDescent="0.25">
      <c r="A3124" s="138">
        <v>1111205</v>
      </c>
      <c r="B3124">
        <v>184</v>
      </c>
      <c r="C3124">
        <v>17</v>
      </c>
      <c r="D3124">
        <v>38</v>
      </c>
      <c r="E3124" s="2" t="str">
        <f t="shared" si="48"/>
        <v/>
      </c>
    </row>
    <row r="3125" spans="1:5" x14ac:dyDescent="0.25">
      <c r="A3125" s="138">
        <v>1111206</v>
      </c>
      <c r="B3125">
        <v>184</v>
      </c>
      <c r="C3125">
        <v>17</v>
      </c>
      <c r="D3125">
        <v>38</v>
      </c>
      <c r="E3125" s="2" t="str">
        <f t="shared" si="48"/>
        <v/>
      </c>
    </row>
    <row r="3126" spans="1:5" x14ac:dyDescent="0.25">
      <c r="A3126" s="138">
        <v>1111207</v>
      </c>
      <c r="B3126">
        <v>184</v>
      </c>
      <c r="C3126">
        <v>17</v>
      </c>
      <c r="D3126">
        <v>38</v>
      </c>
      <c r="E3126" s="2" t="str">
        <f t="shared" si="48"/>
        <v/>
      </c>
    </row>
    <row r="3127" spans="1:5" x14ac:dyDescent="0.25">
      <c r="A3127" s="138">
        <v>1111208</v>
      </c>
      <c r="B3127">
        <v>184</v>
      </c>
      <c r="C3127">
        <v>17</v>
      </c>
      <c r="D3127">
        <v>38</v>
      </c>
      <c r="E3127" s="2" t="str">
        <f t="shared" si="48"/>
        <v/>
      </c>
    </row>
    <row r="3128" spans="1:5" x14ac:dyDescent="0.25">
      <c r="A3128" s="138">
        <v>1111209</v>
      </c>
      <c r="B3128">
        <v>184</v>
      </c>
      <c r="C3128">
        <v>17</v>
      </c>
      <c r="D3128">
        <v>38</v>
      </c>
      <c r="E3128" s="2" t="str">
        <f t="shared" si="48"/>
        <v/>
      </c>
    </row>
    <row r="3129" spans="1:5" x14ac:dyDescent="0.25">
      <c r="A3129" s="138">
        <v>1111210</v>
      </c>
      <c r="B3129">
        <v>184</v>
      </c>
      <c r="C3129">
        <v>17</v>
      </c>
      <c r="D3129">
        <v>38</v>
      </c>
      <c r="E3129" s="2" t="str">
        <f t="shared" si="48"/>
        <v/>
      </c>
    </row>
    <row r="3130" spans="1:5" x14ac:dyDescent="0.25">
      <c r="A3130" s="138">
        <v>1111211</v>
      </c>
      <c r="B3130">
        <v>184</v>
      </c>
      <c r="C3130">
        <v>17</v>
      </c>
      <c r="D3130">
        <v>38</v>
      </c>
      <c r="E3130" s="2" t="str">
        <f t="shared" si="48"/>
        <v/>
      </c>
    </row>
    <row r="3131" spans="1:5" x14ac:dyDescent="0.25">
      <c r="A3131" s="138">
        <v>1111212</v>
      </c>
      <c r="B3131">
        <v>184</v>
      </c>
      <c r="C3131">
        <v>17</v>
      </c>
      <c r="D3131">
        <v>38</v>
      </c>
      <c r="E3131" s="2" t="str">
        <f t="shared" si="48"/>
        <v/>
      </c>
    </row>
    <row r="3132" spans="1:5" x14ac:dyDescent="0.25">
      <c r="A3132" s="138">
        <v>1111213</v>
      </c>
      <c r="B3132">
        <v>184</v>
      </c>
      <c r="C3132">
        <v>17</v>
      </c>
      <c r="D3132">
        <v>38</v>
      </c>
      <c r="E3132" s="2" t="str">
        <f t="shared" si="48"/>
        <v/>
      </c>
    </row>
    <row r="3133" spans="1:5" x14ac:dyDescent="0.25">
      <c r="A3133" s="138">
        <v>1111214</v>
      </c>
      <c r="B3133">
        <v>184</v>
      </c>
      <c r="C3133">
        <v>17</v>
      </c>
      <c r="D3133">
        <v>38</v>
      </c>
      <c r="E3133" s="2" t="str">
        <f t="shared" si="48"/>
        <v/>
      </c>
    </row>
    <row r="3134" spans="1:5" x14ac:dyDescent="0.25">
      <c r="A3134" s="138">
        <v>1111215</v>
      </c>
      <c r="B3134">
        <v>184</v>
      </c>
      <c r="C3134">
        <v>17</v>
      </c>
      <c r="D3134">
        <v>38</v>
      </c>
      <c r="E3134" s="2" t="str">
        <f t="shared" si="48"/>
        <v/>
      </c>
    </row>
    <row r="3135" spans="1:5" x14ac:dyDescent="0.25">
      <c r="A3135" s="138">
        <v>1111216</v>
      </c>
      <c r="B3135">
        <v>184</v>
      </c>
      <c r="C3135">
        <v>17</v>
      </c>
      <c r="D3135">
        <v>38</v>
      </c>
      <c r="E3135" s="2" t="str">
        <f t="shared" si="48"/>
        <v/>
      </c>
    </row>
    <row r="3136" spans="1:5" x14ac:dyDescent="0.25">
      <c r="A3136" s="138">
        <v>1111217</v>
      </c>
      <c r="B3136">
        <v>184</v>
      </c>
      <c r="C3136">
        <v>17</v>
      </c>
      <c r="D3136">
        <v>38</v>
      </c>
      <c r="E3136" s="2" t="str">
        <f t="shared" si="48"/>
        <v/>
      </c>
    </row>
    <row r="3137" spans="1:5" x14ac:dyDescent="0.25">
      <c r="A3137" s="138">
        <v>1111218</v>
      </c>
      <c r="B3137">
        <v>184</v>
      </c>
      <c r="C3137">
        <v>17</v>
      </c>
      <c r="D3137">
        <v>38</v>
      </c>
      <c r="E3137" s="2" t="str">
        <f t="shared" si="48"/>
        <v/>
      </c>
    </row>
    <row r="3138" spans="1:5" x14ac:dyDescent="0.25">
      <c r="A3138" s="138">
        <v>1111219</v>
      </c>
      <c r="B3138">
        <v>184</v>
      </c>
      <c r="C3138">
        <v>17</v>
      </c>
      <c r="D3138">
        <v>38</v>
      </c>
      <c r="E3138" s="2" t="str">
        <f t="shared" si="48"/>
        <v/>
      </c>
    </row>
    <row r="3139" spans="1:5" x14ac:dyDescent="0.25">
      <c r="A3139" s="138">
        <v>1111220</v>
      </c>
      <c r="B3139">
        <v>184</v>
      </c>
      <c r="C3139">
        <v>17</v>
      </c>
      <c r="D3139">
        <v>38</v>
      </c>
      <c r="E3139" s="2" t="str">
        <f t="shared" ref="E3139:E3202" si="49">IF(B3139=B3138,IF(C3138=C3139,"",1),"")</f>
        <v/>
      </c>
    </row>
    <row r="3140" spans="1:5" x14ac:dyDescent="0.25">
      <c r="A3140" s="138">
        <v>1111221</v>
      </c>
      <c r="B3140">
        <v>184</v>
      </c>
      <c r="C3140">
        <v>17</v>
      </c>
      <c r="D3140">
        <v>38</v>
      </c>
      <c r="E3140" s="2" t="str">
        <f t="shared" si="49"/>
        <v/>
      </c>
    </row>
    <row r="3141" spans="1:5" x14ac:dyDescent="0.25">
      <c r="A3141" s="138">
        <v>1111222</v>
      </c>
      <c r="B3141">
        <v>184</v>
      </c>
      <c r="C3141">
        <v>17</v>
      </c>
      <c r="D3141">
        <v>38</v>
      </c>
      <c r="E3141" s="2" t="str">
        <f t="shared" si="49"/>
        <v/>
      </c>
    </row>
    <row r="3142" spans="1:5" x14ac:dyDescent="0.25">
      <c r="A3142" s="138">
        <v>1111223</v>
      </c>
      <c r="B3142">
        <v>184</v>
      </c>
      <c r="C3142">
        <v>17</v>
      </c>
      <c r="D3142">
        <v>38</v>
      </c>
      <c r="E3142" s="2" t="str">
        <f t="shared" si="49"/>
        <v/>
      </c>
    </row>
    <row r="3143" spans="1:5" x14ac:dyDescent="0.25">
      <c r="A3143" s="138">
        <v>1111224</v>
      </c>
      <c r="B3143">
        <v>184</v>
      </c>
      <c r="C3143">
        <v>17</v>
      </c>
      <c r="D3143">
        <v>38</v>
      </c>
      <c r="E3143" s="2" t="str">
        <f t="shared" si="49"/>
        <v/>
      </c>
    </row>
    <row r="3144" spans="1:5" x14ac:dyDescent="0.25">
      <c r="A3144" s="138">
        <v>1111225</v>
      </c>
      <c r="B3144">
        <v>184</v>
      </c>
      <c r="C3144">
        <v>17</v>
      </c>
      <c r="D3144">
        <v>38</v>
      </c>
      <c r="E3144" s="2" t="str">
        <f t="shared" si="49"/>
        <v/>
      </c>
    </row>
    <row r="3145" spans="1:5" x14ac:dyDescent="0.25">
      <c r="A3145" s="138">
        <v>1111226</v>
      </c>
      <c r="B3145">
        <v>184</v>
      </c>
      <c r="C3145">
        <v>17</v>
      </c>
      <c r="D3145">
        <v>38</v>
      </c>
      <c r="E3145" s="2" t="str">
        <f t="shared" si="49"/>
        <v/>
      </c>
    </row>
    <row r="3146" spans="1:5" x14ac:dyDescent="0.25">
      <c r="A3146" s="138">
        <v>1111227</v>
      </c>
      <c r="B3146">
        <v>184</v>
      </c>
      <c r="C3146">
        <v>17</v>
      </c>
      <c r="D3146">
        <v>38</v>
      </c>
      <c r="E3146" s="2" t="str">
        <f t="shared" si="49"/>
        <v/>
      </c>
    </row>
    <row r="3147" spans="1:5" x14ac:dyDescent="0.25">
      <c r="A3147" s="138">
        <v>1111228</v>
      </c>
      <c r="B3147">
        <v>184</v>
      </c>
      <c r="C3147">
        <v>17</v>
      </c>
      <c r="D3147">
        <v>38</v>
      </c>
      <c r="E3147" s="2" t="str">
        <f t="shared" si="49"/>
        <v/>
      </c>
    </row>
    <row r="3148" spans="1:5" x14ac:dyDescent="0.25">
      <c r="A3148" s="138">
        <v>1111229</v>
      </c>
      <c r="B3148">
        <v>184</v>
      </c>
      <c r="C3148">
        <v>17</v>
      </c>
      <c r="D3148">
        <v>38</v>
      </c>
      <c r="E3148" s="2" t="str">
        <f t="shared" si="49"/>
        <v/>
      </c>
    </row>
    <row r="3149" spans="1:5" x14ac:dyDescent="0.25">
      <c r="A3149" s="138">
        <v>1111230</v>
      </c>
      <c r="B3149">
        <v>184</v>
      </c>
      <c r="C3149">
        <v>17</v>
      </c>
      <c r="D3149">
        <v>38</v>
      </c>
      <c r="E3149" s="2" t="str">
        <f t="shared" si="49"/>
        <v/>
      </c>
    </row>
    <row r="3150" spans="1:5" x14ac:dyDescent="0.25">
      <c r="A3150" s="138">
        <v>1111231</v>
      </c>
      <c r="B3150">
        <v>184</v>
      </c>
      <c r="C3150">
        <v>17</v>
      </c>
      <c r="D3150">
        <v>38</v>
      </c>
      <c r="E3150" s="2" t="str">
        <f t="shared" si="49"/>
        <v/>
      </c>
    </row>
    <row r="3151" spans="1:5" x14ac:dyDescent="0.25">
      <c r="A3151" s="138">
        <v>1111232</v>
      </c>
      <c r="B3151">
        <v>184</v>
      </c>
      <c r="C3151">
        <v>17</v>
      </c>
      <c r="D3151">
        <v>38</v>
      </c>
      <c r="E3151" s="2" t="str">
        <f t="shared" si="49"/>
        <v/>
      </c>
    </row>
    <row r="3152" spans="1:5" x14ac:dyDescent="0.25">
      <c r="A3152" s="138">
        <v>1111233</v>
      </c>
      <c r="B3152">
        <v>184</v>
      </c>
      <c r="C3152">
        <v>17</v>
      </c>
      <c r="D3152">
        <v>38</v>
      </c>
      <c r="E3152" s="2" t="str">
        <f t="shared" si="49"/>
        <v/>
      </c>
    </row>
    <row r="3153" spans="1:5" x14ac:dyDescent="0.25">
      <c r="A3153" s="138">
        <v>1111234</v>
      </c>
      <c r="B3153">
        <v>184</v>
      </c>
      <c r="C3153">
        <v>17</v>
      </c>
      <c r="D3153">
        <v>38</v>
      </c>
      <c r="E3153" s="2" t="str">
        <f t="shared" si="49"/>
        <v/>
      </c>
    </row>
    <row r="3154" spans="1:5" x14ac:dyDescent="0.25">
      <c r="A3154" s="138">
        <v>1111235</v>
      </c>
      <c r="B3154">
        <v>184</v>
      </c>
      <c r="C3154">
        <v>17</v>
      </c>
      <c r="D3154">
        <v>38</v>
      </c>
      <c r="E3154" s="2" t="str">
        <f t="shared" si="49"/>
        <v/>
      </c>
    </row>
    <row r="3155" spans="1:5" x14ac:dyDescent="0.25">
      <c r="A3155" s="138">
        <v>1111236</v>
      </c>
      <c r="B3155">
        <v>184</v>
      </c>
      <c r="C3155">
        <v>17</v>
      </c>
      <c r="D3155">
        <v>38</v>
      </c>
      <c r="E3155" s="2" t="str">
        <f t="shared" si="49"/>
        <v/>
      </c>
    </row>
    <row r="3156" spans="1:5" x14ac:dyDescent="0.25">
      <c r="A3156" s="138">
        <v>1111237</v>
      </c>
      <c r="B3156">
        <v>184</v>
      </c>
      <c r="C3156">
        <v>17</v>
      </c>
      <c r="D3156">
        <v>38</v>
      </c>
      <c r="E3156" s="2" t="str">
        <f t="shared" si="49"/>
        <v/>
      </c>
    </row>
    <row r="3157" spans="1:5" x14ac:dyDescent="0.25">
      <c r="A3157" s="138">
        <v>1111238</v>
      </c>
      <c r="B3157">
        <v>184</v>
      </c>
      <c r="C3157">
        <v>17</v>
      </c>
      <c r="D3157">
        <v>38</v>
      </c>
      <c r="E3157" s="2" t="str">
        <f t="shared" si="49"/>
        <v/>
      </c>
    </row>
    <row r="3158" spans="1:5" x14ac:dyDescent="0.25">
      <c r="A3158" s="138">
        <v>1111239</v>
      </c>
      <c r="B3158">
        <v>184</v>
      </c>
      <c r="C3158">
        <v>17</v>
      </c>
      <c r="D3158">
        <v>38</v>
      </c>
      <c r="E3158" s="2" t="str">
        <f t="shared" si="49"/>
        <v/>
      </c>
    </row>
    <row r="3159" spans="1:5" x14ac:dyDescent="0.25">
      <c r="A3159" s="138">
        <v>1111240</v>
      </c>
      <c r="B3159">
        <v>184</v>
      </c>
      <c r="C3159">
        <v>17</v>
      </c>
      <c r="D3159">
        <v>38</v>
      </c>
      <c r="E3159" s="2" t="str">
        <f t="shared" si="49"/>
        <v/>
      </c>
    </row>
    <row r="3160" spans="1:5" x14ac:dyDescent="0.25">
      <c r="A3160" s="138">
        <v>1111241</v>
      </c>
      <c r="B3160">
        <v>184</v>
      </c>
      <c r="C3160">
        <v>17</v>
      </c>
      <c r="D3160">
        <v>38</v>
      </c>
      <c r="E3160" s="2" t="str">
        <f t="shared" si="49"/>
        <v/>
      </c>
    </row>
    <row r="3161" spans="1:5" x14ac:dyDescent="0.25">
      <c r="A3161" s="138">
        <v>1111242</v>
      </c>
      <c r="B3161">
        <v>184</v>
      </c>
      <c r="C3161">
        <v>17</v>
      </c>
      <c r="D3161">
        <v>38</v>
      </c>
      <c r="E3161" s="2" t="str">
        <f t="shared" si="49"/>
        <v/>
      </c>
    </row>
    <row r="3162" spans="1:5" x14ac:dyDescent="0.25">
      <c r="A3162" s="138">
        <v>1111243</v>
      </c>
      <c r="B3162">
        <v>184</v>
      </c>
      <c r="C3162">
        <v>17</v>
      </c>
      <c r="D3162">
        <v>38</v>
      </c>
      <c r="E3162" s="2" t="str">
        <f t="shared" si="49"/>
        <v/>
      </c>
    </row>
    <row r="3163" spans="1:5" x14ac:dyDescent="0.25">
      <c r="A3163" s="138">
        <v>1111244</v>
      </c>
      <c r="B3163">
        <v>184</v>
      </c>
      <c r="C3163">
        <v>17</v>
      </c>
      <c r="D3163">
        <v>38</v>
      </c>
      <c r="E3163" s="2" t="str">
        <f t="shared" si="49"/>
        <v/>
      </c>
    </row>
    <row r="3164" spans="1:5" x14ac:dyDescent="0.25">
      <c r="A3164" s="138">
        <v>1111245</v>
      </c>
      <c r="B3164">
        <v>184</v>
      </c>
      <c r="C3164">
        <v>17</v>
      </c>
      <c r="D3164">
        <v>38</v>
      </c>
      <c r="E3164" s="2" t="str">
        <f t="shared" si="49"/>
        <v/>
      </c>
    </row>
    <row r="3165" spans="1:5" x14ac:dyDescent="0.25">
      <c r="A3165" s="138">
        <v>1111246</v>
      </c>
      <c r="B3165">
        <v>184</v>
      </c>
      <c r="C3165">
        <v>17</v>
      </c>
      <c r="D3165">
        <v>38</v>
      </c>
      <c r="E3165" s="2" t="str">
        <f t="shared" si="49"/>
        <v/>
      </c>
    </row>
    <row r="3166" spans="1:5" x14ac:dyDescent="0.25">
      <c r="A3166" s="138">
        <v>1111247</v>
      </c>
      <c r="B3166">
        <v>184</v>
      </c>
      <c r="C3166">
        <v>17</v>
      </c>
      <c r="D3166">
        <v>38</v>
      </c>
      <c r="E3166" s="2" t="str">
        <f t="shared" si="49"/>
        <v/>
      </c>
    </row>
    <row r="3167" spans="1:5" x14ac:dyDescent="0.25">
      <c r="A3167" s="138">
        <v>1111248</v>
      </c>
      <c r="B3167">
        <v>184</v>
      </c>
      <c r="C3167">
        <v>17</v>
      </c>
      <c r="D3167">
        <v>38</v>
      </c>
      <c r="E3167" s="2" t="str">
        <f t="shared" si="49"/>
        <v/>
      </c>
    </row>
    <row r="3168" spans="1:5" x14ac:dyDescent="0.25">
      <c r="A3168" s="138">
        <v>1111249</v>
      </c>
      <c r="B3168">
        <v>184</v>
      </c>
      <c r="C3168">
        <v>17</v>
      </c>
      <c r="D3168">
        <v>38</v>
      </c>
      <c r="E3168" s="2" t="str">
        <f t="shared" si="49"/>
        <v/>
      </c>
    </row>
    <row r="3169" spans="1:5" x14ac:dyDescent="0.25">
      <c r="A3169" s="138">
        <v>1111250</v>
      </c>
      <c r="B3169">
        <v>184</v>
      </c>
      <c r="C3169">
        <v>17</v>
      </c>
      <c r="D3169">
        <v>38</v>
      </c>
      <c r="E3169" s="2" t="str">
        <f t="shared" si="49"/>
        <v/>
      </c>
    </row>
    <row r="3170" spans="1:5" x14ac:dyDescent="0.25">
      <c r="A3170" s="138">
        <v>1111251</v>
      </c>
      <c r="B3170">
        <v>184</v>
      </c>
      <c r="C3170">
        <v>17</v>
      </c>
      <c r="D3170">
        <v>38</v>
      </c>
      <c r="E3170" s="2" t="str">
        <f t="shared" si="49"/>
        <v/>
      </c>
    </row>
    <row r="3171" spans="1:5" x14ac:dyDescent="0.25">
      <c r="A3171" s="138">
        <v>1111252</v>
      </c>
      <c r="B3171">
        <v>184</v>
      </c>
      <c r="C3171">
        <v>17</v>
      </c>
      <c r="D3171">
        <v>38</v>
      </c>
      <c r="E3171" s="2" t="str">
        <f t="shared" si="49"/>
        <v/>
      </c>
    </row>
    <row r="3172" spans="1:5" x14ac:dyDescent="0.25">
      <c r="A3172" s="138">
        <v>1111253</v>
      </c>
      <c r="B3172">
        <v>184</v>
      </c>
      <c r="C3172">
        <v>17</v>
      </c>
      <c r="D3172">
        <v>38</v>
      </c>
      <c r="E3172" s="2" t="str">
        <f t="shared" si="49"/>
        <v/>
      </c>
    </row>
    <row r="3173" spans="1:5" x14ac:dyDescent="0.25">
      <c r="A3173" s="138">
        <v>1111254</v>
      </c>
      <c r="B3173">
        <v>184</v>
      </c>
      <c r="C3173">
        <v>17</v>
      </c>
      <c r="D3173">
        <v>38</v>
      </c>
      <c r="E3173" s="2" t="str">
        <f t="shared" si="49"/>
        <v/>
      </c>
    </row>
    <row r="3174" spans="1:5" x14ac:dyDescent="0.25">
      <c r="A3174" s="138">
        <v>1111255</v>
      </c>
      <c r="B3174">
        <v>184</v>
      </c>
      <c r="C3174">
        <v>17</v>
      </c>
      <c r="D3174">
        <v>38</v>
      </c>
      <c r="E3174" s="2" t="str">
        <f t="shared" si="49"/>
        <v/>
      </c>
    </row>
    <row r="3175" spans="1:5" x14ac:dyDescent="0.25">
      <c r="A3175" s="138">
        <v>1111256</v>
      </c>
      <c r="B3175">
        <v>184</v>
      </c>
      <c r="C3175">
        <v>17</v>
      </c>
      <c r="D3175">
        <v>38</v>
      </c>
      <c r="E3175" s="2" t="str">
        <f t="shared" si="49"/>
        <v/>
      </c>
    </row>
    <row r="3176" spans="1:5" x14ac:dyDescent="0.25">
      <c r="A3176" s="138">
        <v>1111257</v>
      </c>
      <c r="B3176">
        <v>184</v>
      </c>
      <c r="C3176">
        <v>17</v>
      </c>
      <c r="D3176">
        <v>38</v>
      </c>
      <c r="E3176" s="2" t="str">
        <f t="shared" si="49"/>
        <v/>
      </c>
    </row>
    <row r="3177" spans="1:5" x14ac:dyDescent="0.25">
      <c r="A3177" s="138">
        <v>1111258</v>
      </c>
      <c r="B3177">
        <v>184</v>
      </c>
      <c r="C3177">
        <v>17</v>
      </c>
      <c r="D3177">
        <v>38</v>
      </c>
      <c r="E3177" s="2" t="str">
        <f t="shared" si="49"/>
        <v/>
      </c>
    </row>
    <row r="3178" spans="1:5" x14ac:dyDescent="0.25">
      <c r="A3178" s="138">
        <v>1111259</v>
      </c>
      <c r="B3178">
        <v>184</v>
      </c>
      <c r="C3178">
        <v>17</v>
      </c>
      <c r="D3178">
        <v>38</v>
      </c>
      <c r="E3178" s="2" t="str">
        <f t="shared" si="49"/>
        <v/>
      </c>
    </row>
    <row r="3179" spans="1:5" x14ac:dyDescent="0.25">
      <c r="A3179" s="138">
        <v>1111260</v>
      </c>
      <c r="B3179">
        <v>184</v>
      </c>
      <c r="C3179">
        <v>17</v>
      </c>
      <c r="D3179">
        <v>38</v>
      </c>
      <c r="E3179" s="2" t="str">
        <f t="shared" si="49"/>
        <v/>
      </c>
    </row>
    <row r="3180" spans="1:5" x14ac:dyDescent="0.25">
      <c r="A3180" s="138">
        <v>1111261</v>
      </c>
      <c r="B3180">
        <v>184</v>
      </c>
      <c r="C3180">
        <v>17</v>
      </c>
      <c r="D3180">
        <v>38</v>
      </c>
      <c r="E3180" s="2" t="str">
        <f t="shared" si="49"/>
        <v/>
      </c>
    </row>
    <row r="3181" spans="1:5" x14ac:dyDescent="0.25">
      <c r="A3181" s="138">
        <v>1111262</v>
      </c>
      <c r="B3181">
        <v>184</v>
      </c>
      <c r="C3181">
        <v>17</v>
      </c>
      <c r="D3181">
        <v>38</v>
      </c>
      <c r="E3181" s="2" t="str">
        <f t="shared" si="49"/>
        <v/>
      </c>
    </row>
    <row r="3182" spans="1:5" x14ac:dyDescent="0.25">
      <c r="A3182" s="138">
        <v>1111263</v>
      </c>
      <c r="B3182">
        <v>184</v>
      </c>
      <c r="C3182">
        <v>17</v>
      </c>
      <c r="D3182">
        <v>38</v>
      </c>
      <c r="E3182" s="2" t="str">
        <f t="shared" si="49"/>
        <v/>
      </c>
    </row>
    <row r="3183" spans="1:5" x14ac:dyDescent="0.25">
      <c r="A3183" s="138">
        <v>1111264</v>
      </c>
      <c r="B3183">
        <v>184</v>
      </c>
      <c r="C3183">
        <v>17</v>
      </c>
      <c r="D3183">
        <v>38</v>
      </c>
      <c r="E3183" s="2" t="str">
        <f t="shared" si="49"/>
        <v/>
      </c>
    </row>
    <row r="3184" spans="1:5" x14ac:dyDescent="0.25">
      <c r="A3184" s="138">
        <v>1111265</v>
      </c>
      <c r="B3184">
        <v>184</v>
      </c>
      <c r="C3184">
        <v>17</v>
      </c>
      <c r="D3184">
        <v>38</v>
      </c>
      <c r="E3184" s="2" t="str">
        <f t="shared" si="49"/>
        <v/>
      </c>
    </row>
    <row r="3185" spans="1:5" x14ac:dyDescent="0.25">
      <c r="A3185" s="138">
        <v>1111266</v>
      </c>
      <c r="B3185">
        <v>184</v>
      </c>
      <c r="C3185">
        <v>17</v>
      </c>
      <c r="D3185">
        <v>38</v>
      </c>
      <c r="E3185" s="2" t="str">
        <f t="shared" si="49"/>
        <v/>
      </c>
    </row>
    <row r="3186" spans="1:5" x14ac:dyDescent="0.25">
      <c r="A3186" s="138">
        <v>1111267</v>
      </c>
      <c r="B3186">
        <v>184</v>
      </c>
      <c r="C3186">
        <v>17</v>
      </c>
      <c r="D3186">
        <v>38</v>
      </c>
      <c r="E3186" s="2" t="str">
        <f t="shared" si="49"/>
        <v/>
      </c>
    </row>
    <row r="3187" spans="1:5" x14ac:dyDescent="0.25">
      <c r="A3187" s="138">
        <v>1111268</v>
      </c>
      <c r="B3187">
        <v>184</v>
      </c>
      <c r="C3187">
        <v>17</v>
      </c>
      <c r="D3187">
        <v>38</v>
      </c>
      <c r="E3187" s="2" t="str">
        <f t="shared" si="49"/>
        <v/>
      </c>
    </row>
    <row r="3188" spans="1:5" x14ac:dyDescent="0.25">
      <c r="A3188" s="138">
        <v>1111299</v>
      </c>
      <c r="B3188">
        <v>184</v>
      </c>
      <c r="C3188">
        <v>17</v>
      </c>
      <c r="D3188">
        <v>38</v>
      </c>
      <c r="E3188" s="2" t="str">
        <f t="shared" si="49"/>
        <v/>
      </c>
    </row>
    <row r="3189" spans="1:5" x14ac:dyDescent="0.25">
      <c r="A3189" s="138">
        <v>1111300</v>
      </c>
      <c r="B3189">
        <v>184</v>
      </c>
      <c r="C3189">
        <v>17</v>
      </c>
      <c r="D3189">
        <v>38</v>
      </c>
      <c r="E3189" s="2" t="str">
        <f t="shared" si="49"/>
        <v/>
      </c>
    </row>
    <row r="3190" spans="1:5" x14ac:dyDescent="0.25">
      <c r="A3190" s="138">
        <v>1111301</v>
      </c>
      <c r="B3190">
        <v>184</v>
      </c>
      <c r="C3190">
        <v>17</v>
      </c>
      <c r="D3190">
        <v>38</v>
      </c>
      <c r="E3190" s="2" t="str">
        <f t="shared" si="49"/>
        <v/>
      </c>
    </row>
    <row r="3191" spans="1:5" x14ac:dyDescent="0.25">
      <c r="A3191" s="138">
        <v>1111302</v>
      </c>
      <c r="B3191">
        <v>184</v>
      </c>
      <c r="C3191">
        <v>17</v>
      </c>
      <c r="D3191">
        <v>38</v>
      </c>
      <c r="E3191" s="2" t="str">
        <f t="shared" si="49"/>
        <v/>
      </c>
    </row>
    <row r="3192" spans="1:5" x14ac:dyDescent="0.25">
      <c r="A3192" s="138">
        <v>1111303</v>
      </c>
      <c r="B3192">
        <v>184</v>
      </c>
      <c r="C3192">
        <v>17</v>
      </c>
      <c r="D3192">
        <v>38</v>
      </c>
      <c r="E3192" s="2" t="str">
        <f t="shared" si="49"/>
        <v/>
      </c>
    </row>
    <row r="3193" spans="1:5" x14ac:dyDescent="0.25">
      <c r="A3193" s="138">
        <v>1111304</v>
      </c>
      <c r="B3193">
        <v>184</v>
      </c>
      <c r="C3193">
        <v>17</v>
      </c>
      <c r="D3193">
        <v>38</v>
      </c>
      <c r="E3193" s="2" t="str">
        <f t="shared" si="49"/>
        <v/>
      </c>
    </row>
    <row r="3194" spans="1:5" x14ac:dyDescent="0.25">
      <c r="A3194" s="138">
        <v>1111305</v>
      </c>
      <c r="B3194">
        <v>184</v>
      </c>
      <c r="C3194">
        <v>17</v>
      </c>
      <c r="D3194">
        <v>38</v>
      </c>
      <c r="E3194" s="2" t="str">
        <f t="shared" si="49"/>
        <v/>
      </c>
    </row>
    <row r="3195" spans="1:5" x14ac:dyDescent="0.25">
      <c r="A3195" s="138">
        <v>1111306</v>
      </c>
      <c r="B3195">
        <v>184</v>
      </c>
      <c r="C3195">
        <v>17</v>
      </c>
      <c r="D3195">
        <v>38</v>
      </c>
      <c r="E3195" s="2" t="str">
        <f t="shared" si="49"/>
        <v/>
      </c>
    </row>
    <row r="3196" spans="1:5" x14ac:dyDescent="0.25">
      <c r="A3196" s="138">
        <v>1111307</v>
      </c>
      <c r="B3196">
        <v>184</v>
      </c>
      <c r="C3196">
        <v>17</v>
      </c>
      <c r="D3196">
        <v>38</v>
      </c>
      <c r="E3196" s="2" t="str">
        <f t="shared" si="49"/>
        <v/>
      </c>
    </row>
    <row r="3197" spans="1:5" x14ac:dyDescent="0.25">
      <c r="A3197" s="138">
        <v>1111308</v>
      </c>
      <c r="B3197">
        <v>184</v>
      </c>
      <c r="C3197">
        <v>17</v>
      </c>
      <c r="D3197">
        <v>38</v>
      </c>
      <c r="E3197" s="2" t="str">
        <f t="shared" si="49"/>
        <v/>
      </c>
    </row>
    <row r="3198" spans="1:5" x14ac:dyDescent="0.25">
      <c r="A3198" s="138">
        <v>1111309</v>
      </c>
      <c r="B3198">
        <v>184</v>
      </c>
      <c r="C3198">
        <v>17</v>
      </c>
      <c r="D3198">
        <v>38</v>
      </c>
      <c r="E3198" s="2" t="str">
        <f t="shared" si="49"/>
        <v/>
      </c>
    </row>
    <row r="3199" spans="1:5" x14ac:dyDescent="0.25">
      <c r="A3199" s="138">
        <v>1111310</v>
      </c>
      <c r="B3199">
        <v>184</v>
      </c>
      <c r="C3199">
        <v>17</v>
      </c>
      <c r="D3199">
        <v>38</v>
      </c>
      <c r="E3199" s="2" t="str">
        <f t="shared" si="49"/>
        <v/>
      </c>
    </row>
    <row r="3200" spans="1:5" x14ac:dyDescent="0.25">
      <c r="A3200" s="138">
        <v>1111311</v>
      </c>
      <c r="B3200">
        <v>184</v>
      </c>
      <c r="C3200">
        <v>17</v>
      </c>
      <c r="D3200">
        <v>38</v>
      </c>
      <c r="E3200" s="2" t="str">
        <f t="shared" si="49"/>
        <v/>
      </c>
    </row>
    <row r="3201" spans="1:5" x14ac:dyDescent="0.25">
      <c r="A3201" s="138">
        <v>1111312</v>
      </c>
      <c r="B3201">
        <v>184</v>
      </c>
      <c r="C3201">
        <v>17</v>
      </c>
      <c r="D3201">
        <v>38</v>
      </c>
      <c r="E3201" s="2" t="str">
        <f t="shared" si="49"/>
        <v/>
      </c>
    </row>
    <row r="3202" spans="1:5" x14ac:dyDescent="0.25">
      <c r="A3202" s="138">
        <v>1111313</v>
      </c>
      <c r="B3202">
        <v>184</v>
      </c>
      <c r="C3202">
        <v>17</v>
      </c>
      <c r="D3202">
        <v>38</v>
      </c>
      <c r="E3202" s="2" t="str">
        <f t="shared" si="49"/>
        <v/>
      </c>
    </row>
    <row r="3203" spans="1:5" x14ac:dyDescent="0.25">
      <c r="A3203" s="138">
        <v>1111314</v>
      </c>
      <c r="B3203">
        <v>184</v>
      </c>
      <c r="C3203">
        <v>17</v>
      </c>
      <c r="D3203">
        <v>38</v>
      </c>
      <c r="E3203" s="2" t="str">
        <f t="shared" ref="E3203:E3266" si="50">IF(B3203=B3202,IF(C3202=C3203,"",1),"")</f>
        <v/>
      </c>
    </row>
    <row r="3204" spans="1:5" x14ac:dyDescent="0.25">
      <c r="A3204" s="138">
        <v>1111315</v>
      </c>
      <c r="B3204">
        <v>184</v>
      </c>
      <c r="C3204">
        <v>17</v>
      </c>
      <c r="D3204">
        <v>38</v>
      </c>
      <c r="E3204" s="2" t="str">
        <f t="shared" si="50"/>
        <v/>
      </c>
    </row>
    <row r="3205" spans="1:5" x14ac:dyDescent="0.25">
      <c r="A3205" s="138">
        <v>1111316</v>
      </c>
      <c r="B3205">
        <v>184</v>
      </c>
      <c r="C3205">
        <v>17</v>
      </c>
      <c r="D3205">
        <v>38</v>
      </c>
      <c r="E3205" s="2" t="str">
        <f t="shared" si="50"/>
        <v/>
      </c>
    </row>
    <row r="3206" spans="1:5" x14ac:dyDescent="0.25">
      <c r="A3206" s="138">
        <v>1111317</v>
      </c>
      <c r="B3206">
        <v>184</v>
      </c>
      <c r="C3206">
        <v>17</v>
      </c>
      <c r="D3206">
        <v>38</v>
      </c>
      <c r="E3206" s="2" t="str">
        <f t="shared" si="50"/>
        <v/>
      </c>
    </row>
    <row r="3207" spans="1:5" x14ac:dyDescent="0.25">
      <c r="A3207" s="138">
        <v>1111318</v>
      </c>
      <c r="B3207">
        <v>184</v>
      </c>
      <c r="C3207">
        <v>17</v>
      </c>
      <c r="D3207">
        <v>38</v>
      </c>
      <c r="E3207" s="2" t="str">
        <f t="shared" si="50"/>
        <v/>
      </c>
    </row>
    <row r="3208" spans="1:5" x14ac:dyDescent="0.25">
      <c r="A3208" s="138">
        <v>1111319</v>
      </c>
      <c r="B3208">
        <v>184</v>
      </c>
      <c r="C3208">
        <v>17</v>
      </c>
      <c r="D3208">
        <v>38</v>
      </c>
      <c r="E3208" s="2" t="str">
        <f t="shared" si="50"/>
        <v/>
      </c>
    </row>
    <row r="3209" spans="1:5" x14ac:dyDescent="0.25">
      <c r="A3209" s="138">
        <v>1111320</v>
      </c>
      <c r="B3209">
        <v>184</v>
      </c>
      <c r="C3209">
        <v>17</v>
      </c>
      <c r="D3209">
        <v>38</v>
      </c>
      <c r="E3209" s="2" t="str">
        <f t="shared" si="50"/>
        <v/>
      </c>
    </row>
    <row r="3210" spans="1:5" x14ac:dyDescent="0.25">
      <c r="A3210" s="138">
        <v>1111321</v>
      </c>
      <c r="B3210">
        <v>184</v>
      </c>
      <c r="C3210">
        <v>17</v>
      </c>
      <c r="D3210">
        <v>38</v>
      </c>
      <c r="E3210" s="2" t="str">
        <f t="shared" si="50"/>
        <v/>
      </c>
    </row>
    <row r="3211" spans="1:5" x14ac:dyDescent="0.25">
      <c r="A3211" s="138">
        <v>1111399</v>
      </c>
      <c r="B3211">
        <v>184</v>
      </c>
      <c r="C3211">
        <v>17</v>
      </c>
      <c r="D3211">
        <v>38</v>
      </c>
      <c r="E3211" s="2" t="str">
        <f t="shared" si="50"/>
        <v/>
      </c>
    </row>
    <row r="3212" spans="1:5" x14ac:dyDescent="0.25">
      <c r="A3212" s="138">
        <v>1111400</v>
      </c>
      <c r="B3212">
        <v>184</v>
      </c>
      <c r="C3212">
        <v>17</v>
      </c>
      <c r="D3212">
        <v>38</v>
      </c>
      <c r="E3212" s="2" t="str">
        <f t="shared" si="50"/>
        <v/>
      </c>
    </row>
    <row r="3213" spans="1:5" x14ac:dyDescent="0.25">
      <c r="A3213" s="138">
        <v>1111401</v>
      </c>
      <c r="B3213">
        <v>184</v>
      </c>
      <c r="C3213">
        <v>17</v>
      </c>
      <c r="D3213">
        <v>38</v>
      </c>
      <c r="E3213" s="2" t="str">
        <f t="shared" si="50"/>
        <v/>
      </c>
    </row>
    <row r="3214" spans="1:5" x14ac:dyDescent="0.25">
      <c r="A3214" s="138">
        <v>1111402</v>
      </c>
      <c r="B3214">
        <v>184</v>
      </c>
      <c r="C3214">
        <v>17</v>
      </c>
      <c r="D3214">
        <v>38</v>
      </c>
      <c r="E3214" s="2" t="str">
        <f t="shared" si="50"/>
        <v/>
      </c>
    </row>
    <row r="3215" spans="1:5" x14ac:dyDescent="0.25">
      <c r="A3215" s="138">
        <v>1111403</v>
      </c>
      <c r="B3215">
        <v>184</v>
      </c>
      <c r="C3215">
        <v>17</v>
      </c>
      <c r="D3215">
        <v>38</v>
      </c>
      <c r="E3215" s="2" t="str">
        <f t="shared" si="50"/>
        <v/>
      </c>
    </row>
    <row r="3216" spans="1:5" x14ac:dyDescent="0.25">
      <c r="A3216" s="138">
        <v>1111404</v>
      </c>
      <c r="B3216">
        <v>184</v>
      </c>
      <c r="C3216">
        <v>17</v>
      </c>
      <c r="D3216">
        <v>38</v>
      </c>
      <c r="E3216" s="2" t="str">
        <f t="shared" si="50"/>
        <v/>
      </c>
    </row>
    <row r="3217" spans="1:5" x14ac:dyDescent="0.25">
      <c r="A3217" s="138">
        <v>1111405</v>
      </c>
      <c r="B3217">
        <v>184</v>
      </c>
      <c r="C3217">
        <v>17</v>
      </c>
      <c r="D3217">
        <v>38</v>
      </c>
      <c r="E3217" s="2" t="str">
        <f t="shared" si="50"/>
        <v/>
      </c>
    </row>
    <row r="3218" spans="1:5" x14ac:dyDescent="0.25">
      <c r="A3218" s="138">
        <v>1111406</v>
      </c>
      <c r="B3218">
        <v>184</v>
      </c>
      <c r="C3218">
        <v>17</v>
      </c>
      <c r="D3218">
        <v>38</v>
      </c>
      <c r="E3218" s="2" t="str">
        <f t="shared" si="50"/>
        <v/>
      </c>
    </row>
    <row r="3219" spans="1:5" x14ac:dyDescent="0.25">
      <c r="A3219" s="138">
        <v>1111407</v>
      </c>
      <c r="B3219">
        <v>184</v>
      </c>
      <c r="C3219">
        <v>17</v>
      </c>
      <c r="D3219">
        <v>38</v>
      </c>
      <c r="E3219" s="2" t="str">
        <f t="shared" si="50"/>
        <v/>
      </c>
    </row>
    <row r="3220" spans="1:5" x14ac:dyDescent="0.25">
      <c r="A3220" s="138">
        <v>1111408</v>
      </c>
      <c r="B3220">
        <v>184</v>
      </c>
      <c r="C3220">
        <v>17</v>
      </c>
      <c r="D3220">
        <v>38</v>
      </c>
      <c r="E3220" s="2" t="str">
        <f t="shared" si="50"/>
        <v/>
      </c>
    </row>
    <row r="3221" spans="1:5" x14ac:dyDescent="0.25">
      <c r="A3221" s="138">
        <v>1111409</v>
      </c>
      <c r="B3221">
        <v>184</v>
      </c>
      <c r="C3221">
        <v>17</v>
      </c>
      <c r="D3221">
        <v>38</v>
      </c>
      <c r="E3221" s="2" t="str">
        <f t="shared" si="50"/>
        <v/>
      </c>
    </row>
    <row r="3222" spans="1:5" x14ac:dyDescent="0.25">
      <c r="A3222" s="138">
        <v>1111410</v>
      </c>
      <c r="B3222">
        <v>184</v>
      </c>
      <c r="C3222">
        <v>17</v>
      </c>
      <c r="D3222">
        <v>38</v>
      </c>
      <c r="E3222" s="2" t="str">
        <f t="shared" si="50"/>
        <v/>
      </c>
    </row>
    <row r="3223" spans="1:5" x14ac:dyDescent="0.25">
      <c r="A3223" s="138">
        <v>1111411</v>
      </c>
      <c r="B3223">
        <v>184</v>
      </c>
      <c r="C3223">
        <v>17</v>
      </c>
      <c r="D3223">
        <v>38</v>
      </c>
      <c r="E3223" s="2" t="str">
        <f t="shared" si="50"/>
        <v/>
      </c>
    </row>
    <row r="3224" spans="1:5" x14ac:dyDescent="0.25">
      <c r="A3224" s="138">
        <v>1111412</v>
      </c>
      <c r="B3224">
        <v>184</v>
      </c>
      <c r="C3224">
        <v>17</v>
      </c>
      <c r="D3224">
        <v>38</v>
      </c>
      <c r="E3224" s="2" t="str">
        <f t="shared" si="50"/>
        <v/>
      </c>
    </row>
    <row r="3225" spans="1:5" x14ac:dyDescent="0.25">
      <c r="A3225" s="138">
        <v>1111413</v>
      </c>
      <c r="B3225">
        <v>184</v>
      </c>
      <c r="C3225">
        <v>17</v>
      </c>
      <c r="D3225">
        <v>38</v>
      </c>
      <c r="E3225" s="2" t="str">
        <f t="shared" si="50"/>
        <v/>
      </c>
    </row>
    <row r="3226" spans="1:5" x14ac:dyDescent="0.25">
      <c r="A3226" s="138">
        <v>1111414</v>
      </c>
      <c r="B3226">
        <v>184</v>
      </c>
      <c r="C3226">
        <v>17</v>
      </c>
      <c r="D3226">
        <v>38</v>
      </c>
      <c r="E3226" s="2" t="str">
        <f t="shared" si="50"/>
        <v/>
      </c>
    </row>
    <row r="3227" spans="1:5" x14ac:dyDescent="0.25">
      <c r="A3227" s="138">
        <v>1111415</v>
      </c>
      <c r="B3227">
        <v>184</v>
      </c>
      <c r="C3227">
        <v>17</v>
      </c>
      <c r="D3227">
        <v>38</v>
      </c>
      <c r="E3227" s="2" t="str">
        <f t="shared" si="50"/>
        <v/>
      </c>
    </row>
    <row r="3228" spans="1:5" x14ac:dyDescent="0.25">
      <c r="A3228" s="138">
        <v>1111416</v>
      </c>
      <c r="B3228">
        <v>184</v>
      </c>
      <c r="C3228">
        <v>17</v>
      </c>
      <c r="D3228">
        <v>38</v>
      </c>
      <c r="E3228" s="2" t="str">
        <f t="shared" si="50"/>
        <v/>
      </c>
    </row>
    <row r="3229" spans="1:5" x14ac:dyDescent="0.25">
      <c r="A3229" s="138">
        <v>1111417</v>
      </c>
      <c r="B3229">
        <v>184</v>
      </c>
      <c r="C3229">
        <v>17</v>
      </c>
      <c r="D3229">
        <v>38</v>
      </c>
      <c r="E3229" s="2" t="str">
        <f t="shared" si="50"/>
        <v/>
      </c>
    </row>
    <row r="3230" spans="1:5" x14ac:dyDescent="0.25">
      <c r="A3230" s="138">
        <v>1111418</v>
      </c>
      <c r="B3230">
        <v>184</v>
      </c>
      <c r="C3230">
        <v>17</v>
      </c>
      <c r="D3230">
        <v>38</v>
      </c>
      <c r="E3230" s="2" t="str">
        <f t="shared" si="50"/>
        <v/>
      </c>
    </row>
    <row r="3231" spans="1:5" x14ac:dyDescent="0.25">
      <c r="A3231" s="138">
        <v>1111419</v>
      </c>
      <c r="B3231">
        <v>184</v>
      </c>
      <c r="C3231">
        <v>17</v>
      </c>
      <c r="D3231">
        <v>38</v>
      </c>
      <c r="E3231" s="2" t="str">
        <f t="shared" si="50"/>
        <v/>
      </c>
    </row>
    <row r="3232" spans="1:5" x14ac:dyDescent="0.25">
      <c r="A3232" s="138">
        <v>1111420</v>
      </c>
      <c r="B3232">
        <v>184</v>
      </c>
      <c r="C3232">
        <v>17</v>
      </c>
      <c r="D3232">
        <v>38</v>
      </c>
      <c r="E3232" s="2" t="str">
        <f t="shared" si="50"/>
        <v/>
      </c>
    </row>
    <row r="3233" spans="1:5" x14ac:dyDescent="0.25">
      <c r="A3233" s="138">
        <v>1111499</v>
      </c>
      <c r="B3233">
        <v>184</v>
      </c>
      <c r="C3233">
        <v>17</v>
      </c>
      <c r="D3233">
        <v>38</v>
      </c>
      <c r="E3233" s="2" t="str">
        <f t="shared" si="50"/>
        <v/>
      </c>
    </row>
    <row r="3234" spans="1:5" x14ac:dyDescent="0.25">
      <c r="A3234" s="138">
        <v>1112000</v>
      </c>
      <c r="B3234">
        <v>184</v>
      </c>
      <c r="C3234">
        <v>17</v>
      </c>
      <c r="D3234">
        <v>38</v>
      </c>
      <c r="E3234" s="2" t="str">
        <f t="shared" si="50"/>
        <v/>
      </c>
    </row>
    <row r="3235" spans="1:5" x14ac:dyDescent="0.25">
      <c r="A3235" s="138">
        <v>1112001</v>
      </c>
      <c r="B3235">
        <v>184</v>
      </c>
      <c r="C3235">
        <v>17</v>
      </c>
      <c r="D3235">
        <v>38</v>
      </c>
      <c r="E3235" s="2" t="str">
        <f t="shared" si="50"/>
        <v/>
      </c>
    </row>
    <row r="3236" spans="1:5" x14ac:dyDescent="0.25">
      <c r="A3236" s="138">
        <v>1112002</v>
      </c>
      <c r="B3236">
        <v>184</v>
      </c>
      <c r="C3236">
        <v>17</v>
      </c>
      <c r="D3236">
        <v>38</v>
      </c>
      <c r="E3236" s="2" t="str">
        <f t="shared" si="50"/>
        <v/>
      </c>
    </row>
    <row r="3237" spans="1:5" x14ac:dyDescent="0.25">
      <c r="A3237" s="138">
        <v>1112003</v>
      </c>
      <c r="B3237">
        <v>184</v>
      </c>
      <c r="C3237">
        <v>17</v>
      </c>
      <c r="D3237">
        <v>38</v>
      </c>
      <c r="E3237" s="2" t="str">
        <f t="shared" si="50"/>
        <v/>
      </c>
    </row>
    <row r="3238" spans="1:5" x14ac:dyDescent="0.25">
      <c r="A3238" s="138">
        <v>1112004</v>
      </c>
      <c r="B3238">
        <v>184</v>
      </c>
      <c r="C3238">
        <v>17</v>
      </c>
      <c r="D3238">
        <v>38</v>
      </c>
      <c r="E3238" s="2" t="str">
        <f t="shared" si="50"/>
        <v/>
      </c>
    </row>
    <row r="3239" spans="1:5" x14ac:dyDescent="0.25">
      <c r="A3239" s="138">
        <v>1112099</v>
      </c>
      <c r="B3239">
        <v>184</v>
      </c>
      <c r="C3239">
        <v>17</v>
      </c>
      <c r="D3239">
        <v>38</v>
      </c>
      <c r="E3239" s="2" t="str">
        <f t="shared" si="50"/>
        <v/>
      </c>
    </row>
    <row r="3240" spans="1:5" x14ac:dyDescent="0.25">
      <c r="A3240" s="138">
        <v>1121000</v>
      </c>
      <c r="B3240">
        <v>183</v>
      </c>
      <c r="C3240">
        <v>4</v>
      </c>
      <c r="D3240">
        <v>39</v>
      </c>
      <c r="E3240" s="2" t="str">
        <f t="shared" si="50"/>
        <v/>
      </c>
    </row>
    <row r="3241" spans="1:5" x14ac:dyDescent="0.25">
      <c r="A3241" s="138">
        <v>1121001</v>
      </c>
      <c r="B3241">
        <v>183</v>
      </c>
      <c r="C3241">
        <v>4</v>
      </c>
      <c r="D3241">
        <v>39</v>
      </c>
      <c r="E3241" s="2" t="str">
        <f t="shared" si="50"/>
        <v/>
      </c>
    </row>
    <row r="3242" spans="1:5" x14ac:dyDescent="0.25">
      <c r="A3242" s="138">
        <v>1121002</v>
      </c>
      <c r="B3242">
        <v>183</v>
      </c>
      <c r="C3242">
        <v>4</v>
      </c>
      <c r="D3242">
        <v>39</v>
      </c>
      <c r="E3242" s="2" t="str">
        <f t="shared" si="50"/>
        <v/>
      </c>
    </row>
    <row r="3243" spans="1:5" x14ac:dyDescent="0.25">
      <c r="A3243" s="138">
        <v>1121003</v>
      </c>
      <c r="B3243">
        <v>183</v>
      </c>
      <c r="C3243">
        <v>4</v>
      </c>
      <c r="D3243">
        <v>39</v>
      </c>
      <c r="E3243" s="2" t="str">
        <f t="shared" si="50"/>
        <v/>
      </c>
    </row>
    <row r="3244" spans="1:5" x14ac:dyDescent="0.25">
      <c r="A3244" s="138">
        <v>1121004</v>
      </c>
      <c r="B3244">
        <v>183</v>
      </c>
      <c r="C3244">
        <v>4</v>
      </c>
      <c r="D3244">
        <v>39</v>
      </c>
      <c r="E3244" s="2" t="str">
        <f t="shared" si="50"/>
        <v/>
      </c>
    </row>
    <row r="3245" spans="1:5" x14ac:dyDescent="0.25">
      <c r="A3245" s="138">
        <v>1121005</v>
      </c>
      <c r="B3245">
        <v>183</v>
      </c>
      <c r="C3245">
        <v>4</v>
      </c>
      <c r="D3245">
        <v>39</v>
      </c>
      <c r="E3245" s="2" t="str">
        <f t="shared" si="50"/>
        <v/>
      </c>
    </row>
    <row r="3246" spans="1:5" x14ac:dyDescent="0.25">
      <c r="A3246" s="138">
        <v>1121006</v>
      </c>
      <c r="B3246">
        <v>183</v>
      </c>
      <c r="C3246">
        <v>4</v>
      </c>
      <c r="D3246">
        <v>39</v>
      </c>
      <c r="E3246" s="2" t="str">
        <f t="shared" si="50"/>
        <v/>
      </c>
    </row>
    <row r="3247" spans="1:5" x14ac:dyDescent="0.25">
      <c r="A3247" s="138">
        <v>1121007</v>
      </c>
      <c r="B3247">
        <v>183</v>
      </c>
      <c r="C3247">
        <v>4</v>
      </c>
      <c r="D3247">
        <v>39</v>
      </c>
      <c r="E3247" s="2" t="str">
        <f t="shared" si="50"/>
        <v/>
      </c>
    </row>
    <row r="3248" spans="1:5" x14ac:dyDescent="0.25">
      <c r="A3248" s="138">
        <v>1121008</v>
      </c>
      <c r="B3248">
        <v>183</v>
      </c>
      <c r="C3248">
        <v>4</v>
      </c>
      <c r="D3248">
        <v>39</v>
      </c>
      <c r="E3248" s="2" t="str">
        <f t="shared" si="50"/>
        <v/>
      </c>
    </row>
    <row r="3249" spans="1:5" x14ac:dyDescent="0.25">
      <c r="A3249" s="138">
        <v>1121009</v>
      </c>
      <c r="B3249">
        <v>183</v>
      </c>
      <c r="C3249">
        <v>4</v>
      </c>
      <c r="D3249">
        <v>39</v>
      </c>
      <c r="E3249" s="2" t="str">
        <f t="shared" si="50"/>
        <v/>
      </c>
    </row>
    <row r="3250" spans="1:5" x14ac:dyDescent="0.25">
      <c r="A3250" s="138">
        <v>1121010</v>
      </c>
      <c r="B3250">
        <v>183</v>
      </c>
      <c r="C3250">
        <v>4</v>
      </c>
      <c r="D3250">
        <v>39</v>
      </c>
      <c r="E3250" s="2" t="str">
        <f t="shared" si="50"/>
        <v/>
      </c>
    </row>
    <row r="3251" spans="1:5" x14ac:dyDescent="0.25">
      <c r="A3251" s="138">
        <v>1121011</v>
      </c>
      <c r="B3251">
        <v>183</v>
      </c>
      <c r="C3251">
        <v>4</v>
      </c>
      <c r="D3251">
        <v>39</v>
      </c>
      <c r="E3251" s="2" t="str">
        <f t="shared" si="50"/>
        <v/>
      </c>
    </row>
    <row r="3252" spans="1:5" x14ac:dyDescent="0.25">
      <c r="A3252" s="138">
        <v>1121012</v>
      </c>
      <c r="B3252">
        <v>183</v>
      </c>
      <c r="C3252">
        <v>4</v>
      </c>
      <c r="D3252">
        <v>39</v>
      </c>
      <c r="E3252" s="2" t="str">
        <f t="shared" si="50"/>
        <v/>
      </c>
    </row>
    <row r="3253" spans="1:5" x14ac:dyDescent="0.25">
      <c r="A3253" s="138">
        <v>1121013</v>
      </c>
      <c r="B3253">
        <v>183</v>
      </c>
      <c r="C3253">
        <v>4</v>
      </c>
      <c r="D3253">
        <v>39</v>
      </c>
      <c r="E3253" s="2" t="str">
        <f t="shared" si="50"/>
        <v/>
      </c>
    </row>
    <row r="3254" spans="1:5" x14ac:dyDescent="0.25">
      <c r="A3254" s="138">
        <v>1121014</v>
      </c>
      <c r="B3254">
        <v>183</v>
      </c>
      <c r="C3254">
        <v>4</v>
      </c>
      <c r="D3254">
        <v>39</v>
      </c>
      <c r="E3254" s="2" t="str">
        <f t="shared" si="50"/>
        <v/>
      </c>
    </row>
    <row r="3255" spans="1:5" x14ac:dyDescent="0.25">
      <c r="A3255" s="138">
        <v>1121015</v>
      </c>
      <c r="B3255">
        <v>183</v>
      </c>
      <c r="C3255">
        <v>4</v>
      </c>
      <c r="D3255">
        <v>39</v>
      </c>
      <c r="E3255" s="2" t="str">
        <f t="shared" si="50"/>
        <v/>
      </c>
    </row>
    <row r="3256" spans="1:5" x14ac:dyDescent="0.25">
      <c r="A3256" s="138">
        <v>1121099</v>
      </c>
      <c r="B3256">
        <v>183</v>
      </c>
      <c r="C3256">
        <v>4</v>
      </c>
      <c r="D3256">
        <v>39</v>
      </c>
      <c r="E3256" s="2" t="str">
        <f t="shared" si="50"/>
        <v/>
      </c>
    </row>
    <row r="3257" spans="1:5" x14ac:dyDescent="0.25">
      <c r="A3257" s="138">
        <v>1211000</v>
      </c>
      <c r="B3257">
        <v>217</v>
      </c>
      <c r="C3257">
        <v>18</v>
      </c>
      <c r="D3257">
        <v>40</v>
      </c>
      <c r="E3257" s="2" t="str">
        <f t="shared" si="50"/>
        <v/>
      </c>
    </row>
    <row r="3258" spans="1:5" x14ac:dyDescent="0.25">
      <c r="A3258" s="138">
        <v>1211001</v>
      </c>
      <c r="B3258">
        <v>217</v>
      </c>
      <c r="C3258">
        <v>18</v>
      </c>
      <c r="D3258">
        <v>40</v>
      </c>
      <c r="E3258" s="2" t="str">
        <f t="shared" si="50"/>
        <v/>
      </c>
    </row>
    <row r="3259" spans="1:5" x14ac:dyDescent="0.25">
      <c r="A3259" s="138">
        <v>1211002</v>
      </c>
      <c r="B3259">
        <v>217</v>
      </c>
      <c r="C3259">
        <v>18</v>
      </c>
      <c r="D3259">
        <v>40</v>
      </c>
      <c r="E3259" s="2" t="str">
        <f t="shared" si="50"/>
        <v/>
      </c>
    </row>
    <row r="3260" spans="1:5" x14ac:dyDescent="0.25">
      <c r="A3260" s="138">
        <v>1211003</v>
      </c>
      <c r="B3260">
        <v>217</v>
      </c>
      <c r="C3260">
        <v>18</v>
      </c>
      <c r="D3260">
        <v>40</v>
      </c>
      <c r="E3260" s="2" t="str">
        <f t="shared" si="50"/>
        <v/>
      </c>
    </row>
    <row r="3261" spans="1:5" x14ac:dyDescent="0.25">
      <c r="A3261" s="138">
        <v>1211004</v>
      </c>
      <c r="B3261">
        <v>217</v>
      </c>
      <c r="C3261">
        <v>18</v>
      </c>
      <c r="D3261">
        <v>40</v>
      </c>
      <c r="E3261" s="2" t="str">
        <f t="shared" si="50"/>
        <v/>
      </c>
    </row>
    <row r="3262" spans="1:5" x14ac:dyDescent="0.25">
      <c r="A3262" s="138">
        <v>1211005</v>
      </c>
      <c r="B3262">
        <v>217</v>
      </c>
      <c r="C3262">
        <v>18</v>
      </c>
      <c r="D3262">
        <v>40</v>
      </c>
      <c r="E3262" s="2" t="str">
        <f t="shared" si="50"/>
        <v/>
      </c>
    </row>
    <row r="3263" spans="1:5" x14ac:dyDescent="0.25">
      <c r="A3263" s="138">
        <v>1211006</v>
      </c>
      <c r="B3263">
        <v>217</v>
      </c>
      <c r="C3263">
        <v>18</v>
      </c>
      <c r="D3263">
        <v>40</v>
      </c>
      <c r="E3263" s="2" t="str">
        <f t="shared" si="50"/>
        <v/>
      </c>
    </row>
    <row r="3264" spans="1:5" x14ac:dyDescent="0.25">
      <c r="A3264" s="138">
        <v>1211007</v>
      </c>
      <c r="B3264">
        <v>217</v>
      </c>
      <c r="C3264">
        <v>18</v>
      </c>
      <c r="D3264">
        <v>40</v>
      </c>
      <c r="E3264" s="2" t="str">
        <f t="shared" si="50"/>
        <v/>
      </c>
    </row>
    <row r="3265" spans="1:5" x14ac:dyDescent="0.25">
      <c r="A3265" s="138">
        <v>1211008</v>
      </c>
      <c r="B3265">
        <v>217</v>
      </c>
      <c r="C3265">
        <v>18</v>
      </c>
      <c r="D3265">
        <v>40</v>
      </c>
      <c r="E3265" s="2" t="str">
        <f t="shared" si="50"/>
        <v/>
      </c>
    </row>
    <row r="3266" spans="1:5" x14ac:dyDescent="0.25">
      <c r="A3266" s="138">
        <v>1211009</v>
      </c>
      <c r="B3266">
        <v>217</v>
      </c>
      <c r="C3266">
        <v>18</v>
      </c>
      <c r="D3266">
        <v>40</v>
      </c>
      <c r="E3266" s="2" t="str">
        <f t="shared" si="50"/>
        <v/>
      </c>
    </row>
    <row r="3267" spans="1:5" x14ac:dyDescent="0.25">
      <c r="A3267" s="138">
        <v>1211010</v>
      </c>
      <c r="B3267">
        <v>217</v>
      </c>
      <c r="C3267">
        <v>18</v>
      </c>
      <c r="D3267">
        <v>40</v>
      </c>
      <c r="E3267" s="2" t="str">
        <f t="shared" ref="E3267:E3330" si="51">IF(B3267=B3266,IF(C3266=C3267,"",1),"")</f>
        <v/>
      </c>
    </row>
    <row r="3268" spans="1:5" x14ac:dyDescent="0.25">
      <c r="A3268" s="138">
        <v>1211011</v>
      </c>
      <c r="B3268">
        <v>217</v>
      </c>
      <c r="C3268">
        <v>18</v>
      </c>
      <c r="D3268">
        <v>40</v>
      </c>
      <c r="E3268" s="2" t="str">
        <f t="shared" si="51"/>
        <v/>
      </c>
    </row>
    <row r="3269" spans="1:5" x14ac:dyDescent="0.25">
      <c r="A3269" s="138">
        <v>1211012</v>
      </c>
      <c r="B3269">
        <v>217</v>
      </c>
      <c r="C3269">
        <v>18</v>
      </c>
      <c r="D3269">
        <v>40</v>
      </c>
      <c r="E3269" s="2" t="str">
        <f t="shared" si="51"/>
        <v/>
      </c>
    </row>
    <row r="3270" spans="1:5" x14ac:dyDescent="0.25">
      <c r="A3270" s="138">
        <v>1211013</v>
      </c>
      <c r="B3270">
        <v>217</v>
      </c>
      <c r="C3270">
        <v>18</v>
      </c>
      <c r="D3270">
        <v>40</v>
      </c>
      <c r="E3270" s="2" t="str">
        <f t="shared" si="51"/>
        <v/>
      </c>
    </row>
    <row r="3271" spans="1:5" x14ac:dyDescent="0.25">
      <c r="A3271" s="138">
        <v>1211014</v>
      </c>
      <c r="B3271">
        <v>217</v>
      </c>
      <c r="C3271">
        <v>18</v>
      </c>
      <c r="D3271">
        <v>40</v>
      </c>
      <c r="E3271" s="2" t="str">
        <f t="shared" si="51"/>
        <v/>
      </c>
    </row>
    <row r="3272" spans="1:5" x14ac:dyDescent="0.25">
      <c r="A3272" s="138">
        <v>1211015</v>
      </c>
      <c r="B3272">
        <v>217</v>
      </c>
      <c r="C3272">
        <v>18</v>
      </c>
      <c r="D3272">
        <v>40</v>
      </c>
      <c r="E3272" s="2" t="str">
        <f t="shared" si="51"/>
        <v/>
      </c>
    </row>
    <row r="3273" spans="1:5" x14ac:dyDescent="0.25">
      <c r="A3273" s="138">
        <v>1211016</v>
      </c>
      <c r="B3273">
        <v>217</v>
      </c>
      <c r="C3273">
        <v>18</v>
      </c>
      <c r="D3273">
        <v>40</v>
      </c>
      <c r="E3273" s="2" t="str">
        <f t="shared" si="51"/>
        <v/>
      </c>
    </row>
    <row r="3274" spans="1:5" x14ac:dyDescent="0.25">
      <c r="A3274" s="138">
        <v>1211017</v>
      </c>
      <c r="B3274">
        <v>217</v>
      </c>
      <c r="C3274">
        <v>18</v>
      </c>
      <c r="D3274">
        <v>40</v>
      </c>
      <c r="E3274" s="2" t="str">
        <f t="shared" si="51"/>
        <v/>
      </c>
    </row>
    <row r="3275" spans="1:5" x14ac:dyDescent="0.25">
      <c r="A3275" s="138">
        <v>1211018</v>
      </c>
      <c r="B3275">
        <v>217</v>
      </c>
      <c r="C3275">
        <v>18</v>
      </c>
      <c r="D3275">
        <v>40</v>
      </c>
      <c r="E3275" s="2" t="str">
        <f t="shared" si="51"/>
        <v/>
      </c>
    </row>
    <row r="3276" spans="1:5" x14ac:dyDescent="0.25">
      <c r="A3276" s="138">
        <v>1211019</v>
      </c>
      <c r="B3276">
        <v>217</v>
      </c>
      <c r="C3276">
        <v>18</v>
      </c>
      <c r="D3276">
        <v>40</v>
      </c>
      <c r="E3276" s="2" t="str">
        <f t="shared" si="51"/>
        <v/>
      </c>
    </row>
    <row r="3277" spans="1:5" x14ac:dyDescent="0.25">
      <c r="A3277" s="138">
        <v>1211020</v>
      </c>
      <c r="B3277">
        <v>217</v>
      </c>
      <c r="C3277">
        <v>18</v>
      </c>
      <c r="D3277">
        <v>40</v>
      </c>
      <c r="E3277" s="2" t="str">
        <f t="shared" si="51"/>
        <v/>
      </c>
    </row>
    <row r="3278" spans="1:5" x14ac:dyDescent="0.25">
      <c r="A3278" s="138">
        <v>1211021</v>
      </c>
      <c r="B3278">
        <v>217</v>
      </c>
      <c r="C3278">
        <v>18</v>
      </c>
      <c r="D3278">
        <v>40</v>
      </c>
      <c r="E3278" s="2" t="str">
        <f t="shared" si="51"/>
        <v/>
      </c>
    </row>
    <row r="3279" spans="1:5" x14ac:dyDescent="0.25">
      <c r="A3279" s="138">
        <v>1211022</v>
      </c>
      <c r="B3279">
        <v>217</v>
      </c>
      <c r="C3279">
        <v>18</v>
      </c>
      <c r="D3279">
        <v>40</v>
      </c>
      <c r="E3279" s="2" t="str">
        <f t="shared" si="51"/>
        <v/>
      </c>
    </row>
    <row r="3280" spans="1:5" x14ac:dyDescent="0.25">
      <c r="A3280" s="138">
        <v>1211023</v>
      </c>
      <c r="B3280">
        <v>217</v>
      </c>
      <c r="C3280">
        <v>18</v>
      </c>
      <c r="D3280">
        <v>40</v>
      </c>
      <c r="E3280" s="2" t="str">
        <f t="shared" si="51"/>
        <v/>
      </c>
    </row>
    <row r="3281" spans="1:5" x14ac:dyDescent="0.25">
      <c r="A3281" s="138">
        <v>1211099</v>
      </c>
      <c r="B3281">
        <v>217</v>
      </c>
      <c r="C3281">
        <v>18</v>
      </c>
      <c r="D3281">
        <v>40</v>
      </c>
      <c r="E3281" s="2" t="str">
        <f t="shared" si="51"/>
        <v/>
      </c>
    </row>
    <row r="3282" spans="1:5" x14ac:dyDescent="0.25">
      <c r="A3282" s="138">
        <v>1212000</v>
      </c>
      <c r="B3282">
        <v>162</v>
      </c>
      <c r="C3282">
        <v>18</v>
      </c>
      <c r="D3282">
        <v>40</v>
      </c>
      <c r="E3282" s="2" t="str">
        <f t="shared" si="51"/>
        <v/>
      </c>
    </row>
    <row r="3283" spans="1:5" x14ac:dyDescent="0.25">
      <c r="A3283" s="138">
        <v>1212001</v>
      </c>
      <c r="B3283">
        <v>162</v>
      </c>
      <c r="C3283">
        <v>18</v>
      </c>
      <c r="D3283">
        <v>40</v>
      </c>
      <c r="E3283" s="2" t="str">
        <f t="shared" si="51"/>
        <v/>
      </c>
    </row>
    <row r="3284" spans="1:5" x14ac:dyDescent="0.25">
      <c r="A3284" s="138">
        <v>1212002</v>
      </c>
      <c r="B3284">
        <v>162</v>
      </c>
      <c r="C3284">
        <v>18</v>
      </c>
      <c r="D3284">
        <v>40</v>
      </c>
      <c r="E3284" s="2" t="str">
        <f t="shared" si="51"/>
        <v/>
      </c>
    </row>
    <row r="3285" spans="1:5" x14ac:dyDescent="0.25">
      <c r="A3285" s="138">
        <v>1212003</v>
      </c>
      <c r="B3285">
        <v>162</v>
      </c>
      <c r="C3285">
        <v>18</v>
      </c>
      <c r="D3285">
        <v>40</v>
      </c>
      <c r="E3285" s="2" t="str">
        <f t="shared" si="51"/>
        <v/>
      </c>
    </row>
    <row r="3286" spans="1:5" x14ac:dyDescent="0.25">
      <c r="A3286" s="138">
        <v>1212004</v>
      </c>
      <c r="B3286">
        <v>162</v>
      </c>
      <c r="C3286">
        <v>18</v>
      </c>
      <c r="D3286">
        <v>40</v>
      </c>
      <c r="E3286" s="2" t="str">
        <f t="shared" si="51"/>
        <v/>
      </c>
    </row>
    <row r="3287" spans="1:5" x14ac:dyDescent="0.25">
      <c r="A3287" s="138">
        <v>1212005</v>
      </c>
      <c r="B3287">
        <v>162</v>
      </c>
      <c r="C3287">
        <v>18</v>
      </c>
      <c r="D3287">
        <v>40</v>
      </c>
      <c r="E3287" s="2" t="str">
        <f t="shared" si="51"/>
        <v/>
      </c>
    </row>
    <row r="3288" spans="1:5" x14ac:dyDescent="0.25">
      <c r="A3288" s="138">
        <v>1212006</v>
      </c>
      <c r="B3288">
        <v>162</v>
      </c>
      <c r="C3288">
        <v>18</v>
      </c>
      <c r="D3288">
        <v>40</v>
      </c>
      <c r="E3288" s="2" t="str">
        <f t="shared" si="51"/>
        <v/>
      </c>
    </row>
    <row r="3289" spans="1:5" x14ac:dyDescent="0.25">
      <c r="A3289" s="138">
        <v>1212007</v>
      </c>
      <c r="B3289">
        <v>162</v>
      </c>
      <c r="C3289">
        <v>18</v>
      </c>
      <c r="D3289">
        <v>40</v>
      </c>
      <c r="E3289" s="2" t="str">
        <f t="shared" si="51"/>
        <v/>
      </c>
    </row>
    <row r="3290" spans="1:5" x14ac:dyDescent="0.25">
      <c r="A3290" s="138">
        <v>1212008</v>
      </c>
      <c r="B3290">
        <v>162</v>
      </c>
      <c r="C3290">
        <v>18</v>
      </c>
      <c r="D3290">
        <v>40</v>
      </c>
      <c r="E3290" s="2" t="str">
        <f t="shared" si="51"/>
        <v/>
      </c>
    </row>
    <row r="3291" spans="1:5" x14ac:dyDescent="0.25">
      <c r="A3291" s="138">
        <v>1212009</v>
      </c>
      <c r="B3291">
        <v>162</v>
      </c>
      <c r="C3291">
        <v>18</v>
      </c>
      <c r="D3291">
        <v>40</v>
      </c>
      <c r="E3291" s="2" t="str">
        <f t="shared" si="51"/>
        <v/>
      </c>
    </row>
    <row r="3292" spans="1:5" x14ac:dyDescent="0.25">
      <c r="A3292" s="138">
        <v>1212010</v>
      </c>
      <c r="B3292">
        <v>162</v>
      </c>
      <c r="C3292">
        <v>18</v>
      </c>
      <c r="D3292">
        <v>40</v>
      </c>
      <c r="E3292" s="2" t="str">
        <f t="shared" si="51"/>
        <v/>
      </c>
    </row>
    <row r="3293" spans="1:5" x14ac:dyDescent="0.25">
      <c r="A3293" s="138">
        <v>1212099</v>
      </c>
      <c r="B3293">
        <v>162</v>
      </c>
      <c r="C3293">
        <v>18</v>
      </c>
      <c r="D3293">
        <v>40</v>
      </c>
      <c r="E3293" s="2" t="str">
        <f t="shared" si="51"/>
        <v/>
      </c>
    </row>
    <row r="3294" spans="1:5" x14ac:dyDescent="0.25">
      <c r="A3294" s="138">
        <v>1213000</v>
      </c>
      <c r="B3294">
        <v>141</v>
      </c>
      <c r="C3294">
        <v>18</v>
      </c>
      <c r="D3294">
        <v>40</v>
      </c>
      <c r="E3294" s="2" t="str">
        <f t="shared" si="51"/>
        <v/>
      </c>
    </row>
    <row r="3295" spans="1:5" x14ac:dyDescent="0.25">
      <c r="A3295" s="138">
        <v>1213001</v>
      </c>
      <c r="B3295">
        <v>141</v>
      </c>
      <c r="C3295">
        <v>18</v>
      </c>
      <c r="D3295">
        <v>40</v>
      </c>
      <c r="E3295" s="2" t="str">
        <f t="shared" si="51"/>
        <v/>
      </c>
    </row>
    <row r="3296" spans="1:5" x14ac:dyDescent="0.25">
      <c r="A3296" s="138">
        <v>1213002</v>
      </c>
      <c r="B3296">
        <v>141</v>
      </c>
      <c r="C3296">
        <v>18</v>
      </c>
      <c r="D3296">
        <v>40</v>
      </c>
      <c r="E3296" s="2" t="str">
        <f t="shared" si="51"/>
        <v/>
      </c>
    </row>
    <row r="3297" spans="1:5" x14ac:dyDescent="0.25">
      <c r="A3297" s="138">
        <v>1213003</v>
      </c>
      <c r="B3297">
        <v>141</v>
      </c>
      <c r="C3297">
        <v>18</v>
      </c>
      <c r="D3297">
        <v>40</v>
      </c>
      <c r="E3297" s="2" t="str">
        <f t="shared" si="51"/>
        <v/>
      </c>
    </row>
    <row r="3298" spans="1:5" x14ac:dyDescent="0.25">
      <c r="A3298" s="138">
        <v>1213004</v>
      </c>
      <c r="B3298">
        <v>141</v>
      </c>
      <c r="C3298">
        <v>18</v>
      </c>
      <c r="D3298">
        <v>40</v>
      </c>
      <c r="E3298" s="2" t="str">
        <f t="shared" si="51"/>
        <v/>
      </c>
    </row>
    <row r="3299" spans="1:5" x14ac:dyDescent="0.25">
      <c r="A3299" s="138">
        <v>1213005</v>
      </c>
      <c r="B3299">
        <v>141</v>
      </c>
      <c r="C3299">
        <v>18</v>
      </c>
      <c r="D3299">
        <v>40</v>
      </c>
      <c r="E3299" s="2" t="str">
        <f t="shared" si="51"/>
        <v/>
      </c>
    </row>
    <row r="3300" spans="1:5" x14ac:dyDescent="0.25">
      <c r="A3300" s="138">
        <v>1213006</v>
      </c>
      <c r="B3300">
        <v>141</v>
      </c>
      <c r="C3300">
        <v>18</v>
      </c>
      <c r="D3300">
        <v>40</v>
      </c>
      <c r="E3300" s="2" t="str">
        <f t="shared" si="51"/>
        <v/>
      </c>
    </row>
    <row r="3301" spans="1:5" x14ac:dyDescent="0.25">
      <c r="A3301" s="138">
        <v>1213007</v>
      </c>
      <c r="B3301">
        <v>141</v>
      </c>
      <c r="C3301">
        <v>18</v>
      </c>
      <c r="D3301">
        <v>40</v>
      </c>
      <c r="E3301" s="2" t="str">
        <f t="shared" si="51"/>
        <v/>
      </c>
    </row>
    <row r="3302" spans="1:5" x14ac:dyDescent="0.25">
      <c r="A3302" s="138">
        <v>1213008</v>
      </c>
      <c r="B3302">
        <v>141</v>
      </c>
      <c r="C3302">
        <v>18</v>
      </c>
      <c r="D3302">
        <v>40</v>
      </c>
      <c r="E3302" s="2" t="str">
        <f t="shared" si="51"/>
        <v/>
      </c>
    </row>
    <row r="3303" spans="1:5" x14ac:dyDescent="0.25">
      <c r="A3303" s="138">
        <v>1213009</v>
      </c>
      <c r="B3303">
        <v>141</v>
      </c>
      <c r="C3303">
        <v>18</v>
      </c>
      <c r="D3303">
        <v>40</v>
      </c>
      <c r="E3303" s="2" t="str">
        <f t="shared" si="51"/>
        <v/>
      </c>
    </row>
    <row r="3304" spans="1:5" x14ac:dyDescent="0.25">
      <c r="A3304" s="138">
        <v>1213010</v>
      </c>
      <c r="B3304">
        <v>141</v>
      </c>
      <c r="C3304">
        <v>18</v>
      </c>
      <c r="D3304">
        <v>40</v>
      </c>
      <c r="E3304" s="2" t="str">
        <f t="shared" si="51"/>
        <v/>
      </c>
    </row>
    <row r="3305" spans="1:5" x14ac:dyDescent="0.25">
      <c r="A3305" s="138">
        <v>1213011</v>
      </c>
      <c r="B3305">
        <v>141</v>
      </c>
      <c r="C3305">
        <v>18</v>
      </c>
      <c r="D3305">
        <v>40</v>
      </c>
      <c r="E3305" s="2" t="str">
        <f t="shared" si="51"/>
        <v/>
      </c>
    </row>
    <row r="3306" spans="1:5" x14ac:dyDescent="0.25">
      <c r="A3306" s="138">
        <v>1213012</v>
      </c>
      <c r="B3306">
        <v>141</v>
      </c>
      <c r="C3306">
        <v>18</v>
      </c>
      <c r="D3306">
        <v>40</v>
      </c>
      <c r="E3306" s="2" t="str">
        <f t="shared" si="51"/>
        <v/>
      </c>
    </row>
    <row r="3307" spans="1:5" x14ac:dyDescent="0.25">
      <c r="A3307" s="138">
        <v>1213013</v>
      </c>
      <c r="B3307">
        <v>141</v>
      </c>
      <c r="C3307">
        <v>18</v>
      </c>
      <c r="D3307">
        <v>40</v>
      </c>
      <c r="E3307" s="2" t="str">
        <f t="shared" si="51"/>
        <v/>
      </c>
    </row>
    <row r="3308" spans="1:5" x14ac:dyDescent="0.25">
      <c r="A3308" s="138">
        <v>1213014</v>
      </c>
      <c r="B3308">
        <v>141</v>
      </c>
      <c r="C3308">
        <v>18</v>
      </c>
      <c r="D3308">
        <v>40</v>
      </c>
      <c r="E3308" s="2" t="str">
        <f t="shared" si="51"/>
        <v/>
      </c>
    </row>
    <row r="3309" spans="1:5" x14ac:dyDescent="0.25">
      <c r="A3309" s="138">
        <v>1213015</v>
      </c>
      <c r="B3309">
        <v>141</v>
      </c>
      <c r="C3309">
        <v>18</v>
      </c>
      <c r="D3309">
        <v>40</v>
      </c>
      <c r="E3309" s="2" t="str">
        <f t="shared" si="51"/>
        <v/>
      </c>
    </row>
    <row r="3310" spans="1:5" x14ac:dyDescent="0.25">
      <c r="A3310" s="138">
        <v>1213016</v>
      </c>
      <c r="B3310">
        <v>141</v>
      </c>
      <c r="C3310">
        <v>18</v>
      </c>
      <c r="D3310">
        <v>40</v>
      </c>
      <c r="E3310" s="2" t="str">
        <f t="shared" si="51"/>
        <v/>
      </c>
    </row>
    <row r="3311" spans="1:5" x14ac:dyDescent="0.25">
      <c r="A3311" s="138">
        <v>1213017</v>
      </c>
      <c r="B3311">
        <v>141</v>
      </c>
      <c r="C3311">
        <v>18</v>
      </c>
      <c r="D3311">
        <v>40</v>
      </c>
      <c r="E3311" s="2" t="str">
        <f t="shared" si="51"/>
        <v/>
      </c>
    </row>
    <row r="3312" spans="1:5" x14ac:dyDescent="0.25">
      <c r="A3312" s="138">
        <v>1213018</v>
      </c>
      <c r="B3312">
        <v>141</v>
      </c>
      <c r="C3312">
        <v>18</v>
      </c>
      <c r="D3312">
        <v>40</v>
      </c>
      <c r="E3312" s="2" t="str">
        <f t="shared" si="51"/>
        <v/>
      </c>
    </row>
    <row r="3313" spans="1:5" x14ac:dyDescent="0.25">
      <c r="A3313" s="138">
        <v>1213019</v>
      </c>
      <c r="B3313">
        <v>141</v>
      </c>
      <c r="C3313">
        <v>18</v>
      </c>
      <c r="D3313">
        <v>40</v>
      </c>
      <c r="E3313" s="2" t="str">
        <f t="shared" si="51"/>
        <v/>
      </c>
    </row>
    <row r="3314" spans="1:5" x14ac:dyDescent="0.25">
      <c r="A3314" s="138">
        <v>1213020</v>
      </c>
      <c r="B3314">
        <v>141</v>
      </c>
      <c r="C3314">
        <v>18</v>
      </c>
      <c r="D3314">
        <v>40</v>
      </c>
      <c r="E3314" s="2" t="str">
        <f t="shared" si="51"/>
        <v/>
      </c>
    </row>
    <row r="3315" spans="1:5" x14ac:dyDescent="0.25">
      <c r="A3315" s="138">
        <v>1213021</v>
      </c>
      <c r="B3315">
        <v>141</v>
      </c>
      <c r="C3315">
        <v>18</v>
      </c>
      <c r="D3315">
        <v>40</v>
      </c>
      <c r="E3315" s="2" t="str">
        <f t="shared" si="51"/>
        <v/>
      </c>
    </row>
    <row r="3316" spans="1:5" x14ac:dyDescent="0.25">
      <c r="A3316" s="138">
        <v>1213022</v>
      </c>
      <c r="B3316">
        <v>141</v>
      </c>
      <c r="C3316">
        <v>18</v>
      </c>
      <c r="D3316">
        <v>40</v>
      </c>
      <c r="E3316" s="2" t="str">
        <f t="shared" si="51"/>
        <v/>
      </c>
    </row>
    <row r="3317" spans="1:5" x14ac:dyDescent="0.25">
      <c r="A3317" s="138">
        <v>1213023</v>
      </c>
      <c r="B3317">
        <v>141</v>
      </c>
      <c r="C3317">
        <v>18</v>
      </c>
      <c r="D3317">
        <v>40</v>
      </c>
      <c r="E3317" s="2" t="str">
        <f t="shared" si="51"/>
        <v/>
      </c>
    </row>
    <row r="3318" spans="1:5" x14ac:dyDescent="0.25">
      <c r="A3318" s="138">
        <v>1213024</v>
      </c>
      <c r="B3318">
        <v>141</v>
      </c>
      <c r="C3318">
        <v>18</v>
      </c>
      <c r="D3318">
        <v>40</v>
      </c>
      <c r="E3318" s="2" t="str">
        <f t="shared" si="51"/>
        <v/>
      </c>
    </row>
    <row r="3319" spans="1:5" x14ac:dyDescent="0.25">
      <c r="A3319" s="138">
        <v>1213025</v>
      </c>
      <c r="B3319">
        <v>141</v>
      </c>
      <c r="C3319">
        <v>18</v>
      </c>
      <c r="D3319">
        <v>40</v>
      </c>
      <c r="E3319" s="2" t="str">
        <f t="shared" si="51"/>
        <v/>
      </c>
    </row>
    <row r="3320" spans="1:5" x14ac:dyDescent="0.25">
      <c r="A3320" s="138">
        <v>1213026</v>
      </c>
      <c r="B3320">
        <v>141</v>
      </c>
      <c r="C3320">
        <v>18</v>
      </c>
      <c r="D3320">
        <v>40</v>
      </c>
      <c r="E3320" s="2" t="str">
        <f t="shared" si="51"/>
        <v/>
      </c>
    </row>
    <row r="3321" spans="1:5" x14ac:dyDescent="0.25">
      <c r="A3321" s="138">
        <v>1213027</v>
      </c>
      <c r="B3321">
        <v>141</v>
      </c>
      <c r="C3321">
        <v>18</v>
      </c>
      <c r="D3321">
        <v>40</v>
      </c>
      <c r="E3321" s="2" t="str">
        <f t="shared" si="51"/>
        <v/>
      </c>
    </row>
    <row r="3322" spans="1:5" x14ac:dyDescent="0.25">
      <c r="A3322" s="138">
        <v>1213028</v>
      </c>
      <c r="B3322">
        <v>141</v>
      </c>
      <c r="C3322">
        <v>18</v>
      </c>
      <c r="D3322">
        <v>40</v>
      </c>
      <c r="E3322" s="2" t="str">
        <f t="shared" si="51"/>
        <v/>
      </c>
    </row>
    <row r="3323" spans="1:5" x14ac:dyDescent="0.25">
      <c r="A3323" s="138">
        <v>1213029</v>
      </c>
      <c r="B3323">
        <v>141</v>
      </c>
      <c r="C3323">
        <v>18</v>
      </c>
      <c r="D3323">
        <v>40</v>
      </c>
      <c r="E3323" s="2" t="str">
        <f t="shared" si="51"/>
        <v/>
      </c>
    </row>
    <row r="3324" spans="1:5" x14ac:dyDescent="0.25">
      <c r="A3324" s="138">
        <v>1213030</v>
      </c>
      <c r="B3324">
        <v>141</v>
      </c>
      <c r="C3324">
        <v>18</v>
      </c>
      <c r="D3324">
        <v>40</v>
      </c>
      <c r="E3324" s="2" t="str">
        <f t="shared" si="51"/>
        <v/>
      </c>
    </row>
    <row r="3325" spans="1:5" x14ac:dyDescent="0.25">
      <c r="A3325" s="138">
        <v>1213031</v>
      </c>
      <c r="B3325">
        <v>141</v>
      </c>
      <c r="C3325">
        <v>18</v>
      </c>
      <c r="D3325">
        <v>40</v>
      </c>
      <c r="E3325" s="2" t="str">
        <f t="shared" si="51"/>
        <v/>
      </c>
    </row>
    <row r="3326" spans="1:5" x14ac:dyDescent="0.25">
      <c r="A3326" s="138">
        <v>1213032</v>
      </c>
      <c r="B3326">
        <v>141</v>
      </c>
      <c r="C3326">
        <v>18</v>
      </c>
      <c r="D3326">
        <v>40</v>
      </c>
      <c r="E3326" s="2" t="str">
        <f t="shared" si="51"/>
        <v/>
      </c>
    </row>
    <row r="3327" spans="1:5" x14ac:dyDescent="0.25">
      <c r="A3327" s="138">
        <v>1213033</v>
      </c>
      <c r="B3327">
        <v>141</v>
      </c>
      <c r="C3327">
        <v>18</v>
      </c>
      <c r="D3327">
        <v>40</v>
      </c>
      <c r="E3327" s="2" t="str">
        <f t="shared" si="51"/>
        <v/>
      </c>
    </row>
    <row r="3328" spans="1:5" x14ac:dyDescent="0.25">
      <c r="A3328" s="138">
        <v>1213034</v>
      </c>
      <c r="B3328">
        <v>141</v>
      </c>
      <c r="C3328">
        <v>18</v>
      </c>
      <c r="D3328">
        <v>40</v>
      </c>
      <c r="E3328" s="2" t="str">
        <f t="shared" si="51"/>
        <v/>
      </c>
    </row>
    <row r="3329" spans="1:5" x14ac:dyDescent="0.25">
      <c r="A3329" s="138">
        <v>1213035</v>
      </c>
      <c r="B3329">
        <v>141</v>
      </c>
      <c r="C3329">
        <v>18</v>
      </c>
      <c r="D3329">
        <v>40</v>
      </c>
      <c r="E3329" s="2" t="str">
        <f t="shared" si="51"/>
        <v/>
      </c>
    </row>
    <row r="3330" spans="1:5" x14ac:dyDescent="0.25">
      <c r="A3330" s="138">
        <v>1213036</v>
      </c>
      <c r="B3330">
        <v>141</v>
      </c>
      <c r="C3330">
        <v>18</v>
      </c>
      <c r="D3330">
        <v>40</v>
      </c>
      <c r="E3330" s="2" t="str">
        <f t="shared" si="51"/>
        <v/>
      </c>
    </row>
    <row r="3331" spans="1:5" x14ac:dyDescent="0.25">
      <c r="A3331" s="138">
        <v>1213037</v>
      </c>
      <c r="B3331">
        <v>141</v>
      </c>
      <c r="C3331">
        <v>18</v>
      </c>
      <c r="D3331">
        <v>40</v>
      </c>
      <c r="E3331" s="2" t="str">
        <f t="shared" ref="E3331:E3394" si="52">IF(B3331=B3330,IF(C3330=C3331,"",1),"")</f>
        <v/>
      </c>
    </row>
    <row r="3332" spans="1:5" x14ac:dyDescent="0.25">
      <c r="A3332" s="138">
        <v>1213038</v>
      </c>
      <c r="B3332">
        <v>141</v>
      </c>
      <c r="C3332">
        <v>18</v>
      </c>
      <c r="D3332">
        <v>40</v>
      </c>
      <c r="E3332" s="2" t="str">
        <f t="shared" si="52"/>
        <v/>
      </c>
    </row>
    <row r="3333" spans="1:5" x14ac:dyDescent="0.25">
      <c r="A3333" s="138">
        <v>1213039</v>
      </c>
      <c r="B3333">
        <v>141</v>
      </c>
      <c r="C3333">
        <v>18</v>
      </c>
      <c r="D3333">
        <v>40</v>
      </c>
      <c r="E3333" s="2" t="str">
        <f t="shared" si="52"/>
        <v/>
      </c>
    </row>
    <row r="3334" spans="1:5" x14ac:dyDescent="0.25">
      <c r="A3334" s="138">
        <v>1213040</v>
      </c>
      <c r="B3334">
        <v>141</v>
      </c>
      <c r="C3334">
        <v>18</v>
      </c>
      <c r="D3334">
        <v>40</v>
      </c>
      <c r="E3334" s="2" t="str">
        <f t="shared" si="52"/>
        <v/>
      </c>
    </row>
    <row r="3335" spans="1:5" x14ac:dyDescent="0.25">
      <c r="A3335" s="138">
        <v>1213041</v>
      </c>
      <c r="B3335">
        <v>141</v>
      </c>
      <c r="C3335">
        <v>18</v>
      </c>
      <c r="D3335">
        <v>40</v>
      </c>
      <c r="E3335" s="2" t="str">
        <f t="shared" si="52"/>
        <v/>
      </c>
    </row>
    <row r="3336" spans="1:5" x14ac:dyDescent="0.25">
      <c r="A3336" s="138">
        <v>1213042</v>
      </c>
      <c r="B3336">
        <v>141</v>
      </c>
      <c r="C3336">
        <v>18</v>
      </c>
      <c r="D3336">
        <v>40</v>
      </c>
      <c r="E3336" s="2" t="str">
        <f t="shared" si="52"/>
        <v/>
      </c>
    </row>
    <row r="3337" spans="1:5" x14ac:dyDescent="0.25">
      <c r="A3337" s="138">
        <v>1213043</v>
      </c>
      <c r="B3337">
        <v>141</v>
      </c>
      <c r="C3337">
        <v>18</v>
      </c>
      <c r="D3337">
        <v>40</v>
      </c>
      <c r="E3337" s="2" t="str">
        <f t="shared" si="52"/>
        <v/>
      </c>
    </row>
    <row r="3338" spans="1:5" x14ac:dyDescent="0.25">
      <c r="A3338" s="138">
        <v>1213044</v>
      </c>
      <c r="B3338">
        <v>141</v>
      </c>
      <c r="C3338">
        <v>18</v>
      </c>
      <c r="D3338">
        <v>40</v>
      </c>
      <c r="E3338" s="2" t="str">
        <f t="shared" si="52"/>
        <v/>
      </c>
    </row>
    <row r="3339" spans="1:5" x14ac:dyDescent="0.25">
      <c r="A3339" s="138">
        <v>1213045</v>
      </c>
      <c r="B3339">
        <v>141</v>
      </c>
      <c r="C3339">
        <v>18</v>
      </c>
      <c r="D3339">
        <v>40</v>
      </c>
      <c r="E3339" s="2" t="str">
        <f t="shared" si="52"/>
        <v/>
      </c>
    </row>
    <row r="3340" spans="1:5" x14ac:dyDescent="0.25">
      <c r="A3340" s="138">
        <v>1213046</v>
      </c>
      <c r="B3340">
        <v>141</v>
      </c>
      <c r="C3340">
        <v>18</v>
      </c>
      <c r="D3340">
        <v>40</v>
      </c>
      <c r="E3340" s="2" t="str">
        <f t="shared" si="52"/>
        <v/>
      </c>
    </row>
    <row r="3341" spans="1:5" x14ac:dyDescent="0.25">
      <c r="A3341" s="138">
        <v>1213047</v>
      </c>
      <c r="B3341">
        <v>141</v>
      </c>
      <c r="C3341">
        <v>18</v>
      </c>
      <c r="D3341">
        <v>40</v>
      </c>
      <c r="E3341" s="2" t="str">
        <f t="shared" si="52"/>
        <v/>
      </c>
    </row>
    <row r="3342" spans="1:5" x14ac:dyDescent="0.25">
      <c r="A3342" s="138">
        <v>1213048</v>
      </c>
      <c r="B3342">
        <v>141</v>
      </c>
      <c r="C3342">
        <v>18</v>
      </c>
      <c r="D3342">
        <v>40</v>
      </c>
      <c r="E3342" s="2" t="str">
        <f t="shared" si="52"/>
        <v/>
      </c>
    </row>
    <row r="3343" spans="1:5" x14ac:dyDescent="0.25">
      <c r="A3343" s="138">
        <v>1213049</v>
      </c>
      <c r="B3343">
        <v>141</v>
      </c>
      <c r="C3343">
        <v>18</v>
      </c>
      <c r="D3343">
        <v>40</v>
      </c>
      <c r="E3343" s="2" t="str">
        <f t="shared" si="52"/>
        <v/>
      </c>
    </row>
    <row r="3344" spans="1:5" x14ac:dyDescent="0.25">
      <c r="A3344" s="138">
        <v>1213050</v>
      </c>
      <c r="B3344">
        <v>141</v>
      </c>
      <c r="C3344">
        <v>18</v>
      </c>
      <c r="D3344">
        <v>40</v>
      </c>
      <c r="E3344" s="2" t="str">
        <f t="shared" si="52"/>
        <v/>
      </c>
    </row>
    <row r="3345" spans="1:5" x14ac:dyDescent="0.25">
      <c r="A3345" s="138">
        <v>1213051</v>
      </c>
      <c r="B3345">
        <v>141</v>
      </c>
      <c r="C3345">
        <v>18</v>
      </c>
      <c r="D3345">
        <v>40</v>
      </c>
      <c r="E3345" s="2" t="str">
        <f t="shared" si="52"/>
        <v/>
      </c>
    </row>
    <row r="3346" spans="1:5" x14ac:dyDescent="0.25">
      <c r="A3346" s="138">
        <v>1213052</v>
      </c>
      <c r="B3346">
        <v>141</v>
      </c>
      <c r="C3346">
        <v>18</v>
      </c>
      <c r="D3346">
        <v>40</v>
      </c>
      <c r="E3346" s="2" t="str">
        <f t="shared" si="52"/>
        <v/>
      </c>
    </row>
    <row r="3347" spans="1:5" x14ac:dyDescent="0.25">
      <c r="A3347" s="138">
        <v>1213053</v>
      </c>
      <c r="B3347">
        <v>141</v>
      </c>
      <c r="C3347">
        <v>18</v>
      </c>
      <c r="D3347">
        <v>40</v>
      </c>
      <c r="E3347" s="2" t="str">
        <f t="shared" si="52"/>
        <v/>
      </c>
    </row>
    <row r="3348" spans="1:5" x14ac:dyDescent="0.25">
      <c r="A3348" s="138">
        <v>1213054</v>
      </c>
      <c r="B3348">
        <v>141</v>
      </c>
      <c r="C3348">
        <v>18</v>
      </c>
      <c r="D3348">
        <v>40</v>
      </c>
      <c r="E3348" s="2" t="str">
        <f t="shared" si="52"/>
        <v/>
      </c>
    </row>
    <row r="3349" spans="1:5" x14ac:dyDescent="0.25">
      <c r="A3349" s="138">
        <v>1213055</v>
      </c>
      <c r="B3349">
        <v>141</v>
      </c>
      <c r="C3349">
        <v>18</v>
      </c>
      <c r="D3349">
        <v>40</v>
      </c>
      <c r="E3349" s="2" t="str">
        <f t="shared" si="52"/>
        <v/>
      </c>
    </row>
    <row r="3350" spans="1:5" x14ac:dyDescent="0.25">
      <c r="A3350" s="138">
        <v>1213056</v>
      </c>
      <c r="B3350">
        <v>141</v>
      </c>
      <c r="C3350">
        <v>18</v>
      </c>
      <c r="D3350">
        <v>40</v>
      </c>
      <c r="E3350" s="2" t="str">
        <f t="shared" si="52"/>
        <v/>
      </c>
    </row>
    <row r="3351" spans="1:5" x14ac:dyDescent="0.25">
      <c r="A3351" s="138">
        <v>1213057</v>
      </c>
      <c r="B3351">
        <v>141</v>
      </c>
      <c r="C3351">
        <v>18</v>
      </c>
      <c r="D3351">
        <v>40</v>
      </c>
      <c r="E3351" s="2" t="str">
        <f t="shared" si="52"/>
        <v/>
      </c>
    </row>
    <row r="3352" spans="1:5" x14ac:dyDescent="0.25">
      <c r="A3352" s="138">
        <v>1213058</v>
      </c>
      <c r="B3352">
        <v>141</v>
      </c>
      <c r="C3352">
        <v>18</v>
      </c>
      <c r="D3352">
        <v>40</v>
      </c>
      <c r="E3352" s="2" t="str">
        <f t="shared" si="52"/>
        <v/>
      </c>
    </row>
    <row r="3353" spans="1:5" x14ac:dyDescent="0.25">
      <c r="A3353" s="138">
        <v>1213059</v>
      </c>
      <c r="B3353">
        <v>141</v>
      </c>
      <c r="C3353">
        <v>18</v>
      </c>
      <c r="D3353">
        <v>40</v>
      </c>
      <c r="E3353" s="2" t="str">
        <f t="shared" si="52"/>
        <v/>
      </c>
    </row>
    <row r="3354" spans="1:5" x14ac:dyDescent="0.25">
      <c r="A3354" s="138">
        <v>1213060</v>
      </c>
      <c r="B3354">
        <v>141</v>
      </c>
      <c r="C3354">
        <v>18</v>
      </c>
      <c r="D3354">
        <v>40</v>
      </c>
      <c r="E3354" s="2" t="str">
        <f t="shared" si="52"/>
        <v/>
      </c>
    </row>
    <row r="3355" spans="1:5" x14ac:dyDescent="0.25">
      <c r="A3355" s="138">
        <v>1213061</v>
      </c>
      <c r="B3355">
        <v>141</v>
      </c>
      <c r="C3355">
        <v>18</v>
      </c>
      <c r="D3355">
        <v>40</v>
      </c>
      <c r="E3355" s="2" t="str">
        <f t="shared" si="52"/>
        <v/>
      </c>
    </row>
    <row r="3356" spans="1:5" x14ac:dyDescent="0.25">
      <c r="A3356" s="138">
        <v>1213062</v>
      </c>
      <c r="B3356">
        <v>141</v>
      </c>
      <c r="C3356">
        <v>18</v>
      </c>
      <c r="D3356">
        <v>40</v>
      </c>
      <c r="E3356" s="2" t="str">
        <f t="shared" si="52"/>
        <v/>
      </c>
    </row>
    <row r="3357" spans="1:5" x14ac:dyDescent="0.25">
      <c r="A3357" s="138">
        <v>1213063</v>
      </c>
      <c r="B3357">
        <v>141</v>
      </c>
      <c r="C3357">
        <v>18</v>
      </c>
      <c r="D3357">
        <v>40</v>
      </c>
      <c r="E3357" s="2" t="str">
        <f t="shared" si="52"/>
        <v/>
      </c>
    </row>
    <row r="3358" spans="1:5" x14ac:dyDescent="0.25">
      <c r="A3358" s="138">
        <v>1213064</v>
      </c>
      <c r="B3358">
        <v>141</v>
      </c>
      <c r="C3358">
        <v>18</v>
      </c>
      <c r="D3358">
        <v>40</v>
      </c>
      <c r="E3358" s="2" t="str">
        <f t="shared" si="52"/>
        <v/>
      </c>
    </row>
    <row r="3359" spans="1:5" x14ac:dyDescent="0.25">
      <c r="A3359" s="138">
        <v>1213065</v>
      </c>
      <c r="B3359">
        <v>141</v>
      </c>
      <c r="C3359">
        <v>18</v>
      </c>
      <c r="D3359">
        <v>40</v>
      </c>
      <c r="E3359" s="2" t="str">
        <f t="shared" si="52"/>
        <v/>
      </c>
    </row>
    <row r="3360" spans="1:5" x14ac:dyDescent="0.25">
      <c r="A3360" s="138">
        <v>1213066</v>
      </c>
      <c r="B3360">
        <v>141</v>
      </c>
      <c r="C3360">
        <v>18</v>
      </c>
      <c r="D3360">
        <v>40</v>
      </c>
      <c r="E3360" s="2" t="str">
        <f t="shared" si="52"/>
        <v/>
      </c>
    </row>
    <row r="3361" spans="1:5" x14ac:dyDescent="0.25">
      <c r="A3361" s="138">
        <v>1213067</v>
      </c>
      <c r="B3361">
        <v>141</v>
      </c>
      <c r="C3361">
        <v>18</v>
      </c>
      <c r="D3361">
        <v>40</v>
      </c>
      <c r="E3361" s="2" t="str">
        <f t="shared" si="52"/>
        <v/>
      </c>
    </row>
    <row r="3362" spans="1:5" x14ac:dyDescent="0.25">
      <c r="A3362" s="138">
        <v>1213068</v>
      </c>
      <c r="B3362">
        <v>141</v>
      </c>
      <c r="C3362">
        <v>18</v>
      </c>
      <c r="D3362">
        <v>40</v>
      </c>
      <c r="E3362" s="2" t="str">
        <f t="shared" si="52"/>
        <v/>
      </c>
    </row>
    <row r="3363" spans="1:5" x14ac:dyDescent="0.25">
      <c r="A3363" s="138">
        <v>1213069</v>
      </c>
      <c r="B3363">
        <v>141</v>
      </c>
      <c r="C3363">
        <v>18</v>
      </c>
      <c r="D3363">
        <v>40</v>
      </c>
      <c r="E3363" s="2" t="str">
        <f t="shared" si="52"/>
        <v/>
      </c>
    </row>
    <row r="3364" spans="1:5" x14ac:dyDescent="0.25">
      <c r="A3364" s="138">
        <v>1213070</v>
      </c>
      <c r="B3364">
        <v>141</v>
      </c>
      <c r="C3364">
        <v>18</v>
      </c>
      <c r="D3364">
        <v>40</v>
      </c>
      <c r="E3364" s="2" t="str">
        <f t="shared" si="52"/>
        <v/>
      </c>
    </row>
    <row r="3365" spans="1:5" x14ac:dyDescent="0.25">
      <c r="A3365" s="138">
        <v>1213071</v>
      </c>
      <c r="B3365">
        <v>141</v>
      </c>
      <c r="C3365">
        <v>18</v>
      </c>
      <c r="D3365">
        <v>40</v>
      </c>
      <c r="E3365" s="2" t="str">
        <f t="shared" si="52"/>
        <v/>
      </c>
    </row>
    <row r="3366" spans="1:5" x14ac:dyDescent="0.25">
      <c r="A3366" s="138">
        <v>1213072</v>
      </c>
      <c r="B3366">
        <v>141</v>
      </c>
      <c r="C3366">
        <v>18</v>
      </c>
      <c r="D3366">
        <v>40</v>
      </c>
      <c r="E3366" s="2" t="str">
        <f t="shared" si="52"/>
        <v/>
      </c>
    </row>
    <row r="3367" spans="1:5" x14ac:dyDescent="0.25">
      <c r="A3367" s="138">
        <v>1213073</v>
      </c>
      <c r="B3367">
        <v>141</v>
      </c>
      <c r="C3367">
        <v>18</v>
      </c>
      <c r="D3367">
        <v>40</v>
      </c>
      <c r="E3367" s="2" t="str">
        <f t="shared" si="52"/>
        <v/>
      </c>
    </row>
    <row r="3368" spans="1:5" x14ac:dyDescent="0.25">
      <c r="A3368" s="138">
        <v>1213074</v>
      </c>
      <c r="B3368">
        <v>141</v>
      </c>
      <c r="C3368">
        <v>18</v>
      </c>
      <c r="D3368">
        <v>40</v>
      </c>
      <c r="E3368" s="2" t="str">
        <f t="shared" si="52"/>
        <v/>
      </c>
    </row>
    <row r="3369" spans="1:5" x14ac:dyDescent="0.25">
      <c r="A3369" s="138">
        <v>1213075</v>
      </c>
      <c r="B3369">
        <v>141</v>
      </c>
      <c r="C3369">
        <v>18</v>
      </c>
      <c r="D3369">
        <v>40</v>
      </c>
      <c r="E3369" s="2" t="str">
        <f t="shared" si="52"/>
        <v/>
      </c>
    </row>
    <row r="3370" spans="1:5" x14ac:dyDescent="0.25">
      <c r="A3370" s="138">
        <v>1213076</v>
      </c>
      <c r="B3370">
        <v>141</v>
      </c>
      <c r="C3370">
        <v>18</v>
      </c>
      <c r="D3370">
        <v>40</v>
      </c>
      <c r="E3370" s="2" t="str">
        <f t="shared" si="52"/>
        <v/>
      </c>
    </row>
    <row r="3371" spans="1:5" x14ac:dyDescent="0.25">
      <c r="A3371" s="138">
        <v>1213077</v>
      </c>
      <c r="B3371">
        <v>141</v>
      </c>
      <c r="C3371">
        <v>18</v>
      </c>
      <c r="D3371">
        <v>40</v>
      </c>
      <c r="E3371" s="2" t="str">
        <f t="shared" si="52"/>
        <v/>
      </c>
    </row>
    <row r="3372" spans="1:5" x14ac:dyDescent="0.25">
      <c r="A3372" s="138">
        <v>1213078</v>
      </c>
      <c r="B3372">
        <v>141</v>
      </c>
      <c r="C3372">
        <v>18</v>
      </c>
      <c r="D3372">
        <v>40</v>
      </c>
      <c r="E3372" s="2" t="str">
        <f t="shared" si="52"/>
        <v/>
      </c>
    </row>
    <row r="3373" spans="1:5" x14ac:dyDescent="0.25">
      <c r="A3373" s="138">
        <v>1213079</v>
      </c>
      <c r="B3373">
        <v>141</v>
      </c>
      <c r="C3373">
        <v>18</v>
      </c>
      <c r="D3373">
        <v>40</v>
      </c>
      <c r="E3373" s="2" t="str">
        <f t="shared" si="52"/>
        <v/>
      </c>
    </row>
    <row r="3374" spans="1:5" x14ac:dyDescent="0.25">
      <c r="A3374" s="138">
        <v>1213080</v>
      </c>
      <c r="B3374">
        <v>141</v>
      </c>
      <c r="C3374">
        <v>18</v>
      </c>
      <c r="D3374">
        <v>40</v>
      </c>
      <c r="E3374" s="2" t="str">
        <f t="shared" si="52"/>
        <v/>
      </c>
    </row>
    <row r="3375" spans="1:5" x14ac:dyDescent="0.25">
      <c r="A3375" s="138">
        <v>1213081</v>
      </c>
      <c r="B3375">
        <v>141</v>
      </c>
      <c r="C3375">
        <v>18</v>
      </c>
      <c r="D3375">
        <v>40</v>
      </c>
      <c r="E3375" s="2" t="str">
        <f t="shared" si="52"/>
        <v/>
      </c>
    </row>
    <row r="3376" spans="1:5" x14ac:dyDescent="0.25">
      <c r="A3376" s="138">
        <v>1213082</v>
      </c>
      <c r="B3376">
        <v>141</v>
      </c>
      <c r="C3376">
        <v>18</v>
      </c>
      <c r="D3376">
        <v>40</v>
      </c>
      <c r="E3376" s="2" t="str">
        <f t="shared" si="52"/>
        <v/>
      </c>
    </row>
    <row r="3377" spans="1:5" x14ac:dyDescent="0.25">
      <c r="A3377" s="138">
        <v>1213083</v>
      </c>
      <c r="B3377">
        <v>141</v>
      </c>
      <c r="C3377">
        <v>18</v>
      </c>
      <c r="D3377">
        <v>40</v>
      </c>
      <c r="E3377" s="2" t="str">
        <f t="shared" si="52"/>
        <v/>
      </c>
    </row>
    <row r="3378" spans="1:5" x14ac:dyDescent="0.25">
      <c r="A3378" s="138">
        <v>1213084</v>
      </c>
      <c r="B3378">
        <v>141</v>
      </c>
      <c r="C3378">
        <v>18</v>
      </c>
      <c r="D3378">
        <v>40</v>
      </c>
      <c r="E3378" s="2" t="str">
        <f t="shared" si="52"/>
        <v/>
      </c>
    </row>
    <row r="3379" spans="1:5" x14ac:dyDescent="0.25">
      <c r="A3379" s="138">
        <v>1213085</v>
      </c>
      <c r="B3379">
        <v>141</v>
      </c>
      <c r="C3379">
        <v>18</v>
      </c>
      <c r="D3379">
        <v>40</v>
      </c>
      <c r="E3379" s="2" t="str">
        <f t="shared" si="52"/>
        <v/>
      </c>
    </row>
    <row r="3380" spans="1:5" x14ac:dyDescent="0.25">
      <c r="A3380" s="138">
        <v>1213086</v>
      </c>
      <c r="B3380">
        <v>141</v>
      </c>
      <c r="C3380">
        <v>18</v>
      </c>
      <c r="D3380">
        <v>40</v>
      </c>
      <c r="E3380" s="2" t="str">
        <f t="shared" si="52"/>
        <v/>
      </c>
    </row>
    <row r="3381" spans="1:5" x14ac:dyDescent="0.25">
      <c r="A3381" s="138">
        <v>1213087</v>
      </c>
      <c r="B3381">
        <v>141</v>
      </c>
      <c r="C3381">
        <v>18</v>
      </c>
      <c r="D3381">
        <v>40</v>
      </c>
      <c r="E3381" s="2" t="str">
        <f t="shared" si="52"/>
        <v/>
      </c>
    </row>
    <row r="3382" spans="1:5" x14ac:dyDescent="0.25">
      <c r="A3382" s="138">
        <v>1213088</v>
      </c>
      <c r="B3382">
        <v>141</v>
      </c>
      <c r="C3382">
        <v>18</v>
      </c>
      <c r="D3382">
        <v>40</v>
      </c>
      <c r="E3382" s="2" t="str">
        <f t="shared" si="52"/>
        <v/>
      </c>
    </row>
    <row r="3383" spans="1:5" x14ac:dyDescent="0.25">
      <c r="A3383" s="138">
        <v>1213089</v>
      </c>
      <c r="B3383">
        <v>141</v>
      </c>
      <c r="C3383">
        <v>18</v>
      </c>
      <c r="D3383">
        <v>40</v>
      </c>
      <c r="E3383" s="2" t="str">
        <f t="shared" si="52"/>
        <v/>
      </c>
    </row>
    <row r="3384" spans="1:5" x14ac:dyDescent="0.25">
      <c r="A3384" s="138">
        <v>1213090</v>
      </c>
      <c r="B3384">
        <v>141</v>
      </c>
      <c r="C3384">
        <v>18</v>
      </c>
      <c r="D3384">
        <v>40</v>
      </c>
      <c r="E3384" s="2" t="str">
        <f t="shared" si="52"/>
        <v/>
      </c>
    </row>
    <row r="3385" spans="1:5" x14ac:dyDescent="0.25">
      <c r="A3385" s="138">
        <v>1213097</v>
      </c>
      <c r="B3385">
        <v>141</v>
      </c>
      <c r="C3385">
        <v>18</v>
      </c>
      <c r="D3385">
        <v>40</v>
      </c>
      <c r="E3385" s="2" t="str">
        <f t="shared" si="52"/>
        <v/>
      </c>
    </row>
    <row r="3386" spans="1:5" x14ac:dyDescent="0.25">
      <c r="A3386" s="138">
        <v>1213098</v>
      </c>
      <c r="B3386">
        <v>141</v>
      </c>
      <c r="C3386">
        <v>18</v>
      </c>
      <c r="D3386">
        <v>40</v>
      </c>
      <c r="E3386" s="2" t="str">
        <f t="shared" si="52"/>
        <v/>
      </c>
    </row>
    <row r="3387" spans="1:5" x14ac:dyDescent="0.25">
      <c r="A3387" s="138">
        <v>1213099</v>
      </c>
      <c r="B3387">
        <v>141</v>
      </c>
      <c r="C3387">
        <v>18</v>
      </c>
      <c r="D3387">
        <v>40</v>
      </c>
      <c r="E3387" s="2" t="str">
        <f t="shared" si="52"/>
        <v/>
      </c>
    </row>
    <row r="3388" spans="1:5" x14ac:dyDescent="0.25">
      <c r="A3388" s="138">
        <v>1221000</v>
      </c>
      <c r="B3388">
        <v>244</v>
      </c>
      <c r="C3388">
        <v>4</v>
      </c>
      <c r="D3388">
        <v>16</v>
      </c>
      <c r="E3388" s="2" t="str">
        <f t="shared" si="52"/>
        <v/>
      </c>
    </row>
    <row r="3389" spans="1:5" x14ac:dyDescent="0.25">
      <c r="A3389" s="138">
        <v>1221001</v>
      </c>
      <c r="B3389">
        <v>244</v>
      </c>
      <c r="C3389">
        <v>4</v>
      </c>
      <c r="D3389">
        <v>16</v>
      </c>
      <c r="E3389" s="2" t="str">
        <f t="shared" si="52"/>
        <v/>
      </c>
    </row>
    <row r="3390" spans="1:5" x14ac:dyDescent="0.25">
      <c r="A3390" s="138">
        <v>1221002</v>
      </c>
      <c r="B3390">
        <v>244</v>
      </c>
      <c r="C3390">
        <v>4</v>
      </c>
      <c r="D3390">
        <v>16</v>
      </c>
      <c r="E3390" s="2" t="str">
        <f t="shared" si="52"/>
        <v/>
      </c>
    </row>
    <row r="3391" spans="1:5" x14ac:dyDescent="0.25">
      <c r="A3391" s="138">
        <v>1221003</v>
      </c>
      <c r="B3391">
        <v>244</v>
      </c>
      <c r="C3391">
        <v>4</v>
      </c>
      <c r="D3391">
        <v>16</v>
      </c>
      <c r="E3391" s="2" t="str">
        <f t="shared" si="52"/>
        <v/>
      </c>
    </row>
    <row r="3392" spans="1:5" x14ac:dyDescent="0.25">
      <c r="A3392" s="138">
        <v>1221004</v>
      </c>
      <c r="B3392">
        <v>244</v>
      </c>
      <c r="C3392">
        <v>4</v>
      </c>
      <c r="D3392">
        <v>16</v>
      </c>
      <c r="E3392" s="2" t="str">
        <f t="shared" si="52"/>
        <v/>
      </c>
    </row>
    <row r="3393" spans="1:5" x14ac:dyDescent="0.25">
      <c r="A3393" s="138">
        <v>1221099</v>
      </c>
      <c r="B3393">
        <v>244</v>
      </c>
      <c r="C3393">
        <v>4</v>
      </c>
      <c r="D3393">
        <v>16</v>
      </c>
      <c r="E3393" s="2" t="str">
        <f t="shared" si="52"/>
        <v/>
      </c>
    </row>
    <row r="3394" spans="1:5" x14ac:dyDescent="0.25">
      <c r="A3394" s="138">
        <v>1231000</v>
      </c>
      <c r="B3394">
        <v>171</v>
      </c>
      <c r="C3394">
        <v>4</v>
      </c>
      <c r="D3394">
        <v>41</v>
      </c>
      <c r="E3394" s="2" t="str">
        <f t="shared" si="52"/>
        <v/>
      </c>
    </row>
    <row r="3395" spans="1:5" x14ac:dyDescent="0.25">
      <c r="A3395" s="138">
        <v>1231001</v>
      </c>
      <c r="B3395">
        <v>171</v>
      </c>
      <c r="C3395">
        <v>4</v>
      </c>
      <c r="D3395">
        <v>41</v>
      </c>
      <c r="E3395" s="2" t="str">
        <f t="shared" ref="E3395:E3458" si="53">IF(B3395=B3394,IF(C3394=C3395,"",1),"")</f>
        <v/>
      </c>
    </row>
    <row r="3396" spans="1:5" x14ac:dyDescent="0.25">
      <c r="A3396" s="138">
        <v>1231002</v>
      </c>
      <c r="B3396">
        <v>171</v>
      </c>
      <c r="C3396">
        <v>4</v>
      </c>
      <c r="D3396">
        <v>41</v>
      </c>
      <c r="E3396" s="2" t="str">
        <f t="shared" si="53"/>
        <v/>
      </c>
    </row>
    <row r="3397" spans="1:5" x14ac:dyDescent="0.25">
      <c r="A3397" s="138">
        <v>1231003</v>
      </c>
      <c r="B3397">
        <v>171</v>
      </c>
      <c r="C3397">
        <v>4</v>
      </c>
      <c r="D3397">
        <v>41</v>
      </c>
      <c r="E3397" s="2" t="str">
        <f t="shared" si="53"/>
        <v/>
      </c>
    </row>
    <row r="3398" spans="1:5" x14ac:dyDescent="0.25">
      <c r="A3398" s="138">
        <v>1231004</v>
      </c>
      <c r="B3398">
        <v>171</v>
      </c>
      <c r="C3398">
        <v>4</v>
      </c>
      <c r="D3398">
        <v>41</v>
      </c>
      <c r="E3398" s="2" t="str">
        <f t="shared" si="53"/>
        <v/>
      </c>
    </row>
    <row r="3399" spans="1:5" x14ac:dyDescent="0.25">
      <c r="A3399" s="138">
        <v>1231005</v>
      </c>
      <c r="B3399">
        <v>171</v>
      </c>
      <c r="C3399">
        <v>4</v>
      </c>
      <c r="D3399">
        <v>41</v>
      </c>
      <c r="E3399" s="2" t="str">
        <f t="shared" si="53"/>
        <v/>
      </c>
    </row>
    <row r="3400" spans="1:5" x14ac:dyDescent="0.25">
      <c r="A3400" s="138">
        <v>1231006</v>
      </c>
      <c r="B3400">
        <v>171</v>
      </c>
      <c r="C3400">
        <v>4</v>
      </c>
      <c r="D3400">
        <v>41</v>
      </c>
      <c r="E3400" s="2" t="str">
        <f t="shared" si="53"/>
        <v/>
      </c>
    </row>
    <row r="3401" spans="1:5" x14ac:dyDescent="0.25">
      <c r="A3401" s="138">
        <v>1231007</v>
      </c>
      <c r="B3401">
        <v>171</v>
      </c>
      <c r="C3401">
        <v>4</v>
      </c>
      <c r="D3401">
        <v>41</v>
      </c>
      <c r="E3401" s="2" t="str">
        <f t="shared" si="53"/>
        <v/>
      </c>
    </row>
    <row r="3402" spans="1:5" x14ac:dyDescent="0.25">
      <c r="A3402" s="138">
        <v>1231008</v>
      </c>
      <c r="B3402">
        <v>171</v>
      </c>
      <c r="C3402">
        <v>4</v>
      </c>
      <c r="D3402">
        <v>41</v>
      </c>
      <c r="E3402" s="2" t="str">
        <f t="shared" si="53"/>
        <v/>
      </c>
    </row>
    <row r="3403" spans="1:5" x14ac:dyDescent="0.25">
      <c r="A3403" s="138">
        <v>1231009</v>
      </c>
      <c r="B3403">
        <v>171</v>
      </c>
      <c r="C3403">
        <v>4</v>
      </c>
      <c r="D3403">
        <v>41</v>
      </c>
      <c r="E3403" s="2" t="str">
        <f t="shared" si="53"/>
        <v/>
      </c>
    </row>
    <row r="3404" spans="1:5" x14ac:dyDescent="0.25">
      <c r="A3404" s="138">
        <v>1231010</v>
      </c>
      <c r="B3404">
        <v>171</v>
      </c>
      <c r="C3404">
        <v>4</v>
      </c>
      <c r="D3404">
        <v>41</v>
      </c>
      <c r="E3404" s="2" t="str">
        <f t="shared" si="53"/>
        <v/>
      </c>
    </row>
    <row r="3405" spans="1:5" x14ac:dyDescent="0.25">
      <c r="A3405" s="138">
        <v>1231011</v>
      </c>
      <c r="B3405">
        <v>171</v>
      </c>
      <c r="C3405">
        <v>4</v>
      </c>
      <c r="D3405">
        <v>41</v>
      </c>
      <c r="E3405" s="2" t="str">
        <f t="shared" si="53"/>
        <v/>
      </c>
    </row>
    <row r="3406" spans="1:5" x14ac:dyDescent="0.25">
      <c r="A3406" s="138">
        <v>1231012</v>
      </c>
      <c r="B3406">
        <v>171</v>
      </c>
      <c r="C3406">
        <v>4</v>
      </c>
      <c r="D3406">
        <v>41</v>
      </c>
      <c r="E3406" s="2" t="str">
        <f t="shared" si="53"/>
        <v/>
      </c>
    </row>
    <row r="3407" spans="1:5" x14ac:dyDescent="0.25">
      <c r="A3407" s="138">
        <v>1231013</v>
      </c>
      <c r="B3407">
        <v>171</v>
      </c>
      <c r="C3407">
        <v>4</v>
      </c>
      <c r="D3407">
        <v>41</v>
      </c>
      <c r="E3407" s="2" t="str">
        <f t="shared" si="53"/>
        <v/>
      </c>
    </row>
    <row r="3408" spans="1:5" x14ac:dyDescent="0.25">
      <c r="A3408" s="138">
        <v>1231014</v>
      </c>
      <c r="B3408">
        <v>171</v>
      </c>
      <c r="C3408">
        <v>4</v>
      </c>
      <c r="D3408">
        <v>41</v>
      </c>
      <c r="E3408" s="2" t="str">
        <f t="shared" si="53"/>
        <v/>
      </c>
    </row>
    <row r="3409" spans="1:5" x14ac:dyDescent="0.25">
      <c r="A3409" s="138">
        <v>1231015</v>
      </c>
      <c r="B3409">
        <v>171</v>
      </c>
      <c r="C3409">
        <v>4</v>
      </c>
      <c r="D3409">
        <v>41</v>
      </c>
      <c r="E3409" s="2" t="str">
        <f t="shared" si="53"/>
        <v/>
      </c>
    </row>
    <row r="3410" spans="1:5" x14ac:dyDescent="0.25">
      <c r="A3410" s="138">
        <v>1231016</v>
      </c>
      <c r="B3410">
        <v>171</v>
      </c>
      <c r="C3410">
        <v>4</v>
      </c>
      <c r="D3410">
        <v>41</v>
      </c>
      <c r="E3410" s="2" t="str">
        <f t="shared" si="53"/>
        <v/>
      </c>
    </row>
    <row r="3411" spans="1:5" x14ac:dyDescent="0.25">
      <c r="A3411" s="138">
        <v>1231017</v>
      </c>
      <c r="B3411">
        <v>171</v>
      </c>
      <c r="C3411">
        <v>4</v>
      </c>
      <c r="D3411">
        <v>41</v>
      </c>
      <c r="E3411" s="2" t="str">
        <f t="shared" si="53"/>
        <v/>
      </c>
    </row>
    <row r="3412" spans="1:5" x14ac:dyDescent="0.25">
      <c r="A3412" s="138">
        <v>1231018</v>
      </c>
      <c r="B3412">
        <v>171</v>
      </c>
      <c r="C3412">
        <v>4</v>
      </c>
      <c r="D3412">
        <v>41</v>
      </c>
      <c r="E3412" s="2" t="str">
        <f t="shared" si="53"/>
        <v/>
      </c>
    </row>
    <row r="3413" spans="1:5" x14ac:dyDescent="0.25">
      <c r="A3413" s="138">
        <v>1231019</v>
      </c>
      <c r="B3413">
        <v>171</v>
      </c>
      <c r="C3413">
        <v>4</v>
      </c>
      <c r="D3413">
        <v>41</v>
      </c>
      <c r="E3413" s="2" t="str">
        <f t="shared" si="53"/>
        <v/>
      </c>
    </row>
    <row r="3414" spans="1:5" x14ac:dyDescent="0.25">
      <c r="A3414" s="138">
        <v>1231020</v>
      </c>
      <c r="B3414">
        <v>171</v>
      </c>
      <c r="C3414">
        <v>4</v>
      </c>
      <c r="D3414">
        <v>41</v>
      </c>
      <c r="E3414" s="2" t="str">
        <f t="shared" si="53"/>
        <v/>
      </c>
    </row>
    <row r="3415" spans="1:5" x14ac:dyDescent="0.25">
      <c r="A3415" s="138">
        <v>1231021</v>
      </c>
      <c r="B3415">
        <v>171</v>
      </c>
      <c r="C3415">
        <v>4</v>
      </c>
      <c r="D3415">
        <v>41</v>
      </c>
      <c r="E3415" s="2" t="str">
        <f t="shared" si="53"/>
        <v/>
      </c>
    </row>
    <row r="3416" spans="1:5" x14ac:dyDescent="0.25">
      <c r="A3416" s="138">
        <v>1231022</v>
      </c>
      <c r="B3416">
        <v>171</v>
      </c>
      <c r="C3416">
        <v>4</v>
      </c>
      <c r="D3416">
        <v>41</v>
      </c>
      <c r="E3416" s="2" t="str">
        <f t="shared" si="53"/>
        <v/>
      </c>
    </row>
    <row r="3417" spans="1:5" x14ac:dyDescent="0.25">
      <c r="A3417" s="138">
        <v>1231023</v>
      </c>
      <c r="B3417">
        <v>171</v>
      </c>
      <c r="C3417">
        <v>4</v>
      </c>
      <c r="D3417">
        <v>41</v>
      </c>
      <c r="E3417" s="2" t="str">
        <f t="shared" si="53"/>
        <v/>
      </c>
    </row>
    <row r="3418" spans="1:5" x14ac:dyDescent="0.25">
      <c r="A3418" s="138">
        <v>1231024</v>
      </c>
      <c r="B3418">
        <v>171</v>
      </c>
      <c r="C3418">
        <v>4</v>
      </c>
      <c r="D3418">
        <v>41</v>
      </c>
      <c r="E3418" s="2" t="str">
        <f t="shared" si="53"/>
        <v/>
      </c>
    </row>
    <row r="3419" spans="1:5" x14ac:dyDescent="0.25">
      <c r="A3419" s="138">
        <v>1231025</v>
      </c>
      <c r="B3419">
        <v>171</v>
      </c>
      <c r="C3419">
        <v>4</v>
      </c>
      <c r="D3419">
        <v>41</v>
      </c>
      <c r="E3419" s="2" t="str">
        <f t="shared" si="53"/>
        <v/>
      </c>
    </row>
    <row r="3420" spans="1:5" x14ac:dyDescent="0.25">
      <c r="A3420" s="138">
        <v>1231026</v>
      </c>
      <c r="B3420">
        <v>171</v>
      </c>
      <c r="C3420">
        <v>4</v>
      </c>
      <c r="D3420">
        <v>41</v>
      </c>
      <c r="E3420" s="2" t="str">
        <f t="shared" si="53"/>
        <v/>
      </c>
    </row>
    <row r="3421" spans="1:5" x14ac:dyDescent="0.25">
      <c r="A3421" s="138">
        <v>1231027</v>
      </c>
      <c r="B3421">
        <v>171</v>
      </c>
      <c r="C3421">
        <v>4</v>
      </c>
      <c r="D3421">
        <v>41</v>
      </c>
      <c r="E3421" s="2" t="str">
        <f t="shared" si="53"/>
        <v/>
      </c>
    </row>
    <row r="3422" spans="1:5" x14ac:dyDescent="0.25">
      <c r="A3422" s="138">
        <v>1231028</v>
      </c>
      <c r="B3422">
        <v>171</v>
      </c>
      <c r="C3422">
        <v>4</v>
      </c>
      <c r="D3422">
        <v>41</v>
      </c>
      <c r="E3422" s="2" t="str">
        <f t="shared" si="53"/>
        <v/>
      </c>
    </row>
    <row r="3423" spans="1:5" x14ac:dyDescent="0.25">
      <c r="A3423" s="138">
        <v>1231029</v>
      </c>
      <c r="B3423">
        <v>171</v>
      </c>
      <c r="C3423">
        <v>4</v>
      </c>
      <c r="D3423">
        <v>41</v>
      </c>
      <c r="E3423" s="2" t="str">
        <f t="shared" si="53"/>
        <v/>
      </c>
    </row>
    <row r="3424" spans="1:5" x14ac:dyDescent="0.25">
      <c r="A3424" s="138">
        <v>1231030</v>
      </c>
      <c r="B3424">
        <v>171</v>
      </c>
      <c r="C3424">
        <v>4</v>
      </c>
      <c r="D3424">
        <v>41</v>
      </c>
      <c r="E3424" s="2" t="str">
        <f t="shared" si="53"/>
        <v/>
      </c>
    </row>
    <row r="3425" spans="1:5" x14ac:dyDescent="0.25">
      <c r="A3425" s="138">
        <v>1231031</v>
      </c>
      <c r="B3425">
        <v>171</v>
      </c>
      <c r="C3425">
        <v>4</v>
      </c>
      <c r="D3425">
        <v>41</v>
      </c>
      <c r="E3425" s="2" t="str">
        <f t="shared" si="53"/>
        <v/>
      </c>
    </row>
    <row r="3426" spans="1:5" x14ac:dyDescent="0.25">
      <c r="A3426" s="138">
        <v>1231032</v>
      </c>
      <c r="B3426">
        <v>171</v>
      </c>
      <c r="C3426">
        <v>4</v>
      </c>
      <c r="D3426">
        <v>41</v>
      </c>
      <c r="E3426" s="2" t="str">
        <f t="shared" si="53"/>
        <v/>
      </c>
    </row>
    <row r="3427" spans="1:5" x14ac:dyDescent="0.25">
      <c r="A3427" s="138">
        <v>1231033</v>
      </c>
      <c r="B3427">
        <v>171</v>
      </c>
      <c r="C3427">
        <v>4</v>
      </c>
      <c r="D3427">
        <v>41</v>
      </c>
      <c r="E3427" s="2" t="str">
        <f t="shared" si="53"/>
        <v/>
      </c>
    </row>
    <row r="3428" spans="1:5" x14ac:dyDescent="0.25">
      <c r="A3428" s="138">
        <v>1231034</v>
      </c>
      <c r="B3428">
        <v>171</v>
      </c>
      <c r="C3428">
        <v>4</v>
      </c>
      <c r="D3428">
        <v>41</v>
      </c>
      <c r="E3428" s="2" t="str">
        <f t="shared" si="53"/>
        <v/>
      </c>
    </row>
    <row r="3429" spans="1:5" x14ac:dyDescent="0.25">
      <c r="A3429" s="138">
        <v>1231035</v>
      </c>
      <c r="B3429">
        <v>171</v>
      </c>
      <c r="C3429">
        <v>4</v>
      </c>
      <c r="D3429">
        <v>41</v>
      </c>
      <c r="E3429" s="2" t="str">
        <f t="shared" si="53"/>
        <v/>
      </c>
    </row>
    <row r="3430" spans="1:5" x14ac:dyDescent="0.25">
      <c r="A3430" s="138">
        <v>1231036</v>
      </c>
      <c r="B3430">
        <v>171</v>
      </c>
      <c r="C3430">
        <v>4</v>
      </c>
      <c r="D3430">
        <v>41</v>
      </c>
      <c r="E3430" s="2" t="str">
        <f t="shared" si="53"/>
        <v/>
      </c>
    </row>
    <row r="3431" spans="1:5" x14ac:dyDescent="0.25">
      <c r="A3431" s="138">
        <v>1231037</v>
      </c>
      <c r="B3431">
        <v>171</v>
      </c>
      <c r="C3431">
        <v>4</v>
      </c>
      <c r="D3431">
        <v>41</v>
      </c>
      <c r="E3431" s="2" t="str">
        <f t="shared" si="53"/>
        <v/>
      </c>
    </row>
    <row r="3432" spans="1:5" x14ac:dyDescent="0.25">
      <c r="A3432" s="138">
        <v>1231038</v>
      </c>
      <c r="B3432">
        <v>171</v>
      </c>
      <c r="C3432">
        <v>4</v>
      </c>
      <c r="D3432">
        <v>41</v>
      </c>
      <c r="E3432" s="2" t="str">
        <f t="shared" si="53"/>
        <v/>
      </c>
    </row>
    <row r="3433" spans="1:5" x14ac:dyDescent="0.25">
      <c r="A3433" s="138">
        <v>1231039</v>
      </c>
      <c r="B3433">
        <v>171</v>
      </c>
      <c r="C3433">
        <v>4</v>
      </c>
      <c r="D3433">
        <v>41</v>
      </c>
      <c r="E3433" s="2" t="str">
        <f t="shared" si="53"/>
        <v/>
      </c>
    </row>
    <row r="3434" spans="1:5" x14ac:dyDescent="0.25">
      <c r="A3434" s="138">
        <v>1231040</v>
      </c>
      <c r="B3434">
        <v>171</v>
      </c>
      <c r="C3434">
        <v>4</v>
      </c>
      <c r="D3434">
        <v>41</v>
      </c>
      <c r="E3434" s="2" t="str">
        <f t="shared" si="53"/>
        <v/>
      </c>
    </row>
    <row r="3435" spans="1:5" x14ac:dyDescent="0.25">
      <c r="A3435" s="138">
        <v>1231041</v>
      </c>
      <c r="B3435">
        <v>171</v>
      </c>
      <c r="C3435">
        <v>4</v>
      </c>
      <c r="D3435">
        <v>41</v>
      </c>
      <c r="E3435" s="2" t="str">
        <f t="shared" si="53"/>
        <v/>
      </c>
    </row>
    <row r="3436" spans="1:5" x14ac:dyDescent="0.25">
      <c r="A3436" s="138">
        <v>1231042</v>
      </c>
      <c r="B3436">
        <v>171</v>
      </c>
      <c r="C3436">
        <v>4</v>
      </c>
      <c r="D3436">
        <v>41</v>
      </c>
      <c r="E3436" s="2" t="str">
        <f t="shared" si="53"/>
        <v/>
      </c>
    </row>
    <row r="3437" spans="1:5" x14ac:dyDescent="0.25">
      <c r="A3437" s="138">
        <v>1231043</v>
      </c>
      <c r="B3437">
        <v>171</v>
      </c>
      <c r="C3437">
        <v>4</v>
      </c>
      <c r="D3437">
        <v>41</v>
      </c>
      <c r="E3437" s="2" t="str">
        <f t="shared" si="53"/>
        <v/>
      </c>
    </row>
    <row r="3438" spans="1:5" x14ac:dyDescent="0.25">
      <c r="A3438" s="138">
        <v>1231044</v>
      </c>
      <c r="B3438">
        <v>171</v>
      </c>
      <c r="C3438">
        <v>4</v>
      </c>
      <c r="D3438">
        <v>41</v>
      </c>
      <c r="E3438" s="2" t="str">
        <f t="shared" si="53"/>
        <v/>
      </c>
    </row>
    <row r="3439" spans="1:5" x14ac:dyDescent="0.25">
      <c r="A3439" s="138">
        <v>1231045</v>
      </c>
      <c r="B3439">
        <v>171</v>
      </c>
      <c r="C3439">
        <v>4</v>
      </c>
      <c r="D3439">
        <v>41</v>
      </c>
      <c r="E3439" s="2" t="str">
        <f t="shared" si="53"/>
        <v/>
      </c>
    </row>
    <row r="3440" spans="1:5" x14ac:dyDescent="0.25">
      <c r="A3440" s="138">
        <v>1231046</v>
      </c>
      <c r="B3440">
        <v>171</v>
      </c>
      <c r="C3440">
        <v>4</v>
      </c>
      <c r="D3440">
        <v>41</v>
      </c>
      <c r="E3440" s="2" t="str">
        <f t="shared" si="53"/>
        <v/>
      </c>
    </row>
    <row r="3441" spans="1:5" x14ac:dyDescent="0.25">
      <c r="A3441" s="138">
        <v>1231047</v>
      </c>
      <c r="B3441">
        <v>171</v>
      </c>
      <c r="C3441">
        <v>4</v>
      </c>
      <c r="D3441">
        <v>41</v>
      </c>
      <c r="E3441" s="2" t="str">
        <f t="shared" si="53"/>
        <v/>
      </c>
    </row>
    <row r="3442" spans="1:5" x14ac:dyDescent="0.25">
      <c r="A3442" s="138">
        <v>1231048</v>
      </c>
      <c r="B3442">
        <v>171</v>
      </c>
      <c r="C3442">
        <v>4</v>
      </c>
      <c r="D3442">
        <v>41</v>
      </c>
      <c r="E3442" s="2" t="str">
        <f t="shared" si="53"/>
        <v/>
      </c>
    </row>
    <row r="3443" spans="1:5" x14ac:dyDescent="0.25">
      <c r="A3443" s="138">
        <v>1231049</v>
      </c>
      <c r="B3443">
        <v>171</v>
      </c>
      <c r="C3443">
        <v>4</v>
      </c>
      <c r="D3443">
        <v>41</v>
      </c>
      <c r="E3443" s="2" t="str">
        <f t="shared" si="53"/>
        <v/>
      </c>
    </row>
    <row r="3444" spans="1:5" x14ac:dyDescent="0.25">
      <c r="A3444" s="138">
        <v>1231050</v>
      </c>
      <c r="B3444">
        <v>171</v>
      </c>
      <c r="C3444">
        <v>4</v>
      </c>
      <c r="D3444">
        <v>41</v>
      </c>
      <c r="E3444" s="2" t="str">
        <f t="shared" si="53"/>
        <v/>
      </c>
    </row>
    <row r="3445" spans="1:5" x14ac:dyDescent="0.25">
      <c r="A3445" s="138">
        <v>1231051</v>
      </c>
      <c r="B3445">
        <v>171</v>
      </c>
      <c r="C3445">
        <v>4</v>
      </c>
      <c r="D3445">
        <v>41</v>
      </c>
      <c r="E3445" s="2" t="str">
        <f t="shared" si="53"/>
        <v/>
      </c>
    </row>
    <row r="3446" spans="1:5" x14ac:dyDescent="0.25">
      <c r="A3446" s="138">
        <v>1231052</v>
      </c>
      <c r="B3446">
        <v>171</v>
      </c>
      <c r="C3446">
        <v>4</v>
      </c>
      <c r="D3446">
        <v>41</v>
      </c>
      <c r="E3446" s="2" t="str">
        <f t="shared" si="53"/>
        <v/>
      </c>
    </row>
    <row r="3447" spans="1:5" x14ac:dyDescent="0.25">
      <c r="A3447" s="138">
        <v>1231053</v>
      </c>
      <c r="B3447">
        <v>171</v>
      </c>
      <c r="C3447">
        <v>4</v>
      </c>
      <c r="D3447">
        <v>41</v>
      </c>
      <c r="E3447" s="2" t="str">
        <f t="shared" si="53"/>
        <v/>
      </c>
    </row>
    <row r="3448" spans="1:5" x14ac:dyDescent="0.25">
      <c r="A3448" s="138">
        <v>1231054</v>
      </c>
      <c r="B3448">
        <v>171</v>
      </c>
      <c r="C3448">
        <v>4</v>
      </c>
      <c r="D3448">
        <v>41</v>
      </c>
      <c r="E3448" s="2" t="str">
        <f t="shared" si="53"/>
        <v/>
      </c>
    </row>
    <row r="3449" spans="1:5" x14ac:dyDescent="0.25">
      <c r="A3449" s="138">
        <v>1231055</v>
      </c>
      <c r="B3449">
        <v>171</v>
      </c>
      <c r="C3449">
        <v>4</v>
      </c>
      <c r="D3449">
        <v>41</v>
      </c>
      <c r="E3449" s="2" t="str">
        <f t="shared" si="53"/>
        <v/>
      </c>
    </row>
    <row r="3450" spans="1:5" x14ac:dyDescent="0.25">
      <c r="A3450" s="138">
        <v>1231056</v>
      </c>
      <c r="B3450">
        <v>171</v>
      </c>
      <c r="C3450">
        <v>4</v>
      </c>
      <c r="D3450">
        <v>41</v>
      </c>
      <c r="E3450" s="2" t="str">
        <f t="shared" si="53"/>
        <v/>
      </c>
    </row>
    <row r="3451" spans="1:5" x14ac:dyDescent="0.25">
      <c r="A3451" s="138">
        <v>1231057</v>
      </c>
      <c r="B3451">
        <v>171</v>
      </c>
      <c r="C3451">
        <v>4</v>
      </c>
      <c r="D3451">
        <v>41</v>
      </c>
      <c r="E3451" s="2" t="str">
        <f t="shared" si="53"/>
        <v/>
      </c>
    </row>
    <row r="3452" spans="1:5" x14ac:dyDescent="0.25">
      <c r="A3452" s="138">
        <v>1231058</v>
      </c>
      <c r="B3452">
        <v>171</v>
      </c>
      <c r="C3452">
        <v>4</v>
      </c>
      <c r="D3452">
        <v>41</v>
      </c>
      <c r="E3452" s="2" t="str">
        <f t="shared" si="53"/>
        <v/>
      </c>
    </row>
    <row r="3453" spans="1:5" x14ac:dyDescent="0.25">
      <c r="A3453" s="138">
        <v>1231059</v>
      </c>
      <c r="B3453">
        <v>171</v>
      </c>
      <c r="C3453">
        <v>4</v>
      </c>
      <c r="D3453">
        <v>41</v>
      </c>
      <c r="E3453" s="2" t="str">
        <f t="shared" si="53"/>
        <v/>
      </c>
    </row>
    <row r="3454" spans="1:5" x14ac:dyDescent="0.25">
      <c r="A3454" s="138">
        <v>1231060</v>
      </c>
      <c r="B3454">
        <v>171</v>
      </c>
      <c r="C3454">
        <v>4</v>
      </c>
      <c r="D3454">
        <v>41</v>
      </c>
      <c r="E3454" s="2" t="str">
        <f t="shared" si="53"/>
        <v/>
      </c>
    </row>
    <row r="3455" spans="1:5" x14ac:dyDescent="0.25">
      <c r="A3455" s="138">
        <v>1231061</v>
      </c>
      <c r="B3455">
        <v>171</v>
      </c>
      <c r="C3455">
        <v>4</v>
      </c>
      <c r="D3455">
        <v>41</v>
      </c>
      <c r="E3455" s="2" t="str">
        <f t="shared" si="53"/>
        <v/>
      </c>
    </row>
    <row r="3456" spans="1:5" x14ac:dyDescent="0.25">
      <c r="A3456" s="138">
        <v>1231096</v>
      </c>
      <c r="B3456">
        <v>171</v>
      </c>
      <c r="C3456">
        <v>4</v>
      </c>
      <c r="D3456">
        <v>41</v>
      </c>
      <c r="E3456" s="2" t="str">
        <f t="shared" si="53"/>
        <v/>
      </c>
    </row>
    <row r="3457" spans="1:5" x14ac:dyDescent="0.25">
      <c r="A3457" s="138">
        <v>1231097</v>
      </c>
      <c r="B3457">
        <v>171</v>
      </c>
      <c r="C3457">
        <v>4</v>
      </c>
      <c r="D3457">
        <v>41</v>
      </c>
      <c r="E3457" s="2" t="str">
        <f t="shared" si="53"/>
        <v/>
      </c>
    </row>
    <row r="3458" spans="1:5" x14ac:dyDescent="0.25">
      <c r="A3458" s="138">
        <v>1231098</v>
      </c>
      <c r="B3458">
        <v>171</v>
      </c>
      <c r="C3458">
        <v>4</v>
      </c>
      <c r="D3458">
        <v>41</v>
      </c>
      <c r="E3458" s="2" t="str">
        <f t="shared" si="53"/>
        <v/>
      </c>
    </row>
    <row r="3459" spans="1:5" x14ac:dyDescent="0.25">
      <c r="A3459" s="138">
        <v>1231099</v>
      </c>
      <c r="B3459">
        <v>171</v>
      </c>
      <c r="C3459">
        <v>4</v>
      </c>
      <c r="D3459">
        <v>41</v>
      </c>
      <c r="E3459" s="2" t="str">
        <f t="shared" ref="E3459:E3522" si="54">IF(B3459=B3458,IF(C3458=C3459,"",1),"")</f>
        <v/>
      </c>
    </row>
    <row r="3460" spans="1:5" x14ac:dyDescent="0.25">
      <c r="A3460" s="138">
        <v>1232000</v>
      </c>
      <c r="B3460">
        <v>173</v>
      </c>
      <c r="C3460">
        <v>4</v>
      </c>
      <c r="D3460">
        <v>41</v>
      </c>
      <c r="E3460" s="2" t="str">
        <f t="shared" si="54"/>
        <v/>
      </c>
    </row>
    <row r="3461" spans="1:5" x14ac:dyDescent="0.25">
      <c r="A3461" s="138">
        <v>1232001</v>
      </c>
      <c r="B3461">
        <v>173</v>
      </c>
      <c r="C3461">
        <v>4</v>
      </c>
      <c r="D3461">
        <v>41</v>
      </c>
      <c r="E3461" s="2" t="str">
        <f t="shared" si="54"/>
        <v/>
      </c>
    </row>
    <row r="3462" spans="1:5" x14ac:dyDescent="0.25">
      <c r="A3462" s="138">
        <v>1232002</v>
      </c>
      <c r="B3462">
        <v>173</v>
      </c>
      <c r="C3462">
        <v>4</v>
      </c>
      <c r="D3462">
        <v>41</v>
      </c>
      <c r="E3462" s="2" t="str">
        <f t="shared" si="54"/>
        <v/>
      </c>
    </row>
    <row r="3463" spans="1:5" x14ac:dyDescent="0.25">
      <c r="A3463" s="138">
        <v>1232003</v>
      </c>
      <c r="B3463">
        <v>173</v>
      </c>
      <c r="C3463">
        <v>4</v>
      </c>
      <c r="D3463">
        <v>41</v>
      </c>
      <c r="E3463" s="2" t="str">
        <f t="shared" si="54"/>
        <v/>
      </c>
    </row>
    <row r="3464" spans="1:5" x14ac:dyDescent="0.25">
      <c r="A3464" s="138">
        <v>1232004</v>
      </c>
      <c r="B3464">
        <v>173</v>
      </c>
      <c r="C3464">
        <v>4</v>
      </c>
      <c r="D3464">
        <v>41</v>
      </c>
      <c r="E3464" s="2" t="str">
        <f t="shared" si="54"/>
        <v/>
      </c>
    </row>
    <row r="3465" spans="1:5" x14ac:dyDescent="0.25">
      <c r="A3465" s="138">
        <v>1232005</v>
      </c>
      <c r="B3465">
        <v>173</v>
      </c>
      <c r="C3465">
        <v>4</v>
      </c>
      <c r="D3465">
        <v>41</v>
      </c>
      <c r="E3465" s="2" t="str">
        <f t="shared" si="54"/>
        <v/>
      </c>
    </row>
    <row r="3466" spans="1:5" x14ac:dyDescent="0.25">
      <c r="A3466" s="138">
        <v>1232006</v>
      </c>
      <c r="B3466">
        <v>173</v>
      </c>
      <c r="C3466">
        <v>4</v>
      </c>
      <c r="D3466">
        <v>41</v>
      </c>
      <c r="E3466" s="2" t="str">
        <f t="shared" si="54"/>
        <v/>
      </c>
    </row>
    <row r="3467" spans="1:5" x14ac:dyDescent="0.25">
      <c r="A3467" s="138">
        <v>1232007</v>
      </c>
      <c r="B3467">
        <v>173</v>
      </c>
      <c r="C3467">
        <v>4</v>
      </c>
      <c r="D3467">
        <v>41</v>
      </c>
      <c r="E3467" s="2" t="str">
        <f t="shared" si="54"/>
        <v/>
      </c>
    </row>
    <row r="3468" spans="1:5" x14ac:dyDescent="0.25">
      <c r="A3468" s="138">
        <v>1232008</v>
      </c>
      <c r="B3468">
        <v>173</v>
      </c>
      <c r="C3468">
        <v>4</v>
      </c>
      <c r="D3468">
        <v>41</v>
      </c>
      <c r="E3468" s="2" t="str">
        <f t="shared" si="54"/>
        <v/>
      </c>
    </row>
    <row r="3469" spans="1:5" x14ac:dyDescent="0.25">
      <c r="A3469" s="138">
        <v>1232009</v>
      </c>
      <c r="B3469">
        <v>173</v>
      </c>
      <c r="C3469">
        <v>4</v>
      </c>
      <c r="D3469">
        <v>41</v>
      </c>
      <c r="E3469" s="2" t="str">
        <f t="shared" si="54"/>
        <v/>
      </c>
    </row>
    <row r="3470" spans="1:5" x14ac:dyDescent="0.25">
      <c r="A3470" s="138">
        <v>1232010</v>
      </c>
      <c r="B3470">
        <v>173</v>
      </c>
      <c r="C3470">
        <v>4</v>
      </c>
      <c r="D3470">
        <v>41</v>
      </c>
      <c r="E3470" s="2" t="str">
        <f t="shared" si="54"/>
        <v/>
      </c>
    </row>
    <row r="3471" spans="1:5" x14ac:dyDescent="0.25">
      <c r="A3471" s="138">
        <v>1232011</v>
      </c>
      <c r="B3471">
        <v>173</v>
      </c>
      <c r="C3471">
        <v>4</v>
      </c>
      <c r="D3471">
        <v>41</v>
      </c>
      <c r="E3471" s="2" t="str">
        <f t="shared" si="54"/>
        <v/>
      </c>
    </row>
    <row r="3472" spans="1:5" x14ac:dyDescent="0.25">
      <c r="A3472" s="138">
        <v>1232012</v>
      </c>
      <c r="B3472">
        <v>173</v>
      </c>
      <c r="C3472">
        <v>4</v>
      </c>
      <c r="D3472">
        <v>41</v>
      </c>
      <c r="E3472" s="2" t="str">
        <f t="shared" si="54"/>
        <v/>
      </c>
    </row>
    <row r="3473" spans="1:5" x14ac:dyDescent="0.25">
      <c r="A3473" s="138">
        <v>1232013</v>
      </c>
      <c r="B3473">
        <v>173</v>
      </c>
      <c r="C3473">
        <v>4</v>
      </c>
      <c r="D3473">
        <v>41</v>
      </c>
      <c r="E3473" s="2" t="str">
        <f t="shared" si="54"/>
        <v/>
      </c>
    </row>
    <row r="3474" spans="1:5" x14ac:dyDescent="0.25">
      <c r="A3474" s="138">
        <v>1232014</v>
      </c>
      <c r="B3474">
        <v>173</v>
      </c>
      <c r="C3474">
        <v>4</v>
      </c>
      <c r="D3474">
        <v>41</v>
      </c>
      <c r="E3474" s="2" t="str">
        <f t="shared" si="54"/>
        <v/>
      </c>
    </row>
    <row r="3475" spans="1:5" x14ac:dyDescent="0.25">
      <c r="A3475" s="138">
        <v>1232015</v>
      </c>
      <c r="B3475">
        <v>173</v>
      </c>
      <c r="C3475">
        <v>4</v>
      </c>
      <c r="D3475">
        <v>41</v>
      </c>
      <c r="E3475" s="2" t="str">
        <f t="shared" si="54"/>
        <v/>
      </c>
    </row>
    <row r="3476" spans="1:5" x14ac:dyDescent="0.25">
      <c r="A3476" s="138">
        <v>1232016</v>
      </c>
      <c r="B3476">
        <v>173</v>
      </c>
      <c r="C3476">
        <v>4</v>
      </c>
      <c r="D3476">
        <v>41</v>
      </c>
      <c r="E3476" s="2" t="str">
        <f t="shared" si="54"/>
        <v/>
      </c>
    </row>
    <row r="3477" spans="1:5" x14ac:dyDescent="0.25">
      <c r="A3477" s="138">
        <v>1232017</v>
      </c>
      <c r="B3477">
        <v>173</v>
      </c>
      <c r="C3477">
        <v>4</v>
      </c>
      <c r="D3477">
        <v>41</v>
      </c>
      <c r="E3477" s="2" t="str">
        <f t="shared" si="54"/>
        <v/>
      </c>
    </row>
    <row r="3478" spans="1:5" x14ac:dyDescent="0.25">
      <c r="A3478" s="138">
        <v>1232018</v>
      </c>
      <c r="B3478">
        <v>173</v>
      </c>
      <c r="C3478">
        <v>4</v>
      </c>
      <c r="D3478">
        <v>41</v>
      </c>
      <c r="E3478" s="2" t="str">
        <f t="shared" si="54"/>
        <v/>
      </c>
    </row>
    <row r="3479" spans="1:5" x14ac:dyDescent="0.25">
      <c r="A3479" s="138">
        <v>1232019</v>
      </c>
      <c r="B3479">
        <v>173</v>
      </c>
      <c r="C3479">
        <v>4</v>
      </c>
      <c r="D3479">
        <v>41</v>
      </c>
      <c r="E3479" s="2" t="str">
        <f t="shared" si="54"/>
        <v/>
      </c>
    </row>
    <row r="3480" spans="1:5" x14ac:dyDescent="0.25">
      <c r="A3480" s="138">
        <v>1232020</v>
      </c>
      <c r="B3480">
        <v>173</v>
      </c>
      <c r="C3480">
        <v>4</v>
      </c>
      <c r="D3480">
        <v>41</v>
      </c>
      <c r="E3480" s="2" t="str">
        <f t="shared" si="54"/>
        <v/>
      </c>
    </row>
    <row r="3481" spans="1:5" x14ac:dyDescent="0.25">
      <c r="A3481" s="138">
        <v>1232021</v>
      </c>
      <c r="B3481">
        <v>173</v>
      </c>
      <c r="C3481">
        <v>4</v>
      </c>
      <c r="D3481">
        <v>41</v>
      </c>
      <c r="E3481" s="2" t="str">
        <f t="shared" si="54"/>
        <v/>
      </c>
    </row>
    <row r="3482" spans="1:5" x14ac:dyDescent="0.25">
      <c r="A3482" s="138">
        <v>1232022</v>
      </c>
      <c r="B3482">
        <v>173</v>
      </c>
      <c r="C3482">
        <v>4</v>
      </c>
      <c r="D3482">
        <v>41</v>
      </c>
      <c r="E3482" s="2" t="str">
        <f t="shared" si="54"/>
        <v/>
      </c>
    </row>
    <row r="3483" spans="1:5" x14ac:dyDescent="0.25">
      <c r="A3483" s="138">
        <v>1232023</v>
      </c>
      <c r="B3483">
        <v>173</v>
      </c>
      <c r="C3483">
        <v>4</v>
      </c>
      <c r="D3483">
        <v>41</v>
      </c>
      <c r="E3483" s="2" t="str">
        <f t="shared" si="54"/>
        <v/>
      </c>
    </row>
    <row r="3484" spans="1:5" x14ac:dyDescent="0.25">
      <c r="A3484" s="138">
        <v>1232024</v>
      </c>
      <c r="B3484">
        <v>173</v>
      </c>
      <c r="C3484">
        <v>4</v>
      </c>
      <c r="D3484">
        <v>41</v>
      </c>
      <c r="E3484" s="2" t="str">
        <f t="shared" si="54"/>
        <v/>
      </c>
    </row>
    <row r="3485" spans="1:5" x14ac:dyDescent="0.25">
      <c r="A3485" s="138">
        <v>1232025</v>
      </c>
      <c r="B3485">
        <v>173</v>
      </c>
      <c r="C3485">
        <v>4</v>
      </c>
      <c r="D3485">
        <v>41</v>
      </c>
      <c r="E3485" s="2" t="str">
        <f t="shared" si="54"/>
        <v/>
      </c>
    </row>
    <row r="3486" spans="1:5" x14ac:dyDescent="0.25">
      <c r="A3486" s="138">
        <v>1232026</v>
      </c>
      <c r="B3486">
        <v>173</v>
      </c>
      <c r="C3486">
        <v>4</v>
      </c>
      <c r="D3486">
        <v>41</v>
      </c>
      <c r="E3486" s="2" t="str">
        <f t="shared" si="54"/>
        <v/>
      </c>
    </row>
    <row r="3487" spans="1:5" x14ac:dyDescent="0.25">
      <c r="A3487" s="138">
        <v>1232027</v>
      </c>
      <c r="B3487">
        <v>173</v>
      </c>
      <c r="C3487">
        <v>4</v>
      </c>
      <c r="D3487">
        <v>41</v>
      </c>
      <c r="E3487" s="2" t="str">
        <f t="shared" si="54"/>
        <v/>
      </c>
    </row>
    <row r="3488" spans="1:5" x14ac:dyDescent="0.25">
      <c r="A3488" s="138">
        <v>1232028</v>
      </c>
      <c r="B3488">
        <v>173</v>
      </c>
      <c r="C3488">
        <v>4</v>
      </c>
      <c r="D3488">
        <v>41</v>
      </c>
      <c r="E3488" s="2" t="str">
        <f t="shared" si="54"/>
        <v/>
      </c>
    </row>
    <row r="3489" spans="1:5" x14ac:dyDescent="0.25">
      <c r="A3489" s="138">
        <v>1232029</v>
      </c>
      <c r="B3489">
        <v>173</v>
      </c>
      <c r="C3489">
        <v>4</v>
      </c>
      <c r="D3489">
        <v>41</v>
      </c>
      <c r="E3489" s="2" t="str">
        <f t="shared" si="54"/>
        <v/>
      </c>
    </row>
    <row r="3490" spans="1:5" x14ac:dyDescent="0.25">
      <c r="A3490" s="138">
        <v>1232030</v>
      </c>
      <c r="B3490">
        <v>173</v>
      </c>
      <c r="C3490">
        <v>4</v>
      </c>
      <c r="D3490">
        <v>41</v>
      </c>
      <c r="E3490" s="2" t="str">
        <f t="shared" si="54"/>
        <v/>
      </c>
    </row>
    <row r="3491" spans="1:5" x14ac:dyDescent="0.25">
      <c r="A3491" s="138">
        <v>1232031</v>
      </c>
      <c r="B3491">
        <v>173</v>
      </c>
      <c r="C3491">
        <v>4</v>
      </c>
      <c r="D3491">
        <v>41</v>
      </c>
      <c r="E3491" s="2" t="str">
        <f t="shared" si="54"/>
        <v/>
      </c>
    </row>
    <row r="3492" spans="1:5" x14ac:dyDescent="0.25">
      <c r="A3492" s="138">
        <v>1232032</v>
      </c>
      <c r="B3492">
        <v>173</v>
      </c>
      <c r="C3492">
        <v>4</v>
      </c>
      <c r="D3492">
        <v>41</v>
      </c>
      <c r="E3492" s="2" t="str">
        <f t="shared" si="54"/>
        <v/>
      </c>
    </row>
    <row r="3493" spans="1:5" x14ac:dyDescent="0.25">
      <c r="A3493" s="138">
        <v>1232033</v>
      </c>
      <c r="B3493">
        <v>173</v>
      </c>
      <c r="C3493">
        <v>4</v>
      </c>
      <c r="D3493">
        <v>41</v>
      </c>
      <c r="E3493" s="2" t="str">
        <f t="shared" si="54"/>
        <v/>
      </c>
    </row>
    <row r="3494" spans="1:5" x14ac:dyDescent="0.25">
      <c r="A3494" s="138">
        <v>1232034</v>
      </c>
      <c r="B3494">
        <v>173</v>
      </c>
      <c r="C3494">
        <v>4</v>
      </c>
      <c r="D3494">
        <v>41</v>
      </c>
      <c r="E3494" s="2" t="str">
        <f t="shared" si="54"/>
        <v/>
      </c>
    </row>
    <row r="3495" spans="1:5" x14ac:dyDescent="0.25">
      <c r="A3495" s="138">
        <v>1232035</v>
      </c>
      <c r="B3495">
        <v>173</v>
      </c>
      <c r="C3495">
        <v>4</v>
      </c>
      <c r="D3495">
        <v>41</v>
      </c>
      <c r="E3495" s="2" t="str">
        <f t="shared" si="54"/>
        <v/>
      </c>
    </row>
    <row r="3496" spans="1:5" x14ac:dyDescent="0.25">
      <c r="A3496" s="138">
        <v>1232036</v>
      </c>
      <c r="B3496">
        <v>173</v>
      </c>
      <c r="C3496">
        <v>4</v>
      </c>
      <c r="D3496">
        <v>41</v>
      </c>
      <c r="E3496" s="2" t="str">
        <f t="shared" si="54"/>
        <v/>
      </c>
    </row>
    <row r="3497" spans="1:5" x14ac:dyDescent="0.25">
      <c r="A3497" s="138">
        <v>1232037</v>
      </c>
      <c r="B3497">
        <v>173</v>
      </c>
      <c r="C3497">
        <v>4</v>
      </c>
      <c r="D3497">
        <v>41</v>
      </c>
      <c r="E3497" s="2" t="str">
        <f t="shared" si="54"/>
        <v/>
      </c>
    </row>
    <row r="3498" spans="1:5" x14ac:dyDescent="0.25">
      <c r="A3498" s="138">
        <v>1232038</v>
      </c>
      <c r="B3498">
        <v>173</v>
      </c>
      <c r="C3498">
        <v>4</v>
      </c>
      <c r="D3498">
        <v>41</v>
      </c>
      <c r="E3498" s="2" t="str">
        <f t="shared" si="54"/>
        <v/>
      </c>
    </row>
    <row r="3499" spans="1:5" x14ac:dyDescent="0.25">
      <c r="A3499" s="138">
        <v>1232039</v>
      </c>
      <c r="B3499">
        <v>173</v>
      </c>
      <c r="C3499">
        <v>4</v>
      </c>
      <c r="D3499">
        <v>41</v>
      </c>
      <c r="E3499" s="2" t="str">
        <f t="shared" si="54"/>
        <v/>
      </c>
    </row>
    <row r="3500" spans="1:5" x14ac:dyDescent="0.25">
      <c r="A3500" s="138">
        <v>1232040</v>
      </c>
      <c r="B3500">
        <v>173</v>
      </c>
      <c r="C3500">
        <v>4</v>
      </c>
      <c r="D3500">
        <v>41</v>
      </c>
      <c r="E3500" s="2" t="str">
        <f t="shared" si="54"/>
        <v/>
      </c>
    </row>
    <row r="3501" spans="1:5" x14ac:dyDescent="0.25">
      <c r="A3501" s="138">
        <v>1232099</v>
      </c>
      <c r="B3501">
        <v>173</v>
      </c>
      <c r="C3501">
        <v>4</v>
      </c>
      <c r="D3501">
        <v>41</v>
      </c>
      <c r="E3501" s="2" t="str">
        <f t="shared" si="54"/>
        <v/>
      </c>
    </row>
    <row r="3502" spans="1:5" x14ac:dyDescent="0.25">
      <c r="A3502" s="138">
        <v>1241000</v>
      </c>
      <c r="B3502">
        <v>244</v>
      </c>
      <c r="C3502">
        <v>4</v>
      </c>
      <c r="D3502">
        <v>44</v>
      </c>
      <c r="E3502" s="2" t="str">
        <f t="shared" si="54"/>
        <v/>
      </c>
    </row>
    <row r="3503" spans="1:5" x14ac:dyDescent="0.25">
      <c r="A3503" s="138">
        <v>1241001</v>
      </c>
      <c r="B3503">
        <v>244</v>
      </c>
      <c r="C3503">
        <v>4</v>
      </c>
      <c r="D3503">
        <v>44</v>
      </c>
      <c r="E3503" s="2" t="str">
        <f t="shared" si="54"/>
        <v/>
      </c>
    </row>
    <row r="3504" spans="1:5" x14ac:dyDescent="0.25">
      <c r="A3504" s="138">
        <v>1241002</v>
      </c>
      <c r="B3504">
        <v>244</v>
      </c>
      <c r="C3504">
        <v>4</v>
      </c>
      <c r="D3504">
        <v>44</v>
      </c>
      <c r="E3504" s="2" t="str">
        <f t="shared" si="54"/>
        <v/>
      </c>
    </row>
    <row r="3505" spans="1:5" x14ac:dyDescent="0.25">
      <c r="A3505" s="138">
        <v>1241003</v>
      </c>
      <c r="B3505">
        <v>244</v>
      </c>
      <c r="C3505">
        <v>4</v>
      </c>
      <c r="D3505">
        <v>44</v>
      </c>
      <c r="E3505" s="2" t="str">
        <f t="shared" si="54"/>
        <v/>
      </c>
    </row>
    <row r="3506" spans="1:5" x14ac:dyDescent="0.25">
      <c r="A3506" s="138">
        <v>1241004</v>
      </c>
      <c r="B3506">
        <v>244</v>
      </c>
      <c r="C3506">
        <v>4</v>
      </c>
      <c r="D3506">
        <v>44</v>
      </c>
      <c r="E3506" s="2" t="str">
        <f t="shared" si="54"/>
        <v/>
      </c>
    </row>
    <row r="3507" spans="1:5" x14ac:dyDescent="0.25">
      <c r="A3507" s="138">
        <v>1241005</v>
      </c>
      <c r="B3507">
        <v>244</v>
      </c>
      <c r="C3507">
        <v>4</v>
      </c>
      <c r="D3507">
        <v>44</v>
      </c>
      <c r="E3507" s="2" t="str">
        <f t="shared" si="54"/>
        <v/>
      </c>
    </row>
    <row r="3508" spans="1:5" x14ac:dyDescent="0.25">
      <c r="A3508" s="138">
        <v>1241006</v>
      </c>
      <c r="B3508">
        <v>244</v>
      </c>
      <c r="C3508">
        <v>4</v>
      </c>
      <c r="D3508">
        <v>44</v>
      </c>
      <c r="E3508" s="2" t="str">
        <f t="shared" si="54"/>
        <v/>
      </c>
    </row>
    <row r="3509" spans="1:5" x14ac:dyDescent="0.25">
      <c r="A3509" s="138">
        <v>1241007</v>
      </c>
      <c r="B3509">
        <v>244</v>
      </c>
      <c r="C3509">
        <v>4</v>
      </c>
      <c r="D3509">
        <v>44</v>
      </c>
      <c r="E3509" s="2" t="str">
        <f t="shared" si="54"/>
        <v/>
      </c>
    </row>
    <row r="3510" spans="1:5" x14ac:dyDescent="0.25">
      <c r="A3510" s="138">
        <v>1241008</v>
      </c>
      <c r="B3510">
        <v>244</v>
      </c>
      <c r="C3510">
        <v>4</v>
      </c>
      <c r="D3510">
        <v>44</v>
      </c>
      <c r="E3510" s="2" t="str">
        <f t="shared" si="54"/>
        <v/>
      </c>
    </row>
    <row r="3511" spans="1:5" x14ac:dyDescent="0.25">
      <c r="A3511" s="138">
        <v>1241009</v>
      </c>
      <c r="B3511">
        <v>244</v>
      </c>
      <c r="C3511">
        <v>4</v>
      </c>
      <c r="D3511">
        <v>44</v>
      </c>
      <c r="E3511" s="2" t="str">
        <f t="shared" si="54"/>
        <v/>
      </c>
    </row>
    <row r="3512" spans="1:5" x14ac:dyDescent="0.25">
      <c r="A3512" s="138">
        <v>1241099</v>
      </c>
      <c r="B3512">
        <v>244</v>
      </c>
      <c r="C3512">
        <v>4</v>
      </c>
      <c r="D3512">
        <v>44</v>
      </c>
      <c r="E3512" s="2" t="str">
        <f t="shared" si="54"/>
        <v/>
      </c>
    </row>
    <row r="3513" spans="1:5" x14ac:dyDescent="0.25">
      <c r="A3513" s="138">
        <v>1251000</v>
      </c>
      <c r="B3513">
        <v>203</v>
      </c>
      <c r="C3513">
        <v>4</v>
      </c>
      <c r="D3513">
        <v>42</v>
      </c>
      <c r="E3513" s="2" t="str">
        <f t="shared" si="54"/>
        <v/>
      </c>
    </row>
    <row r="3514" spans="1:5" x14ac:dyDescent="0.25">
      <c r="A3514" s="138">
        <v>1251001</v>
      </c>
      <c r="B3514">
        <v>203</v>
      </c>
      <c r="C3514">
        <v>4</v>
      </c>
      <c r="D3514">
        <v>42</v>
      </c>
      <c r="E3514" s="2" t="str">
        <f t="shared" si="54"/>
        <v/>
      </c>
    </row>
    <row r="3515" spans="1:5" x14ac:dyDescent="0.25">
      <c r="A3515" s="138">
        <v>1251002</v>
      </c>
      <c r="B3515">
        <v>203</v>
      </c>
      <c r="C3515">
        <v>4</v>
      </c>
      <c r="D3515">
        <v>42</v>
      </c>
      <c r="E3515" s="2" t="str">
        <f t="shared" si="54"/>
        <v/>
      </c>
    </row>
    <row r="3516" spans="1:5" x14ac:dyDescent="0.25">
      <c r="A3516" s="138">
        <v>1251099</v>
      </c>
      <c r="B3516">
        <v>203</v>
      </c>
      <c r="C3516">
        <v>4</v>
      </c>
      <c r="D3516">
        <v>42</v>
      </c>
      <c r="E3516" s="2" t="str">
        <f t="shared" si="54"/>
        <v/>
      </c>
    </row>
    <row r="3517" spans="1:5" x14ac:dyDescent="0.25">
      <c r="A3517" s="138">
        <v>1252000</v>
      </c>
      <c r="B3517">
        <v>205</v>
      </c>
      <c r="C3517">
        <v>4</v>
      </c>
      <c r="D3517">
        <v>42</v>
      </c>
      <c r="E3517" s="2" t="str">
        <f t="shared" si="54"/>
        <v/>
      </c>
    </row>
    <row r="3518" spans="1:5" x14ac:dyDescent="0.25">
      <c r="A3518" s="138">
        <v>1252001</v>
      </c>
      <c r="B3518">
        <v>205</v>
      </c>
      <c r="C3518">
        <v>4</v>
      </c>
      <c r="D3518">
        <v>42</v>
      </c>
      <c r="E3518" s="2" t="str">
        <f t="shared" si="54"/>
        <v/>
      </c>
    </row>
    <row r="3519" spans="1:5" x14ac:dyDescent="0.25">
      <c r="A3519" s="138">
        <v>1252002</v>
      </c>
      <c r="B3519">
        <v>205</v>
      </c>
      <c r="C3519">
        <v>4</v>
      </c>
      <c r="D3519">
        <v>42</v>
      </c>
      <c r="E3519" s="2" t="str">
        <f t="shared" si="54"/>
        <v/>
      </c>
    </row>
    <row r="3520" spans="1:5" x14ac:dyDescent="0.25">
      <c r="A3520" s="138">
        <v>1252003</v>
      </c>
      <c r="B3520">
        <v>205</v>
      </c>
      <c r="C3520">
        <v>4</v>
      </c>
      <c r="D3520">
        <v>42</v>
      </c>
      <c r="E3520" s="2" t="str">
        <f t="shared" si="54"/>
        <v/>
      </c>
    </row>
    <row r="3521" spans="1:5" x14ac:dyDescent="0.25">
      <c r="A3521" s="138">
        <v>1252004</v>
      </c>
      <c r="B3521">
        <v>205</v>
      </c>
      <c r="C3521">
        <v>4</v>
      </c>
      <c r="D3521">
        <v>42</v>
      </c>
      <c r="E3521" s="2" t="str">
        <f t="shared" si="54"/>
        <v/>
      </c>
    </row>
    <row r="3522" spans="1:5" x14ac:dyDescent="0.25">
      <c r="A3522" s="138">
        <v>1252005</v>
      </c>
      <c r="B3522">
        <v>205</v>
      </c>
      <c r="C3522">
        <v>4</v>
      </c>
      <c r="D3522">
        <v>42</v>
      </c>
      <c r="E3522" s="2" t="str">
        <f t="shared" si="54"/>
        <v/>
      </c>
    </row>
    <row r="3523" spans="1:5" x14ac:dyDescent="0.25">
      <c r="A3523" s="138">
        <v>1252006</v>
      </c>
      <c r="B3523">
        <v>205</v>
      </c>
      <c r="C3523">
        <v>4</v>
      </c>
      <c r="D3523">
        <v>42</v>
      </c>
      <c r="E3523" s="2" t="str">
        <f t="shared" ref="E3523:E3586" si="55">IF(B3523=B3522,IF(C3522=C3523,"",1),"")</f>
        <v/>
      </c>
    </row>
    <row r="3524" spans="1:5" x14ac:dyDescent="0.25">
      <c r="A3524" s="138">
        <v>1252007</v>
      </c>
      <c r="B3524">
        <v>205</v>
      </c>
      <c r="C3524">
        <v>4</v>
      </c>
      <c r="D3524">
        <v>42</v>
      </c>
      <c r="E3524" s="2" t="str">
        <f t="shared" si="55"/>
        <v/>
      </c>
    </row>
    <row r="3525" spans="1:5" x14ac:dyDescent="0.25">
      <c r="A3525" s="138">
        <v>1252099</v>
      </c>
      <c r="B3525">
        <v>205</v>
      </c>
      <c r="C3525">
        <v>4</v>
      </c>
      <c r="D3525">
        <v>42</v>
      </c>
      <c r="E3525" s="2" t="str">
        <f t="shared" si="55"/>
        <v/>
      </c>
    </row>
    <row r="3526" spans="1:5" x14ac:dyDescent="0.25">
      <c r="A3526" s="138">
        <v>1253000</v>
      </c>
      <c r="B3526">
        <v>205</v>
      </c>
      <c r="C3526">
        <v>4</v>
      </c>
      <c r="D3526">
        <v>43</v>
      </c>
      <c r="E3526" s="2" t="str">
        <f t="shared" si="55"/>
        <v/>
      </c>
    </row>
    <row r="3527" spans="1:5" x14ac:dyDescent="0.25">
      <c r="A3527" s="138">
        <v>1253001</v>
      </c>
      <c r="B3527">
        <v>205</v>
      </c>
      <c r="C3527">
        <v>4</v>
      </c>
      <c r="D3527">
        <v>43</v>
      </c>
      <c r="E3527" s="2" t="str">
        <f t="shared" si="55"/>
        <v/>
      </c>
    </row>
    <row r="3528" spans="1:5" x14ac:dyDescent="0.25">
      <c r="A3528" s="138">
        <v>1253002</v>
      </c>
      <c r="B3528">
        <v>205</v>
      </c>
      <c r="C3528">
        <v>4</v>
      </c>
      <c r="D3528">
        <v>43</v>
      </c>
      <c r="E3528" s="2" t="str">
        <f t="shared" si="55"/>
        <v/>
      </c>
    </row>
    <row r="3529" spans="1:5" x14ac:dyDescent="0.25">
      <c r="A3529" s="138">
        <v>1253003</v>
      </c>
      <c r="B3529">
        <v>205</v>
      </c>
      <c r="C3529">
        <v>4</v>
      </c>
      <c r="D3529">
        <v>43</v>
      </c>
      <c r="E3529" s="2" t="str">
        <f t="shared" si="55"/>
        <v/>
      </c>
    </row>
    <row r="3530" spans="1:5" x14ac:dyDescent="0.25">
      <c r="A3530" s="138">
        <v>1253099</v>
      </c>
      <c r="B3530">
        <v>205</v>
      </c>
      <c r="C3530">
        <v>4</v>
      </c>
      <c r="D3530">
        <v>43</v>
      </c>
      <c r="E3530" s="2" t="str">
        <f t="shared" si="55"/>
        <v/>
      </c>
    </row>
    <row r="3531" spans="1:5" x14ac:dyDescent="0.25">
      <c r="A3531" s="138">
        <v>1254000</v>
      </c>
      <c r="B3531">
        <v>205</v>
      </c>
      <c r="C3531">
        <v>4</v>
      </c>
      <c r="D3531">
        <v>42</v>
      </c>
      <c r="E3531" s="2" t="str">
        <f t="shared" si="55"/>
        <v/>
      </c>
    </row>
    <row r="3532" spans="1:5" x14ac:dyDescent="0.25">
      <c r="A3532" s="138">
        <v>1254001</v>
      </c>
      <c r="B3532">
        <v>205</v>
      </c>
      <c r="C3532">
        <v>4</v>
      </c>
      <c r="D3532">
        <v>42</v>
      </c>
      <c r="E3532" s="2" t="str">
        <f t="shared" si="55"/>
        <v/>
      </c>
    </row>
    <row r="3533" spans="1:5" x14ac:dyDescent="0.25">
      <c r="A3533" s="138">
        <v>1254002</v>
      </c>
      <c r="B3533">
        <v>205</v>
      </c>
      <c r="C3533">
        <v>4</v>
      </c>
      <c r="D3533">
        <v>42</v>
      </c>
      <c r="E3533" s="2" t="str">
        <f t="shared" si="55"/>
        <v/>
      </c>
    </row>
    <row r="3534" spans="1:5" x14ac:dyDescent="0.25">
      <c r="A3534" s="138">
        <v>1254003</v>
      </c>
      <c r="B3534">
        <v>205</v>
      </c>
      <c r="C3534">
        <v>4</v>
      </c>
      <c r="D3534">
        <v>42</v>
      </c>
      <c r="E3534" s="2" t="str">
        <f t="shared" si="55"/>
        <v/>
      </c>
    </row>
    <row r="3535" spans="1:5" x14ac:dyDescent="0.25">
      <c r="A3535" s="138">
        <v>1254004</v>
      </c>
      <c r="B3535">
        <v>205</v>
      </c>
      <c r="C3535">
        <v>4</v>
      </c>
      <c r="D3535">
        <v>42</v>
      </c>
      <c r="E3535" s="2" t="str">
        <f t="shared" si="55"/>
        <v/>
      </c>
    </row>
    <row r="3536" spans="1:5" x14ac:dyDescent="0.25">
      <c r="A3536" s="138">
        <v>1254005</v>
      </c>
      <c r="B3536">
        <v>205</v>
      </c>
      <c r="C3536">
        <v>4</v>
      </c>
      <c r="D3536">
        <v>42</v>
      </c>
      <c r="E3536" s="2" t="str">
        <f t="shared" si="55"/>
        <v/>
      </c>
    </row>
    <row r="3537" spans="1:5" x14ac:dyDescent="0.25">
      <c r="A3537" s="138">
        <v>1254099</v>
      </c>
      <c r="B3537">
        <v>205</v>
      </c>
      <c r="C3537">
        <v>4</v>
      </c>
      <c r="D3537">
        <v>42</v>
      </c>
      <c r="E3537" s="2" t="str">
        <f t="shared" si="55"/>
        <v/>
      </c>
    </row>
    <row r="3538" spans="1:5" x14ac:dyDescent="0.25">
      <c r="A3538" s="138">
        <v>1255000</v>
      </c>
      <c r="B3538">
        <v>205</v>
      </c>
      <c r="C3538">
        <v>4</v>
      </c>
      <c r="D3538">
        <v>42</v>
      </c>
      <c r="E3538" s="2" t="str">
        <f t="shared" si="55"/>
        <v/>
      </c>
    </row>
    <row r="3539" spans="1:5" x14ac:dyDescent="0.25">
      <c r="A3539" s="138">
        <v>1255001</v>
      </c>
      <c r="B3539">
        <v>205</v>
      </c>
      <c r="C3539">
        <v>4</v>
      </c>
      <c r="D3539">
        <v>42</v>
      </c>
      <c r="E3539" s="2" t="str">
        <f t="shared" si="55"/>
        <v/>
      </c>
    </row>
    <row r="3540" spans="1:5" x14ac:dyDescent="0.25">
      <c r="A3540" s="138">
        <v>1255002</v>
      </c>
      <c r="B3540">
        <v>205</v>
      </c>
      <c r="C3540">
        <v>4</v>
      </c>
      <c r="D3540">
        <v>42</v>
      </c>
      <c r="E3540" s="2" t="str">
        <f t="shared" si="55"/>
        <v/>
      </c>
    </row>
    <row r="3541" spans="1:5" x14ac:dyDescent="0.25">
      <c r="A3541" s="138">
        <v>1255003</v>
      </c>
      <c r="B3541">
        <v>205</v>
      </c>
      <c r="C3541">
        <v>4</v>
      </c>
      <c r="D3541">
        <v>42</v>
      </c>
      <c r="E3541" s="2" t="str">
        <f t="shared" si="55"/>
        <v/>
      </c>
    </row>
    <row r="3542" spans="1:5" x14ac:dyDescent="0.25">
      <c r="A3542" s="138">
        <v>1255099</v>
      </c>
      <c r="B3542">
        <v>205</v>
      </c>
      <c r="C3542">
        <v>4</v>
      </c>
      <c r="D3542">
        <v>42</v>
      </c>
      <c r="E3542" s="2" t="str">
        <f t="shared" si="55"/>
        <v/>
      </c>
    </row>
    <row r="3543" spans="1:5" x14ac:dyDescent="0.25">
      <c r="A3543" s="138">
        <v>1261000</v>
      </c>
      <c r="B3543">
        <v>199</v>
      </c>
      <c r="C3543">
        <v>4</v>
      </c>
      <c r="D3543">
        <v>42</v>
      </c>
      <c r="E3543" s="2" t="str">
        <f t="shared" si="55"/>
        <v/>
      </c>
    </row>
    <row r="3544" spans="1:5" x14ac:dyDescent="0.25">
      <c r="A3544" s="138">
        <v>1261001</v>
      </c>
      <c r="B3544">
        <v>199</v>
      </c>
      <c r="C3544">
        <v>4</v>
      </c>
      <c r="D3544">
        <v>42</v>
      </c>
      <c r="E3544" s="2" t="str">
        <f t="shared" si="55"/>
        <v/>
      </c>
    </row>
    <row r="3545" spans="1:5" x14ac:dyDescent="0.25">
      <c r="A3545" s="138">
        <v>1261002</v>
      </c>
      <c r="B3545">
        <v>199</v>
      </c>
      <c r="C3545">
        <v>4</v>
      </c>
      <c r="D3545">
        <v>42</v>
      </c>
      <c r="E3545" s="2" t="str">
        <f t="shared" si="55"/>
        <v/>
      </c>
    </row>
    <row r="3546" spans="1:5" x14ac:dyDescent="0.25">
      <c r="A3546" s="138">
        <v>1261003</v>
      </c>
      <c r="B3546">
        <v>199</v>
      </c>
      <c r="C3546">
        <v>4</v>
      </c>
      <c r="D3546">
        <v>42</v>
      </c>
      <c r="E3546" s="2" t="str">
        <f t="shared" si="55"/>
        <v/>
      </c>
    </row>
    <row r="3547" spans="1:5" x14ac:dyDescent="0.25">
      <c r="A3547" s="138">
        <v>1261004</v>
      </c>
      <c r="B3547">
        <v>199</v>
      </c>
      <c r="C3547">
        <v>4</v>
      </c>
      <c r="D3547">
        <v>42</v>
      </c>
      <c r="E3547" s="2" t="str">
        <f t="shared" si="55"/>
        <v/>
      </c>
    </row>
    <row r="3548" spans="1:5" x14ac:dyDescent="0.25">
      <c r="A3548" s="138">
        <v>1261005</v>
      </c>
      <c r="B3548">
        <v>199</v>
      </c>
      <c r="C3548">
        <v>4</v>
      </c>
      <c r="D3548">
        <v>42</v>
      </c>
      <c r="E3548" s="2" t="str">
        <f t="shared" si="55"/>
        <v/>
      </c>
    </row>
    <row r="3549" spans="1:5" x14ac:dyDescent="0.25">
      <c r="A3549" s="138">
        <v>1261006</v>
      </c>
      <c r="B3549">
        <v>199</v>
      </c>
      <c r="C3549">
        <v>4</v>
      </c>
      <c r="D3549">
        <v>42</v>
      </c>
      <c r="E3549" s="2" t="str">
        <f t="shared" si="55"/>
        <v/>
      </c>
    </row>
    <row r="3550" spans="1:5" x14ac:dyDescent="0.25">
      <c r="A3550" s="138">
        <v>1261007</v>
      </c>
      <c r="B3550">
        <v>199</v>
      </c>
      <c r="C3550">
        <v>4</v>
      </c>
      <c r="D3550">
        <v>42</v>
      </c>
      <c r="E3550" s="2" t="str">
        <f t="shared" si="55"/>
        <v/>
      </c>
    </row>
    <row r="3551" spans="1:5" x14ac:dyDescent="0.25">
      <c r="A3551" s="138">
        <v>1261008</v>
      </c>
      <c r="B3551">
        <v>199</v>
      </c>
      <c r="C3551">
        <v>4</v>
      </c>
      <c r="D3551">
        <v>42</v>
      </c>
      <c r="E3551" s="2" t="str">
        <f t="shared" si="55"/>
        <v/>
      </c>
    </row>
    <row r="3552" spans="1:5" x14ac:dyDescent="0.25">
      <c r="A3552" s="138">
        <v>1261009</v>
      </c>
      <c r="B3552">
        <v>199</v>
      </c>
      <c r="C3552">
        <v>4</v>
      </c>
      <c r="D3552">
        <v>42</v>
      </c>
      <c r="E3552" s="2" t="str">
        <f t="shared" si="55"/>
        <v/>
      </c>
    </row>
    <row r="3553" spans="1:5" x14ac:dyDescent="0.25">
      <c r="A3553" s="138">
        <v>1261010</v>
      </c>
      <c r="B3553">
        <v>199</v>
      </c>
      <c r="C3553">
        <v>4</v>
      </c>
      <c r="D3553">
        <v>42</v>
      </c>
      <c r="E3553" s="2" t="str">
        <f t="shared" si="55"/>
        <v/>
      </c>
    </row>
    <row r="3554" spans="1:5" x14ac:dyDescent="0.25">
      <c r="A3554" s="138">
        <v>1261011</v>
      </c>
      <c r="B3554">
        <v>199</v>
      </c>
      <c r="C3554">
        <v>4</v>
      </c>
      <c r="D3554">
        <v>42</v>
      </c>
      <c r="E3554" s="2" t="str">
        <f t="shared" si="55"/>
        <v/>
      </c>
    </row>
    <row r="3555" spans="1:5" x14ac:dyDescent="0.25">
      <c r="A3555" s="138">
        <v>1261012</v>
      </c>
      <c r="B3555">
        <v>199</v>
      </c>
      <c r="C3555">
        <v>4</v>
      </c>
      <c r="D3555">
        <v>42</v>
      </c>
      <c r="E3555" s="2" t="str">
        <f t="shared" si="55"/>
        <v/>
      </c>
    </row>
    <row r="3556" spans="1:5" x14ac:dyDescent="0.25">
      <c r="A3556" s="138">
        <v>1261099</v>
      </c>
      <c r="B3556">
        <v>199</v>
      </c>
      <c r="C3556">
        <v>4</v>
      </c>
      <c r="D3556">
        <v>42</v>
      </c>
      <c r="E3556" s="2" t="str">
        <f t="shared" si="55"/>
        <v/>
      </c>
    </row>
    <row r="3557" spans="1:5" x14ac:dyDescent="0.25">
      <c r="A3557" s="138">
        <v>1271000</v>
      </c>
      <c r="B3557">
        <v>217</v>
      </c>
      <c r="C3557">
        <v>4</v>
      </c>
      <c r="D3557">
        <v>42</v>
      </c>
      <c r="E3557" s="2" t="str">
        <f t="shared" si="55"/>
        <v/>
      </c>
    </row>
    <row r="3558" spans="1:5" x14ac:dyDescent="0.25">
      <c r="A3558" s="138">
        <v>1271001</v>
      </c>
      <c r="B3558">
        <v>217</v>
      </c>
      <c r="C3558">
        <v>4</v>
      </c>
      <c r="D3558">
        <v>42</v>
      </c>
      <c r="E3558" s="2" t="str">
        <f t="shared" si="55"/>
        <v/>
      </c>
    </row>
    <row r="3559" spans="1:5" x14ac:dyDescent="0.25">
      <c r="A3559" s="138">
        <v>1271002</v>
      </c>
      <c r="B3559">
        <v>217</v>
      </c>
      <c r="C3559">
        <v>4</v>
      </c>
      <c r="D3559">
        <v>42</v>
      </c>
      <c r="E3559" s="2" t="str">
        <f t="shared" si="55"/>
        <v/>
      </c>
    </row>
    <row r="3560" spans="1:5" x14ac:dyDescent="0.25">
      <c r="A3560" s="138">
        <v>1271003</v>
      </c>
      <c r="B3560">
        <v>217</v>
      </c>
      <c r="C3560">
        <v>4</v>
      </c>
      <c r="D3560">
        <v>42</v>
      </c>
      <c r="E3560" s="2" t="str">
        <f t="shared" si="55"/>
        <v/>
      </c>
    </row>
    <row r="3561" spans="1:5" x14ac:dyDescent="0.25">
      <c r="A3561" s="138">
        <v>1271004</v>
      </c>
      <c r="B3561">
        <v>217</v>
      </c>
      <c r="C3561">
        <v>4</v>
      </c>
      <c r="D3561">
        <v>42</v>
      </c>
      <c r="E3561" s="2" t="str">
        <f t="shared" si="55"/>
        <v/>
      </c>
    </row>
    <row r="3562" spans="1:5" x14ac:dyDescent="0.25">
      <c r="A3562" s="138">
        <v>1271005</v>
      </c>
      <c r="B3562">
        <v>217</v>
      </c>
      <c r="C3562">
        <v>4</v>
      </c>
      <c r="D3562">
        <v>42</v>
      </c>
      <c r="E3562" s="2" t="str">
        <f t="shared" si="55"/>
        <v/>
      </c>
    </row>
    <row r="3563" spans="1:5" x14ac:dyDescent="0.25">
      <c r="A3563" s="138">
        <v>1271006</v>
      </c>
      <c r="B3563">
        <v>217</v>
      </c>
      <c r="C3563">
        <v>4</v>
      </c>
      <c r="D3563">
        <v>42</v>
      </c>
      <c r="E3563" s="2" t="str">
        <f t="shared" si="55"/>
        <v/>
      </c>
    </row>
    <row r="3564" spans="1:5" x14ac:dyDescent="0.25">
      <c r="A3564" s="138">
        <v>1271007</v>
      </c>
      <c r="B3564">
        <v>217</v>
      </c>
      <c r="C3564">
        <v>4</v>
      </c>
      <c r="D3564">
        <v>42</v>
      </c>
      <c r="E3564" s="2" t="str">
        <f t="shared" si="55"/>
        <v/>
      </c>
    </row>
    <row r="3565" spans="1:5" x14ac:dyDescent="0.25">
      <c r="A3565" s="138">
        <v>1271008</v>
      </c>
      <c r="B3565">
        <v>217</v>
      </c>
      <c r="C3565">
        <v>4</v>
      </c>
      <c r="D3565">
        <v>42</v>
      </c>
      <c r="E3565" s="2" t="str">
        <f t="shared" si="55"/>
        <v/>
      </c>
    </row>
    <row r="3566" spans="1:5" x14ac:dyDescent="0.25">
      <c r="A3566" s="138">
        <v>1271009</v>
      </c>
      <c r="B3566">
        <v>217</v>
      </c>
      <c r="C3566">
        <v>4</v>
      </c>
      <c r="D3566">
        <v>42</v>
      </c>
      <c r="E3566" s="2" t="str">
        <f t="shared" si="55"/>
        <v/>
      </c>
    </row>
    <row r="3567" spans="1:5" x14ac:dyDescent="0.25">
      <c r="A3567" s="138">
        <v>1271010</v>
      </c>
      <c r="B3567">
        <v>217</v>
      </c>
      <c r="C3567">
        <v>4</v>
      </c>
      <c r="D3567">
        <v>42</v>
      </c>
      <c r="E3567" s="2" t="str">
        <f t="shared" si="55"/>
        <v/>
      </c>
    </row>
    <row r="3568" spans="1:5" x14ac:dyDescent="0.25">
      <c r="A3568" s="138">
        <v>1271011</v>
      </c>
      <c r="B3568">
        <v>217</v>
      </c>
      <c r="C3568">
        <v>4</v>
      </c>
      <c r="D3568">
        <v>42</v>
      </c>
      <c r="E3568" s="2" t="str">
        <f t="shared" si="55"/>
        <v/>
      </c>
    </row>
    <row r="3569" spans="1:5" x14ac:dyDescent="0.25">
      <c r="A3569" s="138">
        <v>1271012</v>
      </c>
      <c r="B3569">
        <v>217</v>
      </c>
      <c r="C3569">
        <v>4</v>
      </c>
      <c r="D3569">
        <v>42</v>
      </c>
      <c r="E3569" s="2" t="str">
        <f t="shared" si="55"/>
        <v/>
      </c>
    </row>
    <row r="3570" spans="1:5" x14ac:dyDescent="0.25">
      <c r="A3570" s="138">
        <v>1271013</v>
      </c>
      <c r="B3570">
        <v>217</v>
      </c>
      <c r="C3570">
        <v>4</v>
      </c>
      <c r="D3570">
        <v>42</v>
      </c>
      <c r="E3570" s="2" t="str">
        <f t="shared" si="55"/>
        <v/>
      </c>
    </row>
    <row r="3571" spans="1:5" x14ac:dyDescent="0.25">
      <c r="A3571" s="138">
        <v>1271014</v>
      </c>
      <c r="B3571">
        <v>217</v>
      </c>
      <c r="C3571">
        <v>4</v>
      </c>
      <c r="D3571">
        <v>42</v>
      </c>
      <c r="E3571" s="2" t="str">
        <f t="shared" si="55"/>
        <v/>
      </c>
    </row>
    <row r="3572" spans="1:5" x14ac:dyDescent="0.25">
      <c r="A3572" s="138">
        <v>1271015</v>
      </c>
      <c r="B3572">
        <v>217</v>
      </c>
      <c r="C3572">
        <v>4</v>
      </c>
      <c r="D3572">
        <v>42</v>
      </c>
      <c r="E3572" s="2" t="str">
        <f t="shared" si="55"/>
        <v/>
      </c>
    </row>
    <row r="3573" spans="1:5" x14ac:dyDescent="0.25">
      <c r="A3573" s="138">
        <v>1271016</v>
      </c>
      <c r="B3573">
        <v>217</v>
      </c>
      <c r="C3573">
        <v>4</v>
      </c>
      <c r="D3573">
        <v>42</v>
      </c>
      <c r="E3573" s="2" t="str">
        <f t="shared" si="55"/>
        <v/>
      </c>
    </row>
    <row r="3574" spans="1:5" x14ac:dyDescent="0.25">
      <c r="A3574" s="138">
        <v>1271017</v>
      </c>
      <c r="B3574">
        <v>217</v>
      </c>
      <c r="C3574">
        <v>4</v>
      </c>
      <c r="D3574">
        <v>42</v>
      </c>
      <c r="E3574" s="2" t="str">
        <f t="shared" si="55"/>
        <v/>
      </c>
    </row>
    <row r="3575" spans="1:5" x14ac:dyDescent="0.25">
      <c r="A3575" s="138">
        <v>1271018</v>
      </c>
      <c r="B3575">
        <v>217</v>
      </c>
      <c r="C3575">
        <v>4</v>
      </c>
      <c r="D3575">
        <v>42</v>
      </c>
      <c r="E3575" s="2" t="str">
        <f t="shared" si="55"/>
        <v/>
      </c>
    </row>
    <row r="3576" spans="1:5" x14ac:dyDescent="0.25">
      <c r="A3576" s="138">
        <v>1271019</v>
      </c>
      <c r="B3576">
        <v>217</v>
      </c>
      <c r="C3576">
        <v>4</v>
      </c>
      <c r="D3576">
        <v>42</v>
      </c>
      <c r="E3576" s="2" t="str">
        <f t="shared" si="55"/>
        <v/>
      </c>
    </row>
    <row r="3577" spans="1:5" x14ac:dyDescent="0.25">
      <c r="A3577" s="138">
        <v>1271020</v>
      </c>
      <c r="B3577">
        <v>217</v>
      </c>
      <c r="C3577">
        <v>4</v>
      </c>
      <c r="D3577">
        <v>42</v>
      </c>
      <c r="E3577" s="2" t="str">
        <f t="shared" si="55"/>
        <v/>
      </c>
    </row>
    <row r="3578" spans="1:5" x14ac:dyDescent="0.25">
      <c r="A3578" s="138">
        <v>1271021</v>
      </c>
      <c r="B3578">
        <v>217</v>
      </c>
      <c r="C3578">
        <v>4</v>
      </c>
      <c r="D3578">
        <v>42</v>
      </c>
      <c r="E3578" s="2" t="str">
        <f t="shared" si="55"/>
        <v/>
      </c>
    </row>
    <row r="3579" spans="1:5" x14ac:dyDescent="0.25">
      <c r="A3579" s="138">
        <v>1271022</v>
      </c>
      <c r="B3579">
        <v>217</v>
      </c>
      <c r="C3579">
        <v>4</v>
      </c>
      <c r="D3579">
        <v>42</v>
      </c>
      <c r="E3579" s="2" t="str">
        <f t="shared" si="55"/>
        <v/>
      </c>
    </row>
    <row r="3580" spans="1:5" x14ac:dyDescent="0.25">
      <c r="A3580" s="138">
        <v>1271023</v>
      </c>
      <c r="B3580">
        <v>217</v>
      </c>
      <c r="C3580">
        <v>4</v>
      </c>
      <c r="D3580">
        <v>42</v>
      </c>
      <c r="E3580" s="2" t="str">
        <f t="shared" si="55"/>
        <v/>
      </c>
    </row>
    <row r="3581" spans="1:5" x14ac:dyDescent="0.25">
      <c r="A3581" s="138">
        <v>1271024</v>
      </c>
      <c r="B3581">
        <v>217</v>
      </c>
      <c r="C3581">
        <v>4</v>
      </c>
      <c r="D3581">
        <v>42</v>
      </c>
      <c r="E3581" s="2" t="str">
        <f t="shared" si="55"/>
        <v/>
      </c>
    </row>
    <row r="3582" spans="1:5" x14ac:dyDescent="0.25">
      <c r="A3582" s="138">
        <v>1271025</v>
      </c>
      <c r="B3582">
        <v>217</v>
      </c>
      <c r="C3582">
        <v>4</v>
      </c>
      <c r="D3582">
        <v>42</v>
      </c>
      <c r="E3582" s="2" t="str">
        <f t="shared" si="55"/>
        <v/>
      </c>
    </row>
    <row r="3583" spans="1:5" x14ac:dyDescent="0.25">
      <c r="A3583" s="138">
        <v>1271026</v>
      </c>
      <c r="B3583">
        <v>217</v>
      </c>
      <c r="C3583">
        <v>4</v>
      </c>
      <c r="D3583">
        <v>42</v>
      </c>
      <c r="E3583" s="2" t="str">
        <f t="shared" si="55"/>
        <v/>
      </c>
    </row>
    <row r="3584" spans="1:5" x14ac:dyDescent="0.25">
      <c r="A3584" s="138">
        <v>1271027</v>
      </c>
      <c r="B3584">
        <v>217</v>
      </c>
      <c r="C3584">
        <v>4</v>
      </c>
      <c r="D3584">
        <v>42</v>
      </c>
      <c r="E3584" s="2" t="str">
        <f t="shared" si="55"/>
        <v/>
      </c>
    </row>
    <row r="3585" spans="1:5" x14ac:dyDescent="0.25">
      <c r="A3585" s="138">
        <v>1271028</v>
      </c>
      <c r="B3585">
        <v>217</v>
      </c>
      <c r="C3585">
        <v>4</v>
      </c>
      <c r="D3585">
        <v>42</v>
      </c>
      <c r="E3585" s="2" t="str">
        <f t="shared" si="55"/>
        <v/>
      </c>
    </row>
    <row r="3586" spans="1:5" x14ac:dyDescent="0.25">
      <c r="A3586" s="138">
        <v>1271029</v>
      </c>
      <c r="B3586">
        <v>217</v>
      </c>
      <c r="C3586">
        <v>4</v>
      </c>
      <c r="D3586">
        <v>42</v>
      </c>
      <c r="E3586" s="2" t="str">
        <f t="shared" si="55"/>
        <v/>
      </c>
    </row>
    <row r="3587" spans="1:5" x14ac:dyDescent="0.25">
      <c r="A3587" s="138">
        <v>1271030</v>
      </c>
      <c r="B3587">
        <v>217</v>
      </c>
      <c r="C3587">
        <v>4</v>
      </c>
      <c r="D3587">
        <v>42</v>
      </c>
      <c r="E3587" s="2" t="str">
        <f t="shared" ref="E3587:E3602" si="56">IF(B3587=B3586,IF(C3586=C3587,"",1),"")</f>
        <v/>
      </c>
    </row>
    <row r="3588" spans="1:5" x14ac:dyDescent="0.25">
      <c r="A3588" s="138">
        <v>1271031</v>
      </c>
      <c r="B3588">
        <v>217</v>
      </c>
      <c r="C3588">
        <v>4</v>
      </c>
      <c r="D3588">
        <v>42</v>
      </c>
      <c r="E3588" s="2" t="str">
        <f t="shared" si="56"/>
        <v/>
      </c>
    </row>
    <row r="3589" spans="1:5" x14ac:dyDescent="0.25">
      <c r="A3589" s="138">
        <v>1271032</v>
      </c>
      <c r="B3589">
        <v>217</v>
      </c>
      <c r="C3589">
        <v>4</v>
      </c>
      <c r="D3589">
        <v>42</v>
      </c>
      <c r="E3589" s="2" t="str">
        <f t="shared" si="56"/>
        <v/>
      </c>
    </row>
    <row r="3590" spans="1:5" x14ac:dyDescent="0.25">
      <c r="A3590" s="138">
        <v>1271033</v>
      </c>
      <c r="B3590">
        <v>217</v>
      </c>
      <c r="C3590">
        <v>4</v>
      </c>
      <c r="D3590">
        <v>42</v>
      </c>
      <c r="E3590" s="2" t="str">
        <f t="shared" si="56"/>
        <v/>
      </c>
    </row>
    <row r="3591" spans="1:5" x14ac:dyDescent="0.25">
      <c r="A3591" s="138">
        <v>1271034</v>
      </c>
      <c r="B3591">
        <v>217</v>
      </c>
      <c r="C3591">
        <v>4</v>
      </c>
      <c r="D3591">
        <v>42</v>
      </c>
      <c r="E3591" s="2" t="str">
        <f t="shared" si="56"/>
        <v/>
      </c>
    </row>
    <row r="3592" spans="1:5" x14ac:dyDescent="0.25">
      <c r="A3592" s="138">
        <v>1271035</v>
      </c>
      <c r="B3592">
        <v>217</v>
      </c>
      <c r="C3592">
        <v>4</v>
      </c>
      <c r="D3592">
        <v>42</v>
      </c>
      <c r="E3592" s="2" t="str">
        <f t="shared" si="56"/>
        <v/>
      </c>
    </row>
    <row r="3593" spans="1:5" x14ac:dyDescent="0.25">
      <c r="A3593" s="138">
        <v>1271098</v>
      </c>
      <c r="B3593">
        <v>217</v>
      </c>
      <c r="C3593">
        <v>4</v>
      </c>
      <c r="D3593">
        <v>42</v>
      </c>
      <c r="E3593" s="2" t="str">
        <f t="shared" si="56"/>
        <v/>
      </c>
    </row>
    <row r="3594" spans="1:5" x14ac:dyDescent="0.25">
      <c r="A3594" s="138">
        <v>1271099</v>
      </c>
      <c r="B3594">
        <v>217</v>
      </c>
      <c r="C3594">
        <v>4</v>
      </c>
      <c r="D3594">
        <v>42</v>
      </c>
      <c r="E3594" s="2" t="str">
        <f t="shared" si="56"/>
        <v/>
      </c>
    </row>
    <row r="3595" spans="1:5" x14ac:dyDescent="0.25">
      <c r="A3595" s="137">
        <v>1703097</v>
      </c>
      <c r="B3595">
        <v>51</v>
      </c>
      <c r="C3595">
        <v>21</v>
      </c>
      <c r="D3595">
        <v>48</v>
      </c>
      <c r="E3595" s="2" t="str">
        <f t="shared" si="56"/>
        <v/>
      </c>
    </row>
    <row r="3596" spans="1:5" x14ac:dyDescent="0.25">
      <c r="A3596" s="137">
        <v>1704097</v>
      </c>
      <c r="B3596">
        <v>51</v>
      </c>
      <c r="C3596">
        <v>21</v>
      </c>
      <c r="D3596">
        <v>48</v>
      </c>
      <c r="E3596" s="2" t="str">
        <f t="shared" si="56"/>
        <v/>
      </c>
    </row>
    <row r="3597" spans="1:5" x14ac:dyDescent="0.25">
      <c r="A3597" s="137">
        <v>1705097</v>
      </c>
      <c r="B3597">
        <v>51</v>
      </c>
      <c r="C3597">
        <v>21</v>
      </c>
      <c r="D3597">
        <v>48</v>
      </c>
      <c r="E3597" s="2" t="str">
        <f t="shared" si="56"/>
        <v/>
      </c>
    </row>
    <row r="3598" spans="1:5" x14ac:dyDescent="0.25">
      <c r="A3598" s="137">
        <v>1706097</v>
      </c>
      <c r="B3598">
        <v>52</v>
      </c>
      <c r="C3598">
        <v>21</v>
      </c>
      <c r="D3598">
        <v>48</v>
      </c>
      <c r="E3598" s="2" t="str">
        <f t="shared" si="56"/>
        <v/>
      </c>
    </row>
    <row r="3599" spans="1:5" x14ac:dyDescent="0.25">
      <c r="A3599" s="137">
        <v>1801001</v>
      </c>
      <c r="B3599">
        <v>180</v>
      </c>
      <c r="C3599">
        <v>22</v>
      </c>
      <c r="D3599">
        <v>49</v>
      </c>
      <c r="E3599" s="2" t="str">
        <f t="shared" si="56"/>
        <v/>
      </c>
    </row>
    <row r="3600" spans="1:5" x14ac:dyDescent="0.25">
      <c r="A3600" s="137">
        <v>1801002</v>
      </c>
      <c r="B3600">
        <v>180</v>
      </c>
      <c r="C3600">
        <v>22</v>
      </c>
      <c r="D3600">
        <v>49</v>
      </c>
      <c r="E3600" s="2" t="str">
        <f t="shared" si="56"/>
        <v/>
      </c>
    </row>
    <row r="3601" spans="1:5" x14ac:dyDescent="0.25">
      <c r="A3601" s="137">
        <v>1801003</v>
      </c>
      <c r="B3601">
        <v>180</v>
      </c>
      <c r="C3601">
        <v>22</v>
      </c>
      <c r="D3601">
        <v>49</v>
      </c>
      <c r="E3601" s="2" t="str">
        <f t="shared" si="56"/>
        <v/>
      </c>
    </row>
    <row r="3602" spans="1:5" x14ac:dyDescent="0.25">
      <c r="A3602" s="137">
        <v>1801004</v>
      </c>
      <c r="B3602">
        <v>180</v>
      </c>
      <c r="C3602">
        <v>22</v>
      </c>
      <c r="D3602">
        <v>49</v>
      </c>
      <c r="E3602" s="2" t="str">
        <f t="shared" si="56"/>
        <v/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/>
  <dimension ref="A1:B23"/>
  <sheetViews>
    <sheetView workbookViewId="0">
      <selection activeCell="A2" sqref="A2"/>
    </sheetView>
  </sheetViews>
  <sheetFormatPr defaultColWidth="11.42578125" defaultRowHeight="15" x14ac:dyDescent="0.25"/>
  <sheetData>
    <row r="1" spans="1:2" x14ac:dyDescent="0.25">
      <c r="A1" s="2" t="s">
        <v>2423</v>
      </c>
      <c r="B1" t="s">
        <v>2474</v>
      </c>
    </row>
    <row r="2" spans="1:2" x14ac:dyDescent="0.25">
      <c r="A2">
        <v>1</v>
      </c>
      <c r="B2" t="s">
        <v>2470</v>
      </c>
    </row>
    <row r="3" spans="1:2" x14ac:dyDescent="0.25">
      <c r="A3" s="2">
        <v>2</v>
      </c>
      <c r="B3" t="s">
        <v>2471</v>
      </c>
    </row>
    <row r="4" spans="1:2" x14ac:dyDescent="0.25">
      <c r="A4" s="2">
        <v>3</v>
      </c>
      <c r="B4" t="s">
        <v>1242</v>
      </c>
    </row>
    <row r="5" spans="1:2" x14ac:dyDescent="0.25">
      <c r="A5" s="2">
        <v>4</v>
      </c>
      <c r="B5" t="s">
        <v>586</v>
      </c>
    </row>
    <row r="6" spans="1:2" x14ac:dyDescent="0.25">
      <c r="A6" s="2">
        <v>5</v>
      </c>
      <c r="B6" t="s">
        <v>1243</v>
      </c>
    </row>
    <row r="7" spans="1:2" x14ac:dyDescent="0.25">
      <c r="A7" s="2">
        <v>6</v>
      </c>
      <c r="B7" t="s">
        <v>2482</v>
      </c>
    </row>
    <row r="8" spans="1:2" x14ac:dyDescent="0.25">
      <c r="A8" s="2">
        <v>7</v>
      </c>
      <c r="B8" t="s">
        <v>2480</v>
      </c>
    </row>
    <row r="9" spans="1:2" x14ac:dyDescent="0.25">
      <c r="A9" s="2">
        <v>8</v>
      </c>
      <c r="B9" t="s">
        <v>584</v>
      </c>
    </row>
    <row r="10" spans="1:2" x14ac:dyDescent="0.25">
      <c r="A10" s="2">
        <v>9</v>
      </c>
      <c r="B10" t="s">
        <v>2452</v>
      </c>
    </row>
    <row r="11" spans="1:2" x14ac:dyDescent="0.25">
      <c r="A11" s="2">
        <v>10</v>
      </c>
      <c r="B11" t="s">
        <v>2453</v>
      </c>
    </row>
    <row r="12" spans="1:2" x14ac:dyDescent="0.25">
      <c r="A12" s="2">
        <v>11</v>
      </c>
      <c r="B12" t="s">
        <v>858</v>
      </c>
    </row>
    <row r="13" spans="1:2" x14ac:dyDescent="0.25">
      <c r="A13" s="2">
        <v>12</v>
      </c>
      <c r="B13" t="s">
        <v>2515</v>
      </c>
    </row>
    <row r="14" spans="1:2" x14ac:dyDescent="0.25">
      <c r="A14" s="2">
        <v>13</v>
      </c>
      <c r="B14" t="s">
        <v>2513</v>
      </c>
    </row>
    <row r="15" spans="1:2" x14ac:dyDescent="0.25">
      <c r="A15" s="2">
        <v>14</v>
      </c>
      <c r="B15" t="s">
        <v>2514</v>
      </c>
    </row>
    <row r="16" spans="1:2" x14ac:dyDescent="0.25">
      <c r="A16" s="2">
        <v>15</v>
      </c>
      <c r="B16" t="s">
        <v>585</v>
      </c>
    </row>
    <row r="17" spans="1:2" x14ac:dyDescent="0.25">
      <c r="A17" s="2">
        <v>16</v>
      </c>
      <c r="B17" t="s">
        <v>2481</v>
      </c>
    </row>
    <row r="18" spans="1:2" x14ac:dyDescent="0.25">
      <c r="A18" s="2">
        <v>17</v>
      </c>
      <c r="B18" t="s">
        <v>2467</v>
      </c>
    </row>
    <row r="19" spans="1:2" x14ac:dyDescent="0.25">
      <c r="A19" s="2">
        <v>18</v>
      </c>
      <c r="B19" t="s">
        <v>2385</v>
      </c>
    </row>
    <row r="20" spans="1:2" x14ac:dyDescent="0.25">
      <c r="A20" s="2">
        <v>19</v>
      </c>
      <c r="B20" t="s">
        <v>2359</v>
      </c>
    </row>
    <row r="21" spans="1:2" x14ac:dyDescent="0.25">
      <c r="A21" s="2">
        <v>20</v>
      </c>
      <c r="B21" t="s">
        <v>2374</v>
      </c>
    </row>
    <row r="22" spans="1:2" x14ac:dyDescent="0.25">
      <c r="A22" s="2">
        <v>21</v>
      </c>
      <c r="B22" t="s">
        <v>2465</v>
      </c>
    </row>
    <row r="23" spans="1:2" x14ac:dyDescent="0.25">
      <c r="A23" s="2">
        <v>22</v>
      </c>
      <c r="B23" t="s">
        <v>2440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50"/>
  <sheetViews>
    <sheetView topLeftCell="A39" workbookViewId="0">
      <selection activeCell="A2" sqref="A2"/>
    </sheetView>
  </sheetViews>
  <sheetFormatPr defaultColWidth="9.140625" defaultRowHeight="15" x14ac:dyDescent="0.25"/>
  <cols>
    <col min="1" max="1" width="15.28515625" bestFit="1" customWidth="1"/>
    <col min="2" max="2" width="30.42578125" bestFit="1" customWidth="1"/>
  </cols>
  <sheetData>
    <row r="1" spans="1:2" x14ac:dyDescent="0.25">
      <c r="A1" s="2" t="s">
        <v>2424</v>
      </c>
      <c r="B1" s="2" t="s">
        <v>2475</v>
      </c>
    </row>
    <row r="2" spans="1:2" x14ac:dyDescent="0.25">
      <c r="A2">
        <v>1</v>
      </c>
      <c r="B2" t="s">
        <v>1234</v>
      </c>
    </row>
    <row r="3" spans="1:2" x14ac:dyDescent="0.25">
      <c r="A3" s="2">
        <v>2</v>
      </c>
      <c r="B3" t="s">
        <v>1228</v>
      </c>
    </row>
    <row r="4" spans="1:2" x14ac:dyDescent="0.25">
      <c r="A4" s="2">
        <v>3</v>
      </c>
      <c r="B4" t="s">
        <v>1229</v>
      </c>
    </row>
    <row r="5" spans="1:2" x14ac:dyDescent="0.25">
      <c r="A5" s="2">
        <v>4</v>
      </c>
      <c r="B5" t="s">
        <v>1230</v>
      </c>
    </row>
    <row r="6" spans="1:2" x14ac:dyDescent="0.25">
      <c r="A6" s="2">
        <v>5</v>
      </c>
      <c r="B6" t="s">
        <v>1599</v>
      </c>
    </row>
    <row r="7" spans="1:2" x14ac:dyDescent="0.25">
      <c r="A7" s="2">
        <v>6</v>
      </c>
      <c r="B7" t="s">
        <v>1231</v>
      </c>
    </row>
    <row r="8" spans="1:2" x14ac:dyDescent="0.25">
      <c r="A8" s="2">
        <v>7</v>
      </c>
      <c r="B8" t="s">
        <v>1232</v>
      </c>
    </row>
    <row r="9" spans="1:2" x14ac:dyDescent="0.25">
      <c r="A9" s="2">
        <v>8</v>
      </c>
      <c r="B9" t="s">
        <v>1233</v>
      </c>
    </row>
    <row r="10" spans="1:2" x14ac:dyDescent="0.25">
      <c r="A10" s="2">
        <v>9</v>
      </c>
      <c r="B10" t="s">
        <v>1235</v>
      </c>
    </row>
    <row r="11" spans="1:2" x14ac:dyDescent="0.25">
      <c r="A11" s="2">
        <v>10</v>
      </c>
      <c r="B11" t="s">
        <v>1236</v>
      </c>
    </row>
    <row r="12" spans="1:2" x14ac:dyDescent="0.25">
      <c r="A12" s="2">
        <v>11</v>
      </c>
      <c r="B12" t="s">
        <v>1237</v>
      </c>
    </row>
    <row r="13" spans="1:2" x14ac:dyDescent="0.25">
      <c r="A13" s="2">
        <v>12</v>
      </c>
      <c r="B13" t="s">
        <v>1238</v>
      </c>
    </row>
    <row r="14" spans="1:2" x14ac:dyDescent="0.25">
      <c r="A14" s="2">
        <v>13</v>
      </c>
      <c r="B14" t="s">
        <v>1239</v>
      </c>
    </row>
    <row r="15" spans="1:2" x14ac:dyDescent="0.25">
      <c r="A15" s="2">
        <v>14</v>
      </c>
      <c r="B15" t="s">
        <v>1240</v>
      </c>
    </row>
    <row r="16" spans="1:2" x14ac:dyDescent="0.25">
      <c r="A16" s="2">
        <v>15</v>
      </c>
      <c r="B16" t="s">
        <v>1245</v>
      </c>
    </row>
    <row r="17" spans="1:2" x14ac:dyDescent="0.25">
      <c r="A17" s="2">
        <v>16</v>
      </c>
      <c r="B17" t="s">
        <v>2357</v>
      </c>
    </row>
    <row r="18" spans="1:2" x14ac:dyDescent="0.25">
      <c r="A18" s="2">
        <v>17</v>
      </c>
      <c r="B18" t="s">
        <v>2130</v>
      </c>
    </row>
    <row r="19" spans="1:2" x14ac:dyDescent="0.25">
      <c r="A19" s="2">
        <v>18</v>
      </c>
      <c r="B19" t="s">
        <v>2129</v>
      </c>
    </row>
    <row r="20" spans="1:2" x14ac:dyDescent="0.25">
      <c r="A20" s="2">
        <v>19</v>
      </c>
      <c r="B20" t="s">
        <v>1243</v>
      </c>
    </row>
    <row r="21" spans="1:2" x14ac:dyDescent="0.25">
      <c r="A21" s="2">
        <v>20</v>
      </c>
      <c r="B21" t="s">
        <v>2479</v>
      </c>
    </row>
    <row r="22" spans="1:2" x14ac:dyDescent="0.25">
      <c r="A22" s="2">
        <v>21</v>
      </c>
      <c r="B22" t="s">
        <v>2350</v>
      </c>
    </row>
    <row r="23" spans="1:2" x14ac:dyDescent="0.25">
      <c r="A23" s="2">
        <v>22</v>
      </c>
      <c r="B23" t="s">
        <v>2358</v>
      </c>
    </row>
    <row r="24" spans="1:2" x14ac:dyDescent="0.25">
      <c r="A24" s="2">
        <v>23</v>
      </c>
      <c r="B24" t="s">
        <v>584</v>
      </c>
    </row>
    <row r="25" spans="1:2" x14ac:dyDescent="0.25">
      <c r="A25" s="2">
        <v>24</v>
      </c>
      <c r="B25" t="s">
        <v>2452</v>
      </c>
    </row>
    <row r="26" spans="1:2" x14ac:dyDescent="0.25">
      <c r="A26" s="2">
        <v>25</v>
      </c>
      <c r="B26" t="s">
        <v>2476</v>
      </c>
    </row>
    <row r="27" spans="1:2" x14ac:dyDescent="0.25">
      <c r="A27" s="2">
        <v>26</v>
      </c>
      <c r="B27" t="s">
        <v>858</v>
      </c>
    </row>
    <row r="28" spans="1:2" x14ac:dyDescent="0.25">
      <c r="A28" s="2">
        <v>27</v>
      </c>
      <c r="B28" t="s">
        <v>2460</v>
      </c>
    </row>
    <row r="29" spans="1:2" x14ac:dyDescent="0.25">
      <c r="A29" s="2">
        <v>28</v>
      </c>
      <c r="B29" t="s">
        <v>2462</v>
      </c>
    </row>
    <row r="30" spans="1:2" x14ac:dyDescent="0.25">
      <c r="A30" s="2">
        <v>29</v>
      </c>
      <c r="B30" t="s">
        <v>2461</v>
      </c>
    </row>
    <row r="31" spans="1:2" x14ac:dyDescent="0.25">
      <c r="A31" s="2">
        <v>30</v>
      </c>
      <c r="B31" t="s">
        <v>2466</v>
      </c>
    </row>
    <row r="32" spans="1:2" x14ac:dyDescent="0.25">
      <c r="A32" s="2">
        <v>31</v>
      </c>
      <c r="B32" t="s">
        <v>2516</v>
      </c>
    </row>
    <row r="33" spans="1:2" x14ac:dyDescent="0.25">
      <c r="A33" s="2">
        <v>32</v>
      </c>
      <c r="B33" t="s">
        <v>2484</v>
      </c>
    </row>
    <row r="34" spans="1:2" x14ac:dyDescent="0.25">
      <c r="A34" s="2">
        <v>33</v>
      </c>
      <c r="B34" t="s">
        <v>2351</v>
      </c>
    </row>
    <row r="35" spans="1:2" x14ac:dyDescent="0.25">
      <c r="A35" s="2">
        <v>34</v>
      </c>
      <c r="B35" t="s">
        <v>2352</v>
      </c>
    </row>
    <row r="36" spans="1:2" x14ac:dyDescent="0.25">
      <c r="A36" s="2">
        <v>35</v>
      </c>
      <c r="B36" t="s">
        <v>2483</v>
      </c>
    </row>
    <row r="37" spans="1:2" x14ac:dyDescent="0.25">
      <c r="A37" s="2">
        <v>36</v>
      </c>
      <c r="B37" t="s">
        <v>2366</v>
      </c>
    </row>
    <row r="38" spans="1:2" x14ac:dyDescent="0.25">
      <c r="A38" s="2">
        <v>37</v>
      </c>
      <c r="B38" t="s">
        <v>2367</v>
      </c>
    </row>
    <row r="39" spans="1:2" x14ac:dyDescent="0.25">
      <c r="A39" s="2">
        <v>38</v>
      </c>
      <c r="B39" t="s">
        <v>2467</v>
      </c>
    </row>
    <row r="40" spans="1:2" x14ac:dyDescent="0.25">
      <c r="A40" s="2">
        <v>39</v>
      </c>
      <c r="B40" t="s">
        <v>2468</v>
      </c>
    </row>
    <row r="41" spans="1:2" x14ac:dyDescent="0.25">
      <c r="A41" s="2">
        <v>40</v>
      </c>
      <c r="B41" t="s">
        <v>2385</v>
      </c>
    </row>
    <row r="42" spans="1:2" x14ac:dyDescent="0.25">
      <c r="A42" s="2">
        <v>41</v>
      </c>
      <c r="B42" t="s">
        <v>2386</v>
      </c>
    </row>
    <row r="43" spans="1:2" x14ac:dyDescent="0.25">
      <c r="A43" s="2">
        <v>42</v>
      </c>
      <c r="B43" t="s">
        <v>2388</v>
      </c>
    </row>
    <row r="44" spans="1:2" x14ac:dyDescent="0.25">
      <c r="A44" s="2">
        <v>43</v>
      </c>
      <c r="B44" t="s">
        <v>2477</v>
      </c>
    </row>
    <row r="45" spans="1:2" x14ac:dyDescent="0.25">
      <c r="A45" s="2">
        <v>44</v>
      </c>
      <c r="B45" t="s">
        <v>2387</v>
      </c>
    </row>
    <row r="46" spans="1:2" x14ac:dyDescent="0.25">
      <c r="A46" s="2">
        <v>45</v>
      </c>
      <c r="B46" t="s">
        <v>2359</v>
      </c>
    </row>
    <row r="47" spans="1:2" x14ac:dyDescent="0.25">
      <c r="A47" s="2">
        <v>46</v>
      </c>
      <c r="B47" t="s">
        <v>2374</v>
      </c>
    </row>
    <row r="48" spans="1:2" x14ac:dyDescent="0.25">
      <c r="A48" s="2">
        <v>47</v>
      </c>
      <c r="B48" t="s">
        <v>2469</v>
      </c>
    </row>
    <row r="49" spans="1:2" x14ac:dyDescent="0.25">
      <c r="A49" s="2">
        <v>48</v>
      </c>
      <c r="B49" t="s">
        <v>2439</v>
      </c>
    </row>
    <row r="50" spans="1:2" x14ac:dyDescent="0.25">
      <c r="A50" s="2">
        <v>49</v>
      </c>
      <c r="B50" t="s">
        <v>2440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/>
  </sheetViews>
  <sheetFormatPr defaultColWidth="11.42578125" defaultRowHeight="15" x14ac:dyDescent="0.25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"/>
  <dimension ref="A1:X705"/>
  <sheetViews>
    <sheetView topLeftCell="A585" zoomScale="85" zoomScaleNormal="85" workbookViewId="0">
      <selection activeCell="H606" sqref="H606"/>
    </sheetView>
  </sheetViews>
  <sheetFormatPr defaultColWidth="11.42578125" defaultRowHeight="15" x14ac:dyDescent="0.25"/>
  <cols>
    <col min="1" max="1" width="5.28515625" style="2" customWidth="1"/>
    <col min="2" max="4" width="3.28515625" style="2" customWidth="1"/>
    <col min="5" max="6" width="4.140625" style="2" customWidth="1"/>
    <col min="7" max="7" width="13.7109375" style="2" customWidth="1"/>
    <col min="8" max="9" width="9.7109375" style="2" customWidth="1"/>
    <col min="10" max="10" width="55.7109375" style="2" customWidth="1"/>
    <col min="11" max="11" width="15.7109375" style="120" hidden="1" customWidth="1"/>
    <col min="12" max="12" width="20.7109375" style="120" hidden="1" customWidth="1"/>
    <col min="13" max="13" width="20.85546875" style="120" hidden="1" customWidth="1"/>
    <col min="14" max="14" width="7.85546875" style="120" bestFit="1" customWidth="1"/>
    <col min="15" max="15" width="50" style="2" customWidth="1"/>
    <col min="16" max="17" width="13.140625" style="2" customWidth="1"/>
    <col min="18" max="18" width="55.140625" style="2" bestFit="1" customWidth="1"/>
    <col min="19" max="19" width="60.7109375" style="2" bestFit="1" customWidth="1"/>
    <col min="20" max="16384" width="11.42578125" style="2"/>
  </cols>
  <sheetData>
    <row r="1" spans="1:21" s="78" customFormat="1" x14ac:dyDescent="0.25">
      <c r="A1" s="78" t="s">
        <v>588</v>
      </c>
      <c r="B1" s="93" t="s">
        <v>589</v>
      </c>
      <c r="C1" s="95" t="s">
        <v>590</v>
      </c>
      <c r="D1" s="94" t="s">
        <v>591</v>
      </c>
      <c r="E1" s="92" t="s">
        <v>592</v>
      </c>
      <c r="F1" s="78" t="s">
        <v>593</v>
      </c>
      <c r="G1" s="78" t="s">
        <v>594</v>
      </c>
      <c r="H1" s="78" t="s">
        <v>507</v>
      </c>
      <c r="I1" s="78" t="s">
        <v>2418</v>
      </c>
      <c r="J1" s="78" t="s">
        <v>508</v>
      </c>
      <c r="K1" s="119" t="s">
        <v>2390</v>
      </c>
      <c r="L1" s="121" t="s">
        <v>2392</v>
      </c>
      <c r="M1" s="121" t="s">
        <v>2393</v>
      </c>
      <c r="N1" s="119" t="s">
        <v>1241</v>
      </c>
      <c r="O1" s="78" t="s">
        <v>2391</v>
      </c>
      <c r="R1" s="18" t="str">
        <f>RIGHT(LEFT(J1,10),3)</f>
        <v>ame</v>
      </c>
      <c r="S1" s="80" t="e">
        <f>LEFT(J1,LEN(J1)-19)</f>
        <v>#VALUE!</v>
      </c>
      <c r="T1" s="80" t="str">
        <f>LEFT(J1,10)</f>
        <v>Name</v>
      </c>
      <c r="U1" s="80" t="e">
        <f>RIGHT(S1,LEN(S1)-11)</f>
        <v>#VALUE!</v>
      </c>
    </row>
    <row r="2" spans="1:21" x14ac:dyDescent="0.25">
      <c r="A2" s="2" t="s">
        <v>589</v>
      </c>
      <c r="B2" s="2" t="s">
        <v>595</v>
      </c>
      <c r="C2" s="2" t="s">
        <v>596</v>
      </c>
      <c r="D2" s="2" t="s">
        <v>596</v>
      </c>
      <c r="E2" s="2" t="s">
        <v>596</v>
      </c>
      <c r="G2" s="2" t="str">
        <f t="shared" ref="G2:G7" si="0">B2&amp;IF(C2="","","."&amp;C2)&amp;IF(D2="","","."&amp;D2)&amp;IF(E2="","","."&amp;E2)&amp;IF(F2="","","."&amp;F2)</f>
        <v>01</v>
      </c>
      <c r="H2" s="83" t="s">
        <v>595</v>
      </c>
      <c r="I2" s="83" t="str">
        <f>B2&amp;C2&amp;D2&amp;E2&amp;F2</f>
        <v>01</v>
      </c>
      <c r="J2" s="2" t="s">
        <v>597</v>
      </c>
      <c r="K2" s="120" t="str">
        <f>IFERROR(VLOOKUP(H2,'Bridge matrix'!$A$3:$E$731,3,FALSE),"no")</f>
        <v>no</v>
      </c>
      <c r="L2" s="120" t="str">
        <f t="shared" ref="L2:L65" si="1">IF(AND(H2=LEFT(H3,LEN(H2)),L3&lt;&gt;"no"),"ll",IF(K2="no","no",K2))</f>
        <v>ll</v>
      </c>
      <c r="M2" s="120" t="str">
        <f t="shared" ref="M2:M65" si="2">IF(L2&lt;&gt;"no",L2,IF(VLOOKUP(LEFT(H2,6),$H$2:$K$714,3,FALSE)="ll","no",VLOOKUP(LEFT(H2,6),$H$2:$K$714,3,FALSE)))</f>
        <v>ll</v>
      </c>
      <c r="N2" s="120" t="str">
        <f>M2</f>
        <v>ll</v>
      </c>
      <c r="O2" s="2" t="str">
        <f>VLOOKUP(N2,'Bridge matrix'!$D$3:$E$731,2,FALSE)</f>
        <v>matched on SC/SSC level</v>
      </c>
    </row>
    <row r="3" spans="1:21" x14ac:dyDescent="0.25">
      <c r="A3" s="2" t="s">
        <v>590</v>
      </c>
      <c r="B3" s="2" t="s">
        <v>595</v>
      </c>
      <c r="C3" s="2" t="s">
        <v>598</v>
      </c>
      <c r="D3" s="2" t="s">
        <v>596</v>
      </c>
      <c r="E3" s="2" t="s">
        <v>596</v>
      </c>
      <c r="G3" s="2" t="str">
        <f t="shared" si="0"/>
        <v>01.1</v>
      </c>
      <c r="H3" s="83" t="s">
        <v>599</v>
      </c>
      <c r="I3" s="83" t="str">
        <f t="shared" ref="I3:I66" si="3">B3&amp;C3&amp;D3&amp;E3&amp;F3</f>
        <v>011</v>
      </c>
      <c r="J3" s="2" t="s">
        <v>600</v>
      </c>
      <c r="K3" s="120" t="str">
        <f>IFERROR(VLOOKUP(H3,'Bridge matrix'!$A$3:$E$731,3,FALSE),"no")</f>
        <v>no</v>
      </c>
      <c r="L3" s="120" t="str">
        <f t="shared" si="1"/>
        <v>ll</v>
      </c>
      <c r="M3" s="120" t="str">
        <f t="shared" si="2"/>
        <v>ll</v>
      </c>
      <c r="N3" s="120" t="str">
        <f t="shared" ref="N3:N66" si="4">M3</f>
        <v>ll</v>
      </c>
      <c r="O3" s="2" t="str">
        <f>VLOOKUP(N3,'Bridge matrix'!$D$3:$E$731,2,FALSE)</f>
        <v>matched on SC/SSC level</v>
      </c>
    </row>
    <row r="4" spans="1:21" x14ac:dyDescent="0.25">
      <c r="A4" s="2" t="s">
        <v>591</v>
      </c>
      <c r="B4" s="2" t="s">
        <v>595</v>
      </c>
      <c r="C4" s="2" t="s">
        <v>598</v>
      </c>
      <c r="D4" s="2" t="s">
        <v>598</v>
      </c>
      <c r="E4" s="2" t="s">
        <v>596</v>
      </c>
      <c r="G4" s="2" t="str">
        <f t="shared" si="0"/>
        <v>01.1.1</v>
      </c>
      <c r="H4" s="83" t="s">
        <v>587</v>
      </c>
      <c r="I4" s="83" t="str">
        <f t="shared" si="3"/>
        <v>0111</v>
      </c>
      <c r="J4" s="2" t="s">
        <v>601</v>
      </c>
      <c r="K4" s="120" t="str">
        <f>IFERROR(VLOOKUP(H4,'Bridge matrix'!$A$3:$E$731,3,FALSE),"no")</f>
        <v xml:space="preserve">PAN Y CEREALES </v>
      </c>
      <c r="L4" s="120" t="str">
        <f t="shared" si="1"/>
        <v>ll</v>
      </c>
      <c r="M4" s="120" t="str">
        <f t="shared" si="2"/>
        <v>ll</v>
      </c>
      <c r="N4" s="120" t="str">
        <f t="shared" si="4"/>
        <v>ll</v>
      </c>
      <c r="O4" s="2" t="str">
        <f>VLOOKUP(N4,'Bridge matrix'!$D$3:$E$731,2,FALSE)</f>
        <v>matched on SC/SSC level</v>
      </c>
    </row>
    <row r="5" spans="1:21" x14ac:dyDescent="0.25">
      <c r="A5" s="2" t="s">
        <v>592</v>
      </c>
      <c r="B5" s="2" t="s">
        <v>595</v>
      </c>
      <c r="C5" s="2" t="s">
        <v>598</v>
      </c>
      <c r="D5" s="2" t="s">
        <v>598</v>
      </c>
      <c r="E5" s="2" t="s">
        <v>602</v>
      </c>
      <c r="G5" s="2" t="str">
        <f t="shared" si="0"/>
        <v>01.1.1.000</v>
      </c>
      <c r="H5" s="83" t="s">
        <v>603</v>
      </c>
      <c r="I5" s="83" t="str">
        <f t="shared" si="3"/>
        <v>0111000</v>
      </c>
      <c r="J5" s="2" t="s">
        <v>604</v>
      </c>
      <c r="K5" s="120" t="str">
        <f>IFERROR(VLOOKUP(H5,'Bridge matrix'!$A$3:$E$731,3,FALSE),"no")</f>
        <v>Pan (productos de panadería)</v>
      </c>
      <c r="L5" s="120" t="str">
        <f t="shared" si="1"/>
        <v>Pan (productos de panadería)</v>
      </c>
      <c r="M5" s="120" t="str">
        <f t="shared" si="2"/>
        <v>Pan (productos de panadería)</v>
      </c>
      <c r="N5" s="120" t="str">
        <f t="shared" si="4"/>
        <v>Pan (productos de panadería)</v>
      </c>
      <c r="O5" s="2" t="e">
        <f>VLOOKUP(N5,'Bridge matrix'!$D$3:$E$731,2,FALSE)</f>
        <v>#N/A</v>
      </c>
    </row>
    <row r="6" spans="1:21" x14ac:dyDescent="0.25">
      <c r="A6" s="2" t="s">
        <v>592</v>
      </c>
      <c r="B6" s="2" t="s">
        <v>595</v>
      </c>
      <c r="C6" s="2" t="s">
        <v>598</v>
      </c>
      <c r="D6" s="2" t="s">
        <v>598</v>
      </c>
      <c r="E6" s="2" t="s">
        <v>605</v>
      </c>
      <c r="G6" s="2" t="str">
        <f t="shared" si="0"/>
        <v>01.1.1.100</v>
      </c>
      <c r="H6" s="83" t="s">
        <v>606</v>
      </c>
      <c r="I6" s="83" t="str">
        <f t="shared" si="3"/>
        <v>0111100</v>
      </c>
      <c r="J6" s="2" t="s">
        <v>607</v>
      </c>
      <c r="K6" s="120" t="str">
        <f>IFERROR(VLOOKUP(H6,'Bridge matrix'!$A$3:$E$731,3,FALSE),"no")</f>
        <v>Otros productos de panadería</v>
      </c>
      <c r="L6" s="120" t="str">
        <f t="shared" si="1"/>
        <v>Otros productos de panadería</v>
      </c>
      <c r="M6" s="120" t="str">
        <f t="shared" si="2"/>
        <v>Otros productos de panadería</v>
      </c>
      <c r="N6" s="120" t="str">
        <f t="shared" si="4"/>
        <v>Otros productos de panadería</v>
      </c>
      <c r="O6" s="2" t="e">
        <f>VLOOKUP(N6,'Bridge matrix'!$D$3:$E$731,2,FALSE)</f>
        <v>#N/A</v>
      </c>
    </row>
    <row r="7" spans="1:21" x14ac:dyDescent="0.25">
      <c r="A7" s="2" t="s">
        <v>592</v>
      </c>
      <c r="B7" s="2" t="s">
        <v>595</v>
      </c>
      <c r="C7" s="2" t="s">
        <v>598</v>
      </c>
      <c r="D7" s="2" t="s">
        <v>598</v>
      </c>
      <c r="E7" s="2" t="s">
        <v>608</v>
      </c>
      <c r="G7" s="2" t="str">
        <f t="shared" si="0"/>
        <v>01.1.1.200</v>
      </c>
      <c r="H7" s="83" t="s">
        <v>609</v>
      </c>
      <c r="I7" s="83" t="str">
        <f t="shared" si="3"/>
        <v>0111200</v>
      </c>
      <c r="J7" s="2" t="s">
        <v>610</v>
      </c>
      <c r="K7" s="120" t="str">
        <f>IFERROR(VLOOKUP(H7,'Bridge matrix'!$A$3:$E$731,3,FALSE),"no")</f>
        <v>Harinas</v>
      </c>
      <c r="L7" s="120" t="str">
        <f t="shared" si="1"/>
        <v>Harinas</v>
      </c>
      <c r="M7" s="120" t="str">
        <f t="shared" si="2"/>
        <v>Harinas</v>
      </c>
      <c r="N7" s="120" t="str">
        <f t="shared" si="4"/>
        <v>Harinas</v>
      </c>
      <c r="O7" s="2" t="e">
        <f>VLOOKUP(N7,'Bridge matrix'!$D$3:$E$731,2,FALSE)</f>
        <v>#N/A</v>
      </c>
    </row>
    <row r="8" spans="1:21" x14ac:dyDescent="0.25">
      <c r="A8" s="2" t="s">
        <v>593</v>
      </c>
      <c r="B8" s="2" t="s">
        <v>595</v>
      </c>
      <c r="C8" s="2" t="s">
        <v>598</v>
      </c>
      <c r="D8" s="2" t="s">
        <v>598</v>
      </c>
      <c r="F8" s="2" t="s">
        <v>1803</v>
      </c>
      <c r="G8" s="2" t="str">
        <f t="shared" ref="G8:G21" si="5">B8&amp;IF(C8="","","."&amp;C8)&amp;IF(D8="","","."&amp;D8)&amp;IF(E8="","","."&amp;E8)&amp;IF(F8="","","."&amp;F8)</f>
        <v>01.1.1.201</v>
      </c>
      <c r="H8" s="83" t="s">
        <v>1830</v>
      </c>
      <c r="I8" s="83" t="str">
        <f t="shared" si="3"/>
        <v>0111201</v>
      </c>
      <c r="J8" s="2" t="s">
        <v>1817</v>
      </c>
      <c r="K8" s="120" t="str">
        <f>IFERROR(VLOOKUP(H8,'Bridge matrix'!$A$3:$E$731,3,FALSE),"no")</f>
        <v>Almidón de achira (se elabora a base de la raíz de la achira)</v>
      </c>
      <c r="L8" s="120" t="str">
        <f t="shared" si="1"/>
        <v>Almidón de achira (se elabora a base de la raíz de la achira)</v>
      </c>
      <c r="M8" s="120" t="str">
        <f t="shared" si="2"/>
        <v>Almidón de achira (se elabora a base de la raíz de la achira)</v>
      </c>
      <c r="N8" s="120" t="str">
        <f t="shared" si="4"/>
        <v>Almidón de achira (se elabora a base de la raíz de la achira)</v>
      </c>
      <c r="O8" s="2" t="e">
        <f>VLOOKUP(N8,'Bridge matrix'!$D$3:$E$731,2,FALSE)</f>
        <v>#N/A</v>
      </c>
      <c r="R8" s="80"/>
      <c r="S8" s="80"/>
      <c r="T8" s="80"/>
    </row>
    <row r="9" spans="1:21" x14ac:dyDescent="0.25">
      <c r="A9" s="2" t="s">
        <v>593</v>
      </c>
      <c r="B9" s="2" t="s">
        <v>595</v>
      </c>
      <c r="C9" s="2" t="s">
        <v>598</v>
      </c>
      <c r="D9" s="2" t="s">
        <v>598</v>
      </c>
      <c r="F9" s="2" t="s">
        <v>1804</v>
      </c>
      <c r="G9" s="2" t="str">
        <f t="shared" si="5"/>
        <v>01.1.1.202</v>
      </c>
      <c r="H9" s="83" t="s">
        <v>1831</v>
      </c>
      <c r="I9" s="83" t="str">
        <f t="shared" si="3"/>
        <v>0111202</v>
      </c>
      <c r="J9" s="2" t="s">
        <v>1818</v>
      </c>
      <c r="K9" s="120" t="str">
        <f>IFERROR(VLOOKUP(H9,'Bridge matrix'!$A$3:$E$731,3,FALSE),"no")</f>
        <v>Almidón de papa</v>
      </c>
      <c r="L9" s="120" t="str">
        <f t="shared" si="1"/>
        <v>Almidón de papa</v>
      </c>
      <c r="M9" s="120" t="str">
        <f t="shared" si="2"/>
        <v>Almidón de papa</v>
      </c>
      <c r="N9" s="120" t="str">
        <f t="shared" si="4"/>
        <v>Almidón de papa</v>
      </c>
      <c r="O9" s="2" t="e">
        <f>VLOOKUP(N9,'Bridge matrix'!$D$3:$E$731,2,FALSE)</f>
        <v>#N/A</v>
      </c>
      <c r="R9" s="80"/>
      <c r="S9" s="80"/>
      <c r="T9" s="80"/>
    </row>
    <row r="10" spans="1:21" x14ac:dyDescent="0.25">
      <c r="A10" s="2" t="s">
        <v>593</v>
      </c>
      <c r="B10" s="2" t="s">
        <v>595</v>
      </c>
      <c r="C10" s="2" t="s">
        <v>598</v>
      </c>
      <c r="D10" s="2" t="s">
        <v>598</v>
      </c>
      <c r="F10" s="2" t="s">
        <v>1805</v>
      </c>
      <c r="G10" s="2" t="str">
        <f t="shared" si="5"/>
        <v>01.1.1.203</v>
      </c>
      <c r="H10" s="83" t="s">
        <v>1832</v>
      </c>
      <c r="I10" s="83" t="str">
        <f t="shared" si="3"/>
        <v>0111203</v>
      </c>
      <c r="J10" s="2" t="s">
        <v>1819</v>
      </c>
      <c r="K10" s="120" t="str">
        <f>IFERROR(VLOOKUP(H10,'Bridge matrix'!$A$3:$E$731,3,FALSE),"no")</f>
        <v>Almidón de yuca</v>
      </c>
      <c r="L10" s="120" t="str">
        <f t="shared" si="1"/>
        <v>Almidón de yuca</v>
      </c>
      <c r="M10" s="120" t="str">
        <f t="shared" si="2"/>
        <v>Almidón de yuca</v>
      </c>
      <c r="N10" s="120" t="str">
        <f t="shared" si="4"/>
        <v>Almidón de yuca</v>
      </c>
      <c r="O10" s="2" t="e">
        <f>VLOOKUP(N10,'Bridge matrix'!$D$3:$E$731,2,FALSE)</f>
        <v>#N/A</v>
      </c>
      <c r="R10" s="80"/>
      <c r="S10" s="80"/>
      <c r="T10" s="80"/>
    </row>
    <row r="11" spans="1:21" x14ac:dyDescent="0.25">
      <c r="A11" s="2" t="s">
        <v>593</v>
      </c>
      <c r="B11" s="2" t="s">
        <v>595</v>
      </c>
      <c r="C11" s="2" t="s">
        <v>598</v>
      </c>
      <c r="D11" s="2" t="s">
        <v>598</v>
      </c>
      <c r="F11" s="2" t="s">
        <v>1806</v>
      </c>
      <c r="G11" s="2" t="str">
        <f t="shared" si="5"/>
        <v>01.1.1.204</v>
      </c>
      <c r="H11" s="83" t="s">
        <v>1833</v>
      </c>
      <c r="I11" s="83" t="str">
        <f t="shared" si="3"/>
        <v>0111204</v>
      </c>
      <c r="J11" s="2" t="s">
        <v>1820</v>
      </c>
      <c r="K11" s="120" t="str">
        <f>IFERROR(VLOOKUP(H11,'Bridge matrix'!$A$3:$E$731,3,FALSE),"no")</f>
        <v>Tapioca (almidón)</v>
      </c>
      <c r="L11" s="120" t="str">
        <f t="shared" si="1"/>
        <v>Tapioca (almidón)</v>
      </c>
      <c r="M11" s="120" t="str">
        <f t="shared" si="2"/>
        <v>Tapioca (almidón)</v>
      </c>
      <c r="N11" s="120" t="str">
        <f t="shared" si="4"/>
        <v>Tapioca (almidón)</v>
      </c>
      <c r="O11" s="2" t="e">
        <f>VLOOKUP(N11,'Bridge matrix'!$D$3:$E$731,2,FALSE)</f>
        <v>#N/A</v>
      </c>
      <c r="R11" s="80"/>
      <c r="S11" s="80"/>
      <c r="T11" s="80"/>
    </row>
    <row r="12" spans="1:21" x14ac:dyDescent="0.25">
      <c r="A12" s="2" t="s">
        <v>593</v>
      </c>
      <c r="B12" s="2" t="s">
        <v>595</v>
      </c>
      <c r="C12" s="2" t="s">
        <v>598</v>
      </c>
      <c r="D12" s="2" t="s">
        <v>598</v>
      </c>
      <c r="F12" s="2" t="s">
        <v>1807</v>
      </c>
      <c r="G12" s="2" t="str">
        <f t="shared" si="5"/>
        <v>01.1.1.205</v>
      </c>
      <c r="H12" s="83" t="s">
        <v>1834</v>
      </c>
      <c r="I12" s="83" t="str">
        <f t="shared" si="3"/>
        <v>0111205</v>
      </c>
      <c r="J12" s="2" t="s">
        <v>1821</v>
      </c>
      <c r="K12" s="120" t="str">
        <f>IFERROR(VLOOKUP(H12,'Bridge matrix'!$A$3:$E$731,3,FALSE),"no")</f>
        <v>Harina de arroz</v>
      </c>
      <c r="L12" s="120" t="str">
        <f t="shared" si="1"/>
        <v>Harina de arroz</v>
      </c>
      <c r="M12" s="120" t="str">
        <f t="shared" si="2"/>
        <v>Harina de arroz</v>
      </c>
      <c r="N12" s="120" t="str">
        <f t="shared" si="4"/>
        <v>Harina de arroz</v>
      </c>
      <c r="O12" s="2" t="e">
        <f>VLOOKUP(N12,'Bridge matrix'!$D$3:$E$731,2,FALSE)</f>
        <v>#N/A</v>
      </c>
      <c r="R12" s="80"/>
      <c r="S12" s="80"/>
      <c r="T12" s="80"/>
    </row>
    <row r="13" spans="1:21" x14ac:dyDescent="0.25">
      <c r="A13" s="2" t="s">
        <v>593</v>
      </c>
      <c r="B13" s="2" t="s">
        <v>595</v>
      </c>
      <c r="C13" s="2" t="s">
        <v>598</v>
      </c>
      <c r="D13" s="2" t="s">
        <v>598</v>
      </c>
      <c r="F13" s="2" t="s">
        <v>1808</v>
      </c>
      <c r="G13" s="2" t="str">
        <f t="shared" si="5"/>
        <v>01.1.1.206</v>
      </c>
      <c r="H13" s="83" t="s">
        <v>1835</v>
      </c>
      <c r="I13" s="83" t="str">
        <f t="shared" si="3"/>
        <v>0111206</v>
      </c>
      <c r="J13" s="2" t="s">
        <v>1822</v>
      </c>
      <c r="K13" s="120" t="str">
        <f>IFERROR(VLOOKUP(H13,'Bridge matrix'!$A$3:$E$731,3,FALSE),"no")</f>
        <v>Harina de cebada (máchica)</v>
      </c>
      <c r="L13" s="120" t="str">
        <f t="shared" si="1"/>
        <v>Harina de cebada (máchica)</v>
      </c>
      <c r="M13" s="120" t="str">
        <f t="shared" si="2"/>
        <v>Harina de cebada (máchica)</v>
      </c>
      <c r="N13" s="120" t="str">
        <f t="shared" si="4"/>
        <v>Harina de cebada (máchica)</v>
      </c>
      <c r="O13" s="2" t="e">
        <f>VLOOKUP(N13,'Bridge matrix'!$D$3:$E$731,2,FALSE)</f>
        <v>#N/A</v>
      </c>
      <c r="R13" s="80"/>
      <c r="S13" s="80"/>
      <c r="T13" s="80"/>
    </row>
    <row r="14" spans="1:21" x14ac:dyDescent="0.25">
      <c r="A14" s="2" t="s">
        <v>593</v>
      </c>
      <c r="B14" s="2" t="s">
        <v>595</v>
      </c>
      <c r="C14" s="2" t="s">
        <v>598</v>
      </c>
      <c r="D14" s="2" t="s">
        <v>598</v>
      </c>
      <c r="F14" s="2" t="s">
        <v>1809</v>
      </c>
      <c r="G14" s="2" t="str">
        <f t="shared" si="5"/>
        <v>01.1.1.207</v>
      </c>
      <c r="H14" s="83" t="s">
        <v>1836</v>
      </c>
      <c r="I14" s="83" t="str">
        <f t="shared" si="3"/>
        <v>0111207</v>
      </c>
      <c r="J14" s="2" t="s">
        <v>1823</v>
      </c>
      <c r="K14" s="120" t="str">
        <f>IFERROR(VLOOKUP(H14,'Bridge matrix'!$A$3:$E$731,3,FALSE),"no")</f>
        <v>Harina de garbanzo</v>
      </c>
      <c r="L14" s="120" t="str">
        <f t="shared" si="1"/>
        <v>Harina de garbanzo</v>
      </c>
      <c r="M14" s="120" t="str">
        <f t="shared" si="2"/>
        <v>Harina de garbanzo</v>
      </c>
      <c r="N14" s="120" t="str">
        <f t="shared" si="4"/>
        <v>Harina de garbanzo</v>
      </c>
      <c r="O14" s="2" t="e">
        <f>VLOOKUP(N14,'Bridge matrix'!$D$3:$E$731,2,FALSE)</f>
        <v>#N/A</v>
      </c>
      <c r="Q14" s="18"/>
      <c r="R14" s="80"/>
      <c r="S14" s="80"/>
      <c r="T14" s="80"/>
    </row>
    <row r="15" spans="1:21" x14ac:dyDescent="0.25">
      <c r="A15" s="2" t="s">
        <v>593</v>
      </c>
      <c r="B15" s="2" t="s">
        <v>595</v>
      </c>
      <c r="C15" s="2" t="s">
        <v>598</v>
      </c>
      <c r="D15" s="2" t="s">
        <v>598</v>
      </c>
      <c r="F15" s="2" t="s">
        <v>1810</v>
      </c>
      <c r="G15" s="2" t="str">
        <f t="shared" si="5"/>
        <v>01.1.1.208</v>
      </c>
      <c r="H15" s="83" t="s">
        <v>1837</v>
      </c>
      <c r="I15" s="83" t="str">
        <f t="shared" si="3"/>
        <v>0111208</v>
      </c>
      <c r="J15" s="2" t="s">
        <v>1824</v>
      </c>
      <c r="K15" s="120" t="str">
        <f>IFERROR(VLOOKUP(H15,'Bridge matrix'!$A$3:$E$731,3,FALSE),"no")</f>
        <v>Harina de maíz</v>
      </c>
      <c r="L15" s="120" t="str">
        <f t="shared" si="1"/>
        <v>Harina de maíz</v>
      </c>
      <c r="M15" s="120" t="str">
        <f t="shared" si="2"/>
        <v>Harina de maíz</v>
      </c>
      <c r="N15" s="120" t="str">
        <f t="shared" si="4"/>
        <v>Harina de maíz</v>
      </c>
      <c r="O15" s="2" t="e">
        <f>VLOOKUP(N15,'Bridge matrix'!$D$3:$E$731,2,FALSE)</f>
        <v>#N/A</v>
      </c>
      <c r="Q15" s="18"/>
      <c r="R15" s="80"/>
      <c r="S15" s="80"/>
      <c r="T15" s="80"/>
    </row>
    <row r="16" spans="1:21" x14ac:dyDescent="0.25">
      <c r="A16" s="2" t="s">
        <v>593</v>
      </c>
      <c r="B16" s="2" t="s">
        <v>595</v>
      </c>
      <c r="C16" s="2" t="s">
        <v>598</v>
      </c>
      <c r="D16" s="2" t="s">
        <v>598</v>
      </c>
      <c r="F16" s="2" t="s">
        <v>1811</v>
      </c>
      <c r="G16" s="2" t="str">
        <f t="shared" si="5"/>
        <v>01.1.1.209</v>
      </c>
      <c r="H16" s="83" t="s">
        <v>1838</v>
      </c>
      <c r="I16" s="83" t="str">
        <f t="shared" si="3"/>
        <v>0111209</v>
      </c>
      <c r="J16" s="2" t="s">
        <v>1825</v>
      </c>
      <c r="K16" s="120" t="str">
        <f>IFERROR(VLOOKUP(H16,'Bridge matrix'!$A$3:$E$731,3,FALSE),"no")</f>
        <v>Harina de malta</v>
      </c>
      <c r="L16" s="120" t="str">
        <f t="shared" si="1"/>
        <v>Harina de malta</v>
      </c>
      <c r="M16" s="120" t="str">
        <f t="shared" si="2"/>
        <v>Harina de malta</v>
      </c>
      <c r="N16" s="120" t="str">
        <f t="shared" si="4"/>
        <v>Harina de malta</v>
      </c>
      <c r="O16" s="2" t="e">
        <f>VLOOKUP(N16,'Bridge matrix'!$D$3:$E$731,2,FALSE)</f>
        <v>#N/A</v>
      </c>
      <c r="Q16" s="18"/>
      <c r="R16" s="80"/>
      <c r="S16" s="80"/>
      <c r="T16" s="80"/>
    </row>
    <row r="17" spans="1:20" x14ac:dyDescent="0.25">
      <c r="A17" s="2" t="s">
        <v>593</v>
      </c>
      <c r="B17" s="2" t="s">
        <v>595</v>
      </c>
      <c r="C17" s="2" t="s">
        <v>598</v>
      </c>
      <c r="D17" s="2" t="s">
        <v>598</v>
      </c>
      <c r="F17" s="2" t="s">
        <v>1812</v>
      </c>
      <c r="G17" s="2" t="str">
        <f t="shared" si="5"/>
        <v>01.1.1.210</v>
      </c>
      <c r="H17" s="83" t="s">
        <v>1839</v>
      </c>
      <c r="I17" s="83" t="str">
        <f t="shared" si="3"/>
        <v>0111210</v>
      </c>
      <c r="J17" s="2" t="s">
        <v>1826</v>
      </c>
      <c r="K17" s="120" t="str">
        <f>IFERROR(VLOOKUP(H17,'Bridge matrix'!$A$3:$E$731,3,FALSE),"no")</f>
        <v>Harina de plátano</v>
      </c>
      <c r="L17" s="120" t="str">
        <f t="shared" si="1"/>
        <v>Harina de plátano</v>
      </c>
      <c r="M17" s="120" t="str">
        <f t="shared" si="2"/>
        <v>Harina de plátano</v>
      </c>
      <c r="N17" s="120" t="str">
        <f t="shared" si="4"/>
        <v>Harina de plátano</v>
      </c>
      <c r="O17" s="2" t="e">
        <f>VLOOKUP(N17,'Bridge matrix'!$D$3:$E$731,2,FALSE)</f>
        <v>#N/A</v>
      </c>
      <c r="Q17" s="18"/>
      <c r="R17" s="80"/>
      <c r="S17" s="80"/>
      <c r="T17" s="80"/>
    </row>
    <row r="18" spans="1:20" x14ac:dyDescent="0.25">
      <c r="A18" s="2" t="s">
        <v>593</v>
      </c>
      <c r="B18" s="2" t="s">
        <v>595</v>
      </c>
      <c r="C18" s="2" t="s">
        <v>598</v>
      </c>
      <c r="D18" s="2" t="s">
        <v>598</v>
      </c>
      <c r="F18" s="2" t="s">
        <v>1813</v>
      </c>
      <c r="G18" s="2" t="str">
        <f t="shared" si="5"/>
        <v>01.1.1.211</v>
      </c>
      <c r="H18" s="83" t="s">
        <v>1840</v>
      </c>
      <c r="I18" s="83" t="str">
        <f t="shared" si="3"/>
        <v>0111211</v>
      </c>
      <c r="J18" s="2" t="s">
        <v>1827</v>
      </c>
      <c r="K18" s="120" t="str">
        <f>IFERROR(VLOOKUP(H18,'Bridge matrix'!$A$3:$E$731,3,FALSE),"no")</f>
        <v>Harina de morocho (cauca)</v>
      </c>
      <c r="L18" s="120" t="str">
        <f t="shared" si="1"/>
        <v>Harina de morocho (cauca)</v>
      </c>
      <c r="M18" s="120" t="str">
        <f t="shared" si="2"/>
        <v>Harina de morocho (cauca)</v>
      </c>
      <c r="N18" s="120" t="str">
        <f t="shared" si="4"/>
        <v>Harina de morocho (cauca)</v>
      </c>
      <c r="O18" s="2" t="e">
        <f>VLOOKUP(N18,'Bridge matrix'!$D$3:$E$731,2,FALSE)</f>
        <v>#N/A</v>
      </c>
      <c r="Q18" s="18"/>
      <c r="R18" s="80"/>
      <c r="S18" s="80"/>
      <c r="T18" s="80"/>
    </row>
    <row r="19" spans="1:20" x14ac:dyDescent="0.25">
      <c r="A19" s="2" t="s">
        <v>593</v>
      </c>
      <c r="B19" s="2" t="s">
        <v>595</v>
      </c>
      <c r="C19" s="2" t="s">
        <v>598</v>
      </c>
      <c r="D19" s="2" t="s">
        <v>598</v>
      </c>
      <c r="F19" s="2" t="s">
        <v>1814</v>
      </c>
      <c r="G19" s="2" t="str">
        <f t="shared" si="5"/>
        <v>01.1.1.212</v>
      </c>
      <c r="H19" s="83" t="s">
        <v>515</v>
      </c>
      <c r="I19" s="83" t="str">
        <f t="shared" si="3"/>
        <v>0111212</v>
      </c>
      <c r="J19" s="2" t="s">
        <v>516</v>
      </c>
      <c r="K19" s="120" t="str">
        <f>IFERROR(VLOOKUP(H19,'Bridge matrix'!$A$3:$E$731,3,FALSE),"no")</f>
        <v>Harina de trigo</v>
      </c>
      <c r="L19" s="120" t="str">
        <f t="shared" si="1"/>
        <v>Harina de trigo</v>
      </c>
      <c r="M19" s="120" t="str">
        <f t="shared" si="2"/>
        <v>Harina de trigo</v>
      </c>
      <c r="N19" s="120" t="str">
        <f t="shared" si="4"/>
        <v>Harina de trigo</v>
      </c>
      <c r="O19" s="2" t="e">
        <f>VLOOKUP(N19,'Bridge matrix'!$D$3:$E$731,2,FALSE)</f>
        <v>#N/A</v>
      </c>
      <c r="Q19" s="18"/>
      <c r="R19" s="80"/>
      <c r="S19" s="80"/>
      <c r="T19" s="80"/>
    </row>
    <row r="20" spans="1:20" x14ac:dyDescent="0.25">
      <c r="A20" s="2" t="s">
        <v>593</v>
      </c>
      <c r="B20" s="2" t="s">
        <v>595</v>
      </c>
      <c r="C20" s="2" t="s">
        <v>598</v>
      </c>
      <c r="D20" s="2" t="s">
        <v>598</v>
      </c>
      <c r="F20" s="2" t="s">
        <v>1815</v>
      </c>
      <c r="G20" s="2" t="str">
        <f t="shared" si="5"/>
        <v>01.1.1.213</v>
      </c>
      <c r="H20" s="83" t="s">
        <v>1841</v>
      </c>
      <c r="I20" s="83" t="str">
        <f t="shared" si="3"/>
        <v>0111213</v>
      </c>
      <c r="J20" s="2" t="s">
        <v>1828</v>
      </c>
      <c r="K20" s="120" t="str">
        <f>IFERROR(VLOOKUP(H20,'Bridge matrix'!$A$3:$E$731,3,FALSE),"no")</f>
        <v>Maicena (fécula de maíz)</v>
      </c>
      <c r="L20" s="120" t="str">
        <f t="shared" si="1"/>
        <v>Maicena (fécula de maíz)</v>
      </c>
      <c r="M20" s="120" t="str">
        <f t="shared" si="2"/>
        <v>Maicena (fécula de maíz)</v>
      </c>
      <c r="N20" s="120" t="str">
        <f t="shared" si="4"/>
        <v>Maicena (fécula de maíz)</v>
      </c>
      <c r="O20" s="2" t="e">
        <f>VLOOKUP(N20,'Bridge matrix'!$D$3:$E$731,2,FALSE)</f>
        <v>#N/A</v>
      </c>
      <c r="Q20" s="18"/>
      <c r="R20" s="80"/>
      <c r="S20" s="80"/>
      <c r="T20" s="80"/>
    </row>
    <row r="21" spans="1:20" x14ac:dyDescent="0.25">
      <c r="A21" s="2" t="s">
        <v>593</v>
      </c>
      <c r="B21" s="2" t="s">
        <v>595</v>
      </c>
      <c r="C21" s="2" t="s">
        <v>598</v>
      </c>
      <c r="D21" s="2" t="s">
        <v>598</v>
      </c>
      <c r="F21" s="2" t="s">
        <v>1816</v>
      </c>
      <c r="G21" s="2" t="str">
        <f t="shared" si="5"/>
        <v>01.1.1.299</v>
      </c>
      <c r="H21" s="83" t="s">
        <v>1842</v>
      </c>
      <c r="I21" s="83" t="str">
        <f t="shared" si="3"/>
        <v>0111299</v>
      </c>
      <c r="J21" s="2" t="s">
        <v>1829</v>
      </c>
      <c r="K21" s="120" t="str">
        <f>IFERROR(VLOOKUP(H21,'Bridge matrix'!$A$3:$E$731,3,FALSE),"no")</f>
        <v>Otras harinas</v>
      </c>
      <c r="L21" s="120" t="str">
        <f t="shared" si="1"/>
        <v>Otras harinas</v>
      </c>
      <c r="M21" s="120" t="str">
        <f t="shared" si="2"/>
        <v>Otras harinas</v>
      </c>
      <c r="N21" s="120" t="str">
        <f t="shared" si="4"/>
        <v>Otras harinas</v>
      </c>
      <c r="O21" s="2" t="e">
        <f>VLOOKUP(N21,'Bridge matrix'!$D$3:$E$731,2,FALSE)</f>
        <v>#N/A</v>
      </c>
      <c r="Q21" s="18"/>
      <c r="R21" s="80"/>
      <c r="S21" s="80"/>
      <c r="T21" s="80"/>
    </row>
    <row r="22" spans="1:20" x14ac:dyDescent="0.25">
      <c r="A22" s="2" t="s">
        <v>592</v>
      </c>
      <c r="B22" s="2" t="s">
        <v>595</v>
      </c>
      <c r="C22" s="2" t="s">
        <v>598</v>
      </c>
      <c r="D22" s="2" t="s">
        <v>598</v>
      </c>
      <c r="E22" s="2" t="s">
        <v>611</v>
      </c>
      <c r="G22" s="2" t="str">
        <f>B22&amp;IF(C22="","","."&amp;C22)&amp;IF(D22="","","."&amp;D22)&amp;IF(E22="","","."&amp;E22)&amp;IF(F22="","","."&amp;F22)</f>
        <v>01.1.1.300</v>
      </c>
      <c r="H22" s="83" t="s">
        <v>612</v>
      </c>
      <c r="I22" s="83" t="str">
        <f t="shared" si="3"/>
        <v>0111300</v>
      </c>
      <c r="J22" s="2" t="s">
        <v>613</v>
      </c>
      <c r="K22" s="120" t="str">
        <f>IFERROR(VLOOKUP(H22,'Bridge matrix'!$A$3:$E$731,3,FALSE),"no")</f>
        <v>Pastas alimenticias</v>
      </c>
      <c r="L22" s="120" t="str">
        <f t="shared" si="1"/>
        <v>Pastas alimenticias</v>
      </c>
      <c r="M22" s="120" t="str">
        <f t="shared" si="2"/>
        <v>Pastas alimenticias</v>
      </c>
      <c r="N22" s="120" t="str">
        <f t="shared" si="4"/>
        <v>Pastas alimenticias</v>
      </c>
      <c r="O22" s="2" t="e">
        <f>VLOOKUP(N22,'Bridge matrix'!$D$3:$E$731,2,FALSE)</f>
        <v>#N/A</v>
      </c>
    </row>
    <row r="23" spans="1:20" x14ac:dyDescent="0.25">
      <c r="A23" s="2" t="s">
        <v>592</v>
      </c>
      <c r="B23" s="2" t="s">
        <v>595</v>
      </c>
      <c r="C23" s="2" t="s">
        <v>598</v>
      </c>
      <c r="D23" s="2" t="s">
        <v>598</v>
      </c>
      <c r="E23" s="2" t="s">
        <v>614</v>
      </c>
      <c r="G23" s="2" t="str">
        <f>B23&amp;IF(C23="","","."&amp;C23)&amp;IF(D23="","","."&amp;D23)&amp;IF(E23="","","."&amp;E23)&amp;IF(F23="","","."&amp;F23)</f>
        <v>01.1.1.400</v>
      </c>
      <c r="H23" s="83" t="s">
        <v>615</v>
      </c>
      <c r="I23" s="83" t="str">
        <f t="shared" si="3"/>
        <v>0111400</v>
      </c>
      <c r="J23" s="2" t="s">
        <v>616</v>
      </c>
      <c r="K23" s="120" t="str">
        <f>IFERROR(VLOOKUP(H23,'Bridge matrix'!$A$3:$E$731,3,FALSE),"no")</f>
        <v>Arroz</v>
      </c>
      <c r="L23" s="120" t="str">
        <f t="shared" si="1"/>
        <v>Arroz</v>
      </c>
      <c r="M23" s="120" t="str">
        <f t="shared" si="2"/>
        <v>Arroz</v>
      </c>
      <c r="N23" s="120" t="str">
        <f t="shared" si="4"/>
        <v>Arroz</v>
      </c>
      <c r="O23" s="2" t="e">
        <f>VLOOKUP(N23,'Bridge matrix'!$D$3:$E$731,2,FALSE)</f>
        <v>#N/A</v>
      </c>
    </row>
    <row r="24" spans="1:20" x14ac:dyDescent="0.25">
      <c r="A24" s="2" t="s">
        <v>592</v>
      </c>
      <c r="B24" s="2" t="s">
        <v>595</v>
      </c>
      <c r="C24" s="2" t="s">
        <v>598</v>
      </c>
      <c r="D24" s="2" t="s">
        <v>598</v>
      </c>
      <c r="E24" s="2" t="s">
        <v>617</v>
      </c>
      <c r="G24" s="2" t="str">
        <f>B24&amp;IF(C24="","","."&amp;C24)&amp;IF(D24="","","."&amp;D24)&amp;IF(E24="","","."&amp;E24)&amp;IF(F24="","","."&amp;F24)</f>
        <v>01.1.1.500</v>
      </c>
      <c r="H24" s="83" t="s">
        <v>618</v>
      </c>
      <c r="I24" s="83" t="str">
        <f t="shared" si="3"/>
        <v>0111500</v>
      </c>
      <c r="J24" s="2" t="s">
        <v>523</v>
      </c>
      <c r="K24" s="120" t="str">
        <f>IFERROR(VLOOKUP(H24,'Bridge matrix'!$A$3:$E$731,3,FALSE),"no")</f>
        <v>Otros cereales y derivados</v>
      </c>
      <c r="L24" s="120" t="str">
        <f t="shared" si="1"/>
        <v>Otros cereales y derivados</v>
      </c>
      <c r="M24" s="120" t="str">
        <f t="shared" si="2"/>
        <v>Otros cereales y derivados</v>
      </c>
      <c r="N24" s="120" t="str">
        <f t="shared" si="4"/>
        <v>Otros cereales y derivados</v>
      </c>
      <c r="O24" s="2" t="e">
        <f>VLOOKUP(N24,'Bridge matrix'!$D$3:$E$731,2,FALSE)</f>
        <v>#N/A</v>
      </c>
    </row>
    <row r="25" spans="1:20" x14ac:dyDescent="0.25">
      <c r="A25" s="2" t="s">
        <v>593</v>
      </c>
      <c r="B25" s="2" t="s">
        <v>595</v>
      </c>
      <c r="C25" s="2" t="s">
        <v>598</v>
      </c>
      <c r="D25" s="2" t="s">
        <v>598</v>
      </c>
      <c r="F25" s="2" t="s">
        <v>1843</v>
      </c>
      <c r="G25" s="2" t="str">
        <f t="shared" ref="G25:G46" si="6">B25&amp;IF(C25="","","."&amp;C25)&amp;IF(D25="","","."&amp;D25)&amp;IF(E25="","","."&amp;E25)&amp;IF(F25="","","."&amp;F25)</f>
        <v>01.1.1.501</v>
      </c>
      <c r="H25" s="83" t="s">
        <v>522</v>
      </c>
      <c r="I25" s="83" t="str">
        <f t="shared" si="3"/>
        <v>0111501</v>
      </c>
      <c r="J25" s="2" t="s">
        <v>1334</v>
      </c>
      <c r="K25" s="120" t="str">
        <f>IFERROR(VLOOKUP(H25,'Bridge matrix'!$A$3:$E$731,3,FALSE),"no")</f>
        <v>Avena</v>
      </c>
      <c r="L25" s="120" t="str">
        <f t="shared" si="1"/>
        <v>Avena</v>
      </c>
      <c r="M25" s="120" t="str">
        <f t="shared" si="2"/>
        <v>Avena</v>
      </c>
      <c r="N25" s="120" t="str">
        <f t="shared" si="4"/>
        <v>Avena</v>
      </c>
      <c r="O25" s="2" t="e">
        <f>VLOOKUP(N25,'Bridge matrix'!$D$3:$E$731,2,FALSE)</f>
        <v>#N/A</v>
      </c>
      <c r="Q25" s="18"/>
      <c r="R25" s="80"/>
      <c r="S25" s="80"/>
      <c r="T25" s="80"/>
    </row>
    <row r="26" spans="1:20" x14ac:dyDescent="0.25">
      <c r="A26" s="2" t="s">
        <v>593</v>
      </c>
      <c r="B26" s="2" t="s">
        <v>595</v>
      </c>
      <c r="C26" s="2" t="s">
        <v>598</v>
      </c>
      <c r="D26" s="2" t="s">
        <v>598</v>
      </c>
      <c r="F26" s="2" t="s">
        <v>1844</v>
      </c>
      <c r="G26" s="2" t="str">
        <f t="shared" si="6"/>
        <v>01.1.1.502</v>
      </c>
      <c r="H26" s="83" t="s">
        <v>1869</v>
      </c>
      <c r="I26" s="83" t="str">
        <f t="shared" si="3"/>
        <v>0111502</v>
      </c>
      <c r="J26" s="2" t="s">
        <v>524</v>
      </c>
      <c r="K26" s="120" t="str">
        <f>IFERROR(VLOOKUP(H26,'Bridge matrix'!$A$3:$E$731,3,FALSE),"no")</f>
        <v>Canguil</v>
      </c>
      <c r="L26" s="120" t="str">
        <f t="shared" si="1"/>
        <v>Canguil</v>
      </c>
      <c r="M26" s="120" t="str">
        <f t="shared" si="2"/>
        <v>Canguil</v>
      </c>
      <c r="N26" s="120" t="str">
        <f t="shared" si="4"/>
        <v>Canguil</v>
      </c>
      <c r="O26" s="2" t="e">
        <f>VLOOKUP(N26,'Bridge matrix'!$D$3:$E$731,2,FALSE)</f>
        <v>#N/A</v>
      </c>
      <c r="Q26" s="18"/>
      <c r="R26" s="80"/>
      <c r="S26" s="80"/>
      <c r="T26" s="80"/>
    </row>
    <row r="27" spans="1:20" x14ac:dyDescent="0.25">
      <c r="A27" s="2" t="s">
        <v>593</v>
      </c>
      <c r="B27" s="2" t="s">
        <v>595</v>
      </c>
      <c r="C27" s="2" t="s">
        <v>598</v>
      </c>
      <c r="D27" s="2" t="s">
        <v>598</v>
      </c>
      <c r="F27" s="2" t="s">
        <v>1845</v>
      </c>
      <c r="G27" s="2" t="str">
        <f t="shared" si="6"/>
        <v>01.1.1.503</v>
      </c>
      <c r="H27" s="83" t="s">
        <v>1870</v>
      </c>
      <c r="I27" s="83" t="str">
        <f t="shared" si="3"/>
        <v>0111503</v>
      </c>
      <c r="J27" s="2" t="s">
        <v>520</v>
      </c>
      <c r="K27" s="120" t="str">
        <f>IFERROR(VLOOKUP(H27,'Bridge matrix'!$A$3:$E$731,3,FALSE),"no")</f>
        <v>Cebada</v>
      </c>
      <c r="L27" s="120" t="str">
        <f t="shared" si="1"/>
        <v>Cebada</v>
      </c>
      <c r="M27" s="120" t="str">
        <f t="shared" si="2"/>
        <v>Cebada</v>
      </c>
      <c r="N27" s="120" t="str">
        <f t="shared" si="4"/>
        <v>Cebada</v>
      </c>
      <c r="O27" s="2" t="e">
        <f>VLOOKUP(N27,'Bridge matrix'!$D$3:$E$731,2,FALSE)</f>
        <v>#N/A</v>
      </c>
      <c r="Q27" s="18"/>
      <c r="R27" s="80"/>
      <c r="S27" s="80"/>
      <c r="T27" s="80"/>
    </row>
    <row r="28" spans="1:20" x14ac:dyDescent="0.25">
      <c r="A28" s="2" t="s">
        <v>593</v>
      </c>
      <c r="B28" s="2" t="s">
        <v>595</v>
      </c>
      <c r="C28" s="2" t="s">
        <v>598</v>
      </c>
      <c r="D28" s="2" t="s">
        <v>598</v>
      </c>
      <c r="F28" s="2" t="s">
        <v>1846</v>
      </c>
      <c r="G28" s="2" t="str">
        <f t="shared" si="6"/>
        <v>01.1.1.504</v>
      </c>
      <c r="H28" s="83" t="s">
        <v>525</v>
      </c>
      <c r="I28" s="83" t="str">
        <f t="shared" si="3"/>
        <v>0111504</v>
      </c>
      <c r="J28" s="2" t="s">
        <v>526</v>
      </c>
      <c r="K28" s="120" t="str">
        <f>IFERROR(VLOOKUP(H28,'Bridge matrix'!$A$3:$E$731,3,FALSE),"no")</f>
        <v>Centeno</v>
      </c>
      <c r="L28" s="120" t="str">
        <f t="shared" si="1"/>
        <v>Centeno</v>
      </c>
      <c r="M28" s="120" t="str">
        <f t="shared" si="2"/>
        <v>Centeno</v>
      </c>
      <c r="N28" s="120" t="str">
        <f t="shared" si="4"/>
        <v>Centeno</v>
      </c>
      <c r="O28" s="2" t="e">
        <f>VLOOKUP(N28,'Bridge matrix'!$D$3:$E$731,2,FALSE)</f>
        <v>#N/A</v>
      </c>
      <c r="Q28" s="18"/>
      <c r="R28" s="80"/>
      <c r="S28" s="80"/>
      <c r="T28" s="80"/>
    </row>
    <row r="29" spans="1:20" x14ac:dyDescent="0.25">
      <c r="A29" s="2" t="s">
        <v>593</v>
      </c>
      <c r="B29" s="2" t="s">
        <v>595</v>
      </c>
      <c r="C29" s="2" t="s">
        <v>598</v>
      </c>
      <c r="D29" s="2" t="s">
        <v>598</v>
      </c>
      <c r="F29" s="2" t="s">
        <v>1847</v>
      </c>
      <c r="G29" s="2" t="str">
        <f t="shared" si="6"/>
        <v>01.1.1.505</v>
      </c>
      <c r="H29" s="83" t="s">
        <v>527</v>
      </c>
      <c r="I29" s="83" t="str">
        <f t="shared" si="3"/>
        <v>0111505</v>
      </c>
      <c r="J29" s="2" t="s">
        <v>528</v>
      </c>
      <c r="K29" s="120" t="str">
        <f>IFERROR(VLOOKUP(H29,'Bridge matrix'!$A$3:$E$731,3,FALSE),"no")</f>
        <v>Cereales preparados (nestum, corn flakles, otro)</v>
      </c>
      <c r="L29" s="120" t="str">
        <f t="shared" si="1"/>
        <v>Cereales preparados (nestum, corn flakles, otro)</v>
      </c>
      <c r="M29" s="120" t="str">
        <f t="shared" si="2"/>
        <v>Cereales preparados (nestum, corn flakles, otro)</v>
      </c>
      <c r="N29" s="120" t="str">
        <f t="shared" si="4"/>
        <v>Cereales preparados (nestum, corn flakles, otro)</v>
      </c>
      <c r="O29" s="2" t="e">
        <f>VLOOKUP(N29,'Bridge matrix'!$D$3:$E$731,2,FALSE)</f>
        <v>#N/A</v>
      </c>
      <c r="Q29" s="18"/>
      <c r="R29" s="80"/>
      <c r="S29" s="80"/>
      <c r="T29" s="80"/>
    </row>
    <row r="30" spans="1:20" x14ac:dyDescent="0.25">
      <c r="A30" s="2" t="s">
        <v>593</v>
      </c>
      <c r="B30" s="2" t="s">
        <v>595</v>
      </c>
      <c r="C30" s="2" t="s">
        <v>598</v>
      </c>
      <c r="D30" s="2" t="s">
        <v>598</v>
      </c>
      <c r="F30" s="2" t="s">
        <v>1848</v>
      </c>
      <c r="G30" s="2" t="str">
        <f t="shared" si="6"/>
        <v>01.1.1.506</v>
      </c>
      <c r="H30" s="83" t="s">
        <v>529</v>
      </c>
      <c r="I30" s="83" t="str">
        <f t="shared" si="3"/>
        <v>0111506</v>
      </c>
      <c r="J30" s="2" t="s">
        <v>530</v>
      </c>
      <c r="K30" s="120" t="str">
        <f>IFERROR(VLOOKUP(H30,'Bridge matrix'!$A$3:$E$731,3,FALSE),"no")</f>
        <v>Chulpi</v>
      </c>
      <c r="L30" s="120" t="str">
        <f t="shared" si="1"/>
        <v>Chulpi</v>
      </c>
      <c r="M30" s="120" t="str">
        <f t="shared" si="2"/>
        <v>Chulpi</v>
      </c>
      <c r="N30" s="120" t="str">
        <f t="shared" si="4"/>
        <v>Chulpi</v>
      </c>
      <c r="O30" s="2" t="e">
        <f>VLOOKUP(N30,'Bridge matrix'!$D$3:$E$731,2,FALSE)</f>
        <v>#N/A</v>
      </c>
      <c r="Q30" s="18"/>
      <c r="R30" s="80"/>
      <c r="S30" s="80"/>
      <c r="T30" s="80"/>
    </row>
    <row r="31" spans="1:20" x14ac:dyDescent="0.25">
      <c r="A31" s="2" t="s">
        <v>593</v>
      </c>
      <c r="B31" s="2" t="s">
        <v>595</v>
      </c>
      <c r="C31" s="2" t="s">
        <v>598</v>
      </c>
      <c r="D31" s="2" t="s">
        <v>598</v>
      </c>
      <c r="F31" s="2" t="s">
        <v>1849</v>
      </c>
      <c r="G31" s="2" t="str">
        <f t="shared" si="6"/>
        <v>01.1.1.507</v>
      </c>
      <c r="H31" s="83" t="s">
        <v>531</v>
      </c>
      <c r="I31" s="83" t="str">
        <f t="shared" si="3"/>
        <v>0111507</v>
      </c>
      <c r="J31" s="2" t="s">
        <v>532</v>
      </c>
      <c r="K31" s="120" t="str">
        <f>IFERROR(VLOOKUP(H31,'Bridge matrix'!$A$3:$E$731,3,FALSE),"no")</f>
        <v>Fécula de patata</v>
      </c>
      <c r="L31" s="120" t="str">
        <f t="shared" si="1"/>
        <v>Fécula de patata</v>
      </c>
      <c r="M31" s="120" t="str">
        <f t="shared" si="2"/>
        <v>Fécula de patata</v>
      </c>
      <c r="N31" s="120" t="str">
        <f t="shared" si="4"/>
        <v>Fécula de patata</v>
      </c>
      <c r="O31" s="2" t="e">
        <f>VLOOKUP(N31,'Bridge matrix'!$D$3:$E$731,2,FALSE)</f>
        <v>#N/A</v>
      </c>
      <c r="Q31" s="18"/>
      <c r="R31" s="80"/>
      <c r="S31" s="80"/>
      <c r="T31" s="80"/>
    </row>
    <row r="32" spans="1:20" x14ac:dyDescent="0.25">
      <c r="A32" s="2" t="s">
        <v>593</v>
      </c>
      <c r="B32" s="2" t="s">
        <v>595</v>
      </c>
      <c r="C32" s="2" t="s">
        <v>598</v>
      </c>
      <c r="D32" s="2" t="s">
        <v>598</v>
      </c>
      <c r="F32" s="2" t="s">
        <v>1850</v>
      </c>
      <c r="G32" s="2" t="str">
        <f t="shared" si="6"/>
        <v>01.1.1.508</v>
      </c>
      <c r="H32" s="83" t="s">
        <v>533</v>
      </c>
      <c r="I32" s="83" t="str">
        <f t="shared" si="3"/>
        <v>0111508</v>
      </c>
      <c r="J32" s="2" t="s">
        <v>534</v>
      </c>
      <c r="K32" s="120" t="str">
        <f>IFERROR(VLOOKUP(H32,'Bridge matrix'!$A$3:$E$731,3,FALSE),"no")</f>
        <v>Fécula o extracto de malta en liquido</v>
      </c>
      <c r="L32" s="120" t="str">
        <f t="shared" si="1"/>
        <v>Fécula o extracto de malta en liquido</v>
      </c>
      <c r="M32" s="120" t="str">
        <f t="shared" si="2"/>
        <v>Fécula o extracto de malta en liquido</v>
      </c>
      <c r="N32" s="120" t="str">
        <f t="shared" si="4"/>
        <v>Fécula o extracto de malta en liquido</v>
      </c>
      <c r="O32" s="2" t="e">
        <f>VLOOKUP(N32,'Bridge matrix'!$D$3:$E$731,2,FALSE)</f>
        <v>#N/A</v>
      </c>
      <c r="Q32" s="18"/>
      <c r="R32" s="80"/>
      <c r="S32" s="80"/>
      <c r="T32" s="80"/>
    </row>
    <row r="33" spans="1:20" x14ac:dyDescent="0.25">
      <c r="A33" s="2" t="s">
        <v>593</v>
      </c>
      <c r="B33" s="2" t="s">
        <v>595</v>
      </c>
      <c r="C33" s="2" t="s">
        <v>598</v>
      </c>
      <c r="D33" s="2" t="s">
        <v>598</v>
      </c>
      <c r="F33" s="2" t="s">
        <v>1851</v>
      </c>
      <c r="G33" s="2" t="str">
        <f t="shared" si="6"/>
        <v>01.1.1.509</v>
      </c>
      <c r="H33" s="83" t="s">
        <v>535</v>
      </c>
      <c r="I33" s="83" t="str">
        <f t="shared" si="3"/>
        <v>0111509</v>
      </c>
      <c r="J33" s="2" t="s">
        <v>536</v>
      </c>
      <c r="K33" s="120" t="str">
        <f>IFERROR(VLOOKUP(H33,'Bridge matrix'!$A$3:$E$731,3,FALSE),"no")</f>
        <v>Fécula o extracto de malta en polvo</v>
      </c>
      <c r="L33" s="120" t="str">
        <f t="shared" si="1"/>
        <v>Fécula o extracto de malta en polvo</v>
      </c>
      <c r="M33" s="120" t="str">
        <f t="shared" si="2"/>
        <v>Fécula o extracto de malta en polvo</v>
      </c>
      <c r="N33" s="120" t="str">
        <f t="shared" si="4"/>
        <v>Fécula o extracto de malta en polvo</v>
      </c>
      <c r="O33" s="2" t="e">
        <f>VLOOKUP(N33,'Bridge matrix'!$D$3:$E$731,2,FALSE)</f>
        <v>#N/A</v>
      </c>
      <c r="Q33" s="18"/>
      <c r="R33" s="80"/>
      <c r="S33" s="80"/>
      <c r="T33" s="80"/>
    </row>
    <row r="34" spans="1:20" x14ac:dyDescent="0.25">
      <c r="A34" s="2" t="s">
        <v>593</v>
      </c>
      <c r="B34" s="2" t="s">
        <v>595</v>
      </c>
      <c r="C34" s="2" t="s">
        <v>598</v>
      </c>
      <c r="D34" s="2" t="s">
        <v>598</v>
      </c>
      <c r="F34" s="2" t="s">
        <v>1852</v>
      </c>
      <c r="G34" s="2" t="str">
        <f t="shared" si="6"/>
        <v>01.1.1.510</v>
      </c>
      <c r="H34" s="83" t="s">
        <v>512</v>
      </c>
      <c r="I34" s="83" t="str">
        <f t="shared" si="3"/>
        <v>0111510</v>
      </c>
      <c r="J34" s="2" t="s">
        <v>1865</v>
      </c>
      <c r="K34" s="120" t="str">
        <f>IFERROR(VLOOKUP(H34,'Bridge matrix'!$A$3:$E$731,3,FALSE),"no")</f>
        <v>Maíz en grano seco</v>
      </c>
      <c r="L34" s="120" t="str">
        <f t="shared" si="1"/>
        <v>Maíz en grano seco</v>
      </c>
      <c r="M34" s="120" t="str">
        <f t="shared" si="2"/>
        <v>Maíz en grano seco</v>
      </c>
      <c r="N34" s="120" t="str">
        <f t="shared" si="4"/>
        <v>Maíz en grano seco</v>
      </c>
      <c r="O34" s="2" t="e">
        <f>VLOOKUP(N34,'Bridge matrix'!$D$3:$E$731,2,FALSE)</f>
        <v>#N/A</v>
      </c>
      <c r="Q34" s="18"/>
      <c r="R34" s="80"/>
      <c r="S34" s="80"/>
      <c r="T34" s="80"/>
    </row>
    <row r="35" spans="1:20" x14ac:dyDescent="0.25">
      <c r="A35" s="2" t="s">
        <v>593</v>
      </c>
      <c r="B35" s="2" t="s">
        <v>595</v>
      </c>
      <c r="C35" s="2" t="s">
        <v>598</v>
      </c>
      <c r="D35" s="2" t="s">
        <v>598</v>
      </c>
      <c r="F35" s="2" t="s">
        <v>1853</v>
      </c>
      <c r="G35" s="2" t="str">
        <f t="shared" si="6"/>
        <v>01.1.1.511</v>
      </c>
      <c r="H35" s="83" t="s">
        <v>513</v>
      </c>
      <c r="I35" s="83" t="str">
        <f t="shared" si="3"/>
        <v>0111511</v>
      </c>
      <c r="J35" s="2" t="s">
        <v>514</v>
      </c>
      <c r="K35" s="120" t="str">
        <f>IFERROR(VLOOKUP(H35,'Bridge matrix'!$A$3:$E$731,3,FALSE),"no")</f>
        <v>Maíz en mazorca seco</v>
      </c>
      <c r="L35" s="120" t="str">
        <f t="shared" si="1"/>
        <v>Maíz en mazorca seco</v>
      </c>
      <c r="M35" s="120" t="str">
        <f t="shared" si="2"/>
        <v>Maíz en mazorca seco</v>
      </c>
      <c r="N35" s="120" t="str">
        <f t="shared" si="4"/>
        <v>Maíz en mazorca seco</v>
      </c>
      <c r="O35" s="2" t="e">
        <f>VLOOKUP(N35,'Bridge matrix'!$D$3:$E$731,2,FALSE)</f>
        <v>#N/A</v>
      </c>
      <c r="Q35" s="18"/>
      <c r="R35" s="80"/>
      <c r="S35" s="80"/>
      <c r="T35" s="80"/>
    </row>
    <row r="36" spans="1:20" x14ac:dyDescent="0.25">
      <c r="A36" s="2" t="s">
        <v>593</v>
      </c>
      <c r="B36" s="2" t="s">
        <v>595</v>
      </c>
      <c r="C36" s="2" t="s">
        <v>598</v>
      </c>
      <c r="D36" s="2" t="s">
        <v>598</v>
      </c>
      <c r="F36" s="2" t="s">
        <v>1854</v>
      </c>
      <c r="G36" s="2" t="str">
        <f t="shared" si="6"/>
        <v>01.1.1.512</v>
      </c>
      <c r="H36" s="83" t="s">
        <v>537</v>
      </c>
      <c r="I36" s="83" t="str">
        <f t="shared" si="3"/>
        <v>0111512</v>
      </c>
      <c r="J36" s="2" t="s">
        <v>538</v>
      </c>
      <c r="K36" s="120" t="str">
        <f>IFERROR(VLOOKUP(H36,'Bridge matrix'!$A$3:$E$731,3,FALSE),"no")</f>
        <v>Malta (cebada malteada)</v>
      </c>
      <c r="L36" s="120" t="str">
        <f t="shared" si="1"/>
        <v>Malta (cebada malteada)</v>
      </c>
      <c r="M36" s="120" t="str">
        <f t="shared" si="2"/>
        <v>Malta (cebada malteada)</v>
      </c>
      <c r="N36" s="120" t="str">
        <f t="shared" si="4"/>
        <v>Malta (cebada malteada)</v>
      </c>
      <c r="O36" s="2" t="e">
        <f>VLOOKUP(N36,'Bridge matrix'!$D$3:$E$731,2,FALSE)</f>
        <v>#N/A</v>
      </c>
      <c r="Q36" s="18"/>
      <c r="R36" s="80"/>
      <c r="S36" s="80"/>
      <c r="T36" s="80"/>
    </row>
    <row r="37" spans="1:20" x14ac:dyDescent="0.25">
      <c r="A37" s="2" t="s">
        <v>593</v>
      </c>
      <c r="B37" s="2" t="s">
        <v>595</v>
      </c>
      <c r="C37" s="2" t="s">
        <v>598</v>
      </c>
      <c r="D37" s="2" t="s">
        <v>598</v>
      </c>
      <c r="F37" s="2" t="s">
        <v>1855</v>
      </c>
      <c r="G37" s="2" t="str">
        <f t="shared" si="6"/>
        <v>01.1.1.513</v>
      </c>
      <c r="H37" s="83" t="s">
        <v>539</v>
      </c>
      <c r="I37" s="83" t="str">
        <f t="shared" si="3"/>
        <v>0111513</v>
      </c>
      <c r="J37" s="2" t="s">
        <v>540</v>
      </c>
      <c r="K37" s="120" t="str">
        <f>IFERROR(VLOOKUP(H37,'Bridge matrix'!$A$3:$E$731,3,FALSE),"no")</f>
        <v>Morocho</v>
      </c>
      <c r="L37" s="120" t="str">
        <f t="shared" si="1"/>
        <v>Morocho</v>
      </c>
      <c r="M37" s="120" t="str">
        <f t="shared" si="2"/>
        <v>Morocho</v>
      </c>
      <c r="N37" s="120" t="str">
        <f t="shared" si="4"/>
        <v>Morocho</v>
      </c>
      <c r="O37" s="2" t="e">
        <f>VLOOKUP(N37,'Bridge matrix'!$D$3:$E$731,2,FALSE)</f>
        <v>#N/A</v>
      </c>
      <c r="Q37" s="18"/>
      <c r="R37" s="80"/>
      <c r="S37" s="80"/>
      <c r="T37" s="80"/>
    </row>
    <row r="38" spans="1:20" x14ac:dyDescent="0.25">
      <c r="A38" s="2" t="s">
        <v>593</v>
      </c>
      <c r="B38" s="2" t="s">
        <v>595</v>
      </c>
      <c r="C38" s="2" t="s">
        <v>598</v>
      </c>
      <c r="D38" s="2" t="s">
        <v>598</v>
      </c>
      <c r="F38" s="2" t="s">
        <v>1856</v>
      </c>
      <c r="G38" s="2" t="str">
        <f t="shared" si="6"/>
        <v>01.1.1.514</v>
      </c>
      <c r="H38" s="83" t="s">
        <v>511</v>
      </c>
      <c r="I38" s="83" t="str">
        <f t="shared" si="3"/>
        <v>0111514</v>
      </c>
      <c r="J38" s="2" t="s">
        <v>1866</v>
      </c>
      <c r="K38" s="120" t="str">
        <f>IFERROR(VLOOKUP(H38,'Bridge matrix'!$A$3:$E$731,3,FALSE),"no")</f>
        <v>Mote (maíz suave seco)</v>
      </c>
      <c r="L38" s="120" t="str">
        <f t="shared" si="1"/>
        <v>Mote (maíz suave seco)</v>
      </c>
      <c r="M38" s="120" t="str">
        <f t="shared" si="2"/>
        <v>Mote (maíz suave seco)</v>
      </c>
      <c r="N38" s="120" t="str">
        <f t="shared" si="4"/>
        <v>Mote (maíz suave seco)</v>
      </c>
      <c r="O38" s="2" t="e">
        <f>VLOOKUP(N38,'Bridge matrix'!$D$3:$E$731,2,FALSE)</f>
        <v>#N/A</v>
      </c>
      <c r="Q38" s="18"/>
      <c r="R38" s="80"/>
      <c r="S38" s="80"/>
      <c r="T38" s="80"/>
    </row>
    <row r="39" spans="1:20" x14ac:dyDescent="0.25">
      <c r="A39" s="2" t="s">
        <v>593</v>
      </c>
      <c r="B39" s="2" t="s">
        <v>595</v>
      </c>
      <c r="C39" s="2" t="s">
        <v>598</v>
      </c>
      <c r="D39" s="2" t="s">
        <v>598</v>
      </c>
      <c r="F39" s="2" t="s">
        <v>1857</v>
      </c>
      <c r="G39" s="2" t="str">
        <f t="shared" si="6"/>
        <v>01.1.1.515</v>
      </c>
      <c r="H39" s="83" t="s">
        <v>541</v>
      </c>
      <c r="I39" s="83" t="str">
        <f t="shared" si="3"/>
        <v>0111515</v>
      </c>
      <c r="J39" s="2" t="s">
        <v>542</v>
      </c>
      <c r="K39" s="120" t="str">
        <f>IFERROR(VLOOKUP(H39,'Bridge matrix'!$A$3:$E$731,3,FALSE),"no")</f>
        <v>Pinol</v>
      </c>
      <c r="L39" s="120" t="str">
        <f t="shared" si="1"/>
        <v>Pinol</v>
      </c>
      <c r="M39" s="120" t="str">
        <f t="shared" si="2"/>
        <v>Pinol</v>
      </c>
      <c r="N39" s="120" t="str">
        <f t="shared" si="4"/>
        <v>Pinol</v>
      </c>
      <c r="O39" s="2" t="e">
        <f>VLOOKUP(N39,'Bridge matrix'!$D$3:$E$731,2,FALSE)</f>
        <v>#N/A</v>
      </c>
      <c r="Q39" s="18"/>
      <c r="R39" s="80"/>
      <c r="S39" s="80"/>
      <c r="T39" s="80"/>
    </row>
    <row r="40" spans="1:20" x14ac:dyDescent="0.25">
      <c r="A40" s="2" t="s">
        <v>593</v>
      </c>
      <c r="B40" s="2" t="s">
        <v>595</v>
      </c>
      <c r="C40" s="2" t="s">
        <v>598</v>
      </c>
      <c r="D40" s="2" t="s">
        <v>598</v>
      </c>
      <c r="F40" s="2" t="s">
        <v>1858</v>
      </c>
      <c r="G40" s="2" t="str">
        <f t="shared" si="6"/>
        <v>01.1.1.516</v>
      </c>
      <c r="H40" s="83" t="s">
        <v>543</v>
      </c>
      <c r="I40" s="83" t="str">
        <f t="shared" si="3"/>
        <v>0111516</v>
      </c>
      <c r="J40" s="2" t="s">
        <v>544</v>
      </c>
      <c r="K40" s="120" t="str">
        <f>IFERROR(VLOOKUP(H40,'Bridge matrix'!$A$3:$E$731,3,FALSE),"no")</f>
        <v>Quinua</v>
      </c>
      <c r="L40" s="120" t="str">
        <f t="shared" si="1"/>
        <v>Quinua</v>
      </c>
      <c r="M40" s="120" t="str">
        <f t="shared" si="2"/>
        <v>Quinua</v>
      </c>
      <c r="N40" s="120" t="str">
        <f t="shared" si="4"/>
        <v>Quinua</v>
      </c>
      <c r="O40" s="2" t="e">
        <f>VLOOKUP(N40,'Bridge matrix'!$D$3:$E$731,2,FALSE)</f>
        <v>#N/A</v>
      </c>
      <c r="Q40" s="18"/>
      <c r="R40" s="80"/>
      <c r="S40" s="80"/>
      <c r="T40" s="80"/>
    </row>
    <row r="41" spans="1:20" x14ac:dyDescent="0.25">
      <c r="A41" s="2" t="s">
        <v>593</v>
      </c>
      <c r="B41" s="2" t="s">
        <v>595</v>
      </c>
      <c r="C41" s="2" t="s">
        <v>598</v>
      </c>
      <c r="D41" s="2" t="s">
        <v>598</v>
      </c>
      <c r="F41" s="2" t="s">
        <v>1859</v>
      </c>
      <c r="G41" s="2" t="str">
        <f t="shared" si="6"/>
        <v>01.1.1.517</v>
      </c>
      <c r="H41" s="83" t="s">
        <v>545</v>
      </c>
      <c r="I41" s="83" t="str">
        <f t="shared" si="3"/>
        <v>0111517</v>
      </c>
      <c r="J41" s="2" t="s">
        <v>546</v>
      </c>
      <c r="K41" s="120" t="str">
        <f>IFERROR(VLOOKUP(H41,'Bridge matrix'!$A$3:$E$731,3,FALSE),"no")</f>
        <v>Sagú</v>
      </c>
      <c r="L41" s="120" t="str">
        <f t="shared" si="1"/>
        <v>Sagú</v>
      </c>
      <c r="M41" s="120" t="str">
        <f t="shared" si="2"/>
        <v>Sagú</v>
      </c>
      <c r="N41" s="120" t="str">
        <f t="shared" si="4"/>
        <v>Sagú</v>
      </c>
      <c r="O41" s="2" t="e">
        <f>VLOOKUP(N41,'Bridge matrix'!$D$3:$E$731,2,FALSE)</f>
        <v>#N/A</v>
      </c>
      <c r="Q41" s="18"/>
      <c r="R41" s="80"/>
      <c r="S41" s="80"/>
      <c r="T41" s="80"/>
    </row>
    <row r="42" spans="1:20" x14ac:dyDescent="0.25">
      <c r="A42" s="2" t="s">
        <v>593</v>
      </c>
      <c r="B42" s="2" t="s">
        <v>595</v>
      </c>
      <c r="C42" s="2" t="s">
        <v>598</v>
      </c>
      <c r="D42" s="2" t="s">
        <v>598</v>
      </c>
      <c r="F42" s="2" t="s">
        <v>1860</v>
      </c>
      <c r="G42" s="2" t="str">
        <f t="shared" si="6"/>
        <v>01.1.1.518</v>
      </c>
      <c r="H42" s="83" t="s">
        <v>517</v>
      </c>
      <c r="I42" s="83" t="str">
        <f t="shared" si="3"/>
        <v>0111518</v>
      </c>
      <c r="J42" s="2" t="s">
        <v>1867</v>
      </c>
      <c r="K42" s="120" t="str">
        <f>IFERROR(VLOOKUP(H42,'Bridge matrix'!$A$3:$E$731,3,FALSE),"no")</f>
        <v>Sémola de maíz (harina gruesa poco molida)</v>
      </c>
      <c r="L42" s="120" t="str">
        <f t="shared" si="1"/>
        <v>Sémola de maíz (harina gruesa poco molida)</v>
      </c>
      <c r="M42" s="120" t="str">
        <f t="shared" si="2"/>
        <v>Sémola de maíz (harina gruesa poco molida)</v>
      </c>
      <c r="N42" s="120" t="str">
        <f t="shared" si="4"/>
        <v>Sémola de maíz (harina gruesa poco molida)</v>
      </c>
      <c r="O42" s="2" t="e">
        <f>VLOOKUP(N42,'Bridge matrix'!$D$3:$E$731,2,FALSE)</f>
        <v>#N/A</v>
      </c>
      <c r="Q42" s="18"/>
      <c r="R42" s="80"/>
      <c r="S42" s="80"/>
      <c r="T42" s="80"/>
    </row>
    <row r="43" spans="1:20" x14ac:dyDescent="0.25">
      <c r="A43" s="2" t="s">
        <v>593</v>
      </c>
      <c r="B43" s="2" t="s">
        <v>595</v>
      </c>
      <c r="C43" s="2" t="s">
        <v>598</v>
      </c>
      <c r="D43" s="2" t="s">
        <v>598</v>
      </c>
      <c r="F43" s="2" t="s">
        <v>1861</v>
      </c>
      <c r="G43" s="2" t="str">
        <f t="shared" si="6"/>
        <v>01.1.1.519</v>
      </c>
      <c r="H43" s="83" t="s">
        <v>518</v>
      </c>
      <c r="I43" s="83" t="str">
        <f t="shared" si="3"/>
        <v>0111519</v>
      </c>
      <c r="J43" s="2" t="s">
        <v>1868</v>
      </c>
      <c r="K43" s="120" t="str">
        <f>IFERROR(VLOOKUP(H43,'Bridge matrix'!$A$3:$E$731,3,FALSE),"no")</f>
        <v>Sémola de trigo (harina gruesa, poco molida)</v>
      </c>
      <c r="L43" s="120" t="str">
        <f t="shared" si="1"/>
        <v>Sémola de trigo (harina gruesa, poco molida)</v>
      </c>
      <c r="M43" s="120" t="str">
        <f t="shared" si="2"/>
        <v>Sémola de trigo (harina gruesa, poco molida)</v>
      </c>
      <c r="N43" s="120" t="str">
        <f t="shared" si="4"/>
        <v>Sémola de trigo (harina gruesa, poco molida)</v>
      </c>
      <c r="O43" s="2" t="e">
        <f>VLOOKUP(N43,'Bridge matrix'!$D$3:$E$731,2,FALSE)</f>
        <v>#N/A</v>
      </c>
      <c r="Q43" s="18"/>
      <c r="R43" s="80"/>
      <c r="S43" s="80"/>
      <c r="T43" s="80"/>
    </row>
    <row r="44" spans="1:20" x14ac:dyDescent="0.25">
      <c r="A44" s="2" t="s">
        <v>593</v>
      </c>
      <c r="B44" s="2" t="s">
        <v>595</v>
      </c>
      <c r="C44" s="2" t="s">
        <v>598</v>
      </c>
      <c r="D44" s="2" t="s">
        <v>598</v>
      </c>
      <c r="F44" s="2" t="s">
        <v>1862</v>
      </c>
      <c r="G44" s="2" t="str">
        <f t="shared" si="6"/>
        <v>01.1.1.520</v>
      </c>
      <c r="H44" s="83" t="s">
        <v>547</v>
      </c>
      <c r="I44" s="83" t="str">
        <f t="shared" si="3"/>
        <v>0111520</v>
      </c>
      <c r="J44" s="2" t="s">
        <v>548</v>
      </c>
      <c r="K44" s="120" t="str">
        <f>IFERROR(VLOOKUP(H44,'Bridge matrix'!$A$3:$E$731,3,FALSE),"no")</f>
        <v>Soya</v>
      </c>
      <c r="L44" s="120" t="str">
        <f t="shared" si="1"/>
        <v>Soya</v>
      </c>
      <c r="M44" s="120" t="str">
        <f t="shared" si="2"/>
        <v>Soya</v>
      </c>
      <c r="N44" s="120" t="str">
        <f t="shared" si="4"/>
        <v>Soya</v>
      </c>
      <c r="O44" s="2" t="e">
        <f>VLOOKUP(N44,'Bridge matrix'!$D$3:$E$731,2,FALSE)</f>
        <v>#N/A</v>
      </c>
      <c r="Q44" s="18"/>
      <c r="R44" s="80"/>
      <c r="S44" s="80"/>
      <c r="T44" s="80"/>
    </row>
    <row r="45" spans="1:20" x14ac:dyDescent="0.25">
      <c r="A45" s="2" t="s">
        <v>593</v>
      </c>
      <c r="B45" s="2" t="s">
        <v>595</v>
      </c>
      <c r="C45" s="2" t="s">
        <v>598</v>
      </c>
      <c r="D45" s="2" t="s">
        <v>598</v>
      </c>
      <c r="F45" s="2" t="s">
        <v>1863</v>
      </c>
      <c r="G45" s="2" t="str">
        <f t="shared" si="6"/>
        <v>01.1.1.521</v>
      </c>
      <c r="H45" s="83" t="s">
        <v>509</v>
      </c>
      <c r="I45" s="83" t="str">
        <f t="shared" si="3"/>
        <v>0111521</v>
      </c>
      <c r="J45" s="2" t="s">
        <v>510</v>
      </c>
      <c r="K45" s="120" t="str">
        <f>IFERROR(VLOOKUP(H45,'Bridge matrix'!$A$3:$E$731,3,FALSE),"no")</f>
        <v>Trigo y germen de trigo</v>
      </c>
      <c r="L45" s="120" t="str">
        <f t="shared" si="1"/>
        <v>Trigo y germen de trigo</v>
      </c>
      <c r="M45" s="120" t="str">
        <f t="shared" si="2"/>
        <v>Trigo y germen de trigo</v>
      </c>
      <c r="N45" s="120" t="str">
        <f t="shared" si="4"/>
        <v>Trigo y germen de trigo</v>
      </c>
      <c r="O45" s="2" t="e">
        <f>VLOOKUP(N45,'Bridge matrix'!$D$3:$E$731,2,FALSE)</f>
        <v>#N/A</v>
      </c>
      <c r="Q45" s="18"/>
      <c r="R45" s="80"/>
      <c r="S45" s="80"/>
      <c r="T45" s="80"/>
    </row>
    <row r="46" spans="1:20" x14ac:dyDescent="0.25">
      <c r="A46" s="2" t="s">
        <v>593</v>
      </c>
      <c r="B46" s="2" t="s">
        <v>595</v>
      </c>
      <c r="C46" s="2" t="s">
        <v>598</v>
      </c>
      <c r="D46" s="2" t="s">
        <v>598</v>
      </c>
      <c r="F46" s="2" t="s">
        <v>1864</v>
      </c>
      <c r="G46" s="2" t="str">
        <f t="shared" si="6"/>
        <v>01.1.1.599</v>
      </c>
      <c r="H46" s="83" t="s">
        <v>549</v>
      </c>
      <c r="I46" s="83" t="str">
        <f t="shared" si="3"/>
        <v>0111599</v>
      </c>
      <c r="J46" s="2" t="s">
        <v>523</v>
      </c>
      <c r="K46" s="120" t="str">
        <f>IFERROR(VLOOKUP(H46,'Bridge matrix'!$A$3:$E$731,3,FALSE),"no")</f>
        <v>Otros cereales y derivados</v>
      </c>
      <c r="L46" s="120" t="str">
        <f t="shared" si="1"/>
        <v>Otros cereales y derivados</v>
      </c>
      <c r="M46" s="120" t="str">
        <f t="shared" si="2"/>
        <v>Otros cereales y derivados</v>
      </c>
      <c r="N46" s="120" t="str">
        <f t="shared" si="4"/>
        <v>Otros cereales y derivados</v>
      </c>
      <c r="O46" s="2" t="e">
        <f>VLOOKUP(N46,'Bridge matrix'!$D$3:$E$731,2,FALSE)</f>
        <v>#N/A</v>
      </c>
      <c r="Q46" s="18"/>
      <c r="R46" s="80"/>
      <c r="S46" s="80"/>
      <c r="T46" s="80"/>
    </row>
    <row r="47" spans="1:20" x14ac:dyDescent="0.25">
      <c r="A47" s="2" t="s">
        <v>591</v>
      </c>
      <c r="B47" s="2" t="s">
        <v>595</v>
      </c>
      <c r="C47" s="2" t="s">
        <v>598</v>
      </c>
      <c r="D47" s="2" t="s">
        <v>619</v>
      </c>
      <c r="E47" s="2" t="s">
        <v>596</v>
      </c>
      <c r="G47" s="2" t="str">
        <f t="shared" ref="G47:G84" si="7">B47&amp;IF(C47="","","."&amp;C47)&amp;IF(D47="","","."&amp;D47)&amp;IF(E47="","","."&amp;E47)&amp;IF(F47="","","."&amp;F47)</f>
        <v>01.1.2</v>
      </c>
      <c r="H47" s="83" t="s">
        <v>620</v>
      </c>
      <c r="I47" s="83" t="str">
        <f t="shared" si="3"/>
        <v>0112</v>
      </c>
      <c r="J47" s="2" t="s">
        <v>621</v>
      </c>
      <c r="K47" s="120" t="str">
        <f>IFERROR(VLOOKUP(H47,'Bridge matrix'!$A$3:$E$731,3,FALSE),"no")</f>
        <v>CARNES FRESCAS Y CONGELADAS</v>
      </c>
      <c r="L47" s="120" t="str">
        <f t="shared" si="1"/>
        <v>ll</v>
      </c>
      <c r="M47" s="120" t="str">
        <f t="shared" si="2"/>
        <v>ll</v>
      </c>
      <c r="N47" s="120" t="str">
        <f t="shared" si="4"/>
        <v>ll</v>
      </c>
      <c r="O47" s="2" t="str">
        <f>VLOOKUP(N47,'Bridge matrix'!$D$3:$E$731,2,FALSE)</f>
        <v>matched on SC/SSC level</v>
      </c>
    </row>
    <row r="48" spans="1:20" x14ac:dyDescent="0.25">
      <c r="A48" s="2" t="s">
        <v>592</v>
      </c>
      <c r="B48" s="2" t="s">
        <v>595</v>
      </c>
      <c r="C48" s="2" t="s">
        <v>598</v>
      </c>
      <c r="D48" s="2" t="s">
        <v>619</v>
      </c>
      <c r="E48" s="2" t="s">
        <v>602</v>
      </c>
      <c r="G48" s="2" t="str">
        <f t="shared" si="7"/>
        <v>01.1.2.000</v>
      </c>
      <c r="H48" s="83" t="s">
        <v>622</v>
      </c>
      <c r="I48" s="83" t="str">
        <f t="shared" si="3"/>
        <v>0112000</v>
      </c>
      <c r="J48" s="2" t="s">
        <v>623</v>
      </c>
      <c r="K48" s="120" t="str">
        <f>IFERROR(VLOOKUP(H48,'Bridge matrix'!$A$3:$E$731,3,FALSE),"no")</f>
        <v>Carne de bovino fresca, refrigerada o congelada</v>
      </c>
      <c r="L48" s="120" t="str">
        <f t="shared" si="1"/>
        <v>Carne de bovino fresca, refrigerada o congelada</v>
      </c>
      <c r="M48" s="120" t="str">
        <f t="shared" si="2"/>
        <v>Carne de bovino fresca, refrigerada o congelada</v>
      </c>
      <c r="N48" s="120" t="str">
        <f t="shared" si="4"/>
        <v>Carne de bovino fresca, refrigerada o congelada</v>
      </c>
      <c r="O48" s="2" t="e">
        <f>VLOOKUP(N48,'Bridge matrix'!$D$3:$E$731,2,FALSE)</f>
        <v>#N/A</v>
      </c>
    </row>
    <row r="49" spans="1:15" x14ac:dyDescent="0.25">
      <c r="A49" s="2" t="s">
        <v>592</v>
      </c>
      <c r="B49" s="2" t="s">
        <v>595</v>
      </c>
      <c r="C49" s="2" t="s">
        <v>598</v>
      </c>
      <c r="D49" s="2" t="s">
        <v>619</v>
      </c>
      <c r="E49" s="2" t="s">
        <v>605</v>
      </c>
      <c r="G49" s="2" t="str">
        <f t="shared" si="7"/>
        <v>01.1.2.100</v>
      </c>
      <c r="H49" s="83" t="s">
        <v>624</v>
      </c>
      <c r="I49" s="83" t="str">
        <f t="shared" si="3"/>
        <v>0112100</v>
      </c>
      <c r="J49" s="2" t="s">
        <v>625</v>
      </c>
      <c r="K49" s="120" t="str">
        <f>IFERROR(VLOOKUP(H49,'Bridge matrix'!$A$3:$E$731,3,FALSE),"no")</f>
        <v>Carne de porcino fresca, refrigerada o congelada</v>
      </c>
      <c r="L49" s="120" t="str">
        <f t="shared" si="1"/>
        <v>Carne de porcino fresca, refrigerada o congelada</v>
      </c>
      <c r="M49" s="120" t="str">
        <f t="shared" si="2"/>
        <v>Carne de porcino fresca, refrigerada o congelada</v>
      </c>
      <c r="N49" s="120" t="str">
        <f t="shared" si="4"/>
        <v>Carne de porcino fresca, refrigerada o congelada</v>
      </c>
      <c r="O49" s="2" t="e">
        <f>VLOOKUP(N49,'Bridge matrix'!$D$3:$E$731,2,FALSE)</f>
        <v>#N/A</v>
      </c>
    </row>
    <row r="50" spans="1:15" x14ac:dyDescent="0.25">
      <c r="A50" s="2" t="s">
        <v>592</v>
      </c>
      <c r="B50" s="2" t="s">
        <v>595</v>
      </c>
      <c r="C50" s="2" t="s">
        <v>598</v>
      </c>
      <c r="D50" s="2" t="s">
        <v>619</v>
      </c>
      <c r="E50" s="2" t="s">
        <v>608</v>
      </c>
      <c r="G50" s="2" t="str">
        <f t="shared" si="7"/>
        <v>01.1.2.200</v>
      </c>
      <c r="H50" s="83" t="s">
        <v>626</v>
      </c>
      <c r="I50" s="83" t="str">
        <f t="shared" si="3"/>
        <v>0112200</v>
      </c>
      <c r="J50" s="2" t="s">
        <v>627</v>
      </c>
      <c r="K50" s="120" t="str">
        <f>IFERROR(VLOOKUP(H50,'Bridge matrix'!$A$3:$E$731,3,FALSE),"no")</f>
        <v>Carne de ovino y caprino fresca, refrigerada o congelada</v>
      </c>
      <c r="L50" s="120" t="str">
        <f t="shared" si="1"/>
        <v>Carne de ovino y caprino fresca, refrigerada o congelada</v>
      </c>
      <c r="M50" s="120" t="str">
        <f t="shared" si="2"/>
        <v>Carne de ovino y caprino fresca, refrigerada o congelada</v>
      </c>
      <c r="N50" s="120" t="str">
        <f t="shared" si="4"/>
        <v>Carne de ovino y caprino fresca, refrigerada o congelada</v>
      </c>
      <c r="O50" s="2" t="e">
        <f>VLOOKUP(N50,'Bridge matrix'!$D$3:$E$731,2,FALSE)</f>
        <v>#N/A</v>
      </c>
    </row>
    <row r="51" spans="1:15" x14ac:dyDescent="0.25">
      <c r="A51" s="2" t="s">
        <v>592</v>
      </c>
      <c r="B51" s="2" t="s">
        <v>595</v>
      </c>
      <c r="C51" s="2" t="s">
        <v>598</v>
      </c>
      <c r="D51" s="2" t="s">
        <v>619</v>
      </c>
      <c r="E51" s="2" t="s">
        <v>611</v>
      </c>
      <c r="G51" s="2" t="str">
        <f t="shared" si="7"/>
        <v>01.1.2.300</v>
      </c>
      <c r="H51" s="83" t="s">
        <v>628</v>
      </c>
      <c r="I51" s="83" t="str">
        <f t="shared" si="3"/>
        <v>0112300</v>
      </c>
      <c r="J51" s="2" t="s">
        <v>1248</v>
      </c>
      <c r="K51" s="120" t="str">
        <f>IFERROR(VLOOKUP(H51,'Bridge matrix'!$A$3:$E$731,3,FALSE),"no")</f>
        <v>Carne de aves fresca, refrigerada o congelada</v>
      </c>
      <c r="L51" s="120" t="str">
        <f t="shared" si="1"/>
        <v>Carne de aves fresca, refrigerada o congelada</v>
      </c>
      <c r="M51" s="120" t="str">
        <f t="shared" si="2"/>
        <v>Carne de aves fresca, refrigerada o congelada</v>
      </c>
      <c r="N51" s="120" t="str">
        <f t="shared" si="4"/>
        <v>Carne de aves fresca, refrigerada o congelada</v>
      </c>
      <c r="O51" s="2" t="e">
        <f>VLOOKUP(N51,'Bridge matrix'!$D$3:$E$731,2,FALSE)</f>
        <v>#N/A</v>
      </c>
    </row>
    <row r="52" spans="1:15" x14ac:dyDescent="0.25">
      <c r="A52" s="2" t="s">
        <v>592</v>
      </c>
      <c r="B52" s="2" t="s">
        <v>595</v>
      </c>
      <c r="C52" s="2" t="s">
        <v>598</v>
      </c>
      <c r="D52" s="2" t="s">
        <v>619</v>
      </c>
      <c r="E52" s="2" t="s">
        <v>614</v>
      </c>
      <c r="G52" s="2" t="str">
        <f t="shared" si="7"/>
        <v>01.1.2.400</v>
      </c>
      <c r="H52" s="83" t="s">
        <v>629</v>
      </c>
      <c r="I52" s="83" t="str">
        <f t="shared" si="3"/>
        <v>0112400</v>
      </c>
      <c r="J52" s="2" t="s">
        <v>630</v>
      </c>
      <c r="K52" s="120" t="str">
        <f>IFERROR(VLOOKUP(H52,'Bridge matrix'!$A$3:$E$731,3,FALSE),"no")</f>
        <v>Carne de otros animales fresca, refrigerada o congelada</v>
      </c>
      <c r="L52" s="120" t="str">
        <f t="shared" si="1"/>
        <v>Carne de otros animales fresca, refrigerada o congelada</v>
      </c>
      <c r="M52" s="120" t="str">
        <f t="shared" si="2"/>
        <v>Carne de otros animales fresca, refrigerada o congelada</v>
      </c>
      <c r="N52" s="120" t="str">
        <f t="shared" si="4"/>
        <v>Carne de otros animales fresca, refrigerada o congelada</v>
      </c>
      <c r="O52" s="2" t="e">
        <f>VLOOKUP(N52,'Bridge matrix'!$D$3:$E$731,2,FALSE)</f>
        <v>#N/A</v>
      </c>
    </row>
    <row r="53" spans="1:15" x14ac:dyDescent="0.25">
      <c r="A53" s="2" t="s">
        <v>592</v>
      </c>
      <c r="B53" s="2" t="s">
        <v>595</v>
      </c>
      <c r="C53" s="2" t="s">
        <v>598</v>
      </c>
      <c r="D53" s="2" t="s">
        <v>619</v>
      </c>
      <c r="E53" s="2" t="s">
        <v>617</v>
      </c>
      <c r="G53" s="2" t="str">
        <f t="shared" si="7"/>
        <v>01.1.2.500</v>
      </c>
      <c r="H53" s="83" t="s">
        <v>631</v>
      </c>
      <c r="I53" s="83" t="str">
        <f t="shared" si="3"/>
        <v>0112500</v>
      </c>
      <c r="J53" s="2" t="s">
        <v>632</v>
      </c>
      <c r="K53" s="120" t="str">
        <f>IFERROR(VLOOKUP(H53,'Bridge matrix'!$A$3:$E$731,3,FALSE),"no")</f>
        <v>Carnes preparadas y procesadas</v>
      </c>
      <c r="L53" s="120" t="str">
        <f t="shared" si="1"/>
        <v>Carnes preparadas y procesadas</v>
      </c>
      <c r="M53" s="120" t="str">
        <f t="shared" si="2"/>
        <v>Carnes preparadas y procesadas</v>
      </c>
      <c r="N53" s="120" t="str">
        <f t="shared" si="4"/>
        <v>Carnes preparadas y procesadas</v>
      </c>
      <c r="O53" s="2" t="e">
        <f>VLOOKUP(N53,'Bridge matrix'!$D$3:$E$731,2,FALSE)</f>
        <v>#N/A</v>
      </c>
    </row>
    <row r="54" spans="1:15" x14ac:dyDescent="0.25">
      <c r="A54" s="2" t="s">
        <v>591</v>
      </c>
      <c r="B54" s="2" t="s">
        <v>595</v>
      </c>
      <c r="C54" s="2" t="s">
        <v>598</v>
      </c>
      <c r="D54" s="2" t="s">
        <v>633</v>
      </c>
      <c r="E54" s="2" t="s">
        <v>596</v>
      </c>
      <c r="G54" s="2" t="str">
        <f t="shared" si="7"/>
        <v>01.1.3</v>
      </c>
      <c r="H54" s="83" t="s">
        <v>634</v>
      </c>
      <c r="I54" s="83" t="str">
        <f t="shared" si="3"/>
        <v>0113</v>
      </c>
      <c r="J54" s="2" t="s">
        <v>635</v>
      </c>
      <c r="K54" s="120" t="str">
        <f>IFERROR(VLOOKUP(H54,'Bridge matrix'!$A$3:$E$731,3,FALSE),"no")</f>
        <v>PESCADOS Y MARISCOS FRESCOS, PROCESADOS</v>
      </c>
      <c r="L54" s="120" t="str">
        <f t="shared" si="1"/>
        <v>ll</v>
      </c>
      <c r="M54" s="120" t="str">
        <f t="shared" si="2"/>
        <v>ll</v>
      </c>
      <c r="N54" s="120" t="str">
        <f t="shared" si="4"/>
        <v>ll</v>
      </c>
      <c r="O54" s="2" t="str">
        <f>VLOOKUP(N54,'Bridge matrix'!$D$3:$E$731,2,FALSE)</f>
        <v>matched on SC/SSC level</v>
      </c>
    </row>
    <row r="55" spans="1:15" x14ac:dyDescent="0.25">
      <c r="A55" s="2" t="s">
        <v>592</v>
      </c>
      <c r="B55" s="2" t="s">
        <v>595</v>
      </c>
      <c r="C55" s="2" t="s">
        <v>598</v>
      </c>
      <c r="D55" s="2" t="s">
        <v>633</v>
      </c>
      <c r="E55" s="2" t="s">
        <v>602</v>
      </c>
      <c r="G55" s="2" t="str">
        <f t="shared" si="7"/>
        <v>01.1.3.000</v>
      </c>
      <c r="H55" s="83" t="s">
        <v>636</v>
      </c>
      <c r="I55" s="83" t="str">
        <f t="shared" si="3"/>
        <v>0113000</v>
      </c>
      <c r="J55" s="2" t="s">
        <v>1249</v>
      </c>
      <c r="K55" s="120" t="str">
        <f>IFERROR(VLOOKUP(H55,'Bridge matrix'!$A$3:$E$731,3,FALSE),"no")</f>
        <v>Pescados frescos, refrigerados y congeladas</v>
      </c>
      <c r="L55" s="120" t="str">
        <f t="shared" si="1"/>
        <v>Pescados frescos, refrigerados y congeladas</v>
      </c>
      <c r="M55" s="120" t="str">
        <f t="shared" si="2"/>
        <v>Pescados frescos, refrigerados y congeladas</v>
      </c>
      <c r="N55" s="120" t="str">
        <f t="shared" si="4"/>
        <v>Pescados frescos, refrigerados y congeladas</v>
      </c>
      <c r="O55" s="2" t="e">
        <f>VLOOKUP(N55,'Bridge matrix'!$D$3:$E$731,2,FALSE)</f>
        <v>#N/A</v>
      </c>
    </row>
    <row r="56" spans="1:15" x14ac:dyDescent="0.25">
      <c r="A56" s="2" t="s">
        <v>593</v>
      </c>
      <c r="B56" s="2" t="s">
        <v>595</v>
      </c>
      <c r="C56" s="2" t="s">
        <v>598</v>
      </c>
      <c r="D56" s="2" t="s">
        <v>633</v>
      </c>
      <c r="F56" s="2" t="s">
        <v>835</v>
      </c>
      <c r="G56" s="2" t="str">
        <f t="shared" si="7"/>
        <v>01.1.3.001</v>
      </c>
      <c r="H56" s="83" t="s">
        <v>1250</v>
      </c>
      <c r="I56" s="83" t="str">
        <f t="shared" si="3"/>
        <v>0113001</v>
      </c>
      <c r="J56" s="2" t="s">
        <v>1297</v>
      </c>
      <c r="K56" s="120" t="str">
        <f>IFERROR(VLOOKUP(H56,'Bridge matrix'!$A$3:$E$731,3,FALSE),"no")</f>
        <v>Albacora</v>
      </c>
      <c r="L56" s="120" t="str">
        <f t="shared" si="1"/>
        <v>Albacora</v>
      </c>
      <c r="M56" s="120" t="str">
        <f t="shared" si="2"/>
        <v>Albacora</v>
      </c>
      <c r="N56" s="120" t="str">
        <f t="shared" si="4"/>
        <v>Albacora</v>
      </c>
      <c r="O56" s="2" t="e">
        <f>VLOOKUP(N56,'Bridge matrix'!$D$3:$E$731,2,FALSE)</f>
        <v>#N/A</v>
      </c>
    </row>
    <row r="57" spans="1:15" x14ac:dyDescent="0.25">
      <c r="A57" s="2" t="s">
        <v>593</v>
      </c>
      <c r="B57" s="2" t="s">
        <v>595</v>
      </c>
      <c r="C57" s="2" t="s">
        <v>598</v>
      </c>
      <c r="D57" s="2" t="s">
        <v>633</v>
      </c>
      <c r="F57" s="2" t="s">
        <v>838</v>
      </c>
      <c r="G57" s="2" t="str">
        <f t="shared" si="7"/>
        <v>01.1.3.002</v>
      </c>
      <c r="H57" s="83" t="s">
        <v>1251</v>
      </c>
      <c r="I57" s="83" t="str">
        <f t="shared" si="3"/>
        <v>0113002</v>
      </c>
      <c r="J57" s="2" t="s">
        <v>1298</v>
      </c>
      <c r="K57" s="120" t="str">
        <f>IFERROR(VLOOKUP(H57,'Bridge matrix'!$A$3:$E$731,3,FALSE),"no")</f>
        <v>Ancas de Rana</v>
      </c>
      <c r="L57" s="120" t="str">
        <f t="shared" si="1"/>
        <v>Ancas de Rana</v>
      </c>
      <c r="M57" s="120" t="str">
        <f t="shared" si="2"/>
        <v>Ancas de Rana</v>
      </c>
      <c r="N57" s="120" t="str">
        <f t="shared" si="4"/>
        <v>Ancas de Rana</v>
      </c>
      <c r="O57" s="2" t="e">
        <f>VLOOKUP(N57,'Bridge matrix'!$D$3:$E$731,2,FALSE)</f>
        <v>#N/A</v>
      </c>
    </row>
    <row r="58" spans="1:15" x14ac:dyDescent="0.25">
      <c r="A58" s="2" t="s">
        <v>593</v>
      </c>
      <c r="B58" s="2" t="s">
        <v>595</v>
      </c>
      <c r="C58" s="2" t="s">
        <v>598</v>
      </c>
      <c r="D58" s="2" t="s">
        <v>633</v>
      </c>
      <c r="F58" s="2" t="s">
        <v>849</v>
      </c>
      <c r="G58" s="2" t="str">
        <f t="shared" si="7"/>
        <v>01.1.3.003</v>
      </c>
      <c r="H58" s="83" t="s">
        <v>1252</v>
      </c>
      <c r="I58" s="83" t="str">
        <f t="shared" si="3"/>
        <v>0113003</v>
      </c>
      <c r="J58" s="2" t="s">
        <v>1299</v>
      </c>
      <c r="K58" s="120" t="str">
        <f>IFERROR(VLOOKUP(H58,'Bridge matrix'!$A$3:$E$731,3,FALSE),"no")</f>
        <v>Anchoas</v>
      </c>
      <c r="L58" s="120" t="str">
        <f t="shared" si="1"/>
        <v>Anchoas</v>
      </c>
      <c r="M58" s="120" t="str">
        <f t="shared" si="2"/>
        <v>Anchoas</v>
      </c>
      <c r="N58" s="120" t="str">
        <f t="shared" si="4"/>
        <v>Anchoas</v>
      </c>
      <c r="O58" s="2" t="e">
        <f>VLOOKUP(N58,'Bridge matrix'!$D$3:$E$731,2,FALSE)</f>
        <v>#N/A</v>
      </c>
    </row>
    <row r="59" spans="1:15" x14ac:dyDescent="0.25">
      <c r="A59" s="2" t="s">
        <v>593</v>
      </c>
      <c r="B59" s="2" t="s">
        <v>595</v>
      </c>
      <c r="C59" s="2" t="s">
        <v>598</v>
      </c>
      <c r="D59" s="2" t="s">
        <v>633</v>
      </c>
      <c r="F59" s="2" t="s">
        <v>874</v>
      </c>
      <c r="G59" s="2" t="str">
        <f t="shared" si="7"/>
        <v>01.1.3.004</v>
      </c>
      <c r="H59" s="83" t="s">
        <v>1253</v>
      </c>
      <c r="I59" s="83" t="str">
        <f t="shared" si="3"/>
        <v>0113004</v>
      </c>
      <c r="J59" s="2" t="s">
        <v>1300</v>
      </c>
      <c r="K59" s="120" t="str">
        <f>IFERROR(VLOOKUP(H59,'Bridge matrix'!$A$3:$E$731,3,FALSE),"no")</f>
        <v>Atún fresco</v>
      </c>
      <c r="L59" s="120" t="str">
        <f t="shared" si="1"/>
        <v>Atún fresco</v>
      </c>
      <c r="M59" s="120" t="str">
        <f t="shared" si="2"/>
        <v>Atún fresco</v>
      </c>
      <c r="N59" s="120" t="str">
        <f t="shared" si="4"/>
        <v>Atún fresco</v>
      </c>
      <c r="O59" s="2" t="e">
        <f>VLOOKUP(N59,'Bridge matrix'!$D$3:$E$731,2,FALSE)</f>
        <v>#N/A</v>
      </c>
    </row>
    <row r="60" spans="1:15" x14ac:dyDescent="0.25">
      <c r="A60" s="2" t="s">
        <v>593</v>
      </c>
      <c r="B60" s="2" t="s">
        <v>595</v>
      </c>
      <c r="C60" s="2" t="s">
        <v>598</v>
      </c>
      <c r="D60" s="2" t="s">
        <v>633</v>
      </c>
      <c r="F60" s="2" t="s">
        <v>877</v>
      </c>
      <c r="G60" s="2" t="str">
        <f t="shared" si="7"/>
        <v>01.1.3.005</v>
      </c>
      <c r="H60" s="83" t="s">
        <v>1254</v>
      </c>
      <c r="I60" s="83" t="str">
        <f t="shared" si="3"/>
        <v>0113005</v>
      </c>
      <c r="J60" s="2" t="s">
        <v>1301</v>
      </c>
      <c r="K60" s="120" t="str">
        <f>IFERROR(VLOOKUP(H60,'Bridge matrix'!$A$3:$E$731,3,FALSE),"no")</f>
        <v>Bacalao</v>
      </c>
      <c r="L60" s="120" t="str">
        <f t="shared" si="1"/>
        <v>Bacalao</v>
      </c>
      <c r="M60" s="120" t="str">
        <f t="shared" si="2"/>
        <v>Bacalao</v>
      </c>
      <c r="N60" s="120" t="str">
        <f t="shared" si="4"/>
        <v>Bacalao</v>
      </c>
      <c r="O60" s="2" t="e">
        <f>VLOOKUP(N60,'Bridge matrix'!$D$3:$E$731,2,FALSE)</f>
        <v>#N/A</v>
      </c>
    </row>
    <row r="61" spans="1:15" x14ac:dyDescent="0.25">
      <c r="A61" s="2" t="s">
        <v>593</v>
      </c>
      <c r="B61" s="2" t="s">
        <v>595</v>
      </c>
      <c r="C61" s="2" t="s">
        <v>598</v>
      </c>
      <c r="D61" s="2" t="s">
        <v>633</v>
      </c>
      <c r="F61" s="2" t="s">
        <v>1024</v>
      </c>
      <c r="G61" s="2" t="str">
        <f t="shared" si="7"/>
        <v>01.1.3.006</v>
      </c>
      <c r="H61" s="83" t="s">
        <v>1255</v>
      </c>
      <c r="I61" s="83" t="str">
        <f t="shared" si="3"/>
        <v>0113006</v>
      </c>
      <c r="J61" s="2" t="s">
        <v>1302</v>
      </c>
      <c r="K61" s="120" t="str">
        <f>IFERROR(VLOOKUP(H61,'Bridge matrix'!$A$3:$E$731,3,FALSE),"no")</f>
        <v>Bagre</v>
      </c>
      <c r="L61" s="120" t="str">
        <f t="shared" si="1"/>
        <v>Bagre</v>
      </c>
      <c r="M61" s="120" t="str">
        <f t="shared" si="2"/>
        <v>Bagre</v>
      </c>
      <c r="N61" s="120" t="str">
        <f t="shared" si="4"/>
        <v>Bagre</v>
      </c>
      <c r="O61" s="2" t="e">
        <f>VLOOKUP(N61,'Bridge matrix'!$D$3:$E$731,2,FALSE)</f>
        <v>#N/A</v>
      </c>
    </row>
    <row r="62" spans="1:15" x14ac:dyDescent="0.25">
      <c r="A62" s="2" t="s">
        <v>593</v>
      </c>
      <c r="B62" s="2" t="s">
        <v>595</v>
      </c>
      <c r="C62" s="2" t="s">
        <v>598</v>
      </c>
      <c r="D62" s="2" t="s">
        <v>633</v>
      </c>
      <c r="F62" s="2" t="s">
        <v>1027</v>
      </c>
      <c r="G62" s="2" t="str">
        <f t="shared" si="7"/>
        <v>01.1.3.007</v>
      </c>
      <c r="H62" s="83" t="s">
        <v>1256</v>
      </c>
      <c r="I62" s="83" t="str">
        <f t="shared" si="3"/>
        <v>0113007</v>
      </c>
      <c r="J62" s="2" t="s">
        <v>1303</v>
      </c>
      <c r="K62" s="120" t="str">
        <f>IFERROR(VLOOKUP(H62,'Bridge matrix'!$A$3:$E$731,3,FALSE),"no")</f>
        <v>Bocachico</v>
      </c>
      <c r="L62" s="120" t="str">
        <f t="shared" si="1"/>
        <v>Bocachico</v>
      </c>
      <c r="M62" s="120" t="str">
        <f t="shared" si="2"/>
        <v>Bocachico</v>
      </c>
      <c r="N62" s="120" t="str">
        <f t="shared" si="4"/>
        <v>Bocachico</v>
      </c>
      <c r="O62" s="2" t="e">
        <f>VLOOKUP(N62,'Bridge matrix'!$D$3:$E$731,2,FALSE)</f>
        <v>#N/A</v>
      </c>
    </row>
    <row r="63" spans="1:15" x14ac:dyDescent="0.25">
      <c r="A63" s="2" t="s">
        <v>593</v>
      </c>
      <c r="B63" s="2" t="s">
        <v>595</v>
      </c>
      <c r="C63" s="2" t="s">
        <v>598</v>
      </c>
      <c r="D63" s="2" t="s">
        <v>633</v>
      </c>
      <c r="F63" s="2" t="s">
        <v>1030</v>
      </c>
      <c r="G63" s="2" t="str">
        <f t="shared" si="7"/>
        <v>01.1.3.008</v>
      </c>
      <c r="H63" s="83" t="s">
        <v>1257</v>
      </c>
      <c r="I63" s="83" t="str">
        <f t="shared" si="3"/>
        <v>0113008</v>
      </c>
      <c r="J63" s="2" t="s">
        <v>1304</v>
      </c>
      <c r="K63" s="120" t="str">
        <f>IFERROR(VLOOKUP(H63,'Bridge matrix'!$A$3:$E$731,3,FALSE),"no")</f>
        <v>Camotillo</v>
      </c>
      <c r="L63" s="120" t="str">
        <f t="shared" si="1"/>
        <v>Camotillo</v>
      </c>
      <c r="M63" s="120" t="str">
        <f t="shared" si="2"/>
        <v>Camotillo</v>
      </c>
      <c r="N63" s="120" t="str">
        <f t="shared" si="4"/>
        <v>Camotillo</v>
      </c>
      <c r="O63" s="2" t="e">
        <f>VLOOKUP(N63,'Bridge matrix'!$D$3:$E$731,2,FALSE)</f>
        <v>#N/A</v>
      </c>
    </row>
    <row r="64" spans="1:15" ht="14.25" customHeight="1" x14ac:dyDescent="0.25">
      <c r="A64" s="2" t="s">
        <v>593</v>
      </c>
      <c r="B64" s="2" t="s">
        <v>595</v>
      </c>
      <c r="C64" s="2" t="s">
        <v>598</v>
      </c>
      <c r="D64" s="2" t="s">
        <v>633</v>
      </c>
      <c r="F64" s="2" t="s">
        <v>1278</v>
      </c>
      <c r="G64" s="2" t="str">
        <f t="shared" si="7"/>
        <v>01.1.3.009</v>
      </c>
      <c r="H64" s="83" t="s">
        <v>1258</v>
      </c>
      <c r="I64" s="83" t="str">
        <f t="shared" si="3"/>
        <v>0113009</v>
      </c>
      <c r="J64" s="2" t="s">
        <v>1305</v>
      </c>
      <c r="K64" s="120" t="str">
        <f>IFERROR(VLOOKUP(H64,'Bridge matrix'!$A$3:$E$731,3,FALSE),"no")</f>
        <v>Cherna</v>
      </c>
      <c r="L64" s="120" t="str">
        <f t="shared" si="1"/>
        <v>Cherna</v>
      </c>
      <c r="M64" s="120" t="str">
        <f t="shared" si="2"/>
        <v>Cherna</v>
      </c>
      <c r="N64" s="120" t="str">
        <f t="shared" si="4"/>
        <v>Cherna</v>
      </c>
      <c r="O64" s="2" t="e">
        <f>VLOOKUP(N64,'Bridge matrix'!$D$3:$E$731,2,FALSE)</f>
        <v>#N/A</v>
      </c>
    </row>
    <row r="65" spans="1:15" x14ac:dyDescent="0.25">
      <c r="A65" s="2" t="s">
        <v>593</v>
      </c>
      <c r="B65" s="2" t="s">
        <v>595</v>
      </c>
      <c r="C65" s="2" t="s">
        <v>598</v>
      </c>
      <c r="D65" s="2" t="s">
        <v>633</v>
      </c>
      <c r="F65" s="2" t="s">
        <v>1279</v>
      </c>
      <c r="G65" s="2" t="str">
        <f t="shared" si="7"/>
        <v>01.1.3.010</v>
      </c>
      <c r="H65" s="83" t="s">
        <v>1259</v>
      </c>
      <c r="I65" s="83" t="str">
        <f t="shared" si="3"/>
        <v>0113010</v>
      </c>
      <c r="J65" s="2" t="s">
        <v>1306</v>
      </c>
      <c r="K65" s="120" t="str">
        <f>IFERROR(VLOOKUP(H65,'Bridge matrix'!$A$3:$E$731,3,FALSE),"no")</f>
        <v>Corvina de mar</v>
      </c>
      <c r="L65" s="120" t="str">
        <f t="shared" si="1"/>
        <v>Corvina de mar</v>
      </c>
      <c r="M65" s="120" t="str">
        <f t="shared" si="2"/>
        <v>Corvina de mar</v>
      </c>
      <c r="N65" s="120" t="str">
        <f t="shared" si="4"/>
        <v>Corvina de mar</v>
      </c>
      <c r="O65" s="2" t="e">
        <f>VLOOKUP(N65,'Bridge matrix'!$D$3:$E$731,2,FALSE)</f>
        <v>#N/A</v>
      </c>
    </row>
    <row r="66" spans="1:15" x14ac:dyDescent="0.25">
      <c r="A66" s="2" t="s">
        <v>593</v>
      </c>
      <c r="B66" s="2" t="s">
        <v>595</v>
      </c>
      <c r="C66" s="2" t="s">
        <v>598</v>
      </c>
      <c r="D66" s="2" t="s">
        <v>633</v>
      </c>
      <c r="F66" s="2" t="s">
        <v>1280</v>
      </c>
      <c r="G66" s="2" t="str">
        <f t="shared" si="7"/>
        <v>01.1.3.011</v>
      </c>
      <c r="H66" s="83" t="s">
        <v>1260</v>
      </c>
      <c r="I66" s="83" t="str">
        <f t="shared" si="3"/>
        <v>0113011</v>
      </c>
      <c r="J66" s="2" t="s">
        <v>1307</v>
      </c>
      <c r="K66" s="120" t="str">
        <f>IFERROR(VLOOKUP(H66,'Bridge matrix'!$A$3:$E$731,3,FALSE),"no")</f>
        <v>Corvina de río</v>
      </c>
      <c r="L66" s="120" t="str">
        <f t="shared" ref="L66:L129" si="8">IF(AND(H66=LEFT(H67,LEN(H66)),L67&lt;&gt;"no"),"ll",IF(K66="no","no",K66))</f>
        <v>Corvina de río</v>
      </c>
      <c r="M66" s="120" t="str">
        <f t="shared" ref="M66:M129" si="9">IF(L66&lt;&gt;"no",L66,IF(VLOOKUP(LEFT(H66,6),$H$2:$K$714,3,FALSE)="ll","no",VLOOKUP(LEFT(H66,6),$H$2:$K$714,3,FALSE)))</f>
        <v>Corvina de río</v>
      </c>
      <c r="N66" s="120" t="str">
        <f t="shared" si="4"/>
        <v>Corvina de río</v>
      </c>
      <c r="O66" s="2" t="e">
        <f>VLOOKUP(N66,'Bridge matrix'!$D$3:$E$731,2,FALSE)</f>
        <v>#N/A</v>
      </c>
    </row>
    <row r="67" spans="1:15" x14ac:dyDescent="0.25">
      <c r="A67" s="2" t="s">
        <v>593</v>
      </c>
      <c r="B67" s="2" t="s">
        <v>595</v>
      </c>
      <c r="C67" s="2" t="s">
        <v>598</v>
      </c>
      <c r="D67" s="2" t="s">
        <v>633</v>
      </c>
      <c r="F67" s="2" t="s">
        <v>1281</v>
      </c>
      <c r="G67" s="2" t="str">
        <f t="shared" si="7"/>
        <v>01.1.3.012</v>
      </c>
      <c r="H67" s="83" t="s">
        <v>1261</v>
      </c>
      <c r="I67" s="83" t="str">
        <f t="shared" ref="I67:I130" si="10">B67&amp;C67&amp;D67&amp;E67&amp;F67</f>
        <v>0113012</v>
      </c>
      <c r="J67" s="2" t="s">
        <v>1308</v>
      </c>
      <c r="K67" s="120" t="str">
        <f>IFERROR(VLOOKUP(H67,'Bridge matrix'!$A$3:$E$731,3,FALSE),"no")</f>
        <v>Dorado</v>
      </c>
      <c r="L67" s="120" t="str">
        <f t="shared" si="8"/>
        <v>Dorado</v>
      </c>
      <c r="M67" s="120" t="str">
        <f t="shared" si="9"/>
        <v>Dorado</v>
      </c>
      <c r="N67" s="120" t="str">
        <f t="shared" ref="N67:N130" si="11">M67</f>
        <v>Dorado</v>
      </c>
      <c r="O67" s="2" t="e">
        <f>VLOOKUP(N67,'Bridge matrix'!$D$3:$E$731,2,FALSE)</f>
        <v>#N/A</v>
      </c>
    </row>
    <row r="68" spans="1:15" x14ac:dyDescent="0.25">
      <c r="A68" s="2" t="s">
        <v>593</v>
      </c>
      <c r="B68" s="2" t="s">
        <v>595</v>
      </c>
      <c r="C68" s="2" t="s">
        <v>598</v>
      </c>
      <c r="D68" s="2" t="s">
        <v>633</v>
      </c>
      <c r="F68" s="2" t="s">
        <v>1282</v>
      </c>
      <c r="G68" s="2" t="str">
        <f t="shared" si="7"/>
        <v>01.1.3.013</v>
      </c>
      <c r="H68" s="83" t="s">
        <v>1262</v>
      </c>
      <c r="I68" s="83" t="str">
        <f t="shared" si="10"/>
        <v>0113013</v>
      </c>
      <c r="J68" s="2" t="s">
        <v>1309</v>
      </c>
      <c r="K68" s="120" t="str">
        <f>IFERROR(VLOOKUP(H68,'Bridge matrix'!$A$3:$E$731,3,FALSE),"no")</f>
        <v>Lenguado</v>
      </c>
      <c r="L68" s="120" t="str">
        <f t="shared" si="8"/>
        <v>Lenguado</v>
      </c>
      <c r="M68" s="120" t="str">
        <f t="shared" si="9"/>
        <v>Lenguado</v>
      </c>
      <c r="N68" s="120" t="str">
        <f t="shared" si="11"/>
        <v>Lenguado</v>
      </c>
      <c r="O68" s="2" t="e">
        <f>VLOOKUP(N68,'Bridge matrix'!$D$3:$E$731,2,FALSE)</f>
        <v>#N/A</v>
      </c>
    </row>
    <row r="69" spans="1:15" x14ac:dyDescent="0.25">
      <c r="A69" s="2" t="s">
        <v>593</v>
      </c>
      <c r="B69" s="2" t="s">
        <v>595</v>
      </c>
      <c r="C69" s="2" t="s">
        <v>598</v>
      </c>
      <c r="D69" s="2" t="s">
        <v>633</v>
      </c>
      <c r="F69" s="2" t="s">
        <v>1283</v>
      </c>
      <c r="G69" s="2" t="str">
        <f t="shared" si="7"/>
        <v>01.1.3.014</v>
      </c>
      <c r="H69" s="83" t="s">
        <v>1263</v>
      </c>
      <c r="I69" s="83" t="str">
        <f t="shared" si="10"/>
        <v>0113014</v>
      </c>
      <c r="J69" s="2" t="s">
        <v>1310</v>
      </c>
      <c r="K69" s="120" t="str">
        <f>IFERROR(VLOOKUP(H69,'Bridge matrix'!$A$3:$E$731,3,FALSE),"no")</f>
        <v>Lisa</v>
      </c>
      <c r="L69" s="120" t="str">
        <f t="shared" si="8"/>
        <v>Lisa</v>
      </c>
      <c r="M69" s="120" t="str">
        <f t="shared" si="9"/>
        <v>Lisa</v>
      </c>
      <c r="N69" s="120" t="str">
        <f t="shared" si="11"/>
        <v>Lisa</v>
      </c>
      <c r="O69" s="2" t="e">
        <f>VLOOKUP(N69,'Bridge matrix'!$D$3:$E$731,2,FALSE)</f>
        <v>#N/A</v>
      </c>
    </row>
    <row r="70" spans="1:15" x14ac:dyDescent="0.25">
      <c r="A70" s="2" t="s">
        <v>593</v>
      </c>
      <c r="B70" s="2" t="s">
        <v>595</v>
      </c>
      <c r="C70" s="2" t="s">
        <v>598</v>
      </c>
      <c r="D70" s="2" t="s">
        <v>633</v>
      </c>
      <c r="F70" s="2" t="s">
        <v>1284</v>
      </c>
      <c r="G70" s="2" t="str">
        <f t="shared" si="7"/>
        <v>01.1.3.015</v>
      </c>
      <c r="H70" s="83" t="s">
        <v>1264</v>
      </c>
      <c r="I70" s="83" t="str">
        <f t="shared" si="10"/>
        <v>0113015</v>
      </c>
      <c r="J70" s="2" t="s">
        <v>1311</v>
      </c>
      <c r="K70" s="120" t="str">
        <f>IFERROR(VLOOKUP(H70,'Bridge matrix'!$A$3:$E$731,3,FALSE),"no")</f>
        <v>Merluza</v>
      </c>
      <c r="L70" s="120" t="str">
        <f t="shared" si="8"/>
        <v>Merluza</v>
      </c>
      <c r="M70" s="120" t="str">
        <f t="shared" si="9"/>
        <v>Merluza</v>
      </c>
      <c r="N70" s="120" t="str">
        <f t="shared" si="11"/>
        <v>Merluza</v>
      </c>
      <c r="O70" s="2" t="e">
        <f>VLOOKUP(N70,'Bridge matrix'!$D$3:$E$731,2,FALSE)</f>
        <v>#N/A</v>
      </c>
    </row>
    <row r="71" spans="1:15" x14ac:dyDescent="0.25">
      <c r="A71" s="2" t="s">
        <v>593</v>
      </c>
      <c r="B71" s="2" t="s">
        <v>595</v>
      </c>
      <c r="C71" s="2" t="s">
        <v>598</v>
      </c>
      <c r="D71" s="2" t="s">
        <v>633</v>
      </c>
      <c r="F71" s="2" t="s">
        <v>1285</v>
      </c>
      <c r="G71" s="2" t="str">
        <f t="shared" si="7"/>
        <v>01.1.3.016</v>
      </c>
      <c r="H71" s="83" t="s">
        <v>1265</v>
      </c>
      <c r="I71" s="83" t="str">
        <f t="shared" si="10"/>
        <v>0113016</v>
      </c>
      <c r="J71" s="2" t="s">
        <v>1312</v>
      </c>
      <c r="K71" s="120" t="str">
        <f>IFERROR(VLOOKUP(H71,'Bridge matrix'!$A$3:$E$731,3,FALSE),"no")</f>
        <v>Pargo</v>
      </c>
      <c r="L71" s="120" t="str">
        <f t="shared" si="8"/>
        <v>Pargo</v>
      </c>
      <c r="M71" s="120" t="str">
        <f t="shared" si="9"/>
        <v>Pargo</v>
      </c>
      <c r="N71" s="120" t="str">
        <f t="shared" si="11"/>
        <v>Pargo</v>
      </c>
      <c r="O71" s="2" t="e">
        <f>VLOOKUP(N71,'Bridge matrix'!$D$3:$E$731,2,FALSE)</f>
        <v>#N/A</v>
      </c>
    </row>
    <row r="72" spans="1:15" x14ac:dyDescent="0.25">
      <c r="A72" s="2" t="s">
        <v>593</v>
      </c>
      <c r="B72" s="2" t="s">
        <v>595</v>
      </c>
      <c r="C72" s="2" t="s">
        <v>598</v>
      </c>
      <c r="D72" s="2" t="s">
        <v>633</v>
      </c>
      <c r="F72" s="2" t="s">
        <v>1286</v>
      </c>
      <c r="G72" s="2" t="str">
        <f t="shared" si="7"/>
        <v>01.1.3.017</v>
      </c>
      <c r="H72" s="83" t="s">
        <v>1266</v>
      </c>
      <c r="I72" s="83" t="str">
        <f t="shared" si="10"/>
        <v>0113017</v>
      </c>
      <c r="J72" s="2" t="s">
        <v>1313</v>
      </c>
      <c r="K72" s="120" t="str">
        <f>IFERROR(VLOOKUP(H72,'Bridge matrix'!$A$3:$E$731,3,FALSE),"no")</f>
        <v>Picudo</v>
      </c>
      <c r="L72" s="120" t="str">
        <f t="shared" si="8"/>
        <v>Picudo</v>
      </c>
      <c r="M72" s="120" t="str">
        <f t="shared" si="9"/>
        <v>Picudo</v>
      </c>
      <c r="N72" s="120" t="str">
        <f t="shared" si="11"/>
        <v>Picudo</v>
      </c>
      <c r="O72" s="2" t="e">
        <f>VLOOKUP(N72,'Bridge matrix'!$D$3:$E$731,2,FALSE)</f>
        <v>#N/A</v>
      </c>
    </row>
    <row r="73" spans="1:15" x14ac:dyDescent="0.25">
      <c r="A73" s="2" t="s">
        <v>593</v>
      </c>
      <c r="B73" s="2" t="s">
        <v>595</v>
      </c>
      <c r="C73" s="2" t="s">
        <v>598</v>
      </c>
      <c r="D73" s="2" t="s">
        <v>633</v>
      </c>
      <c r="F73" s="2" t="s">
        <v>1287</v>
      </c>
      <c r="G73" s="2" t="str">
        <f t="shared" si="7"/>
        <v>01.1.3.018</v>
      </c>
      <c r="H73" s="83" t="s">
        <v>1267</v>
      </c>
      <c r="I73" s="83" t="str">
        <f t="shared" si="10"/>
        <v>0113018</v>
      </c>
      <c r="J73" s="2" t="s">
        <v>1314</v>
      </c>
      <c r="K73" s="120" t="str">
        <f>IFERROR(VLOOKUP(H73,'Bridge matrix'!$A$3:$E$731,3,FALSE),"no")</f>
        <v>Pinchagua</v>
      </c>
      <c r="L73" s="120" t="str">
        <f t="shared" si="8"/>
        <v>Pinchagua</v>
      </c>
      <c r="M73" s="120" t="str">
        <f t="shared" si="9"/>
        <v>Pinchagua</v>
      </c>
      <c r="N73" s="120" t="str">
        <f t="shared" si="11"/>
        <v>Pinchagua</v>
      </c>
      <c r="O73" s="2" t="e">
        <f>VLOOKUP(N73,'Bridge matrix'!$D$3:$E$731,2,FALSE)</f>
        <v>#N/A</v>
      </c>
    </row>
    <row r="74" spans="1:15" x14ac:dyDescent="0.25">
      <c r="A74" s="2" t="s">
        <v>593</v>
      </c>
      <c r="B74" s="2" t="s">
        <v>595</v>
      </c>
      <c r="C74" s="2" t="s">
        <v>598</v>
      </c>
      <c r="D74" s="2" t="s">
        <v>633</v>
      </c>
      <c r="F74" s="2" t="s">
        <v>1288</v>
      </c>
      <c r="G74" s="2" t="str">
        <f t="shared" si="7"/>
        <v>01.1.3.019</v>
      </c>
      <c r="H74" s="83" t="s">
        <v>1268</v>
      </c>
      <c r="I74" s="83" t="str">
        <f t="shared" si="10"/>
        <v>0113019</v>
      </c>
      <c r="J74" s="2" t="s">
        <v>1315</v>
      </c>
      <c r="K74" s="120" t="str">
        <f>IFERROR(VLOOKUP(H74,'Bridge matrix'!$A$3:$E$731,3,FALSE),"no")</f>
        <v>Salmón</v>
      </c>
      <c r="L74" s="120" t="str">
        <f t="shared" si="8"/>
        <v>Salmón</v>
      </c>
      <c r="M74" s="120" t="str">
        <f t="shared" si="9"/>
        <v>Salmón</v>
      </c>
      <c r="N74" s="120" t="str">
        <f t="shared" si="11"/>
        <v>Salmón</v>
      </c>
      <c r="O74" s="2" t="e">
        <f>VLOOKUP(N74,'Bridge matrix'!$D$3:$E$731,2,FALSE)</f>
        <v>#N/A</v>
      </c>
    </row>
    <row r="75" spans="1:15" x14ac:dyDescent="0.25">
      <c r="A75" s="2" t="s">
        <v>593</v>
      </c>
      <c r="B75" s="2" t="s">
        <v>595</v>
      </c>
      <c r="C75" s="2" t="s">
        <v>598</v>
      </c>
      <c r="D75" s="2" t="s">
        <v>633</v>
      </c>
      <c r="F75" s="2" t="s">
        <v>1289</v>
      </c>
      <c r="G75" s="2" t="str">
        <f t="shared" si="7"/>
        <v>01.1.3.020</v>
      </c>
      <c r="H75" s="83" t="s">
        <v>1269</v>
      </c>
      <c r="I75" s="83" t="str">
        <f t="shared" si="10"/>
        <v>0113020</v>
      </c>
      <c r="J75" s="2" t="s">
        <v>1316</v>
      </c>
      <c r="K75" s="120" t="str">
        <f>IFERROR(VLOOKUP(H75,'Bridge matrix'!$A$3:$E$731,3,FALSE),"no")</f>
        <v>Sierra</v>
      </c>
      <c r="L75" s="120" t="str">
        <f t="shared" si="8"/>
        <v>Sierra</v>
      </c>
      <c r="M75" s="120" t="str">
        <f t="shared" si="9"/>
        <v>Sierra</v>
      </c>
      <c r="N75" s="120" t="str">
        <f t="shared" si="11"/>
        <v>Sierra</v>
      </c>
      <c r="O75" s="2" t="e">
        <f>VLOOKUP(N75,'Bridge matrix'!$D$3:$E$731,2,FALSE)</f>
        <v>#N/A</v>
      </c>
    </row>
    <row r="76" spans="1:15" x14ac:dyDescent="0.25">
      <c r="A76" s="2" t="s">
        <v>593</v>
      </c>
      <c r="B76" s="2" t="s">
        <v>595</v>
      </c>
      <c r="C76" s="2" t="s">
        <v>598</v>
      </c>
      <c r="D76" s="2" t="s">
        <v>633</v>
      </c>
      <c r="F76" s="2" t="s">
        <v>1290</v>
      </c>
      <c r="G76" s="2" t="str">
        <f t="shared" si="7"/>
        <v>01.1.3.021</v>
      </c>
      <c r="H76" s="83" t="s">
        <v>1270</v>
      </c>
      <c r="I76" s="83" t="str">
        <f t="shared" si="10"/>
        <v>0113021</v>
      </c>
      <c r="J76" s="2" t="s">
        <v>1317</v>
      </c>
      <c r="K76" s="120" t="str">
        <f>IFERROR(VLOOKUP(H76,'Bridge matrix'!$A$3:$E$731,3,FALSE),"no")</f>
        <v>Tilapia</v>
      </c>
      <c r="L76" s="120" t="str">
        <f t="shared" si="8"/>
        <v>Tilapia</v>
      </c>
      <c r="M76" s="120" t="str">
        <f t="shared" si="9"/>
        <v>Tilapia</v>
      </c>
      <c r="N76" s="120" t="str">
        <f t="shared" si="11"/>
        <v>Tilapia</v>
      </c>
      <c r="O76" s="2" t="e">
        <f>VLOOKUP(N76,'Bridge matrix'!$D$3:$E$731,2,FALSE)</f>
        <v>#N/A</v>
      </c>
    </row>
    <row r="77" spans="1:15" x14ac:dyDescent="0.25">
      <c r="A77" s="2" t="s">
        <v>593</v>
      </c>
      <c r="B77" s="2" t="s">
        <v>595</v>
      </c>
      <c r="C77" s="2" t="s">
        <v>598</v>
      </c>
      <c r="D77" s="2" t="s">
        <v>633</v>
      </c>
      <c r="F77" s="2" t="s">
        <v>1291</v>
      </c>
      <c r="G77" s="2" t="str">
        <f t="shared" si="7"/>
        <v>01.1.3.022</v>
      </c>
      <c r="H77" s="83" t="s">
        <v>1271</v>
      </c>
      <c r="I77" s="83" t="str">
        <f t="shared" si="10"/>
        <v>0113022</v>
      </c>
      <c r="J77" s="2" t="s">
        <v>1318</v>
      </c>
      <c r="K77" s="120" t="str">
        <f>IFERROR(VLOOKUP(H77,'Bridge matrix'!$A$3:$E$731,3,FALSE),"no")</f>
        <v>Toyo (Tiburón)</v>
      </c>
      <c r="L77" s="120" t="str">
        <f t="shared" si="8"/>
        <v>Toyo (Tiburón)</v>
      </c>
      <c r="M77" s="120" t="str">
        <f t="shared" si="9"/>
        <v>Toyo (Tiburón)</v>
      </c>
      <c r="N77" s="120" t="str">
        <f t="shared" si="11"/>
        <v>Toyo (Tiburón)</v>
      </c>
      <c r="O77" s="2" t="e">
        <f>VLOOKUP(N77,'Bridge matrix'!$D$3:$E$731,2,FALSE)</f>
        <v>#N/A</v>
      </c>
    </row>
    <row r="78" spans="1:15" x14ac:dyDescent="0.25">
      <c r="A78" s="2" t="s">
        <v>593</v>
      </c>
      <c r="B78" s="2" t="s">
        <v>595</v>
      </c>
      <c r="C78" s="2" t="s">
        <v>598</v>
      </c>
      <c r="D78" s="2" t="s">
        <v>633</v>
      </c>
      <c r="F78" s="2" t="s">
        <v>1292</v>
      </c>
      <c r="G78" s="2" t="str">
        <f t="shared" si="7"/>
        <v>01.1.3.023</v>
      </c>
      <c r="H78" s="83" t="s">
        <v>1272</v>
      </c>
      <c r="I78" s="83" t="str">
        <f t="shared" si="10"/>
        <v>0113023</v>
      </c>
      <c r="J78" s="2" t="s">
        <v>1319</v>
      </c>
      <c r="K78" s="120" t="str">
        <f>IFERROR(VLOOKUP(H78,'Bridge matrix'!$A$3:$E$731,3,FALSE),"no")</f>
        <v>Trucha</v>
      </c>
      <c r="L78" s="120" t="str">
        <f t="shared" si="8"/>
        <v>Trucha</v>
      </c>
      <c r="M78" s="120" t="str">
        <f t="shared" si="9"/>
        <v>Trucha</v>
      </c>
      <c r="N78" s="120" t="str">
        <f t="shared" si="11"/>
        <v>Trucha</v>
      </c>
      <c r="O78" s="2" t="e">
        <f>VLOOKUP(N78,'Bridge matrix'!$D$3:$E$731,2,FALSE)</f>
        <v>#N/A</v>
      </c>
    </row>
    <row r="79" spans="1:15" x14ac:dyDescent="0.25">
      <c r="A79" s="2" t="s">
        <v>593</v>
      </c>
      <c r="B79" s="2" t="s">
        <v>595</v>
      </c>
      <c r="C79" s="2" t="s">
        <v>598</v>
      </c>
      <c r="D79" s="2" t="s">
        <v>633</v>
      </c>
      <c r="F79" s="2" t="s">
        <v>1293</v>
      </c>
      <c r="G79" s="2" t="str">
        <f t="shared" si="7"/>
        <v>01.1.3.024</v>
      </c>
      <c r="H79" s="83" t="s">
        <v>1273</v>
      </c>
      <c r="I79" s="83" t="str">
        <f t="shared" si="10"/>
        <v>0113024</v>
      </c>
      <c r="J79" s="2" t="s">
        <v>1320</v>
      </c>
      <c r="K79" s="120" t="str">
        <f>IFERROR(VLOOKUP(H79,'Bridge matrix'!$A$3:$E$731,3,FALSE),"no")</f>
        <v>Vieja</v>
      </c>
      <c r="L79" s="120" t="str">
        <f t="shared" si="8"/>
        <v>Vieja</v>
      </c>
      <c r="M79" s="120" t="str">
        <f t="shared" si="9"/>
        <v>Vieja</v>
      </c>
      <c r="N79" s="120" t="str">
        <f t="shared" si="11"/>
        <v>Vieja</v>
      </c>
      <c r="O79" s="2" t="e">
        <f>VLOOKUP(N79,'Bridge matrix'!$D$3:$E$731,2,FALSE)</f>
        <v>#N/A</v>
      </c>
    </row>
    <row r="80" spans="1:15" x14ac:dyDescent="0.25">
      <c r="A80" s="2" t="s">
        <v>593</v>
      </c>
      <c r="B80" s="2" t="s">
        <v>595</v>
      </c>
      <c r="C80" s="2" t="s">
        <v>598</v>
      </c>
      <c r="D80" s="2" t="s">
        <v>633</v>
      </c>
      <c r="F80" s="2" t="s">
        <v>1294</v>
      </c>
      <c r="G80" s="2" t="str">
        <f t="shared" si="7"/>
        <v>01.1.3.025</v>
      </c>
      <c r="H80" s="83" t="s">
        <v>1274</v>
      </c>
      <c r="I80" s="83" t="str">
        <f t="shared" si="10"/>
        <v>0113025</v>
      </c>
      <c r="J80" s="2" t="s">
        <v>1321</v>
      </c>
      <c r="K80" s="120" t="str">
        <f>IFERROR(VLOOKUP(H80,'Bridge matrix'!$A$3:$E$731,3,FALSE),"no")</f>
        <v>Robalo</v>
      </c>
      <c r="L80" s="120" t="str">
        <f t="shared" si="8"/>
        <v>Robalo</v>
      </c>
      <c r="M80" s="120" t="str">
        <f t="shared" si="9"/>
        <v>Robalo</v>
      </c>
      <c r="N80" s="120" t="str">
        <f t="shared" si="11"/>
        <v>Robalo</v>
      </c>
      <c r="O80" s="2" t="e">
        <f>VLOOKUP(N80,'Bridge matrix'!$D$3:$E$731,2,FALSE)</f>
        <v>#N/A</v>
      </c>
    </row>
    <row r="81" spans="1:15" x14ac:dyDescent="0.25">
      <c r="A81" s="2" t="s">
        <v>593</v>
      </c>
      <c r="B81" s="2" t="s">
        <v>595</v>
      </c>
      <c r="C81" s="2" t="s">
        <v>598</v>
      </c>
      <c r="D81" s="2" t="s">
        <v>633</v>
      </c>
      <c r="F81" s="2" t="s">
        <v>1295</v>
      </c>
      <c r="G81" s="2" t="str">
        <f t="shared" si="7"/>
        <v>01.1.3.026</v>
      </c>
      <c r="H81" s="83" t="s">
        <v>1275</v>
      </c>
      <c r="I81" s="83" t="str">
        <f t="shared" si="10"/>
        <v>0113026</v>
      </c>
      <c r="J81" s="2" t="s">
        <v>1322</v>
      </c>
      <c r="K81" s="120" t="str">
        <f>IFERROR(VLOOKUP(H81,'Bridge matrix'!$A$3:$E$731,3,FALSE),"no")</f>
        <v>Pampanito</v>
      </c>
      <c r="L81" s="120" t="str">
        <f t="shared" si="8"/>
        <v>Pampanito</v>
      </c>
      <c r="M81" s="120" t="str">
        <f t="shared" si="9"/>
        <v>Pampanito</v>
      </c>
      <c r="N81" s="120" t="str">
        <f t="shared" si="11"/>
        <v>Pampanito</v>
      </c>
      <c r="O81" s="2" t="e">
        <f>VLOOKUP(N81,'Bridge matrix'!$D$3:$E$731,2,FALSE)</f>
        <v>#N/A</v>
      </c>
    </row>
    <row r="82" spans="1:15" x14ac:dyDescent="0.25">
      <c r="A82" s="2" t="s">
        <v>593</v>
      </c>
      <c r="B82" s="2" t="s">
        <v>595</v>
      </c>
      <c r="C82" s="2" t="s">
        <v>598</v>
      </c>
      <c r="D82" s="2" t="s">
        <v>633</v>
      </c>
      <c r="F82" s="2" t="s">
        <v>1296</v>
      </c>
      <c r="G82" s="2" t="str">
        <f t="shared" si="7"/>
        <v>01.1.3.027</v>
      </c>
      <c r="H82" s="83" t="s">
        <v>1276</v>
      </c>
      <c r="I82" s="83" t="str">
        <f t="shared" si="10"/>
        <v>0113027</v>
      </c>
      <c r="J82" s="2" t="s">
        <v>1323</v>
      </c>
      <c r="K82" s="120" t="str">
        <f>IFERROR(VLOOKUP(H82,'Bridge matrix'!$A$3:$E$731,3,FALSE),"no")</f>
        <v>Pescados de otras variedades (hojitas, caritas, etc.)</v>
      </c>
      <c r="L82" s="120" t="str">
        <f t="shared" si="8"/>
        <v>Pescados de otras variedades (hojitas, caritas, etc.)</v>
      </c>
      <c r="M82" s="120" t="str">
        <f t="shared" si="9"/>
        <v>Pescados de otras variedades (hojitas, caritas, etc.)</v>
      </c>
      <c r="N82" s="120" t="str">
        <f t="shared" si="11"/>
        <v>Pescados de otras variedades (hojitas, caritas, etc.)</v>
      </c>
      <c r="O82" s="2" t="e">
        <f>VLOOKUP(N82,'Bridge matrix'!$D$3:$E$731,2,FALSE)</f>
        <v>#N/A</v>
      </c>
    </row>
    <row r="83" spans="1:15" x14ac:dyDescent="0.25">
      <c r="A83" s="2" t="s">
        <v>593</v>
      </c>
      <c r="B83" s="2" t="s">
        <v>595</v>
      </c>
      <c r="C83" s="2" t="s">
        <v>598</v>
      </c>
      <c r="D83" s="2" t="s">
        <v>633</v>
      </c>
      <c r="F83" s="2" t="s">
        <v>1247</v>
      </c>
      <c r="G83" s="2" t="str">
        <f t="shared" si="7"/>
        <v>01.1.3.099</v>
      </c>
      <c r="H83" s="83" t="s">
        <v>1277</v>
      </c>
      <c r="I83" s="83" t="str">
        <f t="shared" si="10"/>
        <v>0113099</v>
      </c>
      <c r="J83" s="2" t="s">
        <v>1324</v>
      </c>
      <c r="K83" s="120" t="str">
        <f>IFERROR(VLOOKUP(H83,'Bridge matrix'!$A$3:$E$731,3,FALSE),"no")</f>
        <v>Otros pescados frescos refrigerados y congelados</v>
      </c>
      <c r="L83" s="120" t="str">
        <f t="shared" si="8"/>
        <v>Otros pescados frescos refrigerados y congelados</v>
      </c>
      <c r="M83" s="120" t="str">
        <f t="shared" si="9"/>
        <v>Otros pescados frescos refrigerados y congelados</v>
      </c>
      <c r="N83" s="120" t="str">
        <f t="shared" si="11"/>
        <v>Otros pescados frescos refrigerados y congelados</v>
      </c>
      <c r="O83" s="2" t="e">
        <f>VLOOKUP(N83,'Bridge matrix'!$D$3:$E$731,2,FALSE)</f>
        <v>#N/A</v>
      </c>
    </row>
    <row r="84" spans="1:15" x14ac:dyDescent="0.25">
      <c r="A84" s="2" t="s">
        <v>592</v>
      </c>
      <c r="B84" s="2" t="s">
        <v>595</v>
      </c>
      <c r="C84" s="2" t="s">
        <v>598</v>
      </c>
      <c r="D84" s="2" t="s">
        <v>633</v>
      </c>
      <c r="E84" s="2" t="s">
        <v>605</v>
      </c>
      <c r="G84" s="2" t="str">
        <f t="shared" si="7"/>
        <v>01.1.3.100</v>
      </c>
      <c r="H84" s="83" t="s">
        <v>637</v>
      </c>
      <c r="I84" s="83" t="str">
        <f t="shared" si="10"/>
        <v>0113100</v>
      </c>
      <c r="J84" s="2" t="s">
        <v>638</v>
      </c>
      <c r="K84" s="120" t="str">
        <f>IFERROR(VLOOKUP(H84,'Bridge matrix'!$A$3:$E$731,3,FALSE),"no")</f>
        <v>Pescados procesados y preparados</v>
      </c>
      <c r="L84" s="120" t="str">
        <f t="shared" si="8"/>
        <v>Pescados procesados y preparados</v>
      </c>
      <c r="M84" s="120" t="str">
        <f t="shared" si="9"/>
        <v>Pescados procesados y preparados</v>
      </c>
      <c r="N84" s="120" t="str">
        <f t="shared" si="11"/>
        <v>Pescados procesados y preparados</v>
      </c>
      <c r="O84" s="2" t="e">
        <f>VLOOKUP(N84,'Bridge matrix'!$D$3:$E$731,2,FALSE)</f>
        <v>#N/A</v>
      </c>
    </row>
    <row r="85" spans="1:15" x14ac:dyDescent="0.25">
      <c r="A85" s="2" t="s">
        <v>593</v>
      </c>
      <c r="B85" s="2" t="s">
        <v>595</v>
      </c>
      <c r="C85" s="2" t="s">
        <v>598</v>
      </c>
      <c r="D85" s="2" t="s">
        <v>633</v>
      </c>
      <c r="F85" s="2" t="s">
        <v>1563</v>
      </c>
      <c r="G85" s="2" t="str">
        <f t="shared" ref="G85:G96" si="12">B85&amp;IF(C85="","","."&amp;C85)&amp;IF(D85="","","."&amp;D85)&amp;IF(E85="","","."&amp;E85)&amp;IF(F85="","","."&amp;F85)</f>
        <v>01.1.3.101</v>
      </c>
      <c r="H85" s="83" t="s">
        <v>1575</v>
      </c>
      <c r="I85" s="83" t="str">
        <f t="shared" si="10"/>
        <v>0113101</v>
      </c>
      <c r="J85" s="2" t="s">
        <v>1587</v>
      </c>
      <c r="K85" s="120" t="str">
        <f>IFERROR(VLOOKUP(H85,'Bridge matrix'!$A$3:$E$731,3,FALSE),"no")</f>
        <v>Atún con champiñones</v>
      </c>
      <c r="L85" s="120" t="str">
        <f t="shared" si="8"/>
        <v>Atún con champiñones</v>
      </c>
      <c r="M85" s="120" t="str">
        <f t="shared" si="9"/>
        <v>Atún con champiñones</v>
      </c>
      <c r="N85" s="120" t="str">
        <f t="shared" si="11"/>
        <v>Atún con champiñones</v>
      </c>
      <c r="O85" s="2" t="e">
        <f>VLOOKUP(N85,'Bridge matrix'!$D$3:$E$731,2,FALSE)</f>
        <v>#N/A</v>
      </c>
    </row>
    <row r="86" spans="1:15" x14ac:dyDescent="0.25">
      <c r="A86" s="2" t="s">
        <v>593</v>
      </c>
      <c r="B86" s="2" t="s">
        <v>595</v>
      </c>
      <c r="C86" s="2" t="s">
        <v>598</v>
      </c>
      <c r="D86" s="2" t="s">
        <v>633</v>
      </c>
      <c r="F86" s="2" t="s">
        <v>1564</v>
      </c>
      <c r="G86" s="2" t="str">
        <f t="shared" si="12"/>
        <v>01.1.3.102</v>
      </c>
      <c r="H86" s="83" t="s">
        <v>1576</v>
      </c>
      <c r="I86" s="83" t="str">
        <f t="shared" si="10"/>
        <v>0113102</v>
      </c>
      <c r="J86" s="2" t="s">
        <v>1588</v>
      </c>
      <c r="K86" s="120" t="str">
        <f>IFERROR(VLOOKUP(H86,'Bridge matrix'!$A$3:$E$731,3,FALSE),"no")</f>
        <v>Atún con ensalada</v>
      </c>
      <c r="L86" s="120" t="str">
        <f t="shared" si="8"/>
        <v>Atún con ensalada</v>
      </c>
      <c r="M86" s="120" t="str">
        <f t="shared" si="9"/>
        <v>Atún con ensalada</v>
      </c>
      <c r="N86" s="120" t="str">
        <f t="shared" si="11"/>
        <v>Atún con ensalada</v>
      </c>
      <c r="O86" s="2" t="e">
        <f>VLOOKUP(N86,'Bridge matrix'!$D$3:$E$731,2,FALSE)</f>
        <v>#N/A</v>
      </c>
    </row>
    <row r="87" spans="1:15" x14ac:dyDescent="0.25">
      <c r="A87" s="2" t="s">
        <v>593</v>
      </c>
      <c r="B87" s="2" t="s">
        <v>595</v>
      </c>
      <c r="C87" s="2" t="s">
        <v>598</v>
      </c>
      <c r="D87" s="2" t="s">
        <v>633</v>
      </c>
      <c r="F87" s="2" t="s">
        <v>1565</v>
      </c>
      <c r="G87" s="2" t="str">
        <f t="shared" si="12"/>
        <v>01.1.3.103</v>
      </c>
      <c r="H87" s="83" t="s">
        <v>1577</v>
      </c>
      <c r="I87" s="83" t="str">
        <f t="shared" si="10"/>
        <v>0113103</v>
      </c>
      <c r="J87" s="2" t="s">
        <v>1589</v>
      </c>
      <c r="K87" s="120" t="str">
        <f>IFERROR(VLOOKUP(H87,'Bridge matrix'!$A$3:$E$731,3,FALSE),"no")</f>
        <v>Atún en aceite de oliva</v>
      </c>
      <c r="L87" s="120" t="str">
        <f t="shared" si="8"/>
        <v>Atún en aceite de oliva</v>
      </c>
      <c r="M87" s="120" t="str">
        <f t="shared" si="9"/>
        <v>Atún en aceite de oliva</v>
      </c>
      <c r="N87" s="120" t="str">
        <f t="shared" si="11"/>
        <v>Atún en aceite de oliva</v>
      </c>
      <c r="O87" s="2" t="e">
        <f>VLOOKUP(N87,'Bridge matrix'!$D$3:$E$731,2,FALSE)</f>
        <v>#N/A</v>
      </c>
    </row>
    <row r="88" spans="1:15" x14ac:dyDescent="0.25">
      <c r="A88" s="2" t="s">
        <v>593</v>
      </c>
      <c r="B88" s="2" t="s">
        <v>595</v>
      </c>
      <c r="C88" s="2" t="s">
        <v>598</v>
      </c>
      <c r="D88" s="2" t="s">
        <v>633</v>
      </c>
      <c r="F88" s="2" t="s">
        <v>1566</v>
      </c>
      <c r="G88" s="2" t="str">
        <f t="shared" si="12"/>
        <v>01.1.3.104</v>
      </c>
      <c r="H88" s="83" t="s">
        <v>1578</v>
      </c>
      <c r="I88" s="83" t="str">
        <f t="shared" si="10"/>
        <v>0113104</v>
      </c>
      <c r="J88" s="2" t="s">
        <v>1590</v>
      </c>
      <c r="K88" s="120" t="str">
        <f>IFERROR(VLOOKUP(H88,'Bridge matrix'!$A$3:$E$731,3,FALSE),"no")</f>
        <v>Atún en aceite vegetal</v>
      </c>
      <c r="L88" s="120" t="str">
        <f t="shared" si="8"/>
        <v>Atún en aceite vegetal</v>
      </c>
      <c r="M88" s="120" t="str">
        <f t="shared" si="9"/>
        <v>Atún en aceite vegetal</v>
      </c>
      <c r="N88" s="120" t="str">
        <f t="shared" si="11"/>
        <v>Atún en aceite vegetal</v>
      </c>
      <c r="O88" s="2" t="e">
        <f>VLOOKUP(N88,'Bridge matrix'!$D$3:$E$731,2,FALSE)</f>
        <v>#N/A</v>
      </c>
    </row>
    <row r="89" spans="1:15" x14ac:dyDescent="0.25">
      <c r="A89" s="2" t="s">
        <v>593</v>
      </c>
      <c r="B89" s="2" t="s">
        <v>595</v>
      </c>
      <c r="C89" s="2" t="s">
        <v>598</v>
      </c>
      <c r="D89" s="2" t="s">
        <v>633</v>
      </c>
      <c r="F89" s="2" t="s">
        <v>1567</v>
      </c>
      <c r="G89" s="2" t="str">
        <f t="shared" si="12"/>
        <v>01.1.3.105</v>
      </c>
      <c r="H89" s="83" t="s">
        <v>1579</v>
      </c>
      <c r="I89" s="83" t="str">
        <f t="shared" si="10"/>
        <v>0113105</v>
      </c>
      <c r="J89" s="2" t="s">
        <v>1591</v>
      </c>
      <c r="K89" s="120" t="str">
        <f>IFERROR(VLOOKUP(H89,'Bridge matrix'!$A$3:$E$731,3,FALSE),"no")</f>
        <v>Atún en agua</v>
      </c>
      <c r="L89" s="120" t="str">
        <f t="shared" si="8"/>
        <v>Atún en agua</v>
      </c>
      <c r="M89" s="120" t="str">
        <f t="shared" si="9"/>
        <v>Atún en agua</v>
      </c>
      <c r="N89" s="120" t="str">
        <f t="shared" si="11"/>
        <v>Atún en agua</v>
      </c>
      <c r="O89" s="2" t="e">
        <f>VLOOKUP(N89,'Bridge matrix'!$D$3:$E$731,2,FALSE)</f>
        <v>#N/A</v>
      </c>
    </row>
    <row r="90" spans="1:15" x14ac:dyDescent="0.25">
      <c r="A90" s="2" t="s">
        <v>593</v>
      </c>
      <c r="B90" s="2" t="s">
        <v>595</v>
      </c>
      <c r="C90" s="2" t="s">
        <v>598</v>
      </c>
      <c r="D90" s="2" t="s">
        <v>633</v>
      </c>
      <c r="F90" s="2" t="s">
        <v>1568</v>
      </c>
      <c r="G90" s="2" t="str">
        <f t="shared" si="12"/>
        <v>01.1.3.106</v>
      </c>
      <c r="H90" s="83" t="s">
        <v>1580</v>
      </c>
      <c r="I90" s="83" t="str">
        <f t="shared" si="10"/>
        <v>0113106</v>
      </c>
      <c r="J90" s="2" t="s">
        <v>1592</v>
      </c>
      <c r="K90" s="120" t="str">
        <f>IFERROR(VLOOKUP(H90,'Bridge matrix'!$A$3:$E$731,3,FALSE),"no")</f>
        <v>Caviar y otras huevas</v>
      </c>
      <c r="L90" s="120" t="str">
        <f t="shared" si="8"/>
        <v>Caviar y otras huevas</v>
      </c>
      <c r="M90" s="120" t="str">
        <f t="shared" si="9"/>
        <v>Caviar y otras huevas</v>
      </c>
      <c r="N90" s="120" t="str">
        <f t="shared" si="11"/>
        <v>Caviar y otras huevas</v>
      </c>
      <c r="O90" s="2" t="e">
        <f>VLOOKUP(N90,'Bridge matrix'!$D$3:$E$731,2,FALSE)</f>
        <v>#N/A</v>
      </c>
    </row>
    <row r="91" spans="1:15" x14ac:dyDescent="0.25">
      <c r="A91" s="2" t="s">
        <v>593</v>
      </c>
      <c r="B91" s="2" t="s">
        <v>595</v>
      </c>
      <c r="C91" s="2" t="s">
        <v>598</v>
      </c>
      <c r="D91" s="2" t="s">
        <v>633</v>
      </c>
      <c r="F91" s="2" t="s">
        <v>1569</v>
      </c>
      <c r="G91" s="2" t="str">
        <f t="shared" si="12"/>
        <v>01.1.3.107</v>
      </c>
      <c r="H91" s="83" t="s">
        <v>1581</v>
      </c>
      <c r="I91" s="83" t="str">
        <f t="shared" si="10"/>
        <v>0113107</v>
      </c>
      <c r="J91" s="2" t="s">
        <v>1593</v>
      </c>
      <c r="K91" s="120" t="str">
        <f>IFERROR(VLOOKUP(H91,'Bridge matrix'!$A$3:$E$731,3,FALSE),"no")</f>
        <v>Pescado seco</v>
      </c>
      <c r="L91" s="120" t="str">
        <f t="shared" si="8"/>
        <v>Pescado seco</v>
      </c>
      <c r="M91" s="120" t="str">
        <f t="shared" si="9"/>
        <v>Pescado seco</v>
      </c>
      <c r="N91" s="120" t="str">
        <f t="shared" si="11"/>
        <v>Pescado seco</v>
      </c>
      <c r="O91" s="2" t="e">
        <f>VLOOKUP(N91,'Bridge matrix'!$D$3:$E$731,2,FALSE)</f>
        <v>#N/A</v>
      </c>
    </row>
    <row r="92" spans="1:15" x14ac:dyDescent="0.25">
      <c r="A92" s="2" t="s">
        <v>593</v>
      </c>
      <c r="B92" s="2" t="s">
        <v>595</v>
      </c>
      <c r="C92" s="2" t="s">
        <v>598</v>
      </c>
      <c r="D92" s="2" t="s">
        <v>633</v>
      </c>
      <c r="F92" s="2" t="s">
        <v>1570</v>
      </c>
      <c r="G92" s="2" t="str">
        <f t="shared" si="12"/>
        <v>01.1.3.108</v>
      </c>
      <c r="H92" s="83" t="s">
        <v>1582</v>
      </c>
      <c r="I92" s="83" t="str">
        <f t="shared" si="10"/>
        <v>0113108</v>
      </c>
      <c r="J92" s="2" t="s">
        <v>1594</v>
      </c>
      <c r="K92" s="120" t="str">
        <f>IFERROR(VLOOKUP(H92,'Bridge matrix'!$A$3:$E$731,3,FALSE),"no")</f>
        <v>Pescados ahumados o salados</v>
      </c>
      <c r="L92" s="120" t="str">
        <f t="shared" si="8"/>
        <v>Pescados ahumados o salados</v>
      </c>
      <c r="M92" s="120" t="str">
        <f t="shared" si="9"/>
        <v>Pescados ahumados o salados</v>
      </c>
      <c r="N92" s="120" t="str">
        <f t="shared" si="11"/>
        <v>Pescados ahumados o salados</v>
      </c>
      <c r="O92" s="2" t="e">
        <f>VLOOKUP(N92,'Bridge matrix'!$D$3:$E$731,2,FALSE)</f>
        <v>#N/A</v>
      </c>
    </row>
    <row r="93" spans="1:15" x14ac:dyDescent="0.25">
      <c r="A93" s="2" t="s">
        <v>593</v>
      </c>
      <c r="B93" s="2" t="s">
        <v>595</v>
      </c>
      <c r="C93" s="2" t="s">
        <v>598</v>
      </c>
      <c r="D93" s="2" t="s">
        <v>633</v>
      </c>
      <c r="F93" s="2" t="s">
        <v>1571</v>
      </c>
      <c r="G93" s="2" t="str">
        <f t="shared" si="12"/>
        <v>01.1.3.109</v>
      </c>
      <c r="H93" s="83" t="s">
        <v>1583</v>
      </c>
      <c r="I93" s="83" t="str">
        <f t="shared" si="10"/>
        <v>0113109</v>
      </c>
      <c r="J93" s="2" t="s">
        <v>1595</v>
      </c>
      <c r="K93" s="120" t="str">
        <f>IFERROR(VLOOKUP(H93,'Bridge matrix'!$A$3:$E$731,3,FALSE),"no")</f>
        <v>Sardinas en aceite</v>
      </c>
      <c r="L93" s="120" t="str">
        <f t="shared" si="8"/>
        <v>Sardinas en aceite</v>
      </c>
      <c r="M93" s="120" t="str">
        <f t="shared" si="9"/>
        <v>Sardinas en aceite</v>
      </c>
      <c r="N93" s="120" t="str">
        <f t="shared" si="11"/>
        <v>Sardinas en aceite</v>
      </c>
      <c r="O93" s="2" t="e">
        <f>VLOOKUP(N93,'Bridge matrix'!$D$3:$E$731,2,FALSE)</f>
        <v>#N/A</v>
      </c>
    </row>
    <row r="94" spans="1:15" x14ac:dyDescent="0.25">
      <c r="A94" s="2" t="s">
        <v>593</v>
      </c>
      <c r="B94" s="2" t="s">
        <v>595</v>
      </c>
      <c r="C94" s="2" t="s">
        <v>598</v>
      </c>
      <c r="D94" s="2" t="s">
        <v>633</v>
      </c>
      <c r="F94" s="2" t="s">
        <v>1572</v>
      </c>
      <c r="G94" s="2" t="str">
        <f t="shared" si="12"/>
        <v>01.1.3.110</v>
      </c>
      <c r="H94" s="83" t="s">
        <v>1584</v>
      </c>
      <c r="I94" s="83" t="str">
        <f t="shared" si="10"/>
        <v>0113110</v>
      </c>
      <c r="J94" s="2" t="s">
        <v>1596</v>
      </c>
      <c r="K94" s="120" t="str">
        <f>IFERROR(VLOOKUP(H94,'Bridge matrix'!$A$3:$E$731,3,FALSE),"no")</f>
        <v>Sardinas en salsa de tomate</v>
      </c>
      <c r="L94" s="120" t="str">
        <f t="shared" si="8"/>
        <v>Sardinas en salsa de tomate</v>
      </c>
      <c r="M94" s="120" t="str">
        <f t="shared" si="9"/>
        <v>Sardinas en salsa de tomate</v>
      </c>
      <c r="N94" s="120" t="str">
        <f t="shared" si="11"/>
        <v>Sardinas en salsa de tomate</v>
      </c>
      <c r="O94" s="2" t="e">
        <f>VLOOKUP(N94,'Bridge matrix'!$D$3:$E$731,2,FALSE)</f>
        <v>#N/A</v>
      </c>
    </row>
    <row r="95" spans="1:15" x14ac:dyDescent="0.25">
      <c r="A95" s="2" t="s">
        <v>593</v>
      </c>
      <c r="B95" s="2" t="s">
        <v>595</v>
      </c>
      <c r="C95" s="2" t="s">
        <v>598</v>
      </c>
      <c r="D95" s="2" t="s">
        <v>633</v>
      </c>
      <c r="F95" s="2" t="s">
        <v>1573</v>
      </c>
      <c r="G95" s="2" t="str">
        <f t="shared" si="12"/>
        <v>01.1.3.111</v>
      </c>
      <c r="H95" s="83" t="s">
        <v>1585</v>
      </c>
      <c r="I95" s="83" t="str">
        <f t="shared" si="10"/>
        <v>0113111</v>
      </c>
      <c r="J95" s="2" t="s">
        <v>1597</v>
      </c>
      <c r="K95" s="120" t="str">
        <f>IFERROR(VLOOKUP(H95,'Bridge matrix'!$A$3:$E$731,3,FALSE),"no")</f>
        <v>Tartas de pescado</v>
      </c>
      <c r="L95" s="120" t="str">
        <f t="shared" si="8"/>
        <v>Tartas de pescado</v>
      </c>
      <c r="M95" s="120" t="str">
        <f t="shared" si="9"/>
        <v>Tartas de pescado</v>
      </c>
      <c r="N95" s="120" t="str">
        <f t="shared" si="11"/>
        <v>Tartas de pescado</v>
      </c>
      <c r="O95" s="2" t="e">
        <f>VLOOKUP(N95,'Bridge matrix'!$D$3:$E$731,2,FALSE)</f>
        <v>#N/A</v>
      </c>
    </row>
    <row r="96" spans="1:15" x14ac:dyDescent="0.25">
      <c r="A96" s="2" t="s">
        <v>593</v>
      </c>
      <c r="B96" s="2" t="s">
        <v>595</v>
      </c>
      <c r="C96" s="2" t="s">
        <v>598</v>
      </c>
      <c r="D96" s="2" t="s">
        <v>633</v>
      </c>
      <c r="F96" s="2" t="s">
        <v>1574</v>
      </c>
      <c r="G96" s="2" t="str">
        <f t="shared" si="12"/>
        <v>01.1.3.199</v>
      </c>
      <c r="H96" s="83" t="s">
        <v>1586</v>
      </c>
      <c r="I96" s="83" t="str">
        <f t="shared" si="10"/>
        <v>0113199</v>
      </c>
      <c r="J96" s="2" t="s">
        <v>1598</v>
      </c>
      <c r="K96" s="120" t="str">
        <f>IFERROR(VLOOKUP(H96,'Bridge matrix'!$A$3:$E$731,3,FALSE),"no")</f>
        <v>Oros pescados procesados y preparad</v>
      </c>
      <c r="L96" s="120" t="str">
        <f t="shared" si="8"/>
        <v>Oros pescados procesados y preparad</v>
      </c>
      <c r="M96" s="120" t="str">
        <f t="shared" si="9"/>
        <v>Oros pescados procesados y preparad</v>
      </c>
      <c r="N96" s="120" t="str">
        <f t="shared" si="11"/>
        <v>Oros pescados procesados y preparad</v>
      </c>
      <c r="O96" s="2" t="e">
        <f>VLOOKUP(N96,'Bridge matrix'!$D$3:$E$731,2,FALSE)</f>
        <v>#N/A</v>
      </c>
    </row>
    <row r="97" spans="1:18" x14ac:dyDescent="0.25">
      <c r="A97" s="2" t="s">
        <v>592</v>
      </c>
      <c r="B97" s="2" t="s">
        <v>595</v>
      </c>
      <c r="C97" s="2" t="s">
        <v>598</v>
      </c>
      <c r="D97" s="2" t="s">
        <v>633</v>
      </c>
      <c r="E97" s="2" t="s">
        <v>608</v>
      </c>
      <c r="G97" s="2" t="str">
        <f t="shared" ref="G97:G109" si="13">B97&amp;IF(C97="","","."&amp;C97)&amp;IF(D97="","","."&amp;D97)&amp;IF(E97="","","."&amp;E97)&amp;IF(F97="","","."&amp;F97)</f>
        <v>01.1.3.200</v>
      </c>
      <c r="H97" s="83" t="s">
        <v>639</v>
      </c>
      <c r="I97" s="83" t="str">
        <f t="shared" si="10"/>
        <v>0113200</v>
      </c>
      <c r="J97" s="2" t="s">
        <v>640</v>
      </c>
      <c r="K97" s="120" t="str">
        <f>IFERROR(VLOOKUP(H97,'Bridge matrix'!$A$3:$E$731,3,FALSE),"no")</f>
        <v>Mariscos frescos, refrigerados, congelados</v>
      </c>
      <c r="L97" s="120" t="str">
        <f t="shared" si="8"/>
        <v>Mariscos frescos, refrigerados, congelados</v>
      </c>
      <c r="M97" s="120" t="str">
        <f t="shared" si="9"/>
        <v>Mariscos frescos, refrigerados, congelados</v>
      </c>
      <c r="N97" s="120" t="str">
        <f t="shared" si="11"/>
        <v>Mariscos frescos, refrigerados, congelados</v>
      </c>
      <c r="O97" s="2" t="e">
        <f>VLOOKUP(N97,'Bridge matrix'!$D$3:$E$731,2,FALSE)</f>
        <v>#N/A</v>
      </c>
    </row>
    <row r="98" spans="1:18" x14ac:dyDescent="0.25">
      <c r="A98" s="2" t="s">
        <v>592</v>
      </c>
      <c r="B98" s="2" t="s">
        <v>595</v>
      </c>
      <c r="C98" s="2" t="s">
        <v>598</v>
      </c>
      <c r="D98" s="2" t="s">
        <v>633</v>
      </c>
      <c r="E98" s="2" t="s">
        <v>611</v>
      </c>
      <c r="G98" s="2" t="str">
        <f t="shared" si="13"/>
        <v>01.1.3.300</v>
      </c>
      <c r="H98" s="83" t="s">
        <v>641</v>
      </c>
      <c r="I98" s="83" t="str">
        <f t="shared" si="10"/>
        <v>0113300</v>
      </c>
      <c r="J98" s="2" t="s">
        <v>642</v>
      </c>
      <c r="K98" s="120" t="str">
        <f>IFERROR(VLOOKUP(H98,'Bridge matrix'!$A$3:$E$731,3,FALSE),"no")</f>
        <v>Mariscos procesados y preparados</v>
      </c>
      <c r="L98" s="120" t="str">
        <f t="shared" si="8"/>
        <v>Mariscos procesados y preparados</v>
      </c>
      <c r="M98" s="120" t="str">
        <f t="shared" si="9"/>
        <v>Mariscos procesados y preparados</v>
      </c>
      <c r="N98" s="120" t="str">
        <f t="shared" si="11"/>
        <v>Mariscos procesados y preparados</v>
      </c>
      <c r="O98" s="2" t="e">
        <f>VLOOKUP(N98,'Bridge matrix'!$D$3:$E$731,2,FALSE)</f>
        <v>#N/A</v>
      </c>
    </row>
    <row r="99" spans="1:18" x14ac:dyDescent="0.25">
      <c r="A99" s="2" t="s">
        <v>591</v>
      </c>
      <c r="B99" s="2" t="s">
        <v>595</v>
      </c>
      <c r="C99" s="2" t="s">
        <v>598</v>
      </c>
      <c r="D99" s="2" t="s">
        <v>643</v>
      </c>
      <c r="E99" s="2" t="s">
        <v>596</v>
      </c>
      <c r="G99" s="2" t="str">
        <f t="shared" si="13"/>
        <v>01.1.4</v>
      </c>
      <c r="H99" s="83" t="s">
        <v>644</v>
      </c>
      <c r="I99" s="83" t="str">
        <f t="shared" si="10"/>
        <v>0114</v>
      </c>
      <c r="J99" s="2" t="s">
        <v>645</v>
      </c>
      <c r="K99" s="120" t="str">
        <f>IFERROR(VLOOKUP(H99,'Bridge matrix'!$A$3:$E$731,3,FALSE),"no")</f>
        <v xml:space="preserve">LECHE, YOGURT, QUESOS Y HUEVOS </v>
      </c>
      <c r="L99" s="120" t="str">
        <f t="shared" si="8"/>
        <v>ll</v>
      </c>
      <c r="M99" s="120" t="str">
        <f t="shared" si="9"/>
        <v>ll</v>
      </c>
      <c r="N99" s="120" t="str">
        <f t="shared" si="11"/>
        <v>ll</v>
      </c>
      <c r="O99" s="2" t="str">
        <f>VLOOKUP(N99,'Bridge matrix'!$D$3:$E$731,2,FALSE)</f>
        <v>matched on SC/SSC level</v>
      </c>
      <c r="P99" s="85"/>
      <c r="Q99" s="85"/>
      <c r="R99" s="85"/>
    </row>
    <row r="100" spans="1:18" x14ac:dyDescent="0.25">
      <c r="A100" s="2" t="s">
        <v>592</v>
      </c>
      <c r="B100" s="2" t="s">
        <v>595</v>
      </c>
      <c r="C100" s="2" t="s">
        <v>598</v>
      </c>
      <c r="D100" s="2" t="s">
        <v>643</v>
      </c>
      <c r="E100" s="2" t="s">
        <v>602</v>
      </c>
      <c r="G100" s="2" t="str">
        <f t="shared" si="13"/>
        <v>01.1.4.000</v>
      </c>
      <c r="H100" s="83" t="s">
        <v>646</v>
      </c>
      <c r="I100" s="83" t="str">
        <f t="shared" si="10"/>
        <v>0114000</v>
      </c>
      <c r="J100" s="2" t="s">
        <v>647</v>
      </c>
      <c r="K100" s="120" t="str">
        <f>IFERROR(VLOOKUP(H100,'Bridge matrix'!$A$3:$E$731,3,FALSE),"no")</f>
        <v>Leche Líquida</v>
      </c>
      <c r="L100" s="120" t="str">
        <f t="shared" si="8"/>
        <v>Leche Líquida</v>
      </c>
      <c r="M100" s="120" t="str">
        <f t="shared" si="9"/>
        <v>Leche Líquida</v>
      </c>
      <c r="N100" s="120" t="str">
        <f t="shared" si="11"/>
        <v>Leche Líquida</v>
      </c>
      <c r="O100" s="2" t="e">
        <f>VLOOKUP(N100,'Bridge matrix'!$D$3:$E$731,2,FALSE)</f>
        <v>#N/A</v>
      </c>
      <c r="P100" s="85"/>
      <c r="Q100" s="85"/>
      <c r="R100" s="85"/>
    </row>
    <row r="101" spans="1:18" x14ac:dyDescent="0.25">
      <c r="A101" s="2" t="s">
        <v>592</v>
      </c>
      <c r="B101" s="2" t="s">
        <v>595</v>
      </c>
      <c r="C101" s="2" t="s">
        <v>598</v>
      </c>
      <c r="D101" s="2" t="s">
        <v>643</v>
      </c>
      <c r="E101" s="2" t="s">
        <v>605</v>
      </c>
      <c r="G101" s="2" t="str">
        <f t="shared" si="13"/>
        <v>01.1.4.100</v>
      </c>
      <c r="H101" s="83" t="s">
        <v>648</v>
      </c>
      <c r="I101" s="83" t="str">
        <f t="shared" si="10"/>
        <v>0114100</v>
      </c>
      <c r="J101" s="2" t="s">
        <v>649</v>
      </c>
      <c r="K101" s="120" t="str">
        <f>IFERROR(VLOOKUP(H101,'Bridge matrix'!$A$3:$E$731,3,FALSE),"no")</f>
        <v>Leche conservada</v>
      </c>
      <c r="L101" s="120" t="str">
        <f t="shared" si="8"/>
        <v>Leche conservada</v>
      </c>
      <c r="M101" s="120" t="str">
        <f t="shared" si="9"/>
        <v>Leche conservada</v>
      </c>
      <c r="N101" s="120" t="str">
        <f t="shared" si="11"/>
        <v>Leche conservada</v>
      </c>
      <c r="O101" s="2" t="e">
        <f>VLOOKUP(N101,'Bridge matrix'!$D$3:$E$731,2,FALSE)</f>
        <v>#N/A</v>
      </c>
      <c r="P101" s="85"/>
      <c r="Q101" s="85"/>
      <c r="R101" s="85"/>
    </row>
    <row r="102" spans="1:18" x14ac:dyDescent="0.25">
      <c r="A102" s="2" t="s">
        <v>592</v>
      </c>
      <c r="B102" s="2" t="s">
        <v>595</v>
      </c>
      <c r="C102" s="2" t="s">
        <v>598</v>
      </c>
      <c r="D102" s="2" t="s">
        <v>643</v>
      </c>
      <c r="E102" s="2" t="s">
        <v>608</v>
      </c>
      <c r="G102" s="2" t="str">
        <f t="shared" si="13"/>
        <v>01.1.4.200</v>
      </c>
      <c r="H102" s="83" t="s">
        <v>650</v>
      </c>
      <c r="I102" s="83" t="str">
        <f t="shared" si="10"/>
        <v>0114200</v>
      </c>
      <c r="J102" s="2" t="s">
        <v>651</v>
      </c>
      <c r="K102" s="120" t="str">
        <f>IFERROR(VLOOKUP(H102,'Bridge matrix'!$A$3:$E$731,3,FALSE),"no")</f>
        <v>Yogures</v>
      </c>
      <c r="L102" s="120" t="str">
        <f t="shared" si="8"/>
        <v>Yogures</v>
      </c>
      <c r="M102" s="120" t="str">
        <f t="shared" si="9"/>
        <v>Yogures</v>
      </c>
      <c r="N102" s="120" t="str">
        <f t="shared" si="11"/>
        <v>Yogures</v>
      </c>
      <c r="O102" s="2" t="e">
        <f>VLOOKUP(N102,'Bridge matrix'!$D$3:$E$731,2,FALSE)</f>
        <v>#N/A</v>
      </c>
      <c r="P102" s="85"/>
      <c r="Q102" s="85"/>
      <c r="R102" s="85"/>
    </row>
    <row r="103" spans="1:18" x14ac:dyDescent="0.25">
      <c r="A103" s="2" t="s">
        <v>592</v>
      </c>
      <c r="B103" s="2" t="s">
        <v>595</v>
      </c>
      <c r="C103" s="2" t="s">
        <v>598</v>
      </c>
      <c r="D103" s="2" t="s">
        <v>643</v>
      </c>
      <c r="E103" s="2" t="s">
        <v>611</v>
      </c>
      <c r="G103" s="2" t="str">
        <f t="shared" si="13"/>
        <v>01.1.4.300</v>
      </c>
      <c r="H103" s="83" t="s">
        <v>652</v>
      </c>
      <c r="I103" s="83" t="str">
        <f t="shared" si="10"/>
        <v>0114300</v>
      </c>
      <c r="J103" s="2" t="s">
        <v>653</v>
      </c>
      <c r="K103" s="120" t="str">
        <f>IFERROR(VLOOKUP(H103,'Bridge matrix'!$A$3:$E$731,3,FALSE),"no")</f>
        <v>Quesos</v>
      </c>
      <c r="L103" s="120" t="str">
        <f t="shared" si="8"/>
        <v>Quesos</v>
      </c>
      <c r="M103" s="120" t="str">
        <f t="shared" si="9"/>
        <v>Quesos</v>
      </c>
      <c r="N103" s="120" t="str">
        <f t="shared" si="11"/>
        <v>Quesos</v>
      </c>
      <c r="O103" s="2" t="e">
        <f>VLOOKUP(N103,'Bridge matrix'!$D$3:$E$731,2,FALSE)</f>
        <v>#N/A</v>
      </c>
      <c r="P103" s="85"/>
      <c r="Q103" s="85"/>
      <c r="R103" s="85"/>
    </row>
    <row r="104" spans="1:18" x14ac:dyDescent="0.25">
      <c r="A104" s="2" t="s">
        <v>592</v>
      </c>
      <c r="B104" s="2" t="s">
        <v>595</v>
      </c>
      <c r="C104" s="2" t="s">
        <v>598</v>
      </c>
      <c r="D104" s="2" t="s">
        <v>643</v>
      </c>
      <c r="E104" s="2" t="s">
        <v>614</v>
      </c>
      <c r="G104" s="2" t="str">
        <f t="shared" si="13"/>
        <v>01.1.4.400</v>
      </c>
      <c r="H104" s="83" t="s">
        <v>654</v>
      </c>
      <c r="I104" s="83" t="str">
        <f t="shared" si="10"/>
        <v>0114400</v>
      </c>
      <c r="J104" s="2" t="s">
        <v>655</v>
      </c>
      <c r="K104" s="120" t="str">
        <f>IFERROR(VLOOKUP(H104,'Bridge matrix'!$A$3:$E$731,3,FALSE),"no")</f>
        <v>Huevos</v>
      </c>
      <c r="L104" s="120" t="str">
        <f t="shared" si="8"/>
        <v>Huevos</v>
      </c>
      <c r="M104" s="120" t="str">
        <f t="shared" si="9"/>
        <v>Huevos</v>
      </c>
      <c r="N104" s="120" t="str">
        <f t="shared" si="11"/>
        <v>Huevos</v>
      </c>
      <c r="O104" s="2" t="e">
        <f>VLOOKUP(N104,'Bridge matrix'!$D$3:$E$731,2,FALSE)</f>
        <v>#N/A</v>
      </c>
      <c r="P104" s="85"/>
      <c r="Q104" s="85"/>
      <c r="R104" s="85"/>
    </row>
    <row r="105" spans="1:18" x14ac:dyDescent="0.25">
      <c r="A105" s="2" t="s">
        <v>591</v>
      </c>
      <c r="B105" s="2" t="s">
        <v>595</v>
      </c>
      <c r="C105" s="2" t="s">
        <v>598</v>
      </c>
      <c r="D105" s="2" t="s">
        <v>656</v>
      </c>
      <c r="E105" s="2" t="s">
        <v>596</v>
      </c>
      <c r="G105" s="2" t="str">
        <f t="shared" si="13"/>
        <v>01.1.5</v>
      </c>
      <c r="H105" s="83" t="s">
        <v>657</v>
      </c>
      <c r="I105" s="83" t="str">
        <f t="shared" si="10"/>
        <v>0115</v>
      </c>
      <c r="J105" s="2" t="s">
        <v>658</v>
      </c>
      <c r="K105" s="120" t="str">
        <f>IFERROR(VLOOKUP(H105,'Bridge matrix'!$A$3:$E$731,3,FALSE),"no")</f>
        <v xml:space="preserve">ACEITES Y GRASAS </v>
      </c>
      <c r="L105" s="120" t="str">
        <f t="shared" si="8"/>
        <v>ll</v>
      </c>
      <c r="M105" s="120" t="str">
        <f t="shared" si="9"/>
        <v>ll</v>
      </c>
      <c r="N105" s="120" t="str">
        <f t="shared" si="11"/>
        <v>ll</v>
      </c>
      <c r="O105" s="2" t="str">
        <f>VLOOKUP(N105,'Bridge matrix'!$D$3:$E$731,2,FALSE)</f>
        <v>matched on SC/SSC level</v>
      </c>
      <c r="P105" s="85"/>
      <c r="Q105" s="85"/>
      <c r="R105" s="85"/>
    </row>
    <row r="106" spans="1:18" x14ac:dyDescent="0.25">
      <c r="A106" s="2" t="s">
        <v>592</v>
      </c>
      <c r="B106" s="2" t="s">
        <v>595</v>
      </c>
      <c r="C106" s="2" t="s">
        <v>598</v>
      </c>
      <c r="D106" s="2" t="s">
        <v>656</v>
      </c>
      <c r="E106" s="2" t="s">
        <v>602</v>
      </c>
      <c r="G106" s="2" t="str">
        <f t="shared" si="13"/>
        <v>01.1.5.000</v>
      </c>
      <c r="H106" s="83" t="s">
        <v>659</v>
      </c>
      <c r="I106" s="83" t="str">
        <f t="shared" si="10"/>
        <v>0115000</v>
      </c>
      <c r="J106" s="2" t="s">
        <v>660</v>
      </c>
      <c r="K106" s="120" t="str">
        <f>IFERROR(VLOOKUP(H106,'Bridge matrix'!$A$3:$E$731,3,FALSE),"no")</f>
        <v>Aceites Puros y mezclados</v>
      </c>
      <c r="L106" s="120" t="str">
        <f t="shared" si="8"/>
        <v>Aceites Puros y mezclados</v>
      </c>
      <c r="M106" s="120" t="str">
        <f t="shared" si="9"/>
        <v>Aceites Puros y mezclados</v>
      </c>
      <c r="N106" s="120" t="str">
        <f t="shared" si="11"/>
        <v>Aceites Puros y mezclados</v>
      </c>
      <c r="O106" s="2" t="e">
        <f>VLOOKUP(N106,'Bridge matrix'!$D$3:$E$731,2,FALSE)</f>
        <v>#N/A</v>
      </c>
      <c r="P106" s="85"/>
      <c r="Q106" s="85"/>
      <c r="R106" s="85"/>
    </row>
    <row r="107" spans="1:18" x14ac:dyDescent="0.25">
      <c r="A107" s="2" t="s">
        <v>592</v>
      </c>
      <c r="B107" s="2" t="s">
        <v>595</v>
      </c>
      <c r="C107" s="2" t="s">
        <v>598</v>
      </c>
      <c r="D107" s="2" t="s">
        <v>656</v>
      </c>
      <c r="E107" s="2" t="s">
        <v>605</v>
      </c>
      <c r="G107" s="2" t="str">
        <f t="shared" si="13"/>
        <v>01.1.5.100</v>
      </c>
      <c r="H107" s="83" t="s">
        <v>661</v>
      </c>
      <c r="I107" s="83" t="str">
        <f t="shared" si="10"/>
        <v>0115100</v>
      </c>
      <c r="J107" s="2" t="s">
        <v>662</v>
      </c>
      <c r="K107" s="120" t="str">
        <f>IFERROR(VLOOKUP(H107,'Bridge matrix'!$A$3:$E$731,3,FALSE),"no")</f>
        <v>Grasas</v>
      </c>
      <c r="L107" s="120" t="str">
        <f t="shared" si="8"/>
        <v>Grasas</v>
      </c>
      <c r="M107" s="120" t="str">
        <f t="shared" si="9"/>
        <v>Grasas</v>
      </c>
      <c r="N107" s="120" t="str">
        <f t="shared" si="11"/>
        <v>Grasas</v>
      </c>
      <c r="O107" s="2" t="e">
        <f>VLOOKUP(N107,'Bridge matrix'!$D$3:$E$731,2,FALSE)</f>
        <v>#N/A</v>
      </c>
      <c r="P107" s="85"/>
      <c r="Q107" s="85"/>
      <c r="R107" s="85"/>
    </row>
    <row r="108" spans="1:18" x14ac:dyDescent="0.25">
      <c r="A108" s="2" t="s">
        <v>591</v>
      </c>
      <c r="B108" s="2" t="s">
        <v>595</v>
      </c>
      <c r="C108" s="2" t="s">
        <v>598</v>
      </c>
      <c r="D108" s="2" t="s">
        <v>663</v>
      </c>
      <c r="E108" s="2" t="s">
        <v>596</v>
      </c>
      <c r="G108" s="2" t="str">
        <f t="shared" si="13"/>
        <v>01.1.6</v>
      </c>
      <c r="H108" s="83" t="s">
        <v>664</v>
      </c>
      <c r="I108" s="83" t="str">
        <f t="shared" si="10"/>
        <v>0116</v>
      </c>
      <c r="J108" s="2" t="s">
        <v>665</v>
      </c>
      <c r="K108" s="120" t="str">
        <f>IFERROR(VLOOKUP(H108,'Bridge matrix'!$A$3:$E$731,3,FALSE),"no")</f>
        <v xml:space="preserve">FRUTAS </v>
      </c>
      <c r="L108" s="120" t="str">
        <f t="shared" si="8"/>
        <v>ll</v>
      </c>
      <c r="M108" s="120" t="str">
        <f t="shared" si="9"/>
        <v>ll</v>
      </c>
      <c r="N108" s="120" t="str">
        <f t="shared" si="11"/>
        <v>ll</v>
      </c>
      <c r="O108" s="2" t="str">
        <f>VLOOKUP(N108,'Bridge matrix'!$D$3:$E$731,2,FALSE)</f>
        <v>matched on SC/SSC level</v>
      </c>
      <c r="P108" s="85"/>
      <c r="Q108" s="85"/>
      <c r="R108" s="85"/>
    </row>
    <row r="109" spans="1:18" x14ac:dyDescent="0.25">
      <c r="A109" s="2" t="s">
        <v>592</v>
      </c>
      <c r="B109" s="2" t="s">
        <v>595</v>
      </c>
      <c r="C109" s="2" t="s">
        <v>598</v>
      </c>
      <c r="D109" s="2" t="s">
        <v>663</v>
      </c>
      <c r="E109" s="2" t="s">
        <v>602</v>
      </c>
      <c r="G109" s="2" t="str">
        <f t="shared" si="13"/>
        <v>01.1.6.000</v>
      </c>
      <c r="H109" s="83" t="s">
        <v>666</v>
      </c>
      <c r="I109" s="83" t="str">
        <f t="shared" si="10"/>
        <v>0116000</v>
      </c>
      <c r="J109" s="2" t="s">
        <v>667</v>
      </c>
      <c r="K109" s="120" t="str">
        <f>IFERROR(VLOOKUP(H109,'Bridge matrix'!$A$3:$E$731,3,FALSE),"no")</f>
        <v>Frutas frescas refrigeradas y congeladas</v>
      </c>
      <c r="L109" s="120" t="str">
        <f t="shared" si="8"/>
        <v>Frutas frescas refrigeradas y congeladas</v>
      </c>
      <c r="M109" s="120" t="str">
        <f t="shared" si="9"/>
        <v>Frutas frescas refrigeradas y congeladas</v>
      </c>
      <c r="N109" s="120" t="str">
        <f t="shared" si="11"/>
        <v>Frutas frescas refrigeradas y congeladas</v>
      </c>
      <c r="O109" s="2" t="e">
        <f>VLOOKUP(N109,'Bridge matrix'!$D$3:$E$731,2,FALSE)</f>
        <v>#N/A</v>
      </c>
      <c r="P109" s="85"/>
      <c r="Q109" s="85"/>
      <c r="R109" s="85"/>
    </row>
    <row r="110" spans="1:18" x14ac:dyDescent="0.25">
      <c r="A110" s="2" t="s">
        <v>593</v>
      </c>
      <c r="B110" s="2" t="s">
        <v>595</v>
      </c>
      <c r="C110" s="2" t="s">
        <v>598</v>
      </c>
      <c r="D110" s="2" t="s">
        <v>663</v>
      </c>
      <c r="F110" s="2" t="s">
        <v>835</v>
      </c>
      <c r="G110" s="2" t="str">
        <f t="shared" ref="G110:G172" si="14">B110&amp;IF(C110="","","."&amp;C110)&amp;IF(D110="","","."&amp;D110)&amp;IF(E110="","","."&amp;E110)&amp;IF(F110="","","."&amp;F110)</f>
        <v>01.1.6.001</v>
      </c>
      <c r="H110" s="83" t="s">
        <v>1650</v>
      </c>
      <c r="I110" s="83" t="str">
        <f t="shared" si="10"/>
        <v>0116001</v>
      </c>
      <c r="J110" s="2" t="s">
        <v>1728</v>
      </c>
      <c r="K110" s="120" t="str">
        <f>IFERROR(VLOOKUP(H110,'Bridge matrix'!$A$3:$E$731,3,FALSE),"no")</f>
        <v>Achotillo</v>
      </c>
      <c r="L110" s="120" t="str">
        <f t="shared" si="8"/>
        <v>Achotillo</v>
      </c>
      <c r="M110" s="120" t="str">
        <f t="shared" si="9"/>
        <v>Achotillo</v>
      </c>
      <c r="N110" s="120" t="str">
        <f t="shared" si="11"/>
        <v>Achotillo</v>
      </c>
      <c r="O110" s="2" t="e">
        <f>VLOOKUP(N110,'Bridge matrix'!$D$3:$E$731,2,FALSE)</f>
        <v>#N/A</v>
      </c>
      <c r="P110" s="85"/>
      <c r="Q110" s="85"/>
      <c r="R110" s="85"/>
    </row>
    <row r="111" spans="1:18" x14ac:dyDescent="0.25">
      <c r="A111" s="2" t="s">
        <v>593</v>
      </c>
      <c r="B111" s="2" t="s">
        <v>595</v>
      </c>
      <c r="C111" s="2" t="s">
        <v>598</v>
      </c>
      <c r="D111" s="2" t="s">
        <v>663</v>
      </c>
      <c r="F111" s="2" t="s">
        <v>838</v>
      </c>
      <c r="G111" s="2" t="str">
        <f t="shared" si="14"/>
        <v>01.1.6.002</v>
      </c>
      <c r="H111" s="83" t="s">
        <v>1651</v>
      </c>
      <c r="I111" s="83" t="str">
        <f t="shared" si="10"/>
        <v>0116002</v>
      </c>
      <c r="J111" s="2" t="s">
        <v>1352</v>
      </c>
      <c r="K111" s="120" t="str">
        <f>IFERROR(VLOOKUP(H111,'Bridge matrix'!$A$3:$E$731,3,FALSE),"no")</f>
        <v>Aguacate</v>
      </c>
      <c r="L111" s="120" t="str">
        <f t="shared" si="8"/>
        <v>Aguacate</v>
      </c>
      <c r="M111" s="120" t="str">
        <f t="shared" si="9"/>
        <v>Aguacate</v>
      </c>
      <c r="N111" s="120" t="str">
        <f t="shared" si="11"/>
        <v>Aguacate</v>
      </c>
      <c r="O111" s="2" t="e">
        <f>VLOOKUP(N111,'Bridge matrix'!$D$3:$E$731,2,FALSE)</f>
        <v>#N/A</v>
      </c>
    </row>
    <row r="112" spans="1:18" x14ac:dyDescent="0.25">
      <c r="A112" s="2" t="s">
        <v>593</v>
      </c>
      <c r="B112" s="2" t="s">
        <v>595</v>
      </c>
      <c r="C112" s="2" t="s">
        <v>598</v>
      </c>
      <c r="D112" s="2" t="s">
        <v>663</v>
      </c>
      <c r="F112" s="2" t="s">
        <v>849</v>
      </c>
      <c r="G112" s="2" t="str">
        <f t="shared" si="14"/>
        <v>01.1.6.003</v>
      </c>
      <c r="H112" s="83" t="s">
        <v>1652</v>
      </c>
      <c r="I112" s="83" t="str">
        <f t="shared" si="10"/>
        <v>0116003</v>
      </c>
      <c r="J112" s="2" t="s">
        <v>1729</v>
      </c>
      <c r="K112" s="120" t="str">
        <f>IFERROR(VLOOKUP(H112,'Bridge matrix'!$A$3:$E$731,3,FALSE),"no")</f>
        <v>Albaricoque</v>
      </c>
      <c r="L112" s="120" t="str">
        <f t="shared" si="8"/>
        <v>Albaricoque</v>
      </c>
      <c r="M112" s="120" t="str">
        <f t="shared" si="9"/>
        <v>Albaricoque</v>
      </c>
      <c r="N112" s="120" t="str">
        <f t="shared" si="11"/>
        <v>Albaricoque</v>
      </c>
      <c r="O112" s="2" t="e">
        <f>VLOOKUP(N112,'Bridge matrix'!$D$3:$E$731,2,FALSE)</f>
        <v>#N/A</v>
      </c>
    </row>
    <row r="113" spans="1:20" x14ac:dyDescent="0.25">
      <c r="A113" s="2" t="s">
        <v>593</v>
      </c>
      <c r="B113" s="2" t="s">
        <v>595</v>
      </c>
      <c r="C113" s="2" t="s">
        <v>598</v>
      </c>
      <c r="D113" s="2" t="s">
        <v>663</v>
      </c>
      <c r="F113" s="2" t="s">
        <v>874</v>
      </c>
      <c r="G113" s="2" t="str">
        <f t="shared" si="14"/>
        <v>01.1.6.004</v>
      </c>
      <c r="H113" s="83" t="s">
        <v>1653</v>
      </c>
      <c r="I113" s="83" t="str">
        <f t="shared" si="10"/>
        <v>0116004</v>
      </c>
      <c r="J113" s="2" t="s">
        <v>1730</v>
      </c>
      <c r="K113" s="120" t="str">
        <f>IFERROR(VLOOKUP(H113,'Bridge matrix'!$A$3:$E$731,3,FALSE),"no")</f>
        <v>Arazá</v>
      </c>
      <c r="L113" s="120" t="str">
        <f t="shared" si="8"/>
        <v>Arazá</v>
      </c>
      <c r="M113" s="120" t="str">
        <f t="shared" si="9"/>
        <v>Arazá</v>
      </c>
      <c r="N113" s="120" t="str">
        <f t="shared" si="11"/>
        <v>Arazá</v>
      </c>
      <c r="O113" s="2" t="e">
        <f>VLOOKUP(N113,'Bridge matrix'!$D$3:$E$731,2,FALSE)</f>
        <v>#N/A</v>
      </c>
    </row>
    <row r="114" spans="1:20" x14ac:dyDescent="0.25">
      <c r="A114" s="2" t="s">
        <v>593</v>
      </c>
      <c r="B114" s="2" t="s">
        <v>595</v>
      </c>
      <c r="C114" s="2" t="s">
        <v>598</v>
      </c>
      <c r="D114" s="2" t="s">
        <v>663</v>
      </c>
      <c r="F114" s="2" t="s">
        <v>877</v>
      </c>
      <c r="G114" s="2" t="str">
        <f t="shared" si="14"/>
        <v>01.1.6.005</v>
      </c>
      <c r="H114" s="83" t="s">
        <v>1654</v>
      </c>
      <c r="I114" s="83" t="str">
        <f t="shared" si="10"/>
        <v>0116005</v>
      </c>
      <c r="J114" s="2" t="s">
        <v>1731</v>
      </c>
      <c r="K114" s="120" t="str">
        <f>IFERROR(VLOOKUP(H114,'Bridge matrix'!$A$3:$E$731,3,FALSE),"no")</f>
        <v>Babaco</v>
      </c>
      <c r="L114" s="120" t="str">
        <f t="shared" si="8"/>
        <v>Babaco</v>
      </c>
      <c r="M114" s="120" t="str">
        <f t="shared" si="9"/>
        <v>Babaco</v>
      </c>
      <c r="N114" s="120" t="str">
        <f t="shared" si="11"/>
        <v>Babaco</v>
      </c>
      <c r="O114" s="2" t="e">
        <f>VLOOKUP(N114,'Bridge matrix'!$D$3:$E$731,2,FALSE)</f>
        <v>#N/A</v>
      </c>
    </row>
    <row r="115" spans="1:20" x14ac:dyDescent="0.25">
      <c r="A115" s="2" t="s">
        <v>593</v>
      </c>
      <c r="B115" s="2" t="s">
        <v>595</v>
      </c>
      <c r="C115" s="2" t="s">
        <v>598</v>
      </c>
      <c r="D115" s="2" t="s">
        <v>663</v>
      </c>
      <c r="F115" s="2" t="s">
        <v>1024</v>
      </c>
      <c r="G115" s="2" t="str">
        <f t="shared" si="14"/>
        <v>01.1.6.006</v>
      </c>
      <c r="H115" s="83" t="s">
        <v>1655</v>
      </c>
      <c r="I115" s="83" t="str">
        <f t="shared" si="10"/>
        <v>0116006</v>
      </c>
      <c r="J115" s="2" t="s">
        <v>1732</v>
      </c>
      <c r="K115" s="120" t="str">
        <f>IFERROR(VLOOKUP(H115,'Bridge matrix'!$A$3:$E$731,3,FALSE),"no")</f>
        <v>Badea</v>
      </c>
      <c r="L115" s="120" t="str">
        <f t="shared" si="8"/>
        <v>Badea</v>
      </c>
      <c r="M115" s="120" t="str">
        <f t="shared" si="9"/>
        <v>Badea</v>
      </c>
      <c r="N115" s="120" t="str">
        <f t="shared" si="11"/>
        <v>Badea</v>
      </c>
      <c r="O115" s="2" t="e">
        <f>VLOOKUP(N115,'Bridge matrix'!$D$3:$E$731,2,FALSE)</f>
        <v>#N/A</v>
      </c>
    </row>
    <row r="116" spans="1:20" x14ac:dyDescent="0.25">
      <c r="A116" s="2" t="s">
        <v>593</v>
      </c>
      <c r="B116" s="2" t="s">
        <v>595</v>
      </c>
      <c r="C116" s="2" t="s">
        <v>598</v>
      </c>
      <c r="D116" s="2" t="s">
        <v>663</v>
      </c>
      <c r="F116" s="2" t="s">
        <v>1027</v>
      </c>
      <c r="G116" s="2" t="str">
        <f t="shared" si="14"/>
        <v>01.1.6.007</v>
      </c>
      <c r="H116" s="83" t="s">
        <v>1656</v>
      </c>
      <c r="I116" s="83" t="str">
        <f t="shared" si="10"/>
        <v>0116007</v>
      </c>
      <c r="J116" s="2" t="s">
        <v>1733</v>
      </c>
      <c r="K116" s="120" t="str">
        <f>IFERROR(VLOOKUP(H116,'Bridge matrix'!$A$3:$E$731,3,FALSE),"no")</f>
        <v>Banano (guineo)</v>
      </c>
      <c r="L116" s="120" t="str">
        <f t="shared" si="8"/>
        <v>Banano (guineo)</v>
      </c>
      <c r="M116" s="120" t="str">
        <f t="shared" si="9"/>
        <v>Banano (guineo)</v>
      </c>
      <c r="N116" s="120" t="str">
        <f t="shared" si="11"/>
        <v>Banano (guineo)</v>
      </c>
      <c r="O116" s="2" t="e">
        <f>VLOOKUP(N116,'Bridge matrix'!$D$3:$E$731,2,FALSE)</f>
        <v>#N/A</v>
      </c>
    </row>
    <row r="117" spans="1:20" x14ac:dyDescent="0.25">
      <c r="A117" s="2" t="s">
        <v>593</v>
      </c>
      <c r="B117" s="2" t="s">
        <v>595</v>
      </c>
      <c r="C117" s="2" t="s">
        <v>598</v>
      </c>
      <c r="D117" s="2" t="s">
        <v>663</v>
      </c>
      <c r="F117" s="2" t="s">
        <v>1030</v>
      </c>
      <c r="G117" s="2" t="str">
        <f t="shared" si="14"/>
        <v>01.1.6.008</v>
      </c>
      <c r="H117" s="83" t="s">
        <v>1657</v>
      </c>
      <c r="I117" s="83" t="str">
        <f t="shared" si="10"/>
        <v>0116008</v>
      </c>
      <c r="J117" s="2" t="s">
        <v>1734</v>
      </c>
      <c r="K117" s="120" t="str">
        <f>IFERROR(VLOOKUP(H117,'Bridge matrix'!$A$3:$E$731,3,FALSE),"no")</f>
        <v>Bandeja de frutas variadas</v>
      </c>
      <c r="L117" s="120" t="str">
        <f t="shared" si="8"/>
        <v>Bandeja de frutas variadas</v>
      </c>
      <c r="M117" s="120" t="str">
        <f t="shared" si="9"/>
        <v>Bandeja de frutas variadas</v>
      </c>
      <c r="N117" s="120" t="str">
        <f t="shared" si="11"/>
        <v>Bandeja de frutas variadas</v>
      </c>
      <c r="O117" s="2" t="e">
        <f>VLOOKUP(N117,'Bridge matrix'!$D$3:$E$731,2,FALSE)</f>
        <v>#N/A</v>
      </c>
    </row>
    <row r="118" spans="1:20" x14ac:dyDescent="0.25">
      <c r="A118" s="2" t="s">
        <v>593</v>
      </c>
      <c r="B118" s="2" t="s">
        <v>595</v>
      </c>
      <c r="C118" s="2" t="s">
        <v>598</v>
      </c>
      <c r="D118" s="2" t="s">
        <v>663</v>
      </c>
      <c r="F118" s="2" t="s">
        <v>1278</v>
      </c>
      <c r="G118" s="2" t="str">
        <f t="shared" si="14"/>
        <v>01.1.6.009</v>
      </c>
      <c r="H118" s="83" t="s">
        <v>1658</v>
      </c>
      <c r="I118" s="83" t="str">
        <f t="shared" si="10"/>
        <v>0116009</v>
      </c>
      <c r="J118" s="2" t="s">
        <v>1735</v>
      </c>
      <c r="K118" s="120" t="str">
        <f>IFERROR(VLOOKUP(H118,'Bridge matrix'!$A$3:$E$731,3,FALSE),"no")</f>
        <v>Borojó</v>
      </c>
      <c r="L118" s="120" t="str">
        <f t="shared" si="8"/>
        <v>Borojó</v>
      </c>
      <c r="M118" s="120" t="str">
        <f t="shared" si="9"/>
        <v>Borojó</v>
      </c>
      <c r="N118" s="120" t="str">
        <f t="shared" si="11"/>
        <v>Borojó</v>
      </c>
      <c r="O118" s="2" t="e">
        <f>VLOOKUP(N118,'Bridge matrix'!$D$3:$E$731,2,FALSE)</f>
        <v>#N/A</v>
      </c>
    </row>
    <row r="119" spans="1:20" x14ac:dyDescent="0.25">
      <c r="A119" s="2" t="s">
        <v>593</v>
      </c>
      <c r="B119" s="2" t="s">
        <v>595</v>
      </c>
      <c r="C119" s="2" t="s">
        <v>598</v>
      </c>
      <c r="D119" s="2" t="s">
        <v>663</v>
      </c>
      <c r="F119" s="2" t="s">
        <v>1279</v>
      </c>
      <c r="G119" s="2" t="str">
        <f t="shared" si="14"/>
        <v>01.1.6.010</v>
      </c>
      <c r="H119" s="83" t="s">
        <v>1659</v>
      </c>
      <c r="I119" s="83" t="str">
        <f t="shared" si="10"/>
        <v>0116010</v>
      </c>
      <c r="J119" s="2" t="s">
        <v>1736</v>
      </c>
      <c r="K119" s="120" t="str">
        <f>IFERROR(VLOOKUP(H119,'Bridge matrix'!$A$3:$E$731,3,FALSE),"no")</f>
        <v>Caimito</v>
      </c>
      <c r="L119" s="120" t="str">
        <f t="shared" si="8"/>
        <v>Caimito</v>
      </c>
      <c r="M119" s="120" t="str">
        <f t="shared" si="9"/>
        <v>Caimito</v>
      </c>
      <c r="N119" s="120" t="str">
        <f t="shared" si="11"/>
        <v>Caimito</v>
      </c>
      <c r="O119" s="2" t="e">
        <f>VLOOKUP(N119,'Bridge matrix'!$D$3:$E$731,2,FALSE)</f>
        <v>#N/A</v>
      </c>
    </row>
    <row r="120" spans="1:20" x14ac:dyDescent="0.25">
      <c r="A120" s="2" t="s">
        <v>593</v>
      </c>
      <c r="B120" s="2" t="s">
        <v>595</v>
      </c>
      <c r="C120" s="2" t="s">
        <v>598</v>
      </c>
      <c r="D120" s="2" t="s">
        <v>663</v>
      </c>
      <c r="F120" s="2" t="s">
        <v>1280</v>
      </c>
      <c r="G120" s="2" t="str">
        <f t="shared" si="14"/>
        <v>01.1.6.011</v>
      </c>
      <c r="H120" s="83" t="s">
        <v>1660</v>
      </c>
      <c r="I120" s="83" t="str">
        <f t="shared" si="10"/>
        <v>0116011</v>
      </c>
      <c r="J120" s="2" t="s">
        <v>1737</v>
      </c>
      <c r="K120" s="120" t="str">
        <f>IFERROR(VLOOKUP(H120,'Bridge matrix'!$A$3:$E$731,3,FALSE),"no")</f>
        <v>Capulí</v>
      </c>
      <c r="L120" s="120" t="str">
        <f t="shared" si="8"/>
        <v>Capulí</v>
      </c>
      <c r="M120" s="120" t="str">
        <f t="shared" si="9"/>
        <v>Capulí</v>
      </c>
      <c r="N120" s="120" t="str">
        <f t="shared" si="11"/>
        <v>Capulí</v>
      </c>
      <c r="O120" s="2" t="e">
        <f>VLOOKUP(N120,'Bridge matrix'!$D$3:$E$731,2,FALSE)</f>
        <v>#N/A</v>
      </c>
    </row>
    <row r="121" spans="1:20" x14ac:dyDescent="0.25">
      <c r="A121" s="2" t="s">
        <v>593</v>
      </c>
      <c r="B121" s="2" t="s">
        <v>595</v>
      </c>
      <c r="C121" s="2" t="s">
        <v>598</v>
      </c>
      <c r="D121" s="2" t="s">
        <v>663</v>
      </c>
      <c r="F121" s="2" t="s">
        <v>1281</v>
      </c>
      <c r="G121" s="2" t="str">
        <f t="shared" si="14"/>
        <v>01.1.6.012</v>
      </c>
      <c r="H121" s="83" t="s">
        <v>1661</v>
      </c>
      <c r="I121" s="83" t="str">
        <f t="shared" si="10"/>
        <v>0116012</v>
      </c>
      <c r="J121" s="2" t="s">
        <v>1738</v>
      </c>
      <c r="K121" s="120" t="str">
        <f>IFERROR(VLOOKUP(H121,'Bridge matrix'!$A$3:$E$731,3,FALSE),"no")</f>
        <v>Cereza y guindas</v>
      </c>
      <c r="L121" s="120" t="str">
        <f t="shared" si="8"/>
        <v>Cereza y guindas</v>
      </c>
      <c r="M121" s="120" t="str">
        <f t="shared" si="9"/>
        <v>Cereza y guindas</v>
      </c>
      <c r="N121" s="120" t="str">
        <f t="shared" si="11"/>
        <v>Cereza y guindas</v>
      </c>
      <c r="O121" s="2" t="e">
        <f>VLOOKUP(N121,'Bridge matrix'!$D$3:$E$731,2,FALSE)</f>
        <v>#N/A</v>
      </c>
    </row>
    <row r="122" spans="1:20" x14ac:dyDescent="0.25">
      <c r="A122" s="2" t="s">
        <v>593</v>
      </c>
      <c r="B122" s="2" t="s">
        <v>595</v>
      </c>
      <c r="C122" s="2" t="s">
        <v>598</v>
      </c>
      <c r="D122" s="2" t="s">
        <v>663</v>
      </c>
      <c r="F122" s="2" t="s">
        <v>1282</v>
      </c>
      <c r="G122" s="2" t="str">
        <f t="shared" si="14"/>
        <v>01.1.6.013</v>
      </c>
      <c r="H122" s="83" t="s">
        <v>1662</v>
      </c>
      <c r="I122" s="83" t="str">
        <f t="shared" si="10"/>
        <v>0116013</v>
      </c>
      <c r="J122" s="2" t="s">
        <v>1739</v>
      </c>
      <c r="K122" s="120" t="str">
        <f>IFERROR(VLOOKUP(H122,'Bridge matrix'!$A$3:$E$731,3,FALSE),"no")</f>
        <v>Chamburos</v>
      </c>
      <c r="L122" s="120" t="str">
        <f t="shared" si="8"/>
        <v>Chamburos</v>
      </c>
      <c r="M122" s="120" t="str">
        <f t="shared" si="9"/>
        <v>Chamburos</v>
      </c>
      <c r="N122" s="120" t="str">
        <f t="shared" si="11"/>
        <v>Chamburos</v>
      </c>
      <c r="O122" s="2" t="e">
        <f>VLOOKUP(N122,'Bridge matrix'!$D$3:$E$731,2,FALSE)</f>
        <v>#N/A</v>
      </c>
    </row>
    <row r="123" spans="1:20" x14ac:dyDescent="0.25">
      <c r="A123" s="2" t="s">
        <v>593</v>
      </c>
      <c r="B123" s="2" t="s">
        <v>595</v>
      </c>
      <c r="C123" s="2" t="s">
        <v>598</v>
      </c>
      <c r="D123" s="2" t="s">
        <v>663</v>
      </c>
      <c r="F123" s="2" t="s">
        <v>1283</v>
      </c>
      <c r="G123" s="2" t="str">
        <f t="shared" si="14"/>
        <v>01.1.6.014</v>
      </c>
      <c r="H123" s="83" t="s">
        <v>1663</v>
      </c>
      <c r="I123" s="83" t="str">
        <f t="shared" si="10"/>
        <v>0116014</v>
      </c>
      <c r="J123" s="2" t="s">
        <v>1740</v>
      </c>
      <c r="K123" s="120" t="str">
        <f>IFERROR(VLOOKUP(H123,'Bridge matrix'!$A$3:$E$731,3,FALSE),"no")</f>
        <v>Chirimoya</v>
      </c>
      <c r="L123" s="120" t="str">
        <f t="shared" si="8"/>
        <v>Chirimoya</v>
      </c>
      <c r="M123" s="120" t="str">
        <f t="shared" si="9"/>
        <v>Chirimoya</v>
      </c>
      <c r="N123" s="120" t="str">
        <f t="shared" si="11"/>
        <v>Chirimoya</v>
      </c>
      <c r="O123" s="2" t="e">
        <f>VLOOKUP(N123,'Bridge matrix'!$D$3:$E$731,2,FALSE)</f>
        <v>#N/A</v>
      </c>
    </row>
    <row r="124" spans="1:20" x14ac:dyDescent="0.25">
      <c r="A124" s="2" t="s">
        <v>593</v>
      </c>
      <c r="B124" s="2" t="s">
        <v>595</v>
      </c>
      <c r="C124" s="2" t="s">
        <v>598</v>
      </c>
      <c r="D124" s="2" t="s">
        <v>663</v>
      </c>
      <c r="F124" s="2" t="s">
        <v>1284</v>
      </c>
      <c r="G124" s="2" t="str">
        <f t="shared" si="14"/>
        <v>01.1.6.015</v>
      </c>
      <c r="H124" s="83" t="s">
        <v>1664</v>
      </c>
      <c r="I124" s="83" t="str">
        <f t="shared" si="10"/>
        <v>0116015</v>
      </c>
      <c r="J124" s="2" t="s">
        <v>1741</v>
      </c>
      <c r="K124" s="120" t="str">
        <f>IFERROR(VLOOKUP(H124,'Bridge matrix'!$A$3:$E$731,3,FALSE),"no")</f>
        <v>Ciruelas</v>
      </c>
      <c r="L124" s="120" t="str">
        <f t="shared" si="8"/>
        <v>Ciruelas</v>
      </c>
      <c r="M124" s="120" t="str">
        <f t="shared" si="9"/>
        <v>Ciruelas</v>
      </c>
      <c r="N124" s="120" t="str">
        <f t="shared" si="11"/>
        <v>Ciruelas</v>
      </c>
      <c r="O124" s="2" t="e">
        <f>VLOOKUP(N124,'Bridge matrix'!$D$3:$E$731,2,FALSE)</f>
        <v>#N/A</v>
      </c>
      <c r="P124" s="85"/>
      <c r="Q124" s="80"/>
      <c r="R124" s="80"/>
      <c r="S124" s="80"/>
      <c r="T124" s="80"/>
    </row>
    <row r="125" spans="1:20" x14ac:dyDescent="0.25">
      <c r="A125" s="2" t="s">
        <v>593</v>
      </c>
      <c r="B125" s="2" t="s">
        <v>595</v>
      </c>
      <c r="C125" s="2" t="s">
        <v>598</v>
      </c>
      <c r="D125" s="2" t="s">
        <v>663</v>
      </c>
      <c r="F125" s="2" t="s">
        <v>1285</v>
      </c>
      <c r="G125" s="2" t="str">
        <f t="shared" si="14"/>
        <v>01.1.6.016</v>
      </c>
      <c r="H125" s="83" t="s">
        <v>1665</v>
      </c>
      <c r="I125" s="83" t="str">
        <f t="shared" si="10"/>
        <v>0116016</v>
      </c>
      <c r="J125" s="2" t="s">
        <v>1742</v>
      </c>
      <c r="K125" s="120" t="str">
        <f>IFERROR(VLOOKUP(H125,'Bridge matrix'!$A$3:$E$731,3,FALSE),"no")</f>
        <v>Claudias</v>
      </c>
      <c r="L125" s="120" t="str">
        <f t="shared" si="8"/>
        <v>Claudias</v>
      </c>
      <c r="M125" s="120" t="str">
        <f t="shared" si="9"/>
        <v>Claudias</v>
      </c>
      <c r="N125" s="120" t="str">
        <f t="shared" si="11"/>
        <v>Claudias</v>
      </c>
      <c r="O125" s="2" t="e">
        <f>VLOOKUP(N125,'Bridge matrix'!$D$3:$E$731,2,FALSE)</f>
        <v>#N/A</v>
      </c>
      <c r="Q125" s="80"/>
      <c r="R125" s="80"/>
      <c r="S125" s="80"/>
      <c r="T125" s="80"/>
    </row>
    <row r="126" spans="1:20" x14ac:dyDescent="0.25">
      <c r="A126" s="2" t="s">
        <v>593</v>
      </c>
      <c r="B126" s="2" t="s">
        <v>595</v>
      </c>
      <c r="C126" s="2" t="s">
        <v>598</v>
      </c>
      <c r="D126" s="2" t="s">
        <v>663</v>
      </c>
      <c r="F126" s="2" t="s">
        <v>1286</v>
      </c>
      <c r="G126" s="2" t="str">
        <f t="shared" si="14"/>
        <v>01.1.6.017</v>
      </c>
      <c r="H126" s="83" t="s">
        <v>1666</v>
      </c>
      <c r="I126" s="83" t="str">
        <f t="shared" si="10"/>
        <v>0116017</v>
      </c>
      <c r="J126" s="2" t="s">
        <v>1743</v>
      </c>
      <c r="K126" s="120" t="str">
        <f>IFERROR(VLOOKUP(H126,'Bridge matrix'!$A$3:$E$731,3,FALSE),"no")</f>
        <v>Cocos</v>
      </c>
      <c r="L126" s="120" t="str">
        <f t="shared" si="8"/>
        <v>Cocos</v>
      </c>
      <c r="M126" s="120" t="str">
        <f t="shared" si="9"/>
        <v>Cocos</v>
      </c>
      <c r="N126" s="120" t="str">
        <f t="shared" si="11"/>
        <v>Cocos</v>
      </c>
      <c r="O126" s="2" t="e">
        <f>VLOOKUP(N126,'Bridge matrix'!$D$3:$E$731,2,FALSE)</f>
        <v>#N/A</v>
      </c>
      <c r="Q126" s="80"/>
      <c r="R126" s="80"/>
      <c r="S126" s="80"/>
      <c r="T126" s="80"/>
    </row>
    <row r="127" spans="1:20" x14ac:dyDescent="0.25">
      <c r="A127" s="2" t="s">
        <v>593</v>
      </c>
      <c r="B127" s="2" t="s">
        <v>595</v>
      </c>
      <c r="C127" s="2" t="s">
        <v>598</v>
      </c>
      <c r="D127" s="2" t="s">
        <v>663</v>
      </c>
      <c r="F127" s="2" t="s">
        <v>1287</v>
      </c>
      <c r="G127" s="2" t="str">
        <f t="shared" si="14"/>
        <v>01.1.6.018</v>
      </c>
      <c r="H127" s="83" t="s">
        <v>1667</v>
      </c>
      <c r="I127" s="83" t="str">
        <f t="shared" si="10"/>
        <v>0116018</v>
      </c>
      <c r="J127" s="2" t="s">
        <v>1744</v>
      </c>
      <c r="K127" s="120" t="str">
        <f>IFERROR(VLOOKUP(H127,'Bridge matrix'!$A$3:$E$731,3,FALSE),"no")</f>
        <v>Durazno</v>
      </c>
      <c r="L127" s="120" t="str">
        <f t="shared" si="8"/>
        <v>Durazno</v>
      </c>
      <c r="M127" s="120" t="str">
        <f t="shared" si="9"/>
        <v>Durazno</v>
      </c>
      <c r="N127" s="120" t="str">
        <f t="shared" si="11"/>
        <v>Durazno</v>
      </c>
      <c r="O127" s="2" t="e">
        <f>VLOOKUP(N127,'Bridge matrix'!$D$3:$E$731,2,FALSE)</f>
        <v>#N/A</v>
      </c>
      <c r="Q127" s="80"/>
      <c r="R127" s="80"/>
      <c r="S127" s="80"/>
      <c r="T127" s="80"/>
    </row>
    <row r="128" spans="1:20" x14ac:dyDescent="0.25">
      <c r="A128" s="2" t="s">
        <v>593</v>
      </c>
      <c r="B128" s="2" t="s">
        <v>595</v>
      </c>
      <c r="C128" s="2" t="s">
        <v>598</v>
      </c>
      <c r="D128" s="2" t="s">
        <v>663</v>
      </c>
      <c r="F128" s="2" t="s">
        <v>1288</v>
      </c>
      <c r="G128" s="2" t="str">
        <f t="shared" si="14"/>
        <v>01.1.6.019</v>
      </c>
      <c r="H128" s="83" t="s">
        <v>1668</v>
      </c>
      <c r="I128" s="83" t="str">
        <f t="shared" si="10"/>
        <v>0116019</v>
      </c>
      <c r="J128" s="2" t="s">
        <v>1745</v>
      </c>
      <c r="K128" s="120" t="str">
        <f>IFERROR(VLOOKUP(H128,'Bridge matrix'!$A$3:$E$731,3,FALSE),"no")</f>
        <v>Feijoa</v>
      </c>
      <c r="L128" s="120" t="str">
        <f t="shared" si="8"/>
        <v>Feijoa</v>
      </c>
      <c r="M128" s="120" t="str">
        <f t="shared" si="9"/>
        <v>Feijoa</v>
      </c>
      <c r="N128" s="120" t="str">
        <f t="shared" si="11"/>
        <v>Feijoa</v>
      </c>
      <c r="O128" s="2" t="e">
        <f>VLOOKUP(N128,'Bridge matrix'!$D$3:$E$731,2,FALSE)</f>
        <v>#N/A</v>
      </c>
      <c r="Q128" s="80"/>
      <c r="R128" s="80"/>
      <c r="S128" s="80"/>
      <c r="T128" s="80"/>
    </row>
    <row r="129" spans="1:20" x14ac:dyDescent="0.25">
      <c r="A129" s="2" t="s">
        <v>593</v>
      </c>
      <c r="B129" s="2" t="s">
        <v>595</v>
      </c>
      <c r="C129" s="2" t="s">
        <v>598</v>
      </c>
      <c r="D129" s="2" t="s">
        <v>663</v>
      </c>
      <c r="F129" s="2" t="s">
        <v>1289</v>
      </c>
      <c r="G129" s="2" t="str">
        <f t="shared" si="14"/>
        <v>01.1.6.020</v>
      </c>
      <c r="H129" s="83" t="s">
        <v>1669</v>
      </c>
      <c r="I129" s="83" t="str">
        <f t="shared" si="10"/>
        <v>0116020</v>
      </c>
      <c r="J129" s="2" t="s">
        <v>1746</v>
      </c>
      <c r="K129" s="120" t="str">
        <f>IFERROR(VLOOKUP(H129,'Bridge matrix'!$A$3:$E$731,3,FALSE),"no")</f>
        <v>Frambuesa</v>
      </c>
      <c r="L129" s="120" t="str">
        <f t="shared" si="8"/>
        <v>Frambuesa</v>
      </c>
      <c r="M129" s="120" t="str">
        <f t="shared" si="9"/>
        <v>Frambuesa</v>
      </c>
      <c r="N129" s="120" t="str">
        <f t="shared" si="11"/>
        <v>Frambuesa</v>
      </c>
      <c r="O129" s="2" t="e">
        <f>VLOOKUP(N129,'Bridge matrix'!$D$3:$E$731,2,FALSE)</f>
        <v>#N/A</v>
      </c>
      <c r="Q129" s="80"/>
      <c r="R129" s="80"/>
      <c r="S129" s="80"/>
      <c r="T129" s="80"/>
    </row>
    <row r="130" spans="1:20" x14ac:dyDescent="0.25">
      <c r="A130" s="2" t="s">
        <v>593</v>
      </c>
      <c r="B130" s="2" t="s">
        <v>595</v>
      </c>
      <c r="C130" s="2" t="s">
        <v>598</v>
      </c>
      <c r="D130" s="2" t="s">
        <v>663</v>
      </c>
      <c r="F130" s="2" t="s">
        <v>1290</v>
      </c>
      <c r="G130" s="2" t="str">
        <f t="shared" si="14"/>
        <v>01.1.6.021</v>
      </c>
      <c r="H130" s="83" t="s">
        <v>1670</v>
      </c>
      <c r="I130" s="83" t="str">
        <f t="shared" si="10"/>
        <v>0116021</v>
      </c>
      <c r="J130" s="2" t="s">
        <v>1747</v>
      </c>
      <c r="K130" s="120" t="str">
        <f>IFERROR(VLOOKUP(H130,'Bridge matrix'!$A$3:$E$731,3,FALSE),"no")</f>
        <v>Fruta china</v>
      </c>
      <c r="L130" s="120" t="str">
        <f t="shared" ref="L130:L193" si="15">IF(AND(H130=LEFT(H131,LEN(H130)),L131&lt;&gt;"no"),"ll",IF(K130="no","no",K130))</f>
        <v>Fruta china</v>
      </c>
      <c r="M130" s="120" t="str">
        <f t="shared" ref="M130:M193" si="16">IF(L130&lt;&gt;"no",L130,IF(VLOOKUP(LEFT(H130,6),$H$2:$K$714,3,FALSE)="ll","no",VLOOKUP(LEFT(H130,6),$H$2:$K$714,3,FALSE)))</f>
        <v>Fruta china</v>
      </c>
      <c r="N130" s="120" t="str">
        <f t="shared" si="11"/>
        <v>Fruta china</v>
      </c>
      <c r="O130" s="2" t="e">
        <f>VLOOKUP(N130,'Bridge matrix'!$D$3:$E$731,2,FALSE)</f>
        <v>#N/A</v>
      </c>
      <c r="Q130" s="80"/>
      <c r="R130" s="80"/>
      <c r="S130" s="80"/>
      <c r="T130" s="80"/>
    </row>
    <row r="131" spans="1:20" x14ac:dyDescent="0.25">
      <c r="A131" s="2" t="s">
        <v>593</v>
      </c>
      <c r="B131" s="2" t="s">
        <v>595</v>
      </c>
      <c r="C131" s="2" t="s">
        <v>598</v>
      </c>
      <c r="D131" s="2" t="s">
        <v>663</v>
      </c>
      <c r="F131" s="2" t="s">
        <v>1291</v>
      </c>
      <c r="G131" s="2" t="str">
        <f t="shared" si="14"/>
        <v>01.1.6.022</v>
      </c>
      <c r="H131" s="83" t="s">
        <v>1671</v>
      </c>
      <c r="I131" s="83" t="str">
        <f t="shared" ref="I131:I194" si="17">B131&amp;C131&amp;D131&amp;E131&amp;F131</f>
        <v>0116022</v>
      </c>
      <c r="J131" s="2" t="s">
        <v>1748</v>
      </c>
      <c r="K131" s="120" t="str">
        <f>IFERROR(VLOOKUP(H131,'Bridge matrix'!$A$3:$E$731,3,FALSE),"no")</f>
        <v>Fruta de pan</v>
      </c>
      <c r="L131" s="120" t="str">
        <f t="shared" si="15"/>
        <v>Fruta de pan</v>
      </c>
      <c r="M131" s="120" t="str">
        <f t="shared" si="16"/>
        <v>Fruta de pan</v>
      </c>
      <c r="N131" s="120" t="str">
        <f t="shared" ref="N131:N194" si="18">M131</f>
        <v>Fruta de pan</v>
      </c>
      <c r="O131" s="2" t="e">
        <f>VLOOKUP(N131,'Bridge matrix'!$D$3:$E$731,2,FALSE)</f>
        <v>#N/A</v>
      </c>
      <c r="Q131" s="80"/>
      <c r="R131" s="80"/>
      <c r="S131" s="80"/>
      <c r="T131" s="80"/>
    </row>
    <row r="132" spans="1:20" x14ac:dyDescent="0.25">
      <c r="A132" s="2" t="s">
        <v>593</v>
      </c>
      <c r="B132" s="2" t="s">
        <v>595</v>
      </c>
      <c r="C132" s="2" t="s">
        <v>598</v>
      </c>
      <c r="D132" s="2" t="s">
        <v>663</v>
      </c>
      <c r="F132" s="2" t="s">
        <v>1292</v>
      </c>
      <c r="G132" s="2" t="str">
        <f t="shared" si="14"/>
        <v>01.1.6.023</v>
      </c>
      <c r="H132" s="83" t="s">
        <v>1672</v>
      </c>
      <c r="I132" s="83" t="str">
        <f t="shared" si="17"/>
        <v>0116023</v>
      </c>
      <c r="J132" s="2" t="s">
        <v>1749</v>
      </c>
      <c r="K132" s="120" t="str">
        <f>IFERROR(VLOOKUP(H132,'Bridge matrix'!$A$3:$E$731,3,FALSE),"no")</f>
        <v>Frutillas</v>
      </c>
      <c r="L132" s="120" t="str">
        <f t="shared" si="15"/>
        <v>Frutillas</v>
      </c>
      <c r="M132" s="120" t="str">
        <f t="shared" si="16"/>
        <v>Frutillas</v>
      </c>
      <c r="N132" s="120" t="str">
        <f t="shared" si="18"/>
        <v>Frutillas</v>
      </c>
      <c r="O132" s="2" t="e">
        <f>VLOOKUP(N132,'Bridge matrix'!$D$3:$E$731,2,FALSE)</f>
        <v>#N/A</v>
      </c>
      <c r="Q132" s="80"/>
      <c r="R132" s="80"/>
      <c r="S132" s="80"/>
      <c r="T132" s="80"/>
    </row>
    <row r="133" spans="1:20" x14ac:dyDescent="0.25">
      <c r="A133" s="2" t="s">
        <v>593</v>
      </c>
      <c r="B133" s="2" t="s">
        <v>595</v>
      </c>
      <c r="C133" s="2" t="s">
        <v>598</v>
      </c>
      <c r="D133" s="2" t="s">
        <v>663</v>
      </c>
      <c r="F133" s="2" t="s">
        <v>1293</v>
      </c>
      <c r="G133" s="2" t="str">
        <f t="shared" si="14"/>
        <v>01.1.6.024</v>
      </c>
      <c r="H133" s="83" t="s">
        <v>1673</v>
      </c>
      <c r="I133" s="83" t="str">
        <f t="shared" si="17"/>
        <v>0116024</v>
      </c>
      <c r="J133" s="2" t="s">
        <v>1750</v>
      </c>
      <c r="K133" s="120" t="str">
        <f>IFERROR(VLOOKUP(H133,'Bridge matrix'!$A$3:$E$731,3,FALSE),"no")</f>
        <v>Granada</v>
      </c>
      <c r="L133" s="120" t="str">
        <f t="shared" si="15"/>
        <v>Granada</v>
      </c>
      <c r="M133" s="120" t="str">
        <f t="shared" si="16"/>
        <v>Granada</v>
      </c>
      <c r="N133" s="120" t="str">
        <f t="shared" si="18"/>
        <v>Granada</v>
      </c>
      <c r="O133" s="2" t="e">
        <f>VLOOKUP(N133,'Bridge matrix'!$D$3:$E$731,2,FALSE)</f>
        <v>#N/A</v>
      </c>
      <c r="Q133" s="80"/>
      <c r="R133" s="80"/>
      <c r="S133" s="80"/>
      <c r="T133" s="80"/>
    </row>
    <row r="134" spans="1:20" x14ac:dyDescent="0.25">
      <c r="A134" s="2" t="s">
        <v>593</v>
      </c>
      <c r="B134" s="2" t="s">
        <v>595</v>
      </c>
      <c r="C134" s="2" t="s">
        <v>598</v>
      </c>
      <c r="D134" s="2" t="s">
        <v>663</v>
      </c>
      <c r="F134" s="2" t="s">
        <v>1294</v>
      </c>
      <c r="G134" s="2" t="str">
        <f t="shared" si="14"/>
        <v>01.1.6.025</v>
      </c>
      <c r="H134" s="83" t="s">
        <v>1674</v>
      </c>
      <c r="I134" s="83" t="str">
        <f t="shared" si="17"/>
        <v>0116025</v>
      </c>
      <c r="J134" s="2" t="s">
        <v>1751</v>
      </c>
      <c r="K134" s="120" t="str">
        <f>IFERROR(VLOOKUP(H134,'Bridge matrix'!$A$3:$E$731,3,FALSE),"no")</f>
        <v>Granadilla</v>
      </c>
      <c r="L134" s="120" t="str">
        <f t="shared" si="15"/>
        <v>Granadilla</v>
      </c>
      <c r="M134" s="120" t="str">
        <f t="shared" si="16"/>
        <v>Granadilla</v>
      </c>
      <c r="N134" s="120" t="str">
        <f t="shared" si="18"/>
        <v>Granadilla</v>
      </c>
      <c r="O134" s="2" t="e">
        <f>VLOOKUP(N134,'Bridge matrix'!$D$3:$E$731,2,FALSE)</f>
        <v>#N/A</v>
      </c>
      <c r="Q134" s="80"/>
      <c r="R134" s="80"/>
      <c r="S134" s="80"/>
      <c r="T134" s="80"/>
    </row>
    <row r="135" spans="1:20" x14ac:dyDescent="0.25">
      <c r="A135" s="2" t="s">
        <v>593</v>
      </c>
      <c r="B135" s="2" t="s">
        <v>595</v>
      </c>
      <c r="C135" s="2" t="s">
        <v>598</v>
      </c>
      <c r="D135" s="2" t="s">
        <v>663</v>
      </c>
      <c r="F135" s="2" t="s">
        <v>1295</v>
      </c>
      <c r="G135" s="2" t="str">
        <f t="shared" si="14"/>
        <v>01.1.6.026</v>
      </c>
      <c r="H135" s="83" t="s">
        <v>1675</v>
      </c>
      <c r="I135" s="83" t="str">
        <f t="shared" si="17"/>
        <v>0116026</v>
      </c>
      <c r="J135" s="2" t="s">
        <v>1752</v>
      </c>
      <c r="K135" s="120" t="str">
        <f>IFERROR(VLOOKUP(H135,'Bridge matrix'!$A$3:$E$731,3,FALSE),"no")</f>
        <v>Grosellas</v>
      </c>
      <c r="L135" s="120" t="str">
        <f t="shared" si="15"/>
        <v>Grosellas</v>
      </c>
      <c r="M135" s="120" t="str">
        <f t="shared" si="16"/>
        <v>Grosellas</v>
      </c>
      <c r="N135" s="120" t="str">
        <f t="shared" si="18"/>
        <v>Grosellas</v>
      </c>
      <c r="O135" s="2" t="e">
        <f>VLOOKUP(N135,'Bridge matrix'!$D$3:$E$731,2,FALSE)</f>
        <v>#N/A</v>
      </c>
      <c r="Q135" s="80"/>
      <c r="R135" s="80"/>
      <c r="S135" s="80"/>
      <c r="T135" s="80"/>
    </row>
    <row r="136" spans="1:20" x14ac:dyDescent="0.25">
      <c r="A136" s="2" t="s">
        <v>593</v>
      </c>
      <c r="B136" s="2" t="s">
        <v>595</v>
      </c>
      <c r="C136" s="2" t="s">
        <v>598</v>
      </c>
      <c r="D136" s="2" t="s">
        <v>663</v>
      </c>
      <c r="F136" s="2" t="s">
        <v>1296</v>
      </c>
      <c r="G136" s="2" t="str">
        <f t="shared" si="14"/>
        <v>01.1.6.027</v>
      </c>
      <c r="H136" s="83" t="s">
        <v>1676</v>
      </c>
      <c r="I136" s="83" t="str">
        <f t="shared" si="17"/>
        <v>0116027</v>
      </c>
      <c r="J136" s="2" t="s">
        <v>1753</v>
      </c>
      <c r="K136" s="120" t="str">
        <f>IFERROR(VLOOKUP(H136,'Bridge matrix'!$A$3:$E$731,3,FALSE),"no")</f>
        <v>Guaba de bejuco</v>
      </c>
      <c r="L136" s="120" t="str">
        <f t="shared" si="15"/>
        <v>Guaba de bejuco</v>
      </c>
      <c r="M136" s="120" t="str">
        <f t="shared" si="16"/>
        <v>Guaba de bejuco</v>
      </c>
      <c r="N136" s="120" t="str">
        <f t="shared" si="18"/>
        <v>Guaba de bejuco</v>
      </c>
      <c r="O136" s="2" t="e">
        <f>VLOOKUP(N136,'Bridge matrix'!$D$3:$E$731,2,FALSE)</f>
        <v>#N/A</v>
      </c>
      <c r="Q136" s="80"/>
      <c r="R136" s="80"/>
      <c r="S136" s="80"/>
      <c r="T136" s="80"/>
    </row>
    <row r="137" spans="1:20" x14ac:dyDescent="0.25">
      <c r="A137" s="2" t="s">
        <v>593</v>
      </c>
      <c r="B137" s="2" t="s">
        <v>595</v>
      </c>
      <c r="C137" s="2" t="s">
        <v>598</v>
      </c>
      <c r="D137" s="2" t="s">
        <v>663</v>
      </c>
      <c r="F137" s="2" t="s">
        <v>1600</v>
      </c>
      <c r="G137" s="2" t="str">
        <f t="shared" si="14"/>
        <v>01.1.6.028</v>
      </c>
      <c r="H137" s="83" t="s">
        <v>1677</v>
      </c>
      <c r="I137" s="83" t="str">
        <f t="shared" si="17"/>
        <v>0116028</v>
      </c>
      <c r="J137" s="2" t="s">
        <v>1754</v>
      </c>
      <c r="K137" s="120" t="str">
        <f>IFERROR(VLOOKUP(H137,'Bridge matrix'!$A$3:$E$731,3,FALSE),"no")</f>
        <v>Guaba machete</v>
      </c>
      <c r="L137" s="120" t="str">
        <f t="shared" si="15"/>
        <v>Guaba machete</v>
      </c>
      <c r="M137" s="120" t="str">
        <f t="shared" si="16"/>
        <v>Guaba machete</v>
      </c>
      <c r="N137" s="120" t="str">
        <f t="shared" si="18"/>
        <v>Guaba machete</v>
      </c>
      <c r="O137" s="2" t="e">
        <f>VLOOKUP(N137,'Bridge matrix'!$D$3:$E$731,2,FALSE)</f>
        <v>#N/A</v>
      </c>
      <c r="Q137" s="80"/>
      <c r="R137" s="80"/>
      <c r="S137" s="80"/>
      <c r="T137" s="80"/>
    </row>
    <row r="138" spans="1:20" x14ac:dyDescent="0.25">
      <c r="A138" s="2" t="s">
        <v>593</v>
      </c>
      <c r="B138" s="2" t="s">
        <v>595</v>
      </c>
      <c r="C138" s="2" t="s">
        <v>598</v>
      </c>
      <c r="D138" s="2" t="s">
        <v>663</v>
      </c>
      <c r="F138" s="2" t="s">
        <v>1601</v>
      </c>
      <c r="G138" s="2" t="str">
        <f t="shared" si="14"/>
        <v>01.1.6.029</v>
      </c>
      <c r="H138" s="83" t="s">
        <v>1678</v>
      </c>
      <c r="I138" s="83" t="str">
        <f t="shared" si="17"/>
        <v>0116029</v>
      </c>
      <c r="J138" s="2" t="s">
        <v>1755</v>
      </c>
      <c r="K138" s="120" t="str">
        <f>IFERROR(VLOOKUP(H138,'Bridge matrix'!$A$3:$E$731,3,FALSE),"no")</f>
        <v>Guaba pequeña</v>
      </c>
      <c r="L138" s="120" t="str">
        <f t="shared" si="15"/>
        <v>Guaba pequeña</v>
      </c>
      <c r="M138" s="120" t="str">
        <f t="shared" si="16"/>
        <v>Guaba pequeña</v>
      </c>
      <c r="N138" s="120" t="str">
        <f t="shared" si="18"/>
        <v>Guaba pequeña</v>
      </c>
      <c r="O138" s="2" t="e">
        <f>VLOOKUP(N138,'Bridge matrix'!$D$3:$E$731,2,FALSE)</f>
        <v>#N/A</v>
      </c>
      <c r="Q138" s="80"/>
      <c r="R138" s="80"/>
      <c r="S138" s="80"/>
      <c r="T138" s="80"/>
    </row>
    <row r="139" spans="1:20" x14ac:dyDescent="0.25">
      <c r="A139" s="2" t="s">
        <v>593</v>
      </c>
      <c r="B139" s="2" t="s">
        <v>595</v>
      </c>
      <c r="C139" s="2" t="s">
        <v>598</v>
      </c>
      <c r="D139" s="2" t="s">
        <v>663</v>
      </c>
      <c r="F139" s="2" t="s">
        <v>1602</v>
      </c>
      <c r="G139" s="2" t="str">
        <f t="shared" si="14"/>
        <v>01.1.6.030</v>
      </c>
      <c r="H139" s="83" t="s">
        <v>1679</v>
      </c>
      <c r="I139" s="83" t="str">
        <f t="shared" si="17"/>
        <v>0116030</v>
      </c>
      <c r="J139" s="2" t="s">
        <v>1756</v>
      </c>
      <c r="K139" s="120" t="str">
        <f>IFERROR(VLOOKUP(H139,'Bridge matrix'!$A$3:$E$731,3,FALSE),"no")</f>
        <v>Guanábana</v>
      </c>
      <c r="L139" s="120" t="str">
        <f t="shared" si="15"/>
        <v>Guanábana</v>
      </c>
      <c r="M139" s="120" t="str">
        <f t="shared" si="16"/>
        <v>Guanábana</v>
      </c>
      <c r="N139" s="120" t="str">
        <f t="shared" si="18"/>
        <v>Guanábana</v>
      </c>
      <c r="O139" s="2" t="e">
        <f>VLOOKUP(N139,'Bridge matrix'!$D$3:$E$731,2,FALSE)</f>
        <v>#N/A</v>
      </c>
      <c r="Q139" s="80"/>
      <c r="R139" s="80"/>
      <c r="S139" s="80"/>
      <c r="T139" s="80"/>
    </row>
    <row r="140" spans="1:20" x14ac:dyDescent="0.25">
      <c r="A140" s="2" t="s">
        <v>593</v>
      </c>
      <c r="B140" s="2" t="s">
        <v>595</v>
      </c>
      <c r="C140" s="2" t="s">
        <v>598</v>
      </c>
      <c r="D140" s="2" t="s">
        <v>663</v>
      </c>
      <c r="F140" s="2" t="s">
        <v>1603</v>
      </c>
      <c r="G140" s="2" t="str">
        <f t="shared" si="14"/>
        <v>01.1.6.031</v>
      </c>
      <c r="H140" s="83" t="s">
        <v>1680</v>
      </c>
      <c r="I140" s="83" t="str">
        <f t="shared" si="17"/>
        <v>0116031</v>
      </c>
      <c r="J140" s="2" t="s">
        <v>1757</v>
      </c>
      <c r="K140" s="120" t="str">
        <f>IFERROR(VLOOKUP(H140,'Bridge matrix'!$A$3:$E$731,3,FALSE),"no")</f>
        <v>Guayaba</v>
      </c>
      <c r="L140" s="120" t="str">
        <f t="shared" si="15"/>
        <v>Guayaba</v>
      </c>
      <c r="M140" s="120" t="str">
        <f t="shared" si="16"/>
        <v>Guayaba</v>
      </c>
      <c r="N140" s="120" t="str">
        <f t="shared" si="18"/>
        <v>Guayaba</v>
      </c>
      <c r="O140" s="2" t="e">
        <f>VLOOKUP(N140,'Bridge matrix'!$D$3:$E$731,2,FALSE)</f>
        <v>#N/A</v>
      </c>
      <c r="Q140" s="80"/>
      <c r="R140" s="80"/>
      <c r="S140" s="80"/>
      <c r="T140" s="80"/>
    </row>
    <row r="141" spans="1:20" x14ac:dyDescent="0.25">
      <c r="A141" s="2" t="s">
        <v>593</v>
      </c>
      <c r="B141" s="2" t="s">
        <v>595</v>
      </c>
      <c r="C141" s="2" t="s">
        <v>598</v>
      </c>
      <c r="D141" s="2" t="s">
        <v>663</v>
      </c>
      <c r="F141" s="2" t="s">
        <v>1604</v>
      </c>
      <c r="G141" s="2" t="str">
        <f t="shared" si="14"/>
        <v>01.1.6.032</v>
      </c>
      <c r="H141" s="83" t="s">
        <v>1681</v>
      </c>
      <c r="I141" s="83" t="str">
        <f t="shared" si="17"/>
        <v>0116032</v>
      </c>
      <c r="J141" s="2" t="s">
        <v>1758</v>
      </c>
      <c r="K141" s="120" t="str">
        <f>IFERROR(VLOOKUP(H141,'Bridge matrix'!$A$3:$E$731,3,FALSE),"no")</f>
        <v>Guaytambo (durazno abridor)</v>
      </c>
      <c r="L141" s="120" t="str">
        <f t="shared" si="15"/>
        <v>Guaytambo (durazno abridor)</v>
      </c>
      <c r="M141" s="120" t="str">
        <f t="shared" si="16"/>
        <v>Guaytambo (durazno abridor)</v>
      </c>
      <c r="N141" s="120" t="str">
        <f t="shared" si="18"/>
        <v>Guaytambo (durazno abridor)</v>
      </c>
      <c r="O141" s="2" t="e">
        <f>VLOOKUP(N141,'Bridge matrix'!$D$3:$E$731,2,FALSE)</f>
        <v>#N/A</v>
      </c>
      <c r="Q141" s="80"/>
      <c r="R141" s="80"/>
      <c r="S141" s="80"/>
      <c r="T141" s="80"/>
    </row>
    <row r="142" spans="1:20" x14ac:dyDescent="0.25">
      <c r="A142" s="2" t="s">
        <v>593</v>
      </c>
      <c r="B142" s="2" t="s">
        <v>595</v>
      </c>
      <c r="C142" s="2" t="s">
        <v>598</v>
      </c>
      <c r="D142" s="2" t="s">
        <v>663</v>
      </c>
      <c r="F142" s="2" t="s">
        <v>1605</v>
      </c>
      <c r="G142" s="2" t="str">
        <f t="shared" si="14"/>
        <v>01.1.6.033</v>
      </c>
      <c r="H142" s="83" t="s">
        <v>1682</v>
      </c>
      <c r="I142" s="83" t="str">
        <f t="shared" si="17"/>
        <v>0116033</v>
      </c>
      <c r="J142" s="2" t="s">
        <v>1759</v>
      </c>
      <c r="K142" s="120" t="str">
        <f>IFERROR(VLOOKUP(H142,'Bridge matrix'!$A$3:$E$731,3,FALSE),"no")</f>
        <v>Higo</v>
      </c>
      <c r="L142" s="120" t="str">
        <f t="shared" si="15"/>
        <v>Higo</v>
      </c>
      <c r="M142" s="120" t="str">
        <f t="shared" si="16"/>
        <v>Higo</v>
      </c>
      <c r="N142" s="120" t="str">
        <f t="shared" si="18"/>
        <v>Higo</v>
      </c>
      <c r="O142" s="2" t="e">
        <f>VLOOKUP(N142,'Bridge matrix'!$D$3:$E$731,2,FALSE)</f>
        <v>#N/A</v>
      </c>
      <c r="Q142" s="80"/>
      <c r="R142" s="80"/>
      <c r="S142" s="80"/>
      <c r="T142" s="80"/>
    </row>
    <row r="143" spans="1:20" x14ac:dyDescent="0.25">
      <c r="A143" s="2" t="s">
        <v>593</v>
      </c>
      <c r="B143" s="2" t="s">
        <v>595</v>
      </c>
      <c r="C143" s="2" t="s">
        <v>598</v>
      </c>
      <c r="D143" s="2" t="s">
        <v>663</v>
      </c>
      <c r="F143" s="2" t="s">
        <v>1606</v>
      </c>
      <c r="G143" s="2" t="str">
        <f t="shared" si="14"/>
        <v>01.1.6.034</v>
      </c>
      <c r="H143" s="83" t="s">
        <v>1683</v>
      </c>
      <c r="I143" s="83" t="str">
        <f t="shared" si="17"/>
        <v>0116034</v>
      </c>
      <c r="J143" s="2" t="s">
        <v>1760</v>
      </c>
      <c r="K143" s="120" t="str">
        <f>IFERROR(VLOOKUP(H143,'Bridge matrix'!$A$3:$E$731,3,FALSE),"no")</f>
        <v>Kiwi</v>
      </c>
      <c r="L143" s="120" t="str">
        <f t="shared" si="15"/>
        <v>Kiwi</v>
      </c>
      <c r="M143" s="120" t="str">
        <f t="shared" si="16"/>
        <v>Kiwi</v>
      </c>
      <c r="N143" s="120" t="str">
        <f t="shared" si="18"/>
        <v>Kiwi</v>
      </c>
      <c r="O143" s="2" t="e">
        <f>VLOOKUP(N143,'Bridge matrix'!$D$3:$E$731,2,FALSE)</f>
        <v>#N/A</v>
      </c>
      <c r="Q143" s="80"/>
      <c r="R143" s="80"/>
      <c r="S143" s="80"/>
      <c r="T143" s="80"/>
    </row>
    <row r="144" spans="1:20" x14ac:dyDescent="0.25">
      <c r="A144" s="2" t="s">
        <v>593</v>
      </c>
      <c r="B144" s="2" t="s">
        <v>595</v>
      </c>
      <c r="C144" s="2" t="s">
        <v>598</v>
      </c>
      <c r="D144" s="2" t="s">
        <v>663</v>
      </c>
      <c r="F144" s="2" t="s">
        <v>1607</v>
      </c>
      <c r="G144" s="2" t="str">
        <f t="shared" si="14"/>
        <v>01.1.6.035</v>
      </c>
      <c r="H144" s="83" t="s">
        <v>1684</v>
      </c>
      <c r="I144" s="83" t="str">
        <f t="shared" si="17"/>
        <v>0116035</v>
      </c>
      <c r="J144" s="2" t="s">
        <v>1761</v>
      </c>
      <c r="K144" s="120" t="str">
        <f>IFERROR(VLOOKUP(H144,'Bridge matrix'!$A$3:$E$731,3,FALSE),"no")</f>
        <v>Lima</v>
      </c>
      <c r="L144" s="120" t="str">
        <f t="shared" si="15"/>
        <v>Lima</v>
      </c>
      <c r="M144" s="120" t="str">
        <f t="shared" si="16"/>
        <v>Lima</v>
      </c>
      <c r="N144" s="120" t="str">
        <f t="shared" si="18"/>
        <v>Lima</v>
      </c>
      <c r="O144" s="2" t="e">
        <f>VLOOKUP(N144,'Bridge matrix'!$D$3:$E$731,2,FALSE)</f>
        <v>#N/A</v>
      </c>
      <c r="Q144" s="80"/>
      <c r="R144" s="80"/>
      <c r="S144" s="80"/>
      <c r="T144" s="80"/>
    </row>
    <row r="145" spans="1:20" x14ac:dyDescent="0.25">
      <c r="A145" s="2" t="s">
        <v>593</v>
      </c>
      <c r="B145" s="2" t="s">
        <v>595</v>
      </c>
      <c r="C145" s="2" t="s">
        <v>598</v>
      </c>
      <c r="D145" s="2" t="s">
        <v>663</v>
      </c>
      <c r="F145" s="2" t="s">
        <v>1608</v>
      </c>
      <c r="G145" s="2" t="str">
        <f t="shared" si="14"/>
        <v>01.1.6.036</v>
      </c>
      <c r="H145" s="83" t="s">
        <v>1685</v>
      </c>
      <c r="I145" s="83" t="str">
        <f t="shared" si="17"/>
        <v>0116036</v>
      </c>
      <c r="J145" s="2" t="s">
        <v>1762</v>
      </c>
      <c r="K145" s="120" t="str">
        <f>IFERROR(VLOOKUP(H145,'Bridge matrix'!$A$3:$E$731,3,FALSE),"no")</f>
        <v>Limón mandarina</v>
      </c>
      <c r="L145" s="120" t="str">
        <f t="shared" si="15"/>
        <v>Limón mandarina</v>
      </c>
      <c r="M145" s="120" t="str">
        <f t="shared" si="16"/>
        <v>Limón mandarina</v>
      </c>
      <c r="N145" s="120" t="str">
        <f t="shared" si="18"/>
        <v>Limón mandarina</v>
      </c>
      <c r="O145" s="2" t="e">
        <f>VLOOKUP(N145,'Bridge matrix'!$D$3:$E$731,2,FALSE)</f>
        <v>#N/A</v>
      </c>
      <c r="Q145" s="80"/>
      <c r="R145" s="80"/>
      <c r="S145" s="80"/>
      <c r="T145" s="80"/>
    </row>
    <row r="146" spans="1:20" x14ac:dyDescent="0.25">
      <c r="A146" s="2" t="s">
        <v>593</v>
      </c>
      <c r="B146" s="2" t="s">
        <v>595</v>
      </c>
      <c r="C146" s="2" t="s">
        <v>598</v>
      </c>
      <c r="D146" s="2" t="s">
        <v>663</v>
      </c>
      <c r="F146" s="2" t="s">
        <v>1609</v>
      </c>
      <c r="G146" s="2" t="str">
        <f t="shared" si="14"/>
        <v>01.1.6.037</v>
      </c>
      <c r="H146" s="83" t="s">
        <v>1686</v>
      </c>
      <c r="I146" s="83" t="str">
        <f t="shared" si="17"/>
        <v>0116037</v>
      </c>
      <c r="J146" s="2" t="s">
        <v>1763</v>
      </c>
      <c r="K146" s="120" t="str">
        <f>IFERROR(VLOOKUP(H146,'Bridge matrix'!$A$3:$E$731,3,FALSE),"no")</f>
        <v>Limón real</v>
      </c>
      <c r="L146" s="120" t="str">
        <f t="shared" si="15"/>
        <v>Limón real</v>
      </c>
      <c r="M146" s="120" t="str">
        <f t="shared" si="16"/>
        <v>Limón real</v>
      </c>
      <c r="N146" s="120" t="str">
        <f t="shared" si="18"/>
        <v>Limón real</v>
      </c>
      <c r="O146" s="2" t="e">
        <f>VLOOKUP(N146,'Bridge matrix'!$D$3:$E$731,2,FALSE)</f>
        <v>#N/A</v>
      </c>
      <c r="Q146" s="80"/>
      <c r="R146" s="80"/>
      <c r="S146" s="80"/>
      <c r="T146" s="80"/>
    </row>
    <row r="147" spans="1:20" x14ac:dyDescent="0.25">
      <c r="A147" s="2" t="s">
        <v>593</v>
      </c>
      <c r="B147" s="2" t="s">
        <v>595</v>
      </c>
      <c r="C147" s="2" t="s">
        <v>598</v>
      </c>
      <c r="D147" s="2" t="s">
        <v>663</v>
      </c>
      <c r="F147" s="2" t="s">
        <v>1610</v>
      </c>
      <c r="G147" s="2" t="str">
        <f t="shared" si="14"/>
        <v>01.1.6.038</v>
      </c>
      <c r="H147" s="83" t="s">
        <v>1687</v>
      </c>
      <c r="I147" s="83" t="str">
        <f t="shared" si="17"/>
        <v>0116038</v>
      </c>
      <c r="J147" s="2" t="s">
        <v>1764</v>
      </c>
      <c r="K147" s="120" t="str">
        <f>IFERROR(VLOOKUP(H147,'Bridge matrix'!$A$3:$E$731,3,FALSE),"no")</f>
        <v>Limón sutil</v>
      </c>
      <c r="L147" s="120" t="str">
        <f t="shared" si="15"/>
        <v>Limón sutil</v>
      </c>
      <c r="M147" s="120" t="str">
        <f t="shared" si="16"/>
        <v>Limón sutil</v>
      </c>
      <c r="N147" s="120" t="str">
        <f t="shared" si="18"/>
        <v>Limón sutil</v>
      </c>
      <c r="O147" s="2" t="e">
        <f>VLOOKUP(N147,'Bridge matrix'!$D$3:$E$731,2,FALSE)</f>
        <v>#N/A</v>
      </c>
      <c r="Q147" s="80"/>
      <c r="R147" s="80"/>
      <c r="S147" s="80"/>
      <c r="T147" s="80"/>
    </row>
    <row r="148" spans="1:20" x14ac:dyDescent="0.25">
      <c r="A148" s="2" t="s">
        <v>593</v>
      </c>
      <c r="B148" s="2" t="s">
        <v>595</v>
      </c>
      <c r="C148" s="2" t="s">
        <v>598</v>
      </c>
      <c r="D148" s="2" t="s">
        <v>663</v>
      </c>
      <c r="F148" s="2" t="s">
        <v>1611</v>
      </c>
      <c r="G148" s="2" t="str">
        <f t="shared" si="14"/>
        <v>01.1.6.039</v>
      </c>
      <c r="H148" s="83" t="s">
        <v>1688</v>
      </c>
      <c r="I148" s="83" t="str">
        <f t="shared" si="17"/>
        <v>0116039</v>
      </c>
      <c r="J148" s="2" t="s">
        <v>1765</v>
      </c>
      <c r="K148" s="120" t="str">
        <f>IFERROR(VLOOKUP(H148,'Bridge matrix'!$A$3:$E$731,3,FALSE),"no")</f>
        <v>Mamey</v>
      </c>
      <c r="L148" s="120" t="str">
        <f t="shared" si="15"/>
        <v>Mamey</v>
      </c>
      <c r="M148" s="120" t="str">
        <f t="shared" si="16"/>
        <v>Mamey</v>
      </c>
      <c r="N148" s="120" t="str">
        <f t="shared" si="18"/>
        <v>Mamey</v>
      </c>
      <c r="O148" s="2" t="e">
        <f>VLOOKUP(N148,'Bridge matrix'!$D$3:$E$731,2,FALSE)</f>
        <v>#N/A</v>
      </c>
      <c r="Q148" s="80"/>
      <c r="R148" s="80"/>
      <c r="S148" s="80"/>
      <c r="T148" s="80"/>
    </row>
    <row r="149" spans="1:20" x14ac:dyDescent="0.25">
      <c r="A149" s="2" t="s">
        <v>593</v>
      </c>
      <c r="B149" s="2" t="s">
        <v>595</v>
      </c>
      <c r="C149" s="2" t="s">
        <v>598</v>
      </c>
      <c r="D149" s="2" t="s">
        <v>663</v>
      </c>
      <c r="F149" s="2" t="s">
        <v>1612</v>
      </c>
      <c r="G149" s="2" t="str">
        <f t="shared" si="14"/>
        <v>01.1.6.040</v>
      </c>
      <c r="H149" s="83" t="s">
        <v>1689</v>
      </c>
      <c r="I149" s="83" t="str">
        <f t="shared" si="17"/>
        <v>0116040</v>
      </c>
      <c r="J149" s="2" t="s">
        <v>1766</v>
      </c>
      <c r="K149" s="120" t="str">
        <f>IFERROR(VLOOKUP(H149,'Bridge matrix'!$A$3:$E$731,3,FALSE),"no")</f>
        <v>Mandarina</v>
      </c>
      <c r="L149" s="120" t="str">
        <f t="shared" si="15"/>
        <v>Mandarina</v>
      </c>
      <c r="M149" s="120" t="str">
        <f t="shared" si="16"/>
        <v>Mandarina</v>
      </c>
      <c r="N149" s="120" t="str">
        <f t="shared" si="18"/>
        <v>Mandarina</v>
      </c>
      <c r="O149" s="2" t="e">
        <f>VLOOKUP(N149,'Bridge matrix'!$D$3:$E$731,2,FALSE)</f>
        <v>#N/A</v>
      </c>
      <c r="Q149" s="80"/>
      <c r="R149" s="80"/>
      <c r="S149" s="80"/>
      <c r="T149" s="80"/>
    </row>
    <row r="150" spans="1:20" x14ac:dyDescent="0.25">
      <c r="A150" s="2" t="s">
        <v>593</v>
      </c>
      <c r="B150" s="2" t="s">
        <v>595</v>
      </c>
      <c r="C150" s="2" t="s">
        <v>598</v>
      </c>
      <c r="D150" s="2" t="s">
        <v>663</v>
      </c>
      <c r="F150" s="2" t="s">
        <v>1613</v>
      </c>
      <c r="G150" s="2" t="str">
        <f t="shared" si="14"/>
        <v>01.1.6.041</v>
      </c>
      <c r="H150" s="83" t="s">
        <v>1690</v>
      </c>
      <c r="I150" s="83" t="str">
        <f t="shared" si="17"/>
        <v>0116041</v>
      </c>
      <c r="J150" s="2" t="s">
        <v>1353</v>
      </c>
      <c r="K150" s="120" t="str">
        <f>IFERROR(VLOOKUP(H150,'Bridge matrix'!$A$3:$E$731,3,FALSE),"no")</f>
        <v>Mango</v>
      </c>
      <c r="L150" s="120" t="str">
        <f t="shared" si="15"/>
        <v>Mango</v>
      </c>
      <c r="M150" s="120" t="str">
        <f t="shared" si="16"/>
        <v>Mango</v>
      </c>
      <c r="N150" s="120" t="str">
        <f t="shared" si="18"/>
        <v>Mango</v>
      </c>
      <c r="O150" s="2" t="e">
        <f>VLOOKUP(N150,'Bridge matrix'!$D$3:$E$731,2,FALSE)</f>
        <v>#N/A</v>
      </c>
      <c r="Q150" s="80"/>
      <c r="R150" s="80"/>
      <c r="S150" s="80"/>
      <c r="T150" s="80"/>
    </row>
    <row r="151" spans="1:20" x14ac:dyDescent="0.25">
      <c r="A151" s="2" t="s">
        <v>593</v>
      </c>
      <c r="B151" s="2" t="s">
        <v>595</v>
      </c>
      <c r="C151" s="2" t="s">
        <v>598</v>
      </c>
      <c r="D151" s="2" t="s">
        <v>663</v>
      </c>
      <c r="F151" s="2" t="s">
        <v>1614</v>
      </c>
      <c r="G151" s="2" t="str">
        <f t="shared" si="14"/>
        <v>01.1.6.042</v>
      </c>
      <c r="H151" s="83" t="s">
        <v>1691</v>
      </c>
      <c r="I151" s="83" t="str">
        <f t="shared" si="17"/>
        <v>0116042</v>
      </c>
      <c r="J151" s="2" t="s">
        <v>1767</v>
      </c>
      <c r="K151" s="120" t="str">
        <f>IFERROR(VLOOKUP(H151,'Bridge matrix'!$A$3:$E$731,3,FALSE),"no")</f>
        <v>Manzana</v>
      </c>
      <c r="L151" s="120" t="str">
        <f t="shared" si="15"/>
        <v>Manzana</v>
      </c>
      <c r="M151" s="120" t="str">
        <f t="shared" si="16"/>
        <v>Manzana</v>
      </c>
      <c r="N151" s="120" t="str">
        <f t="shared" si="18"/>
        <v>Manzana</v>
      </c>
      <c r="O151" s="2" t="e">
        <f>VLOOKUP(N151,'Bridge matrix'!$D$3:$E$731,2,FALSE)</f>
        <v>#N/A</v>
      </c>
      <c r="Q151" s="80"/>
      <c r="R151" s="80"/>
      <c r="S151" s="80"/>
      <c r="T151" s="80"/>
    </row>
    <row r="152" spans="1:20" x14ac:dyDescent="0.25">
      <c r="A152" s="2" t="s">
        <v>593</v>
      </c>
      <c r="B152" s="2" t="s">
        <v>595</v>
      </c>
      <c r="C152" s="2" t="s">
        <v>598</v>
      </c>
      <c r="D152" s="2" t="s">
        <v>663</v>
      </c>
      <c r="F152" s="2" t="s">
        <v>1615</v>
      </c>
      <c r="G152" s="2" t="str">
        <f t="shared" si="14"/>
        <v>01.1.6.043</v>
      </c>
      <c r="H152" s="83" t="s">
        <v>1692</v>
      </c>
      <c r="I152" s="83" t="str">
        <f t="shared" si="17"/>
        <v>0116043</v>
      </c>
      <c r="J152" s="2" t="s">
        <v>1768</v>
      </c>
      <c r="K152" s="120" t="str">
        <f>IFERROR(VLOOKUP(H152,'Bridge matrix'!$A$3:$E$731,3,FALSE),"no")</f>
        <v>Maqueño</v>
      </c>
      <c r="L152" s="120" t="str">
        <f t="shared" si="15"/>
        <v>Maqueño</v>
      </c>
      <c r="M152" s="120" t="str">
        <f t="shared" si="16"/>
        <v>Maqueño</v>
      </c>
      <c r="N152" s="120" t="str">
        <f t="shared" si="18"/>
        <v>Maqueño</v>
      </c>
      <c r="O152" s="2" t="e">
        <f>VLOOKUP(N152,'Bridge matrix'!$D$3:$E$731,2,FALSE)</f>
        <v>#N/A</v>
      </c>
      <c r="Q152" s="80"/>
      <c r="R152" s="80"/>
      <c r="S152" s="80"/>
      <c r="T152" s="80"/>
    </row>
    <row r="153" spans="1:20" x14ac:dyDescent="0.25">
      <c r="A153" s="2" t="s">
        <v>593</v>
      </c>
      <c r="B153" s="2" t="s">
        <v>595</v>
      </c>
      <c r="C153" s="2" t="s">
        <v>598</v>
      </c>
      <c r="D153" s="2" t="s">
        <v>663</v>
      </c>
      <c r="F153" s="2" t="s">
        <v>1616</v>
      </c>
      <c r="G153" s="2" t="str">
        <f t="shared" si="14"/>
        <v>01.1.6.044</v>
      </c>
      <c r="H153" s="83" t="s">
        <v>1693</v>
      </c>
      <c r="I153" s="83" t="str">
        <f t="shared" si="17"/>
        <v>0116044</v>
      </c>
      <c r="J153" s="2" t="s">
        <v>1769</v>
      </c>
      <c r="K153" s="120" t="str">
        <f>IFERROR(VLOOKUP(H153,'Bridge matrix'!$A$3:$E$731,3,FALSE),"no")</f>
        <v>Maracuyá</v>
      </c>
      <c r="L153" s="120" t="str">
        <f t="shared" si="15"/>
        <v>Maracuyá</v>
      </c>
      <c r="M153" s="120" t="str">
        <f t="shared" si="16"/>
        <v>Maracuyá</v>
      </c>
      <c r="N153" s="120" t="str">
        <f t="shared" si="18"/>
        <v>Maracuyá</v>
      </c>
      <c r="O153" s="2" t="e">
        <f>VLOOKUP(N153,'Bridge matrix'!$D$3:$E$731,2,FALSE)</f>
        <v>#N/A</v>
      </c>
      <c r="Q153" s="80"/>
      <c r="R153" s="80"/>
      <c r="S153" s="80"/>
      <c r="T153" s="80"/>
    </row>
    <row r="154" spans="1:20" x14ac:dyDescent="0.25">
      <c r="A154" s="2" t="s">
        <v>593</v>
      </c>
      <c r="B154" s="2" t="s">
        <v>595</v>
      </c>
      <c r="C154" s="2" t="s">
        <v>598</v>
      </c>
      <c r="D154" s="2" t="s">
        <v>663</v>
      </c>
      <c r="F154" s="2" t="s">
        <v>1617</v>
      </c>
      <c r="G154" s="2" t="str">
        <f t="shared" si="14"/>
        <v>01.1.6.045</v>
      </c>
      <c r="H154" s="83" t="s">
        <v>1694</v>
      </c>
      <c r="I154" s="83" t="str">
        <f t="shared" si="17"/>
        <v>0116045</v>
      </c>
      <c r="J154" s="2" t="s">
        <v>1770</v>
      </c>
      <c r="K154" s="120" t="str">
        <f>IFERROR(VLOOKUP(H154,'Bridge matrix'!$A$3:$E$731,3,FALSE),"no")</f>
        <v>Melón</v>
      </c>
      <c r="L154" s="120" t="str">
        <f t="shared" si="15"/>
        <v>Melón</v>
      </c>
      <c r="M154" s="120" t="str">
        <f t="shared" si="16"/>
        <v>Melón</v>
      </c>
      <c r="N154" s="120" t="str">
        <f t="shared" si="18"/>
        <v>Melón</v>
      </c>
      <c r="O154" s="2" t="e">
        <f>VLOOKUP(N154,'Bridge matrix'!$D$3:$E$731,2,FALSE)</f>
        <v>#N/A</v>
      </c>
      <c r="Q154" s="80"/>
      <c r="R154" s="80"/>
      <c r="S154" s="80"/>
      <c r="T154" s="80"/>
    </row>
    <row r="155" spans="1:20" x14ac:dyDescent="0.25">
      <c r="A155" s="2" t="s">
        <v>593</v>
      </c>
      <c r="B155" s="2" t="s">
        <v>595</v>
      </c>
      <c r="C155" s="2" t="s">
        <v>598</v>
      </c>
      <c r="D155" s="2" t="s">
        <v>663</v>
      </c>
      <c r="F155" s="2" t="s">
        <v>1618</v>
      </c>
      <c r="G155" s="2" t="str">
        <f t="shared" si="14"/>
        <v>01.1.6.046</v>
      </c>
      <c r="H155" s="83" t="s">
        <v>1695</v>
      </c>
      <c r="I155" s="83" t="str">
        <f t="shared" si="17"/>
        <v>0116046</v>
      </c>
      <c r="J155" s="2" t="s">
        <v>1771</v>
      </c>
      <c r="K155" s="120" t="str">
        <f>IFERROR(VLOOKUP(H155,'Bridge matrix'!$A$3:$E$731,3,FALSE),"no")</f>
        <v>Membrillo</v>
      </c>
      <c r="L155" s="120" t="str">
        <f t="shared" si="15"/>
        <v>Membrillo</v>
      </c>
      <c r="M155" s="120" t="str">
        <f t="shared" si="16"/>
        <v>Membrillo</v>
      </c>
      <c r="N155" s="120" t="str">
        <f t="shared" si="18"/>
        <v>Membrillo</v>
      </c>
      <c r="O155" s="2" t="e">
        <f>VLOOKUP(N155,'Bridge matrix'!$D$3:$E$731,2,FALSE)</f>
        <v>#N/A</v>
      </c>
      <c r="Q155" s="80"/>
      <c r="R155" s="80"/>
      <c r="S155" s="80"/>
      <c r="T155" s="80"/>
    </row>
    <row r="156" spans="1:20" x14ac:dyDescent="0.25">
      <c r="A156" s="2" t="s">
        <v>593</v>
      </c>
      <c r="B156" s="2" t="s">
        <v>595</v>
      </c>
      <c r="C156" s="2" t="s">
        <v>598</v>
      </c>
      <c r="D156" s="2" t="s">
        <v>663</v>
      </c>
      <c r="F156" s="2" t="s">
        <v>1619</v>
      </c>
      <c r="G156" s="2" t="str">
        <f t="shared" si="14"/>
        <v>01.1.6.047</v>
      </c>
      <c r="H156" s="83" t="s">
        <v>1696</v>
      </c>
      <c r="I156" s="83" t="str">
        <f t="shared" si="17"/>
        <v>0116047</v>
      </c>
      <c r="J156" s="2" t="s">
        <v>1772</v>
      </c>
      <c r="K156" s="120" t="str">
        <f>IFERROR(VLOOKUP(H156,'Bridge matrix'!$A$3:$E$731,3,FALSE),"no")</f>
        <v>Mora (castilla y silvestre)</v>
      </c>
      <c r="L156" s="120" t="str">
        <f t="shared" si="15"/>
        <v>Mora (castilla y silvestre)</v>
      </c>
      <c r="M156" s="120" t="str">
        <f t="shared" si="16"/>
        <v>Mora (castilla y silvestre)</v>
      </c>
      <c r="N156" s="120" t="str">
        <f t="shared" si="18"/>
        <v>Mora (castilla y silvestre)</v>
      </c>
      <c r="O156" s="2" t="e">
        <f>VLOOKUP(N156,'Bridge matrix'!$D$3:$E$731,2,FALSE)</f>
        <v>#N/A</v>
      </c>
      <c r="Q156" s="80"/>
      <c r="R156" s="80"/>
      <c r="S156" s="80"/>
      <c r="T156" s="80"/>
    </row>
    <row r="157" spans="1:20" x14ac:dyDescent="0.25">
      <c r="A157" s="2" t="s">
        <v>593</v>
      </c>
      <c r="B157" s="2" t="s">
        <v>595</v>
      </c>
      <c r="C157" s="2" t="s">
        <v>598</v>
      </c>
      <c r="D157" s="2" t="s">
        <v>663</v>
      </c>
      <c r="F157" s="2" t="s">
        <v>1620</v>
      </c>
      <c r="G157" s="2" t="str">
        <f t="shared" si="14"/>
        <v>01.1.6.048</v>
      </c>
      <c r="H157" s="83" t="s">
        <v>1697</v>
      </c>
      <c r="I157" s="83" t="str">
        <f t="shared" si="17"/>
        <v>0116048</v>
      </c>
      <c r="J157" s="2" t="s">
        <v>1773</v>
      </c>
      <c r="K157" s="120" t="str">
        <f>IFERROR(VLOOKUP(H157,'Bridge matrix'!$A$3:$E$731,3,FALSE),"no")</f>
        <v>Mortiño</v>
      </c>
      <c r="L157" s="120" t="str">
        <f t="shared" si="15"/>
        <v>Mortiño</v>
      </c>
      <c r="M157" s="120" t="str">
        <f t="shared" si="16"/>
        <v>Mortiño</v>
      </c>
      <c r="N157" s="120" t="str">
        <f t="shared" si="18"/>
        <v>Mortiño</v>
      </c>
      <c r="O157" s="2" t="e">
        <f>VLOOKUP(N157,'Bridge matrix'!$D$3:$E$731,2,FALSE)</f>
        <v>#N/A</v>
      </c>
      <c r="Q157" s="80"/>
      <c r="R157" s="80"/>
      <c r="S157" s="80"/>
      <c r="T157" s="80"/>
    </row>
    <row r="158" spans="1:20" x14ac:dyDescent="0.25">
      <c r="A158" s="2" t="s">
        <v>593</v>
      </c>
      <c r="B158" s="2" t="s">
        <v>595</v>
      </c>
      <c r="C158" s="2" t="s">
        <v>598</v>
      </c>
      <c r="D158" s="2" t="s">
        <v>663</v>
      </c>
      <c r="F158" s="2" t="s">
        <v>1621</v>
      </c>
      <c r="G158" s="2" t="str">
        <f t="shared" si="14"/>
        <v>01.1.6.049</v>
      </c>
      <c r="H158" s="83" t="s">
        <v>1698</v>
      </c>
      <c r="I158" s="83" t="str">
        <f t="shared" si="17"/>
        <v>0116049</v>
      </c>
      <c r="J158" s="2" t="s">
        <v>1774</v>
      </c>
      <c r="K158" s="120" t="str">
        <f>IFERROR(VLOOKUP(H158,'Bridge matrix'!$A$3:$E$731,3,FALSE),"no")</f>
        <v>Naranja</v>
      </c>
      <c r="L158" s="120" t="str">
        <f t="shared" si="15"/>
        <v>Naranja</v>
      </c>
      <c r="M158" s="120" t="str">
        <f t="shared" si="16"/>
        <v>Naranja</v>
      </c>
      <c r="N158" s="120" t="str">
        <f t="shared" si="18"/>
        <v>Naranja</v>
      </c>
      <c r="O158" s="2" t="e">
        <f>VLOOKUP(N158,'Bridge matrix'!$D$3:$E$731,2,FALSE)</f>
        <v>#N/A</v>
      </c>
      <c r="Q158" s="80"/>
      <c r="R158" s="80"/>
      <c r="S158" s="80"/>
      <c r="T158" s="80"/>
    </row>
    <row r="159" spans="1:20" x14ac:dyDescent="0.25">
      <c r="A159" s="2" t="s">
        <v>593</v>
      </c>
      <c r="B159" s="2" t="s">
        <v>595</v>
      </c>
      <c r="C159" s="2" t="s">
        <v>598</v>
      </c>
      <c r="D159" s="2" t="s">
        <v>663</v>
      </c>
      <c r="F159" s="2" t="s">
        <v>1622</v>
      </c>
      <c r="G159" s="2" t="str">
        <f t="shared" si="14"/>
        <v>01.1.6.050</v>
      </c>
      <c r="H159" s="83" t="s">
        <v>1699</v>
      </c>
      <c r="I159" s="83" t="str">
        <f t="shared" si="17"/>
        <v>0116050</v>
      </c>
      <c r="J159" s="2" t="s">
        <v>1775</v>
      </c>
      <c r="K159" s="120" t="str">
        <f>IFERROR(VLOOKUP(H159,'Bridge matrix'!$A$3:$E$731,3,FALSE),"no")</f>
        <v>Naranja agria</v>
      </c>
      <c r="L159" s="120" t="str">
        <f t="shared" si="15"/>
        <v>Naranja agria</v>
      </c>
      <c r="M159" s="120" t="str">
        <f t="shared" si="16"/>
        <v>Naranja agria</v>
      </c>
      <c r="N159" s="120" t="str">
        <f t="shared" si="18"/>
        <v>Naranja agria</v>
      </c>
      <c r="O159" s="2" t="e">
        <f>VLOOKUP(N159,'Bridge matrix'!$D$3:$E$731,2,FALSE)</f>
        <v>#N/A</v>
      </c>
      <c r="Q159" s="80"/>
      <c r="R159" s="80"/>
      <c r="S159" s="80"/>
      <c r="T159" s="80"/>
    </row>
    <row r="160" spans="1:20" x14ac:dyDescent="0.25">
      <c r="A160" s="2" t="s">
        <v>593</v>
      </c>
      <c r="B160" s="2" t="s">
        <v>595</v>
      </c>
      <c r="C160" s="2" t="s">
        <v>598</v>
      </c>
      <c r="D160" s="2" t="s">
        <v>663</v>
      </c>
      <c r="F160" s="2" t="s">
        <v>1623</v>
      </c>
      <c r="G160" s="2" t="str">
        <f t="shared" si="14"/>
        <v>01.1.6.051</v>
      </c>
      <c r="H160" s="83" t="s">
        <v>1700</v>
      </c>
      <c r="I160" s="83" t="str">
        <f t="shared" si="17"/>
        <v>0116051</v>
      </c>
      <c r="J160" s="2" t="s">
        <v>1776</v>
      </c>
      <c r="K160" s="120" t="str">
        <f>IFERROR(VLOOKUP(H160,'Bridge matrix'!$A$3:$E$731,3,FALSE),"no")</f>
        <v>Naranjilla</v>
      </c>
      <c r="L160" s="120" t="str">
        <f t="shared" si="15"/>
        <v>Naranjilla</v>
      </c>
      <c r="M160" s="120" t="str">
        <f t="shared" si="16"/>
        <v>Naranjilla</v>
      </c>
      <c r="N160" s="120" t="str">
        <f t="shared" si="18"/>
        <v>Naranjilla</v>
      </c>
      <c r="O160" s="2" t="e">
        <f>VLOOKUP(N160,'Bridge matrix'!$D$3:$E$731,2,FALSE)</f>
        <v>#N/A</v>
      </c>
      <c r="Q160" s="80"/>
      <c r="R160" s="80"/>
      <c r="S160" s="80"/>
      <c r="T160" s="80"/>
    </row>
    <row r="161" spans="1:20" x14ac:dyDescent="0.25">
      <c r="A161" s="2" t="s">
        <v>593</v>
      </c>
      <c r="B161" s="2" t="s">
        <v>595</v>
      </c>
      <c r="C161" s="2" t="s">
        <v>598</v>
      </c>
      <c r="D161" s="2" t="s">
        <v>663</v>
      </c>
      <c r="F161" s="2" t="s">
        <v>1624</v>
      </c>
      <c r="G161" s="2" t="str">
        <f t="shared" si="14"/>
        <v>01.1.6.052</v>
      </c>
      <c r="H161" s="83" t="s">
        <v>1701</v>
      </c>
      <c r="I161" s="83" t="str">
        <f t="shared" si="17"/>
        <v>0116052</v>
      </c>
      <c r="J161" s="2" t="s">
        <v>1777</v>
      </c>
      <c r="K161" s="120" t="str">
        <f>IFERROR(VLOOKUP(H161,'Bridge matrix'!$A$3:$E$731,3,FALSE),"no")</f>
        <v>Níspero</v>
      </c>
      <c r="L161" s="120" t="str">
        <f t="shared" si="15"/>
        <v>Níspero</v>
      </c>
      <c r="M161" s="120" t="str">
        <f t="shared" si="16"/>
        <v>Níspero</v>
      </c>
      <c r="N161" s="120" t="str">
        <f t="shared" si="18"/>
        <v>Níspero</v>
      </c>
      <c r="O161" s="2" t="e">
        <f>VLOOKUP(N161,'Bridge matrix'!$D$3:$E$731,2,FALSE)</f>
        <v>#N/A</v>
      </c>
      <c r="Q161" s="80"/>
      <c r="R161" s="80"/>
      <c r="S161" s="80"/>
      <c r="T161" s="80"/>
    </row>
    <row r="162" spans="1:20" x14ac:dyDescent="0.25">
      <c r="A162" s="2" t="s">
        <v>593</v>
      </c>
      <c r="B162" s="2" t="s">
        <v>595</v>
      </c>
      <c r="C162" s="2" t="s">
        <v>598</v>
      </c>
      <c r="D162" s="2" t="s">
        <v>663</v>
      </c>
      <c r="F162" s="2" t="s">
        <v>1625</v>
      </c>
      <c r="G162" s="2" t="str">
        <f t="shared" si="14"/>
        <v>01.1.6.053</v>
      </c>
      <c r="H162" s="83" t="s">
        <v>1702</v>
      </c>
      <c r="I162" s="83" t="str">
        <f t="shared" si="17"/>
        <v>0116053</v>
      </c>
      <c r="J162" s="2" t="s">
        <v>1778</v>
      </c>
      <c r="K162" s="120" t="str">
        <f>IFERROR(VLOOKUP(H162,'Bridge matrix'!$A$3:$E$731,3,FALSE),"no")</f>
        <v>Noni</v>
      </c>
      <c r="L162" s="120" t="str">
        <f t="shared" si="15"/>
        <v>Noni</v>
      </c>
      <c r="M162" s="120" t="str">
        <f t="shared" si="16"/>
        <v>Noni</v>
      </c>
      <c r="N162" s="120" t="str">
        <f t="shared" si="18"/>
        <v>Noni</v>
      </c>
      <c r="O162" s="2" t="e">
        <f>VLOOKUP(N162,'Bridge matrix'!$D$3:$E$731,2,FALSE)</f>
        <v>#N/A</v>
      </c>
      <c r="Q162" s="80"/>
      <c r="R162" s="80"/>
      <c r="S162" s="80"/>
      <c r="T162" s="80"/>
    </row>
    <row r="163" spans="1:20" x14ac:dyDescent="0.25">
      <c r="A163" s="2" t="s">
        <v>593</v>
      </c>
      <c r="B163" s="2" t="s">
        <v>595</v>
      </c>
      <c r="C163" s="2" t="s">
        <v>598</v>
      </c>
      <c r="D163" s="2" t="s">
        <v>663</v>
      </c>
      <c r="F163" s="2" t="s">
        <v>1626</v>
      </c>
      <c r="G163" s="2" t="str">
        <f t="shared" si="14"/>
        <v>01.1.6.054</v>
      </c>
      <c r="H163" s="83" t="s">
        <v>1703</v>
      </c>
      <c r="I163" s="83" t="str">
        <f t="shared" si="17"/>
        <v>0116054</v>
      </c>
      <c r="J163" s="2" t="s">
        <v>1779</v>
      </c>
      <c r="K163" s="120" t="str">
        <f>IFERROR(VLOOKUP(H163,'Bridge matrix'!$A$3:$E$731,3,FALSE),"no")</f>
        <v>Orito</v>
      </c>
      <c r="L163" s="120" t="str">
        <f t="shared" si="15"/>
        <v>Orito</v>
      </c>
      <c r="M163" s="120" t="str">
        <f t="shared" si="16"/>
        <v>Orito</v>
      </c>
      <c r="N163" s="120" t="str">
        <f t="shared" si="18"/>
        <v>Orito</v>
      </c>
      <c r="O163" s="2" t="e">
        <f>VLOOKUP(N163,'Bridge matrix'!$D$3:$E$731,2,FALSE)</f>
        <v>#N/A</v>
      </c>
      <c r="Q163" s="80"/>
      <c r="R163" s="80"/>
      <c r="S163" s="80"/>
      <c r="T163" s="80"/>
    </row>
    <row r="164" spans="1:20" x14ac:dyDescent="0.25">
      <c r="A164" s="2" t="s">
        <v>593</v>
      </c>
      <c r="B164" s="2" t="s">
        <v>595</v>
      </c>
      <c r="C164" s="2" t="s">
        <v>598</v>
      </c>
      <c r="D164" s="2" t="s">
        <v>663</v>
      </c>
      <c r="F164" s="2" t="s">
        <v>1627</v>
      </c>
      <c r="G164" s="2" t="str">
        <f t="shared" si="14"/>
        <v>01.1.6.055</v>
      </c>
      <c r="H164" s="83" t="s">
        <v>1704</v>
      </c>
      <c r="I164" s="83" t="str">
        <f t="shared" si="17"/>
        <v>0116055</v>
      </c>
      <c r="J164" s="2" t="s">
        <v>1780</v>
      </c>
      <c r="K164" s="120" t="str">
        <f>IFERROR(VLOOKUP(H164,'Bridge matrix'!$A$3:$E$731,3,FALSE),"no")</f>
        <v>Ovos, ciruelos</v>
      </c>
      <c r="L164" s="120" t="str">
        <f t="shared" si="15"/>
        <v>Ovos, ciruelos</v>
      </c>
      <c r="M164" s="120" t="str">
        <f t="shared" si="16"/>
        <v>Ovos, ciruelos</v>
      </c>
      <c r="N164" s="120" t="str">
        <f t="shared" si="18"/>
        <v>Ovos, ciruelos</v>
      </c>
      <c r="O164" s="2" t="e">
        <f>VLOOKUP(N164,'Bridge matrix'!$D$3:$E$731,2,FALSE)</f>
        <v>#N/A</v>
      </c>
      <c r="Q164" s="80"/>
      <c r="R164" s="80"/>
      <c r="S164" s="80"/>
      <c r="T164" s="80"/>
    </row>
    <row r="165" spans="1:20" x14ac:dyDescent="0.25">
      <c r="A165" s="2" t="s">
        <v>593</v>
      </c>
      <c r="B165" s="2" t="s">
        <v>595</v>
      </c>
      <c r="C165" s="2" t="s">
        <v>598</v>
      </c>
      <c r="D165" s="2" t="s">
        <v>663</v>
      </c>
      <c r="F165" s="2" t="s">
        <v>1628</v>
      </c>
      <c r="G165" s="2" t="str">
        <f t="shared" si="14"/>
        <v>01.1.6.056</v>
      </c>
      <c r="H165" s="83" t="s">
        <v>1705</v>
      </c>
      <c r="I165" s="83" t="str">
        <f t="shared" si="17"/>
        <v>0116056</v>
      </c>
      <c r="J165" s="2" t="s">
        <v>1781</v>
      </c>
      <c r="K165" s="120" t="str">
        <f>IFERROR(VLOOKUP(H165,'Bridge matrix'!$A$3:$E$731,3,FALSE),"no")</f>
        <v>Papaya</v>
      </c>
      <c r="L165" s="120" t="str">
        <f t="shared" si="15"/>
        <v>Papaya</v>
      </c>
      <c r="M165" s="120" t="str">
        <f t="shared" si="16"/>
        <v>Papaya</v>
      </c>
      <c r="N165" s="120" t="str">
        <f t="shared" si="18"/>
        <v>Papaya</v>
      </c>
      <c r="O165" s="2" t="e">
        <f>VLOOKUP(N165,'Bridge matrix'!$D$3:$E$731,2,FALSE)</f>
        <v>#N/A</v>
      </c>
      <c r="Q165" s="80"/>
      <c r="R165" s="80"/>
      <c r="S165" s="80"/>
      <c r="T165" s="80"/>
    </row>
    <row r="166" spans="1:20" x14ac:dyDescent="0.25">
      <c r="A166" s="2" t="s">
        <v>593</v>
      </c>
      <c r="B166" s="2" t="s">
        <v>595</v>
      </c>
      <c r="C166" s="2" t="s">
        <v>598</v>
      </c>
      <c r="D166" s="2" t="s">
        <v>663</v>
      </c>
      <c r="F166" s="2" t="s">
        <v>1629</v>
      </c>
      <c r="G166" s="2" t="str">
        <f t="shared" si="14"/>
        <v>01.1.6.057</v>
      </c>
      <c r="H166" s="83" t="s">
        <v>1706</v>
      </c>
      <c r="I166" s="83" t="str">
        <f t="shared" si="17"/>
        <v>0116057</v>
      </c>
      <c r="J166" s="2" t="s">
        <v>1782</v>
      </c>
      <c r="K166" s="120" t="str">
        <f>IFERROR(VLOOKUP(H166,'Bridge matrix'!$A$3:$E$731,3,FALSE),"no")</f>
        <v>Papaya hawaiana</v>
      </c>
      <c r="L166" s="120" t="str">
        <f t="shared" si="15"/>
        <v>Papaya hawaiana</v>
      </c>
      <c r="M166" s="120" t="str">
        <f t="shared" si="16"/>
        <v>Papaya hawaiana</v>
      </c>
      <c r="N166" s="120" t="str">
        <f t="shared" si="18"/>
        <v>Papaya hawaiana</v>
      </c>
      <c r="O166" s="2" t="e">
        <f>VLOOKUP(N166,'Bridge matrix'!$D$3:$E$731,2,FALSE)</f>
        <v>#N/A</v>
      </c>
      <c r="Q166" s="80"/>
      <c r="R166" s="80"/>
      <c r="S166" s="80"/>
      <c r="T166" s="80"/>
    </row>
    <row r="167" spans="1:20" x14ac:dyDescent="0.25">
      <c r="A167" s="2" t="s">
        <v>593</v>
      </c>
      <c r="B167" s="2" t="s">
        <v>595</v>
      </c>
      <c r="C167" s="2" t="s">
        <v>598</v>
      </c>
      <c r="D167" s="2" t="s">
        <v>663</v>
      </c>
      <c r="F167" s="2" t="s">
        <v>1630</v>
      </c>
      <c r="G167" s="2" t="str">
        <f t="shared" si="14"/>
        <v>01.1.6.058</v>
      </c>
      <c r="H167" s="83" t="s">
        <v>1707</v>
      </c>
      <c r="I167" s="83" t="str">
        <f t="shared" si="17"/>
        <v>0116058</v>
      </c>
      <c r="J167" s="2" t="s">
        <v>1783</v>
      </c>
      <c r="K167" s="120" t="str">
        <f>IFERROR(VLOOKUP(H167,'Bridge matrix'!$A$3:$E$731,3,FALSE),"no")</f>
        <v>Pechiche</v>
      </c>
      <c r="L167" s="120" t="str">
        <f t="shared" si="15"/>
        <v>Pechiche</v>
      </c>
      <c r="M167" s="120" t="str">
        <f t="shared" si="16"/>
        <v>Pechiche</v>
      </c>
      <c r="N167" s="120" t="str">
        <f t="shared" si="18"/>
        <v>Pechiche</v>
      </c>
      <c r="O167" s="2" t="e">
        <f>VLOOKUP(N167,'Bridge matrix'!$D$3:$E$731,2,FALSE)</f>
        <v>#N/A</v>
      </c>
      <c r="Q167" s="80"/>
      <c r="R167" s="80"/>
      <c r="S167" s="80"/>
      <c r="T167" s="80"/>
    </row>
    <row r="168" spans="1:20" x14ac:dyDescent="0.25">
      <c r="A168" s="2" t="s">
        <v>593</v>
      </c>
      <c r="B168" s="2" t="s">
        <v>595</v>
      </c>
      <c r="C168" s="2" t="s">
        <v>598</v>
      </c>
      <c r="D168" s="2" t="s">
        <v>663</v>
      </c>
      <c r="F168" s="2" t="s">
        <v>1631</v>
      </c>
      <c r="G168" s="2" t="str">
        <f t="shared" si="14"/>
        <v>01.1.6.059</v>
      </c>
      <c r="H168" s="83" t="s">
        <v>1708</v>
      </c>
      <c r="I168" s="83" t="str">
        <f t="shared" si="17"/>
        <v>0116059</v>
      </c>
      <c r="J168" s="2" t="s">
        <v>1784</v>
      </c>
      <c r="K168" s="120" t="str">
        <f>IFERROR(VLOOKUP(H168,'Bridge matrix'!$A$3:$E$731,3,FALSE),"no")</f>
        <v>Pepino de dulce</v>
      </c>
      <c r="L168" s="120" t="str">
        <f t="shared" si="15"/>
        <v>Pepino de dulce</v>
      </c>
      <c r="M168" s="120" t="str">
        <f t="shared" si="16"/>
        <v>Pepino de dulce</v>
      </c>
      <c r="N168" s="120" t="str">
        <f t="shared" si="18"/>
        <v>Pepino de dulce</v>
      </c>
      <c r="O168" s="2" t="e">
        <f>VLOOKUP(N168,'Bridge matrix'!$D$3:$E$731,2,FALSE)</f>
        <v>#N/A</v>
      </c>
      <c r="Q168" s="80"/>
      <c r="R168" s="80"/>
      <c r="S168" s="80"/>
      <c r="T168" s="80"/>
    </row>
    <row r="169" spans="1:20" x14ac:dyDescent="0.25">
      <c r="A169" s="2" t="s">
        <v>593</v>
      </c>
      <c r="B169" s="2" t="s">
        <v>595</v>
      </c>
      <c r="C169" s="2" t="s">
        <v>598</v>
      </c>
      <c r="D169" s="2" t="s">
        <v>663</v>
      </c>
      <c r="F169" s="2" t="s">
        <v>1632</v>
      </c>
      <c r="G169" s="2" t="str">
        <f t="shared" si="14"/>
        <v>01.1.6.060</v>
      </c>
      <c r="H169" s="83" t="s">
        <v>1709</v>
      </c>
      <c r="I169" s="83" t="str">
        <f t="shared" si="17"/>
        <v>0116060</v>
      </c>
      <c r="J169" s="2" t="s">
        <v>1785</v>
      </c>
      <c r="K169" s="120" t="str">
        <f>IFERROR(VLOOKUP(H169,'Bridge matrix'!$A$3:$E$731,3,FALSE),"no")</f>
        <v>Pera</v>
      </c>
      <c r="L169" s="120" t="str">
        <f t="shared" si="15"/>
        <v>Pera</v>
      </c>
      <c r="M169" s="120" t="str">
        <f t="shared" si="16"/>
        <v>Pera</v>
      </c>
      <c r="N169" s="120" t="str">
        <f t="shared" si="18"/>
        <v>Pera</v>
      </c>
      <c r="O169" s="2" t="e">
        <f>VLOOKUP(N169,'Bridge matrix'!$D$3:$E$731,2,FALSE)</f>
        <v>#N/A</v>
      </c>
      <c r="Q169" s="80"/>
      <c r="R169" s="80"/>
      <c r="S169" s="80"/>
      <c r="T169" s="80"/>
    </row>
    <row r="170" spans="1:20" x14ac:dyDescent="0.25">
      <c r="A170" s="2" t="s">
        <v>593</v>
      </c>
      <c r="B170" s="2" t="s">
        <v>595</v>
      </c>
      <c r="C170" s="2" t="s">
        <v>598</v>
      </c>
      <c r="D170" s="2" t="s">
        <v>663</v>
      </c>
      <c r="F170" s="2" t="s">
        <v>1633</v>
      </c>
      <c r="G170" s="2" t="str">
        <f t="shared" si="14"/>
        <v>01.1.6.061</v>
      </c>
      <c r="H170" s="83" t="s">
        <v>1710</v>
      </c>
      <c r="I170" s="83" t="str">
        <f t="shared" si="17"/>
        <v>0116061</v>
      </c>
      <c r="J170" s="2" t="s">
        <v>1786</v>
      </c>
      <c r="K170" s="120" t="str">
        <f>IFERROR(VLOOKUP(H170,'Bridge matrix'!$A$3:$E$731,3,FALSE),"no")</f>
        <v>Piña</v>
      </c>
      <c r="L170" s="120" t="str">
        <f t="shared" si="15"/>
        <v>Piña</v>
      </c>
      <c r="M170" s="120" t="str">
        <f t="shared" si="16"/>
        <v>Piña</v>
      </c>
      <c r="N170" s="120" t="str">
        <f t="shared" si="18"/>
        <v>Piña</v>
      </c>
      <c r="O170" s="2" t="e">
        <f>VLOOKUP(N170,'Bridge matrix'!$D$3:$E$731,2,FALSE)</f>
        <v>#N/A</v>
      </c>
      <c r="Q170" s="80"/>
      <c r="R170" s="80"/>
      <c r="S170" s="80"/>
      <c r="T170" s="80"/>
    </row>
    <row r="171" spans="1:20" x14ac:dyDescent="0.25">
      <c r="A171" s="2" t="s">
        <v>593</v>
      </c>
      <c r="B171" s="2" t="s">
        <v>595</v>
      </c>
      <c r="C171" s="2" t="s">
        <v>598</v>
      </c>
      <c r="D171" s="2" t="s">
        <v>663</v>
      </c>
      <c r="F171" s="2" t="s">
        <v>1634</v>
      </c>
      <c r="G171" s="2" t="str">
        <f t="shared" si="14"/>
        <v>01.1.6.062</v>
      </c>
      <c r="H171" s="83" t="s">
        <v>1711</v>
      </c>
      <c r="I171" s="83" t="str">
        <f t="shared" si="17"/>
        <v>0116062</v>
      </c>
      <c r="J171" s="2" t="s">
        <v>1787</v>
      </c>
      <c r="K171" s="120" t="str">
        <f>IFERROR(VLOOKUP(H171,'Bridge matrix'!$A$3:$E$731,3,FALSE),"no")</f>
        <v>Piña hawaiana</v>
      </c>
      <c r="L171" s="120" t="str">
        <f t="shared" si="15"/>
        <v>Piña hawaiana</v>
      </c>
      <c r="M171" s="120" t="str">
        <f t="shared" si="16"/>
        <v>Piña hawaiana</v>
      </c>
      <c r="N171" s="120" t="str">
        <f t="shared" si="18"/>
        <v>Piña hawaiana</v>
      </c>
      <c r="O171" s="2" t="e">
        <f>VLOOKUP(N171,'Bridge matrix'!$D$3:$E$731,2,FALSE)</f>
        <v>#N/A</v>
      </c>
      <c r="Q171" s="80"/>
      <c r="R171" s="80"/>
      <c r="S171" s="80"/>
      <c r="T171" s="80"/>
    </row>
    <row r="172" spans="1:20" x14ac:dyDescent="0.25">
      <c r="A172" s="2" t="s">
        <v>593</v>
      </c>
      <c r="B172" s="2" t="s">
        <v>595</v>
      </c>
      <c r="C172" s="2" t="s">
        <v>598</v>
      </c>
      <c r="D172" s="2" t="s">
        <v>663</v>
      </c>
      <c r="F172" s="2" t="s">
        <v>1635</v>
      </c>
      <c r="G172" s="2" t="str">
        <f t="shared" si="14"/>
        <v>01.1.6.063</v>
      </c>
      <c r="H172" s="83" t="s">
        <v>1712</v>
      </c>
      <c r="I172" s="83" t="str">
        <f t="shared" si="17"/>
        <v>0116063</v>
      </c>
      <c r="J172" s="2" t="s">
        <v>1788</v>
      </c>
      <c r="K172" s="120" t="str">
        <f>IFERROR(VLOOKUP(H172,'Bridge matrix'!$A$3:$E$731,3,FALSE),"no")</f>
        <v>Pitajaya</v>
      </c>
      <c r="L172" s="120" t="str">
        <f t="shared" si="15"/>
        <v>Pitajaya</v>
      </c>
      <c r="M172" s="120" t="str">
        <f t="shared" si="16"/>
        <v>Pitajaya</v>
      </c>
      <c r="N172" s="120" t="str">
        <f t="shared" si="18"/>
        <v>Pitajaya</v>
      </c>
      <c r="O172" s="2" t="e">
        <f>VLOOKUP(N172,'Bridge matrix'!$D$3:$E$731,2,FALSE)</f>
        <v>#N/A</v>
      </c>
      <c r="Q172" s="80"/>
      <c r="R172" s="80"/>
      <c r="S172" s="80"/>
      <c r="T172" s="80"/>
    </row>
    <row r="173" spans="1:20" x14ac:dyDescent="0.25">
      <c r="A173" s="2" t="s">
        <v>593</v>
      </c>
      <c r="B173" s="2" t="s">
        <v>595</v>
      </c>
      <c r="C173" s="2" t="s">
        <v>598</v>
      </c>
      <c r="D173" s="2" t="s">
        <v>663</v>
      </c>
      <c r="F173" s="2" t="s">
        <v>1636</v>
      </c>
      <c r="G173" s="2" t="str">
        <f t="shared" ref="G173:G187" si="19">B173&amp;IF(C173="","","."&amp;C173)&amp;IF(D173="","","."&amp;D173)&amp;IF(E173="","","."&amp;E173)&amp;IF(F173="","","."&amp;F173)</f>
        <v>01.1.6.064</v>
      </c>
      <c r="H173" s="83" t="s">
        <v>1713</v>
      </c>
      <c r="I173" s="83" t="str">
        <f t="shared" si="17"/>
        <v>0116064</v>
      </c>
      <c r="J173" s="2" t="s">
        <v>1789</v>
      </c>
      <c r="K173" s="120" t="str">
        <f>IFERROR(VLOOKUP(H173,'Bridge matrix'!$A$3:$E$731,3,FALSE),"no")</f>
        <v>Plátano maduro</v>
      </c>
      <c r="L173" s="120" t="str">
        <f t="shared" si="15"/>
        <v>Plátano maduro</v>
      </c>
      <c r="M173" s="120" t="str">
        <f t="shared" si="16"/>
        <v>Plátano maduro</v>
      </c>
      <c r="N173" s="120" t="str">
        <f t="shared" si="18"/>
        <v>Plátano maduro</v>
      </c>
      <c r="O173" s="2" t="e">
        <f>VLOOKUP(N173,'Bridge matrix'!$D$3:$E$731,2,FALSE)</f>
        <v>#N/A</v>
      </c>
      <c r="Q173" s="80"/>
      <c r="R173" s="80"/>
      <c r="S173" s="80"/>
      <c r="T173" s="80"/>
    </row>
    <row r="174" spans="1:20" x14ac:dyDescent="0.25">
      <c r="A174" s="2" t="s">
        <v>593</v>
      </c>
      <c r="B174" s="2" t="s">
        <v>595</v>
      </c>
      <c r="C174" s="2" t="s">
        <v>598</v>
      </c>
      <c r="D174" s="2" t="s">
        <v>663</v>
      </c>
      <c r="F174" s="2" t="s">
        <v>1637</v>
      </c>
      <c r="G174" s="2" t="str">
        <f t="shared" si="19"/>
        <v>01.1.6.065</v>
      </c>
      <c r="H174" s="83" t="s">
        <v>1714</v>
      </c>
      <c r="I174" s="83" t="str">
        <f t="shared" si="17"/>
        <v>0116065</v>
      </c>
      <c r="J174" s="2" t="s">
        <v>1790</v>
      </c>
      <c r="K174" s="120" t="str">
        <f>IFERROR(VLOOKUP(H174,'Bridge matrix'!$A$3:$E$731,3,FALSE),"no")</f>
        <v>Plátano verde</v>
      </c>
      <c r="L174" s="120" t="str">
        <f t="shared" si="15"/>
        <v>Plátano verde</v>
      </c>
      <c r="M174" s="120" t="str">
        <f t="shared" si="16"/>
        <v>Plátano verde</v>
      </c>
      <c r="N174" s="120" t="str">
        <f t="shared" si="18"/>
        <v>Plátano verde</v>
      </c>
      <c r="O174" s="2" t="e">
        <f>VLOOKUP(N174,'Bridge matrix'!$D$3:$E$731,2,FALSE)</f>
        <v>#N/A</v>
      </c>
      <c r="Q174" s="80"/>
      <c r="R174" s="80"/>
      <c r="S174" s="80"/>
      <c r="T174" s="80"/>
    </row>
    <row r="175" spans="1:20" x14ac:dyDescent="0.25">
      <c r="A175" s="2" t="s">
        <v>593</v>
      </c>
      <c r="B175" s="2" t="s">
        <v>595</v>
      </c>
      <c r="C175" s="2" t="s">
        <v>598</v>
      </c>
      <c r="D175" s="2" t="s">
        <v>663</v>
      </c>
      <c r="F175" s="2" t="s">
        <v>1638</v>
      </c>
      <c r="G175" s="2" t="str">
        <f t="shared" si="19"/>
        <v>01.1.6.066</v>
      </c>
      <c r="H175" s="83" t="s">
        <v>1715</v>
      </c>
      <c r="I175" s="83" t="str">
        <f t="shared" si="17"/>
        <v>0116066</v>
      </c>
      <c r="J175" s="2" t="s">
        <v>1349</v>
      </c>
      <c r="K175" s="120" t="str">
        <f>IFERROR(VLOOKUP(H175,'Bridge matrix'!$A$3:$E$731,3,FALSE),"no")</f>
        <v>Sandía</v>
      </c>
      <c r="L175" s="120" t="str">
        <f t="shared" si="15"/>
        <v>Sandía</v>
      </c>
      <c r="M175" s="120" t="str">
        <f t="shared" si="16"/>
        <v>Sandía</v>
      </c>
      <c r="N175" s="120" t="str">
        <f t="shared" si="18"/>
        <v>Sandía</v>
      </c>
      <c r="O175" s="2" t="e">
        <f>VLOOKUP(N175,'Bridge matrix'!$D$3:$E$731,2,FALSE)</f>
        <v>#N/A</v>
      </c>
      <c r="Q175" s="80"/>
      <c r="R175" s="80"/>
      <c r="S175" s="80"/>
      <c r="T175" s="80"/>
    </row>
    <row r="176" spans="1:20" x14ac:dyDescent="0.25">
      <c r="A176" s="2" t="s">
        <v>593</v>
      </c>
      <c r="B176" s="2" t="s">
        <v>595</v>
      </c>
      <c r="C176" s="2" t="s">
        <v>598</v>
      </c>
      <c r="D176" s="2" t="s">
        <v>663</v>
      </c>
      <c r="F176" s="2" t="s">
        <v>1639</v>
      </c>
      <c r="G176" s="2" t="str">
        <f t="shared" si="19"/>
        <v>01.1.6.067</v>
      </c>
      <c r="H176" s="83" t="s">
        <v>1716</v>
      </c>
      <c r="I176" s="83" t="str">
        <f t="shared" si="17"/>
        <v>0116067</v>
      </c>
      <c r="J176" s="2" t="s">
        <v>1791</v>
      </c>
      <c r="K176" s="120" t="str">
        <f>IFERROR(VLOOKUP(H176,'Bridge matrix'!$A$3:$E$731,3,FALSE),"no")</f>
        <v>Tamarindo</v>
      </c>
      <c r="L176" s="120" t="str">
        <f t="shared" si="15"/>
        <v>Tamarindo</v>
      </c>
      <c r="M176" s="120" t="str">
        <f t="shared" si="16"/>
        <v>Tamarindo</v>
      </c>
      <c r="N176" s="120" t="str">
        <f t="shared" si="18"/>
        <v>Tamarindo</v>
      </c>
      <c r="O176" s="2" t="e">
        <f>VLOOKUP(N176,'Bridge matrix'!$D$3:$E$731,2,FALSE)</f>
        <v>#N/A</v>
      </c>
      <c r="Q176" s="80"/>
      <c r="R176" s="80"/>
      <c r="S176" s="80"/>
      <c r="T176" s="80"/>
    </row>
    <row r="177" spans="1:20" x14ac:dyDescent="0.25">
      <c r="A177" s="2" t="s">
        <v>593</v>
      </c>
      <c r="B177" s="2" t="s">
        <v>595</v>
      </c>
      <c r="C177" s="2" t="s">
        <v>598</v>
      </c>
      <c r="D177" s="2" t="s">
        <v>663</v>
      </c>
      <c r="F177" s="2" t="s">
        <v>1640</v>
      </c>
      <c r="G177" s="2" t="str">
        <f t="shared" si="19"/>
        <v>01.1.6.068</v>
      </c>
      <c r="H177" s="83" t="s">
        <v>1717</v>
      </c>
      <c r="I177" s="83" t="str">
        <f t="shared" si="17"/>
        <v>0116068</v>
      </c>
      <c r="J177" s="2" t="s">
        <v>1792</v>
      </c>
      <c r="K177" s="120" t="str">
        <f>IFERROR(VLOOKUP(H177,'Bridge matrix'!$A$3:$E$731,3,FALSE),"no")</f>
        <v>Taxo</v>
      </c>
      <c r="L177" s="120" t="str">
        <f t="shared" si="15"/>
        <v>Taxo</v>
      </c>
      <c r="M177" s="120" t="str">
        <f t="shared" si="16"/>
        <v>Taxo</v>
      </c>
      <c r="N177" s="120" t="str">
        <f t="shared" si="18"/>
        <v>Taxo</v>
      </c>
      <c r="O177" s="2" t="e">
        <f>VLOOKUP(N177,'Bridge matrix'!$D$3:$E$731,2,FALSE)</f>
        <v>#N/A</v>
      </c>
      <c r="Q177" s="80"/>
      <c r="R177" s="80"/>
      <c r="S177" s="80"/>
      <c r="T177" s="80"/>
    </row>
    <row r="178" spans="1:20" x14ac:dyDescent="0.25">
      <c r="A178" s="2" t="s">
        <v>593</v>
      </c>
      <c r="B178" s="2" t="s">
        <v>595</v>
      </c>
      <c r="C178" s="2" t="s">
        <v>598</v>
      </c>
      <c r="D178" s="2" t="s">
        <v>663</v>
      </c>
      <c r="F178" s="2" t="s">
        <v>1641</v>
      </c>
      <c r="G178" s="2" t="str">
        <f t="shared" si="19"/>
        <v>01.1.6.069</v>
      </c>
      <c r="H178" s="83" t="s">
        <v>1718</v>
      </c>
      <c r="I178" s="83" t="str">
        <f t="shared" si="17"/>
        <v>0116069</v>
      </c>
      <c r="J178" s="2" t="s">
        <v>1793</v>
      </c>
      <c r="K178" s="120" t="str">
        <f>IFERROR(VLOOKUP(H178,'Bridge matrix'!$A$3:$E$731,3,FALSE),"no")</f>
        <v>Tomate de árbol</v>
      </c>
      <c r="L178" s="120" t="str">
        <f t="shared" si="15"/>
        <v>Tomate de árbol</v>
      </c>
      <c r="M178" s="120" t="str">
        <f t="shared" si="16"/>
        <v>Tomate de árbol</v>
      </c>
      <c r="N178" s="120" t="str">
        <f t="shared" si="18"/>
        <v>Tomate de árbol</v>
      </c>
      <c r="O178" s="2" t="e">
        <f>VLOOKUP(N178,'Bridge matrix'!$D$3:$E$731,2,FALSE)</f>
        <v>#N/A</v>
      </c>
      <c r="Q178" s="80"/>
      <c r="R178" s="80"/>
      <c r="S178" s="80"/>
      <c r="T178" s="80"/>
    </row>
    <row r="179" spans="1:20" x14ac:dyDescent="0.25">
      <c r="A179" s="2" t="s">
        <v>593</v>
      </c>
      <c r="B179" s="2" t="s">
        <v>595</v>
      </c>
      <c r="C179" s="2" t="s">
        <v>598</v>
      </c>
      <c r="D179" s="2" t="s">
        <v>663</v>
      </c>
      <c r="F179" s="2" t="s">
        <v>1642</v>
      </c>
      <c r="G179" s="2" t="str">
        <f t="shared" si="19"/>
        <v>01.1.6.070</v>
      </c>
      <c r="H179" s="83" t="s">
        <v>1719</v>
      </c>
      <c r="I179" s="83" t="str">
        <f t="shared" si="17"/>
        <v>0116070</v>
      </c>
      <c r="J179" s="2" t="s">
        <v>1794</v>
      </c>
      <c r="K179" s="120" t="str">
        <f>IFERROR(VLOOKUP(H179,'Bridge matrix'!$A$3:$E$731,3,FALSE),"no")</f>
        <v>Toronja</v>
      </c>
      <c r="L179" s="120" t="str">
        <f t="shared" si="15"/>
        <v>Toronja</v>
      </c>
      <c r="M179" s="120" t="str">
        <f t="shared" si="16"/>
        <v>Toronja</v>
      </c>
      <c r="N179" s="120" t="str">
        <f t="shared" si="18"/>
        <v>Toronja</v>
      </c>
      <c r="O179" s="2" t="e">
        <f>VLOOKUP(N179,'Bridge matrix'!$D$3:$E$731,2,FALSE)</f>
        <v>#N/A</v>
      </c>
      <c r="Q179" s="80"/>
      <c r="R179" s="80"/>
      <c r="S179" s="80"/>
      <c r="T179" s="80"/>
    </row>
    <row r="180" spans="1:20" x14ac:dyDescent="0.25">
      <c r="A180" s="2" t="s">
        <v>593</v>
      </c>
      <c r="B180" s="2" t="s">
        <v>595</v>
      </c>
      <c r="C180" s="2" t="s">
        <v>598</v>
      </c>
      <c r="D180" s="2" t="s">
        <v>663</v>
      </c>
      <c r="F180" s="2" t="s">
        <v>1643</v>
      </c>
      <c r="G180" s="2" t="str">
        <f t="shared" si="19"/>
        <v>01.1.6.071</v>
      </c>
      <c r="H180" s="83" t="s">
        <v>1720</v>
      </c>
      <c r="I180" s="83" t="str">
        <f t="shared" si="17"/>
        <v>0116071</v>
      </c>
      <c r="J180" s="2" t="s">
        <v>1795</v>
      </c>
      <c r="K180" s="120" t="str">
        <f>IFERROR(VLOOKUP(H180,'Bridge matrix'!$A$3:$E$731,3,FALSE),"no")</f>
        <v>Tuna</v>
      </c>
      <c r="L180" s="120" t="str">
        <f t="shared" si="15"/>
        <v>Tuna</v>
      </c>
      <c r="M180" s="120" t="str">
        <f t="shared" si="16"/>
        <v>Tuna</v>
      </c>
      <c r="N180" s="120" t="str">
        <f t="shared" si="18"/>
        <v>Tuna</v>
      </c>
      <c r="O180" s="2" t="e">
        <f>VLOOKUP(N180,'Bridge matrix'!$D$3:$E$731,2,FALSE)</f>
        <v>#N/A</v>
      </c>
      <c r="Q180" s="80"/>
      <c r="R180" s="80"/>
      <c r="S180" s="80"/>
      <c r="T180" s="80"/>
    </row>
    <row r="181" spans="1:20" x14ac:dyDescent="0.25">
      <c r="A181" s="2" t="s">
        <v>593</v>
      </c>
      <c r="B181" s="2" t="s">
        <v>595</v>
      </c>
      <c r="C181" s="2" t="s">
        <v>598</v>
      </c>
      <c r="D181" s="2" t="s">
        <v>663</v>
      </c>
      <c r="F181" s="2" t="s">
        <v>1644</v>
      </c>
      <c r="G181" s="2" t="str">
        <f t="shared" si="19"/>
        <v>01.1.6.072</v>
      </c>
      <c r="H181" s="83" t="s">
        <v>1721</v>
      </c>
      <c r="I181" s="83" t="str">
        <f t="shared" si="17"/>
        <v>0116072</v>
      </c>
      <c r="J181" s="2" t="s">
        <v>1796</v>
      </c>
      <c r="K181" s="120" t="str">
        <f>IFERROR(VLOOKUP(H181,'Bridge matrix'!$A$3:$E$731,3,FALSE),"no")</f>
        <v>Uvas negras</v>
      </c>
      <c r="L181" s="120" t="str">
        <f t="shared" si="15"/>
        <v>Uvas negras</v>
      </c>
      <c r="M181" s="120" t="str">
        <f t="shared" si="16"/>
        <v>Uvas negras</v>
      </c>
      <c r="N181" s="120" t="str">
        <f t="shared" si="18"/>
        <v>Uvas negras</v>
      </c>
      <c r="O181" s="2" t="e">
        <f>VLOOKUP(N181,'Bridge matrix'!$D$3:$E$731,2,FALSE)</f>
        <v>#N/A</v>
      </c>
      <c r="Q181" s="80"/>
      <c r="R181" s="80"/>
      <c r="S181" s="80"/>
      <c r="T181" s="80"/>
    </row>
    <row r="182" spans="1:20" x14ac:dyDescent="0.25">
      <c r="A182" s="2" t="s">
        <v>593</v>
      </c>
      <c r="B182" s="2" t="s">
        <v>595</v>
      </c>
      <c r="C182" s="2" t="s">
        <v>598</v>
      </c>
      <c r="D182" s="2" t="s">
        <v>663</v>
      </c>
      <c r="F182" s="2" t="s">
        <v>1645</v>
      </c>
      <c r="G182" s="2" t="str">
        <f t="shared" si="19"/>
        <v>01.1.6.073</v>
      </c>
      <c r="H182" s="83" t="s">
        <v>1722</v>
      </c>
      <c r="I182" s="83" t="str">
        <f t="shared" si="17"/>
        <v>0116073</v>
      </c>
      <c r="J182" s="2" t="s">
        <v>1797</v>
      </c>
      <c r="K182" s="120" t="str">
        <f>IFERROR(VLOOKUP(H182,'Bridge matrix'!$A$3:$E$731,3,FALSE),"no")</f>
        <v>Uvas rojas</v>
      </c>
      <c r="L182" s="120" t="str">
        <f t="shared" si="15"/>
        <v>Uvas rojas</v>
      </c>
      <c r="M182" s="120" t="str">
        <f t="shared" si="16"/>
        <v>Uvas rojas</v>
      </c>
      <c r="N182" s="120" t="str">
        <f t="shared" si="18"/>
        <v>Uvas rojas</v>
      </c>
      <c r="O182" s="2" t="e">
        <f>VLOOKUP(N182,'Bridge matrix'!$D$3:$E$731,2,FALSE)</f>
        <v>#N/A</v>
      </c>
      <c r="Q182" s="80"/>
      <c r="R182" s="80"/>
      <c r="S182" s="80"/>
      <c r="T182" s="80"/>
    </row>
    <row r="183" spans="1:20" x14ac:dyDescent="0.25">
      <c r="A183" s="2" t="s">
        <v>593</v>
      </c>
      <c r="B183" s="2" t="s">
        <v>595</v>
      </c>
      <c r="C183" s="2" t="s">
        <v>598</v>
      </c>
      <c r="D183" s="2" t="s">
        <v>663</v>
      </c>
      <c r="F183" s="2" t="s">
        <v>1646</v>
      </c>
      <c r="G183" s="2" t="str">
        <f t="shared" si="19"/>
        <v>01.1.6.074</v>
      </c>
      <c r="H183" s="83" t="s">
        <v>1723</v>
      </c>
      <c r="I183" s="83" t="str">
        <f t="shared" si="17"/>
        <v>0116074</v>
      </c>
      <c r="J183" s="2" t="s">
        <v>1798</v>
      </c>
      <c r="K183" s="120" t="str">
        <f>IFERROR(VLOOKUP(H183,'Bridge matrix'!$A$3:$E$731,3,FALSE),"no")</f>
        <v>Uvas verdes</v>
      </c>
      <c r="L183" s="120" t="str">
        <f t="shared" si="15"/>
        <v>Uvas verdes</v>
      </c>
      <c r="M183" s="120" t="str">
        <f t="shared" si="16"/>
        <v>Uvas verdes</v>
      </c>
      <c r="N183" s="120" t="str">
        <f t="shared" si="18"/>
        <v>Uvas verdes</v>
      </c>
      <c r="O183" s="2" t="e">
        <f>VLOOKUP(N183,'Bridge matrix'!$D$3:$E$731,2,FALSE)</f>
        <v>#N/A</v>
      </c>
      <c r="Q183" s="80"/>
      <c r="R183" s="80"/>
      <c r="S183" s="80"/>
      <c r="T183" s="80"/>
    </row>
    <row r="184" spans="1:20" x14ac:dyDescent="0.25">
      <c r="A184" s="2" t="s">
        <v>593</v>
      </c>
      <c r="B184" s="2" t="s">
        <v>595</v>
      </c>
      <c r="C184" s="2" t="s">
        <v>598</v>
      </c>
      <c r="D184" s="2" t="s">
        <v>663</v>
      </c>
      <c r="F184" s="2" t="s">
        <v>1647</v>
      </c>
      <c r="G184" s="2" t="str">
        <f t="shared" si="19"/>
        <v>01.1.6.075</v>
      </c>
      <c r="H184" s="83" t="s">
        <v>1724</v>
      </c>
      <c r="I184" s="83" t="str">
        <f t="shared" si="17"/>
        <v>0116075</v>
      </c>
      <c r="J184" s="2" t="s">
        <v>1799</v>
      </c>
      <c r="K184" s="120" t="str">
        <f>IFERROR(VLOOKUP(H184,'Bridge matrix'!$A$3:$E$731,3,FALSE),"no")</f>
        <v>Uvillas</v>
      </c>
      <c r="L184" s="120" t="str">
        <f t="shared" si="15"/>
        <v>Uvillas</v>
      </c>
      <c r="M184" s="120" t="str">
        <f t="shared" si="16"/>
        <v>Uvillas</v>
      </c>
      <c r="N184" s="120" t="str">
        <f t="shared" si="18"/>
        <v>Uvillas</v>
      </c>
      <c r="O184" s="2" t="e">
        <f>VLOOKUP(N184,'Bridge matrix'!$D$3:$E$731,2,FALSE)</f>
        <v>#N/A</v>
      </c>
      <c r="Q184" s="80"/>
      <c r="R184" s="80"/>
      <c r="S184" s="80"/>
      <c r="T184" s="80"/>
    </row>
    <row r="185" spans="1:20" x14ac:dyDescent="0.25">
      <c r="A185" s="2" t="s">
        <v>593</v>
      </c>
      <c r="B185" s="2" t="s">
        <v>595</v>
      </c>
      <c r="C185" s="2" t="s">
        <v>598</v>
      </c>
      <c r="D185" s="2" t="s">
        <v>663</v>
      </c>
      <c r="F185" s="2" t="s">
        <v>1648</v>
      </c>
      <c r="G185" s="2" t="str">
        <f t="shared" si="19"/>
        <v>01.1.6.076</v>
      </c>
      <c r="H185" s="83" t="s">
        <v>1725</v>
      </c>
      <c r="I185" s="83" t="str">
        <f t="shared" si="17"/>
        <v>0116076</v>
      </c>
      <c r="J185" s="2" t="s">
        <v>1800</v>
      </c>
      <c r="K185" s="120" t="str">
        <f>IFERROR(VLOOKUP(H185,'Bridge matrix'!$A$3:$E$731,3,FALSE),"no")</f>
        <v>Zapote</v>
      </c>
      <c r="L185" s="120" t="str">
        <f t="shared" si="15"/>
        <v>Zapote</v>
      </c>
      <c r="M185" s="120" t="str">
        <f t="shared" si="16"/>
        <v>Zapote</v>
      </c>
      <c r="N185" s="120" t="str">
        <f t="shared" si="18"/>
        <v>Zapote</v>
      </c>
      <c r="O185" s="2" t="e">
        <f>VLOOKUP(N185,'Bridge matrix'!$D$3:$E$731,2,FALSE)</f>
        <v>#N/A</v>
      </c>
      <c r="Q185" s="80"/>
      <c r="R185" s="80"/>
      <c r="S185" s="80"/>
      <c r="T185" s="80"/>
    </row>
    <row r="186" spans="1:20" x14ac:dyDescent="0.25">
      <c r="A186" s="2" t="s">
        <v>593</v>
      </c>
      <c r="B186" s="2" t="s">
        <v>595</v>
      </c>
      <c r="C186" s="2" t="s">
        <v>598</v>
      </c>
      <c r="D186" s="2" t="s">
        <v>663</v>
      </c>
      <c r="F186" s="2" t="s">
        <v>1649</v>
      </c>
      <c r="G186" s="2" t="str">
        <f t="shared" si="19"/>
        <v>01.1.6.077</v>
      </c>
      <c r="H186" s="83" t="s">
        <v>1726</v>
      </c>
      <c r="I186" s="83" t="str">
        <f t="shared" si="17"/>
        <v>0116077</v>
      </c>
      <c r="J186" s="2" t="s">
        <v>1801</v>
      </c>
      <c r="K186" s="120" t="str">
        <f>IFERROR(VLOOKUP(H186,'Bridge matrix'!$A$3:$E$731,3,FALSE),"no")</f>
        <v>Chonta</v>
      </c>
      <c r="L186" s="120" t="str">
        <f t="shared" si="15"/>
        <v>Chonta</v>
      </c>
      <c r="M186" s="120" t="str">
        <f t="shared" si="16"/>
        <v>Chonta</v>
      </c>
      <c r="N186" s="120" t="str">
        <f t="shared" si="18"/>
        <v>Chonta</v>
      </c>
      <c r="O186" s="2" t="e">
        <f>VLOOKUP(N186,'Bridge matrix'!$D$3:$E$731,2,FALSE)</f>
        <v>#N/A</v>
      </c>
      <c r="Q186" s="80"/>
      <c r="R186" s="80"/>
      <c r="S186" s="80"/>
      <c r="T186" s="80"/>
    </row>
    <row r="187" spans="1:20" x14ac:dyDescent="0.25">
      <c r="A187" s="2" t="s">
        <v>593</v>
      </c>
      <c r="B187" s="2" t="s">
        <v>595</v>
      </c>
      <c r="C187" s="2" t="s">
        <v>598</v>
      </c>
      <c r="D187" s="2" t="s">
        <v>663</v>
      </c>
      <c r="F187" s="2" t="s">
        <v>1247</v>
      </c>
      <c r="G187" s="2" t="str">
        <f t="shared" si="19"/>
        <v>01.1.6.099</v>
      </c>
      <c r="H187" s="83" t="s">
        <v>1727</v>
      </c>
      <c r="I187" s="83" t="str">
        <f t="shared" si="17"/>
        <v>0116099</v>
      </c>
      <c r="J187" s="2" t="s">
        <v>1802</v>
      </c>
      <c r="K187" s="120" t="str">
        <f>IFERROR(VLOOKUP(H187,'Bridge matrix'!$A$3:$E$731,3,FALSE),"no")</f>
        <v>Otras frutas frescas, refrigeradas y congeladas</v>
      </c>
      <c r="L187" s="120" t="str">
        <f t="shared" si="15"/>
        <v>Otras frutas frescas, refrigeradas y congeladas</v>
      </c>
      <c r="M187" s="120" t="str">
        <f t="shared" si="16"/>
        <v>Otras frutas frescas, refrigeradas y congeladas</v>
      </c>
      <c r="N187" s="120" t="str">
        <f t="shared" si="18"/>
        <v>Otras frutas frescas, refrigeradas y congeladas</v>
      </c>
      <c r="O187" s="2" t="e">
        <f>VLOOKUP(N187,'Bridge matrix'!$D$3:$E$731,2,FALSE)</f>
        <v>#N/A</v>
      </c>
      <c r="Q187" s="80"/>
      <c r="R187" s="80"/>
      <c r="S187" s="80"/>
      <c r="T187" s="80"/>
    </row>
    <row r="188" spans="1:20" x14ac:dyDescent="0.25">
      <c r="A188" s="2" t="s">
        <v>592</v>
      </c>
      <c r="B188" s="2" t="s">
        <v>595</v>
      </c>
      <c r="C188" s="2" t="s">
        <v>598</v>
      </c>
      <c r="D188" s="2" t="s">
        <v>663</v>
      </c>
      <c r="E188" s="2" t="s">
        <v>605</v>
      </c>
      <c r="G188" s="2" t="str">
        <f>B188&amp;IF(C188="","","."&amp;C188)&amp;IF(D188="","","."&amp;D188)&amp;IF(E188="","","."&amp;E188)&amp;IF(F188="","","."&amp;F188)</f>
        <v>01.1.6.100</v>
      </c>
      <c r="H188" s="83" t="s">
        <v>668</v>
      </c>
      <c r="I188" s="83" t="str">
        <f t="shared" si="17"/>
        <v>0116100</v>
      </c>
      <c r="J188" s="2" t="s">
        <v>669</v>
      </c>
      <c r="K188" s="120" t="str">
        <f>IFERROR(VLOOKUP(H188,'Bridge matrix'!$A$3:$E$731,3,FALSE),"no")</f>
        <v>Frutas secas y en conserva (procesadas)</v>
      </c>
      <c r="L188" s="120" t="str">
        <f t="shared" si="15"/>
        <v>Frutas secas y en conserva (procesadas)</v>
      </c>
      <c r="M188" s="120" t="str">
        <f t="shared" si="16"/>
        <v>Frutas secas y en conserva (procesadas)</v>
      </c>
      <c r="N188" s="120" t="str">
        <f t="shared" si="18"/>
        <v>Frutas secas y en conserva (procesadas)</v>
      </c>
      <c r="O188" s="2" t="e">
        <f>VLOOKUP(N188,'Bridge matrix'!$D$3:$E$731,2,FALSE)</f>
        <v>#N/A</v>
      </c>
      <c r="Q188" s="80"/>
      <c r="R188" s="80"/>
      <c r="S188" s="80"/>
      <c r="T188" s="80"/>
    </row>
    <row r="189" spans="1:20" x14ac:dyDescent="0.25">
      <c r="A189" s="2" t="s">
        <v>591</v>
      </c>
      <c r="B189" s="2" t="s">
        <v>595</v>
      </c>
      <c r="C189" s="2" t="s">
        <v>598</v>
      </c>
      <c r="D189" s="2" t="s">
        <v>670</v>
      </c>
      <c r="E189" s="2" t="s">
        <v>596</v>
      </c>
      <c r="G189" s="2" t="str">
        <f>B189&amp;IF(C189="","","."&amp;C189)&amp;IF(D189="","","."&amp;D189)&amp;IF(E189="","","."&amp;E189)&amp;IF(F189="","","."&amp;F189)</f>
        <v>01.1.7</v>
      </c>
      <c r="H189" s="83" t="s">
        <v>671</v>
      </c>
      <c r="I189" s="83" t="str">
        <f t="shared" si="17"/>
        <v>0117</v>
      </c>
      <c r="J189" s="2" t="s">
        <v>672</v>
      </c>
      <c r="K189" s="120" t="str">
        <f>IFERROR(VLOOKUP(H189,'Bridge matrix'!$A$3:$E$731,3,FALSE),"no")</f>
        <v>HORTALIZAS VERDURAS / LEGUMINOSAS Y TUBÉRCULOS</v>
      </c>
      <c r="L189" s="120" t="str">
        <f t="shared" si="15"/>
        <v>ll</v>
      </c>
      <c r="M189" s="120" t="str">
        <f t="shared" si="16"/>
        <v>ll</v>
      </c>
      <c r="N189" s="120" t="str">
        <f t="shared" si="18"/>
        <v>ll</v>
      </c>
      <c r="O189" s="2" t="str">
        <f>VLOOKUP(N189,'Bridge matrix'!$D$3:$E$731,2,FALSE)</f>
        <v>matched on SC/SSC level</v>
      </c>
      <c r="Q189" s="80"/>
      <c r="R189" s="80"/>
      <c r="S189" s="80"/>
      <c r="T189" s="80"/>
    </row>
    <row r="190" spans="1:20" x14ac:dyDescent="0.25">
      <c r="A190" s="2" t="s">
        <v>592</v>
      </c>
      <c r="B190" s="2" t="s">
        <v>595</v>
      </c>
      <c r="C190" s="2" t="s">
        <v>598</v>
      </c>
      <c r="D190" s="2" t="s">
        <v>670</v>
      </c>
      <c r="E190" s="2" t="s">
        <v>602</v>
      </c>
      <c r="G190" s="2" t="str">
        <f>B190&amp;IF(C190="","","."&amp;C190)&amp;IF(D190="","","."&amp;D190)&amp;IF(E190="","","."&amp;E190)&amp;IF(F190="","","."&amp;F190)</f>
        <v>01.1.7.000</v>
      </c>
      <c r="H190" s="83" t="s">
        <v>673</v>
      </c>
      <c r="I190" s="83" t="str">
        <f t="shared" si="17"/>
        <v>0117000</v>
      </c>
      <c r="J190" s="2" t="s">
        <v>674</v>
      </c>
      <c r="K190" s="120" t="str">
        <f>IFERROR(VLOOKUP(H190,'Bridge matrix'!$A$3:$E$731,3,FALSE),"no")</f>
        <v>Hortalizas</v>
      </c>
      <c r="L190" s="120" t="str">
        <f t="shared" si="15"/>
        <v>Hortalizas</v>
      </c>
      <c r="M190" s="120" t="str">
        <f t="shared" si="16"/>
        <v>Hortalizas</v>
      </c>
      <c r="N190" s="120" t="str">
        <f t="shared" si="18"/>
        <v>Hortalizas</v>
      </c>
      <c r="O190" s="2" t="e">
        <f>VLOOKUP(N190,'Bridge matrix'!$D$3:$E$731,2,FALSE)</f>
        <v>#N/A</v>
      </c>
      <c r="Q190" s="80"/>
      <c r="R190" s="80"/>
      <c r="S190" s="80"/>
      <c r="T190" s="80"/>
    </row>
    <row r="191" spans="1:20" x14ac:dyDescent="0.25">
      <c r="A191" s="2" t="s">
        <v>593</v>
      </c>
      <c r="B191" s="2" t="s">
        <v>595</v>
      </c>
      <c r="C191" s="2" t="s">
        <v>598</v>
      </c>
      <c r="D191" s="2" t="s">
        <v>670</v>
      </c>
      <c r="F191" s="2" t="s">
        <v>835</v>
      </c>
      <c r="G191" s="2" t="str">
        <f t="shared" ref="G191:G236" si="20">B191&amp;IF(C191="","","."&amp;C191)&amp;IF(D191="","","."&amp;D191)&amp;IF(E191="","","."&amp;E191)&amp;IF(F191="","","."&amp;F191)</f>
        <v>01.1.7.001</v>
      </c>
      <c r="H191" s="83" t="s">
        <v>1912</v>
      </c>
      <c r="I191" s="83" t="str">
        <f t="shared" si="17"/>
        <v>0117001</v>
      </c>
      <c r="J191" s="2" t="s">
        <v>1871</v>
      </c>
      <c r="K191" s="120" t="str">
        <f>IFERROR(VLOOKUP(H191,'Bridge matrix'!$A$3:$E$731,3,FALSE),"no")</f>
        <v>Acelga</v>
      </c>
      <c r="L191" s="120" t="str">
        <f t="shared" si="15"/>
        <v>Acelga</v>
      </c>
      <c r="M191" s="120" t="str">
        <f t="shared" si="16"/>
        <v>Acelga</v>
      </c>
      <c r="N191" s="120" t="str">
        <f t="shared" si="18"/>
        <v>Acelga</v>
      </c>
      <c r="O191" s="2" t="e">
        <f>VLOOKUP(N191,'Bridge matrix'!$D$3:$E$731,2,FALSE)</f>
        <v>#N/A</v>
      </c>
      <c r="Q191" s="18"/>
      <c r="R191" s="80"/>
      <c r="S191" s="80"/>
      <c r="T191" s="80"/>
    </row>
    <row r="192" spans="1:20" x14ac:dyDescent="0.25">
      <c r="A192" s="2" t="s">
        <v>593</v>
      </c>
      <c r="B192" s="2" t="s">
        <v>595</v>
      </c>
      <c r="C192" s="2" t="s">
        <v>598</v>
      </c>
      <c r="D192" s="2" t="s">
        <v>670</v>
      </c>
      <c r="F192" s="2" t="s">
        <v>838</v>
      </c>
      <c r="G192" s="2" t="str">
        <f t="shared" si="20"/>
        <v>01.1.7.002</v>
      </c>
      <c r="H192" s="83" t="s">
        <v>1913</v>
      </c>
      <c r="I192" s="83" t="str">
        <f t="shared" si="17"/>
        <v>0117002</v>
      </c>
      <c r="J192" s="2" t="s">
        <v>1872</v>
      </c>
      <c r="K192" s="120" t="str">
        <f>IFERROR(VLOOKUP(H192,'Bridge matrix'!$A$3:$E$731,3,FALSE),"no")</f>
        <v>Achogchas</v>
      </c>
      <c r="L192" s="120" t="str">
        <f t="shared" si="15"/>
        <v>Achogchas</v>
      </c>
      <c r="M192" s="120" t="str">
        <f t="shared" si="16"/>
        <v>Achogchas</v>
      </c>
      <c r="N192" s="120" t="str">
        <f t="shared" si="18"/>
        <v>Achogchas</v>
      </c>
      <c r="O192" s="2" t="e">
        <f>VLOOKUP(N192,'Bridge matrix'!$D$3:$E$731,2,FALSE)</f>
        <v>#N/A</v>
      </c>
      <c r="Q192" s="18"/>
      <c r="R192" s="80"/>
      <c r="S192" s="80"/>
      <c r="T192" s="80"/>
    </row>
    <row r="193" spans="1:20" x14ac:dyDescent="0.25">
      <c r="A193" s="2" t="s">
        <v>593</v>
      </c>
      <c r="B193" s="2" t="s">
        <v>595</v>
      </c>
      <c r="C193" s="2" t="s">
        <v>598</v>
      </c>
      <c r="D193" s="2" t="s">
        <v>670</v>
      </c>
      <c r="F193" s="2" t="s">
        <v>849</v>
      </c>
      <c r="G193" s="2" t="str">
        <f t="shared" si="20"/>
        <v>01.1.7.003</v>
      </c>
      <c r="H193" s="83" t="s">
        <v>1914</v>
      </c>
      <c r="I193" s="83" t="str">
        <f t="shared" si="17"/>
        <v>0117003</v>
      </c>
      <c r="J193" s="2" t="s">
        <v>1873</v>
      </c>
      <c r="K193" s="120" t="str">
        <f>IFERROR(VLOOKUP(H193,'Bridge matrix'!$A$3:$E$731,3,FALSE),"no")</f>
        <v>Ají</v>
      </c>
      <c r="L193" s="120" t="str">
        <f t="shared" si="15"/>
        <v>Ají</v>
      </c>
      <c r="M193" s="120" t="str">
        <f t="shared" si="16"/>
        <v>Ají</v>
      </c>
      <c r="N193" s="120" t="str">
        <f t="shared" si="18"/>
        <v>Ají</v>
      </c>
      <c r="O193" s="2" t="e">
        <f>VLOOKUP(N193,'Bridge matrix'!$D$3:$E$731,2,FALSE)</f>
        <v>#N/A</v>
      </c>
      <c r="Q193" s="18"/>
      <c r="R193" s="80"/>
      <c r="S193" s="80"/>
      <c r="T193" s="80"/>
    </row>
    <row r="194" spans="1:20" x14ac:dyDescent="0.25">
      <c r="A194" s="2" t="s">
        <v>593</v>
      </c>
      <c r="B194" s="2" t="s">
        <v>595</v>
      </c>
      <c r="C194" s="2" t="s">
        <v>598</v>
      </c>
      <c r="D194" s="2" t="s">
        <v>670</v>
      </c>
      <c r="F194" s="2" t="s">
        <v>874</v>
      </c>
      <c r="G194" s="2" t="str">
        <f t="shared" si="20"/>
        <v>01.1.7.004</v>
      </c>
      <c r="H194" s="83" t="s">
        <v>1915</v>
      </c>
      <c r="I194" s="83" t="str">
        <f t="shared" si="17"/>
        <v>0117004</v>
      </c>
      <c r="J194" s="2" t="s">
        <v>1874</v>
      </c>
      <c r="K194" s="120" t="str">
        <f>IFERROR(VLOOKUP(H194,'Bridge matrix'!$A$3:$E$731,3,FALSE),"no")</f>
        <v>Ajo en pepa (sin pelar)</v>
      </c>
      <c r="L194" s="120" t="str">
        <f t="shared" ref="L194:L257" si="21">IF(AND(H194=LEFT(H195,LEN(H194)),L195&lt;&gt;"no"),"ll",IF(K194="no","no",K194))</f>
        <v>Ajo en pepa (sin pelar)</v>
      </c>
      <c r="M194" s="120" t="str">
        <f t="shared" ref="M194:M257" si="22">IF(L194&lt;&gt;"no",L194,IF(VLOOKUP(LEFT(H194,6),$H$2:$K$714,3,FALSE)="ll","no",VLOOKUP(LEFT(H194,6),$H$2:$K$714,3,FALSE)))</f>
        <v>Ajo en pepa (sin pelar)</v>
      </c>
      <c r="N194" s="120" t="str">
        <f t="shared" si="18"/>
        <v>Ajo en pepa (sin pelar)</v>
      </c>
      <c r="O194" s="2" t="e">
        <f>VLOOKUP(N194,'Bridge matrix'!$D$3:$E$731,2,FALSE)</f>
        <v>#N/A</v>
      </c>
      <c r="Q194" s="18"/>
      <c r="R194" s="80"/>
      <c r="S194" s="80"/>
      <c r="T194" s="80"/>
    </row>
    <row r="195" spans="1:20" x14ac:dyDescent="0.25">
      <c r="A195" s="2" t="s">
        <v>593</v>
      </c>
      <c r="B195" s="2" t="s">
        <v>595</v>
      </c>
      <c r="C195" s="2" t="s">
        <v>598</v>
      </c>
      <c r="D195" s="2" t="s">
        <v>670</v>
      </c>
      <c r="F195" s="2" t="s">
        <v>877</v>
      </c>
      <c r="G195" s="2" t="str">
        <f t="shared" si="20"/>
        <v>01.1.7.005</v>
      </c>
      <c r="H195" s="83" t="s">
        <v>1916</v>
      </c>
      <c r="I195" s="83" t="str">
        <f t="shared" ref="I195:I258" si="23">B195&amp;C195&amp;D195&amp;E195&amp;F195</f>
        <v>0117005</v>
      </c>
      <c r="J195" s="2" t="s">
        <v>1875</v>
      </c>
      <c r="K195" s="120" t="str">
        <f>IFERROR(VLOOKUP(H195,'Bridge matrix'!$A$3:$E$731,3,FALSE),"no")</f>
        <v>Ajo en pepa (pelado)</v>
      </c>
      <c r="L195" s="120" t="str">
        <f t="shared" si="21"/>
        <v>Ajo en pepa (pelado)</v>
      </c>
      <c r="M195" s="120" t="str">
        <f t="shared" si="22"/>
        <v>Ajo en pepa (pelado)</v>
      </c>
      <c r="N195" s="120" t="str">
        <f t="shared" ref="N195:N258" si="24">M195</f>
        <v>Ajo en pepa (pelado)</v>
      </c>
      <c r="O195" s="2" t="e">
        <f>VLOOKUP(N195,'Bridge matrix'!$D$3:$E$731,2,FALSE)</f>
        <v>#N/A</v>
      </c>
      <c r="Q195" s="18"/>
      <c r="R195" s="80"/>
      <c r="S195" s="80"/>
      <c r="T195" s="80"/>
    </row>
    <row r="196" spans="1:20" x14ac:dyDescent="0.25">
      <c r="A196" s="2" t="s">
        <v>593</v>
      </c>
      <c r="B196" s="2" t="s">
        <v>595</v>
      </c>
      <c r="C196" s="2" t="s">
        <v>598</v>
      </c>
      <c r="D196" s="2" t="s">
        <v>670</v>
      </c>
      <c r="F196" s="2" t="s">
        <v>1024</v>
      </c>
      <c r="G196" s="2" t="str">
        <f t="shared" si="20"/>
        <v>01.1.7.006</v>
      </c>
      <c r="H196" s="83" t="s">
        <v>1917</v>
      </c>
      <c r="I196" s="83" t="str">
        <f t="shared" si="23"/>
        <v>0117006</v>
      </c>
      <c r="J196" s="2" t="s">
        <v>1876</v>
      </c>
      <c r="K196" s="120" t="str">
        <f>IFERROR(VLOOKUP(H196,'Bridge matrix'!$A$3:$E$731,3,FALSE),"no")</f>
        <v>Alcachofa</v>
      </c>
      <c r="L196" s="120" t="str">
        <f t="shared" si="21"/>
        <v>Alcachofa</v>
      </c>
      <c r="M196" s="120" t="str">
        <f t="shared" si="22"/>
        <v>Alcachofa</v>
      </c>
      <c r="N196" s="120" t="str">
        <f t="shared" si="24"/>
        <v>Alcachofa</v>
      </c>
      <c r="O196" s="2" t="e">
        <f>VLOOKUP(N196,'Bridge matrix'!$D$3:$E$731,2,FALSE)</f>
        <v>#N/A</v>
      </c>
      <c r="Q196" s="18"/>
      <c r="R196" s="80"/>
      <c r="S196" s="80"/>
      <c r="T196" s="80"/>
    </row>
    <row r="197" spans="1:20" x14ac:dyDescent="0.25">
      <c r="A197" s="2" t="s">
        <v>593</v>
      </c>
      <c r="B197" s="2" t="s">
        <v>595</v>
      </c>
      <c r="C197" s="2" t="s">
        <v>598</v>
      </c>
      <c r="D197" s="2" t="s">
        <v>670</v>
      </c>
      <c r="F197" s="2" t="s">
        <v>1027</v>
      </c>
      <c r="G197" s="2" t="str">
        <f t="shared" si="20"/>
        <v>01.1.7.007</v>
      </c>
      <c r="H197" s="83" t="s">
        <v>1918</v>
      </c>
      <c r="I197" s="83" t="str">
        <f t="shared" si="23"/>
        <v>0117007</v>
      </c>
      <c r="J197" s="2" t="s">
        <v>1877</v>
      </c>
      <c r="K197" s="120" t="str">
        <f>IFERROR(VLOOKUP(H197,'Bridge matrix'!$A$3:$E$731,3,FALSE),"no")</f>
        <v>Apio</v>
      </c>
      <c r="L197" s="120" t="str">
        <f t="shared" si="21"/>
        <v>Apio</v>
      </c>
      <c r="M197" s="120" t="str">
        <f t="shared" si="22"/>
        <v>Apio</v>
      </c>
      <c r="N197" s="120" t="str">
        <f t="shared" si="24"/>
        <v>Apio</v>
      </c>
      <c r="O197" s="2" t="e">
        <f>VLOOKUP(N197,'Bridge matrix'!$D$3:$E$731,2,FALSE)</f>
        <v>#N/A</v>
      </c>
      <c r="Q197" s="18"/>
      <c r="R197" s="80"/>
      <c r="S197" s="80"/>
      <c r="T197" s="80"/>
    </row>
    <row r="198" spans="1:20" x14ac:dyDescent="0.25">
      <c r="A198" s="2" t="s">
        <v>593</v>
      </c>
      <c r="B198" s="2" t="s">
        <v>595</v>
      </c>
      <c r="C198" s="2" t="s">
        <v>598</v>
      </c>
      <c r="D198" s="2" t="s">
        <v>670</v>
      </c>
      <c r="F198" s="2" t="s">
        <v>1030</v>
      </c>
      <c r="G198" s="2" t="str">
        <f t="shared" si="20"/>
        <v>01.1.7.008</v>
      </c>
      <c r="H198" s="83" t="s">
        <v>1919</v>
      </c>
      <c r="I198" s="83" t="str">
        <f t="shared" si="23"/>
        <v>0117008</v>
      </c>
      <c r="J198" s="2" t="s">
        <v>1878</v>
      </c>
      <c r="K198" s="120" t="str">
        <f>IFERROR(VLOOKUP(H198,'Bridge matrix'!$A$3:$E$731,3,FALSE),"no")</f>
        <v>Berenjena</v>
      </c>
      <c r="L198" s="120" t="str">
        <f t="shared" si="21"/>
        <v>Berenjena</v>
      </c>
      <c r="M198" s="120" t="str">
        <f t="shared" si="22"/>
        <v>Berenjena</v>
      </c>
      <c r="N198" s="120" t="str">
        <f t="shared" si="24"/>
        <v>Berenjena</v>
      </c>
      <c r="O198" s="2" t="e">
        <f>VLOOKUP(N198,'Bridge matrix'!$D$3:$E$731,2,FALSE)</f>
        <v>#N/A</v>
      </c>
      <c r="Q198" s="18"/>
      <c r="R198" s="80"/>
      <c r="S198" s="80"/>
      <c r="T198" s="80"/>
    </row>
    <row r="199" spans="1:20" x14ac:dyDescent="0.25">
      <c r="A199" s="2" t="s">
        <v>593</v>
      </c>
      <c r="B199" s="2" t="s">
        <v>595</v>
      </c>
      <c r="C199" s="2" t="s">
        <v>598</v>
      </c>
      <c r="D199" s="2" t="s">
        <v>670</v>
      </c>
      <c r="F199" s="2" t="s">
        <v>1278</v>
      </c>
      <c r="G199" s="2" t="str">
        <f t="shared" si="20"/>
        <v>01.1.7.009</v>
      </c>
      <c r="H199" s="83" t="s">
        <v>1920</v>
      </c>
      <c r="I199" s="83" t="str">
        <f t="shared" si="23"/>
        <v>0117009</v>
      </c>
      <c r="J199" s="2" t="s">
        <v>1879</v>
      </c>
      <c r="K199" s="120" t="str">
        <f>IFERROR(VLOOKUP(H199,'Bridge matrix'!$A$3:$E$731,3,FALSE),"no")</f>
        <v>Berros</v>
      </c>
      <c r="L199" s="120" t="str">
        <f t="shared" si="21"/>
        <v>Berros</v>
      </c>
      <c r="M199" s="120" t="str">
        <f t="shared" si="22"/>
        <v>Berros</v>
      </c>
      <c r="N199" s="120" t="str">
        <f t="shared" si="24"/>
        <v>Berros</v>
      </c>
      <c r="O199" s="2" t="e">
        <f>VLOOKUP(N199,'Bridge matrix'!$D$3:$E$731,2,FALSE)</f>
        <v>#N/A</v>
      </c>
      <c r="Q199" s="18"/>
      <c r="R199" s="80"/>
      <c r="S199" s="80"/>
      <c r="T199" s="80"/>
    </row>
    <row r="200" spans="1:20" x14ac:dyDescent="0.25">
      <c r="A200" s="2" t="s">
        <v>593</v>
      </c>
      <c r="B200" s="2" t="s">
        <v>595</v>
      </c>
      <c r="C200" s="2" t="s">
        <v>598</v>
      </c>
      <c r="D200" s="2" t="s">
        <v>670</v>
      </c>
      <c r="F200" s="2" t="s">
        <v>1279</v>
      </c>
      <c r="G200" s="2" t="str">
        <f t="shared" si="20"/>
        <v>01.1.7.010</v>
      </c>
      <c r="H200" s="83" t="s">
        <v>569</v>
      </c>
      <c r="I200" s="83" t="str">
        <f t="shared" si="23"/>
        <v>0117010</v>
      </c>
      <c r="J200" s="2" t="s">
        <v>570</v>
      </c>
      <c r="K200" s="120" t="str">
        <f>IFERROR(VLOOKUP(H200,'Bridge matrix'!$A$3:$E$731,3,FALSE),"no")</f>
        <v>Brócoli</v>
      </c>
      <c r="L200" s="120" t="str">
        <f t="shared" si="21"/>
        <v>Brócoli</v>
      </c>
      <c r="M200" s="120" t="str">
        <f t="shared" si="22"/>
        <v>Brócoli</v>
      </c>
      <c r="N200" s="120" t="str">
        <f t="shared" si="24"/>
        <v>Brócoli</v>
      </c>
      <c r="O200" s="2" t="e">
        <f>VLOOKUP(N200,'Bridge matrix'!$D$3:$E$731,2,FALSE)</f>
        <v>#N/A</v>
      </c>
      <c r="Q200" s="18"/>
      <c r="R200" s="80"/>
      <c r="S200" s="80"/>
      <c r="T200" s="80"/>
    </row>
    <row r="201" spans="1:20" x14ac:dyDescent="0.25">
      <c r="A201" s="2" t="s">
        <v>593</v>
      </c>
      <c r="B201" s="2" t="s">
        <v>595</v>
      </c>
      <c r="C201" s="2" t="s">
        <v>598</v>
      </c>
      <c r="D201" s="2" t="s">
        <v>670</v>
      </c>
      <c r="F201" s="2" t="s">
        <v>1280</v>
      </c>
      <c r="G201" s="2" t="str">
        <f t="shared" si="20"/>
        <v>01.1.7.011</v>
      </c>
      <c r="H201" s="83" t="s">
        <v>1921</v>
      </c>
      <c r="I201" s="83" t="str">
        <f t="shared" si="23"/>
        <v>0117011</v>
      </c>
      <c r="J201" s="2" t="s">
        <v>1880</v>
      </c>
      <c r="K201" s="120" t="str">
        <f>IFERROR(VLOOKUP(H201,'Bridge matrix'!$A$3:$E$731,3,FALSE),"no")</f>
        <v>Calabacín</v>
      </c>
      <c r="L201" s="120" t="str">
        <f t="shared" si="21"/>
        <v>Calabacín</v>
      </c>
      <c r="M201" s="120" t="str">
        <f t="shared" si="22"/>
        <v>Calabacín</v>
      </c>
      <c r="N201" s="120" t="str">
        <f t="shared" si="24"/>
        <v>Calabacín</v>
      </c>
      <c r="O201" s="2" t="e">
        <f>VLOOKUP(N201,'Bridge matrix'!$D$3:$E$731,2,FALSE)</f>
        <v>#N/A</v>
      </c>
      <c r="Q201" s="18"/>
      <c r="R201" s="80"/>
      <c r="S201" s="80"/>
      <c r="T201" s="80"/>
    </row>
    <row r="202" spans="1:20" x14ac:dyDescent="0.25">
      <c r="A202" s="2" t="s">
        <v>593</v>
      </c>
      <c r="B202" s="2" t="s">
        <v>595</v>
      </c>
      <c r="C202" s="2" t="s">
        <v>598</v>
      </c>
      <c r="D202" s="2" t="s">
        <v>670</v>
      </c>
      <c r="F202" s="2" t="s">
        <v>1281</v>
      </c>
      <c r="G202" s="2" t="str">
        <f t="shared" si="20"/>
        <v>01.1.7.012</v>
      </c>
      <c r="H202" s="83" t="s">
        <v>1922</v>
      </c>
      <c r="I202" s="83" t="str">
        <f t="shared" si="23"/>
        <v>0117012</v>
      </c>
      <c r="J202" s="2" t="s">
        <v>1881</v>
      </c>
      <c r="K202" s="120" t="str">
        <f>IFERROR(VLOOKUP(H202,'Bridge matrix'!$A$3:$E$731,3,FALSE),"no")</f>
        <v>Cebolla blanca</v>
      </c>
      <c r="L202" s="120" t="str">
        <f t="shared" si="21"/>
        <v>Cebolla blanca</v>
      </c>
      <c r="M202" s="120" t="str">
        <f t="shared" si="22"/>
        <v>Cebolla blanca</v>
      </c>
      <c r="N202" s="120" t="str">
        <f t="shared" si="24"/>
        <v>Cebolla blanca</v>
      </c>
      <c r="O202" s="2" t="e">
        <f>VLOOKUP(N202,'Bridge matrix'!$D$3:$E$731,2,FALSE)</f>
        <v>#N/A</v>
      </c>
      <c r="Q202" s="18"/>
      <c r="R202" s="80"/>
      <c r="S202" s="80"/>
      <c r="T202" s="80"/>
    </row>
    <row r="203" spans="1:20" x14ac:dyDescent="0.25">
      <c r="A203" s="2" t="s">
        <v>593</v>
      </c>
      <c r="B203" s="2" t="s">
        <v>595</v>
      </c>
      <c r="C203" s="2" t="s">
        <v>598</v>
      </c>
      <c r="D203" s="2" t="s">
        <v>670</v>
      </c>
      <c r="F203" s="2" t="s">
        <v>1282</v>
      </c>
      <c r="G203" s="2" t="str">
        <f t="shared" si="20"/>
        <v>01.1.7.013</v>
      </c>
      <c r="H203" s="83" t="s">
        <v>1923</v>
      </c>
      <c r="I203" s="83" t="str">
        <f t="shared" si="23"/>
        <v>0117013</v>
      </c>
      <c r="J203" s="2" t="s">
        <v>1882</v>
      </c>
      <c r="K203" s="120" t="str">
        <f>IFERROR(VLOOKUP(H203,'Bridge matrix'!$A$3:$E$731,3,FALSE),"no")</f>
        <v>Cebolla paiteña colorada</v>
      </c>
      <c r="L203" s="120" t="str">
        <f t="shared" si="21"/>
        <v>Cebolla paiteña colorada</v>
      </c>
      <c r="M203" s="120" t="str">
        <f t="shared" si="22"/>
        <v>Cebolla paiteña colorada</v>
      </c>
      <c r="N203" s="120" t="str">
        <f t="shared" si="24"/>
        <v>Cebolla paiteña colorada</v>
      </c>
      <c r="O203" s="2" t="e">
        <f>VLOOKUP(N203,'Bridge matrix'!$D$3:$E$731,2,FALSE)</f>
        <v>#N/A</v>
      </c>
      <c r="Q203" s="18"/>
      <c r="R203" s="80"/>
      <c r="S203" s="80"/>
      <c r="T203" s="80"/>
    </row>
    <row r="204" spans="1:20" x14ac:dyDescent="0.25">
      <c r="A204" s="2" t="s">
        <v>593</v>
      </c>
      <c r="B204" s="2" t="s">
        <v>595</v>
      </c>
      <c r="C204" s="2" t="s">
        <v>598</v>
      </c>
      <c r="D204" s="2" t="s">
        <v>670</v>
      </c>
      <c r="F204" s="2" t="s">
        <v>1283</v>
      </c>
      <c r="G204" s="2" t="str">
        <f t="shared" si="20"/>
        <v>01.1.7.014</v>
      </c>
      <c r="H204" s="83" t="s">
        <v>1924</v>
      </c>
      <c r="I204" s="83" t="str">
        <f t="shared" si="23"/>
        <v>0117014</v>
      </c>
      <c r="J204" s="2" t="s">
        <v>1883</v>
      </c>
      <c r="K204" s="120" t="str">
        <f>IFERROR(VLOOKUP(H204,'Bridge matrix'!$A$3:$E$731,3,FALSE),"no")</f>
        <v>Cebolla paiteña perla</v>
      </c>
      <c r="L204" s="120" t="str">
        <f t="shared" si="21"/>
        <v>Cebolla paiteña perla</v>
      </c>
      <c r="M204" s="120" t="str">
        <f t="shared" si="22"/>
        <v>Cebolla paiteña perla</v>
      </c>
      <c r="N204" s="120" t="str">
        <f t="shared" si="24"/>
        <v>Cebolla paiteña perla</v>
      </c>
      <c r="O204" s="2" t="e">
        <f>VLOOKUP(N204,'Bridge matrix'!$D$3:$E$731,2,FALSE)</f>
        <v>#N/A</v>
      </c>
      <c r="Q204" s="18"/>
      <c r="R204" s="80"/>
      <c r="S204" s="80"/>
      <c r="T204" s="80"/>
    </row>
    <row r="205" spans="1:20" x14ac:dyDescent="0.25">
      <c r="A205" s="2" t="s">
        <v>593</v>
      </c>
      <c r="B205" s="2" t="s">
        <v>595</v>
      </c>
      <c r="C205" s="2" t="s">
        <v>598</v>
      </c>
      <c r="D205" s="2" t="s">
        <v>670</v>
      </c>
      <c r="F205" s="2" t="s">
        <v>1284</v>
      </c>
      <c r="G205" s="2" t="str">
        <f t="shared" si="20"/>
        <v>01.1.7.015</v>
      </c>
      <c r="H205" s="83" t="s">
        <v>1925</v>
      </c>
      <c r="I205" s="83" t="str">
        <f t="shared" si="23"/>
        <v>0117015</v>
      </c>
      <c r="J205" s="2" t="s">
        <v>1884</v>
      </c>
      <c r="K205" s="120" t="str">
        <f>IFERROR(VLOOKUP(H205,'Bridge matrix'!$A$3:$E$731,3,FALSE),"no")</f>
        <v>Choclo tierno desgranado</v>
      </c>
      <c r="L205" s="120" t="str">
        <f t="shared" si="21"/>
        <v>Choclo tierno desgranado</v>
      </c>
      <c r="M205" s="120" t="str">
        <f t="shared" si="22"/>
        <v>Choclo tierno desgranado</v>
      </c>
      <c r="N205" s="120" t="str">
        <f t="shared" si="24"/>
        <v>Choclo tierno desgranado</v>
      </c>
      <c r="O205" s="2" t="e">
        <f>VLOOKUP(N205,'Bridge matrix'!$D$3:$E$731,2,FALSE)</f>
        <v>#N/A</v>
      </c>
      <c r="Q205" s="18"/>
      <c r="R205" s="80"/>
      <c r="S205" s="80"/>
      <c r="T205" s="80"/>
    </row>
    <row r="206" spans="1:20" x14ac:dyDescent="0.25">
      <c r="A206" s="2" t="s">
        <v>593</v>
      </c>
      <c r="B206" s="2" t="s">
        <v>595</v>
      </c>
      <c r="C206" s="2" t="s">
        <v>598</v>
      </c>
      <c r="D206" s="2" t="s">
        <v>670</v>
      </c>
      <c r="F206" s="2" t="s">
        <v>1285</v>
      </c>
      <c r="G206" s="2" t="str">
        <f t="shared" si="20"/>
        <v>01.1.7.016</v>
      </c>
      <c r="H206" s="83" t="s">
        <v>1926</v>
      </c>
      <c r="I206" s="83" t="str">
        <f t="shared" si="23"/>
        <v>0117016</v>
      </c>
      <c r="J206" s="2" t="s">
        <v>1885</v>
      </c>
      <c r="K206" s="120" t="str">
        <f>IFERROR(VLOOKUP(H206,'Bridge matrix'!$A$3:$E$731,3,FALSE),"no")</f>
        <v>Choclo tierno en mazorca</v>
      </c>
      <c r="L206" s="120" t="str">
        <f t="shared" si="21"/>
        <v>Choclo tierno en mazorca</v>
      </c>
      <c r="M206" s="120" t="str">
        <f t="shared" si="22"/>
        <v>Choclo tierno en mazorca</v>
      </c>
      <c r="N206" s="120" t="str">
        <f t="shared" si="24"/>
        <v>Choclo tierno en mazorca</v>
      </c>
      <c r="O206" s="2" t="e">
        <f>VLOOKUP(N206,'Bridge matrix'!$D$3:$E$731,2,FALSE)</f>
        <v>#N/A</v>
      </c>
      <c r="Q206" s="18"/>
      <c r="R206" s="80"/>
      <c r="S206" s="80"/>
      <c r="T206" s="80"/>
    </row>
    <row r="207" spans="1:20" x14ac:dyDescent="0.25">
      <c r="A207" s="2" t="s">
        <v>593</v>
      </c>
      <c r="B207" s="2" t="s">
        <v>595</v>
      </c>
      <c r="C207" s="2" t="s">
        <v>598</v>
      </c>
      <c r="D207" s="2" t="s">
        <v>670</v>
      </c>
      <c r="F207" s="2" t="s">
        <v>1286</v>
      </c>
      <c r="G207" s="2" t="str">
        <f t="shared" si="20"/>
        <v>01.1.7.017</v>
      </c>
      <c r="H207" s="83" t="s">
        <v>1927</v>
      </c>
      <c r="I207" s="83" t="str">
        <f t="shared" si="23"/>
        <v>0117017</v>
      </c>
      <c r="J207" s="2" t="s">
        <v>1886</v>
      </c>
      <c r="K207" s="120" t="str">
        <f>IFERROR(VLOOKUP(H207,'Bridge matrix'!$A$3:$E$731,3,FALSE),"no")</f>
        <v>Col bruselas</v>
      </c>
      <c r="L207" s="120" t="str">
        <f t="shared" si="21"/>
        <v>Col bruselas</v>
      </c>
      <c r="M207" s="120" t="str">
        <f t="shared" si="22"/>
        <v>Col bruselas</v>
      </c>
      <c r="N207" s="120" t="str">
        <f t="shared" si="24"/>
        <v>Col bruselas</v>
      </c>
      <c r="O207" s="2" t="e">
        <f>VLOOKUP(N207,'Bridge matrix'!$D$3:$E$731,2,FALSE)</f>
        <v>#N/A</v>
      </c>
      <c r="Q207" s="18"/>
      <c r="R207" s="80"/>
      <c r="S207" s="80"/>
      <c r="T207" s="80"/>
    </row>
    <row r="208" spans="1:20" x14ac:dyDescent="0.25">
      <c r="A208" s="2" t="s">
        <v>593</v>
      </c>
      <c r="B208" s="2" t="s">
        <v>595</v>
      </c>
      <c r="C208" s="2" t="s">
        <v>598</v>
      </c>
      <c r="D208" s="2" t="s">
        <v>670</v>
      </c>
      <c r="F208" s="2" t="s">
        <v>1287</v>
      </c>
      <c r="G208" s="2" t="str">
        <f t="shared" si="20"/>
        <v>01.1.7.018</v>
      </c>
      <c r="H208" s="83" t="s">
        <v>1928</v>
      </c>
      <c r="I208" s="83" t="str">
        <f t="shared" si="23"/>
        <v>0117018</v>
      </c>
      <c r="J208" s="2" t="s">
        <v>1887</v>
      </c>
      <c r="K208" s="120" t="str">
        <f>IFERROR(VLOOKUP(H208,'Bridge matrix'!$A$3:$E$731,3,FALSE),"no")</f>
        <v>Col de seda o col verde</v>
      </c>
      <c r="L208" s="120" t="str">
        <f t="shared" si="21"/>
        <v>Col de seda o col verde</v>
      </c>
      <c r="M208" s="120" t="str">
        <f t="shared" si="22"/>
        <v>Col de seda o col verde</v>
      </c>
      <c r="N208" s="120" t="str">
        <f t="shared" si="24"/>
        <v>Col de seda o col verde</v>
      </c>
      <c r="O208" s="2" t="e">
        <f>VLOOKUP(N208,'Bridge matrix'!$D$3:$E$731,2,FALSE)</f>
        <v>#N/A</v>
      </c>
      <c r="Q208" s="18"/>
      <c r="R208" s="80"/>
      <c r="S208" s="80"/>
      <c r="T208" s="80"/>
    </row>
    <row r="209" spans="1:20" x14ac:dyDescent="0.25">
      <c r="A209" s="2" t="s">
        <v>593</v>
      </c>
      <c r="B209" s="2" t="s">
        <v>595</v>
      </c>
      <c r="C209" s="2" t="s">
        <v>598</v>
      </c>
      <c r="D209" s="2" t="s">
        <v>670</v>
      </c>
      <c r="F209" s="2" t="s">
        <v>1288</v>
      </c>
      <c r="G209" s="2" t="str">
        <f t="shared" si="20"/>
        <v>01.1.7.019</v>
      </c>
      <c r="H209" s="83" t="s">
        <v>1929</v>
      </c>
      <c r="I209" s="83" t="str">
        <f t="shared" si="23"/>
        <v>0117019</v>
      </c>
      <c r="J209" s="2" t="s">
        <v>1888</v>
      </c>
      <c r="K209" s="120" t="str">
        <f>IFERROR(VLOOKUP(H209,'Bridge matrix'!$A$3:$E$731,3,FALSE),"no")</f>
        <v>Col morada</v>
      </c>
      <c r="L209" s="120" t="str">
        <f t="shared" si="21"/>
        <v>Col morada</v>
      </c>
      <c r="M209" s="120" t="str">
        <f t="shared" si="22"/>
        <v>Col morada</v>
      </c>
      <c r="N209" s="120" t="str">
        <f t="shared" si="24"/>
        <v>Col morada</v>
      </c>
      <c r="O209" s="2" t="e">
        <f>VLOOKUP(N209,'Bridge matrix'!$D$3:$E$731,2,FALSE)</f>
        <v>#N/A</v>
      </c>
      <c r="Q209" s="18"/>
      <c r="R209" s="80"/>
      <c r="S209" s="80"/>
      <c r="T209" s="80"/>
    </row>
    <row r="210" spans="1:20" x14ac:dyDescent="0.25">
      <c r="A210" s="2" t="s">
        <v>593</v>
      </c>
      <c r="B210" s="2" t="s">
        <v>595</v>
      </c>
      <c r="C210" s="2" t="s">
        <v>598</v>
      </c>
      <c r="D210" s="2" t="s">
        <v>670</v>
      </c>
      <c r="F210" s="2" t="s">
        <v>1289</v>
      </c>
      <c r="G210" s="2" t="str">
        <f t="shared" si="20"/>
        <v>01.1.7.020</v>
      </c>
      <c r="H210" s="83" t="s">
        <v>1930</v>
      </c>
      <c r="I210" s="83" t="str">
        <f t="shared" si="23"/>
        <v>0117020</v>
      </c>
      <c r="J210" s="2" t="s">
        <v>1889</v>
      </c>
      <c r="K210" s="120" t="str">
        <f>IFERROR(VLOOKUP(H210,'Bridge matrix'!$A$3:$E$731,3,FALSE),"no")</f>
        <v>Coliflor</v>
      </c>
      <c r="L210" s="120" t="str">
        <f t="shared" si="21"/>
        <v>Coliflor</v>
      </c>
      <c r="M210" s="120" t="str">
        <f t="shared" si="22"/>
        <v>Coliflor</v>
      </c>
      <c r="N210" s="120" t="str">
        <f t="shared" si="24"/>
        <v>Coliflor</v>
      </c>
      <c r="O210" s="2" t="e">
        <f>VLOOKUP(N210,'Bridge matrix'!$D$3:$E$731,2,FALSE)</f>
        <v>#N/A</v>
      </c>
      <c r="Q210" s="18"/>
      <c r="R210" s="80"/>
      <c r="S210" s="80"/>
      <c r="T210" s="80"/>
    </row>
    <row r="211" spans="1:20" x14ac:dyDescent="0.25">
      <c r="A211" s="2" t="s">
        <v>593</v>
      </c>
      <c r="B211" s="2" t="s">
        <v>595</v>
      </c>
      <c r="C211" s="2" t="s">
        <v>598</v>
      </c>
      <c r="D211" s="2" t="s">
        <v>670</v>
      </c>
      <c r="F211" s="2" t="s">
        <v>1290</v>
      </c>
      <c r="G211" s="2" t="str">
        <f t="shared" si="20"/>
        <v>01.1.7.021</v>
      </c>
      <c r="H211" s="83" t="s">
        <v>1931</v>
      </c>
      <c r="I211" s="83" t="str">
        <f t="shared" si="23"/>
        <v>0117021</v>
      </c>
      <c r="J211" s="2" t="s">
        <v>1890</v>
      </c>
      <c r="K211" s="120" t="str">
        <f>IFERROR(VLOOKUP(H211,'Bridge matrix'!$A$3:$E$731,3,FALSE),"no")</f>
        <v>Endivia</v>
      </c>
      <c r="L211" s="120" t="str">
        <f t="shared" si="21"/>
        <v>Endivia</v>
      </c>
      <c r="M211" s="120" t="str">
        <f t="shared" si="22"/>
        <v>Endivia</v>
      </c>
      <c r="N211" s="120" t="str">
        <f t="shared" si="24"/>
        <v>Endivia</v>
      </c>
      <c r="O211" s="2" t="e">
        <f>VLOOKUP(N211,'Bridge matrix'!$D$3:$E$731,2,FALSE)</f>
        <v>#N/A</v>
      </c>
      <c r="Q211" s="18"/>
      <c r="R211" s="80"/>
      <c r="S211" s="80"/>
      <c r="T211" s="80"/>
    </row>
    <row r="212" spans="1:20" x14ac:dyDescent="0.25">
      <c r="A212" s="2" t="s">
        <v>593</v>
      </c>
      <c r="B212" s="2" t="s">
        <v>595</v>
      </c>
      <c r="C212" s="2" t="s">
        <v>598</v>
      </c>
      <c r="D212" s="2" t="s">
        <v>670</v>
      </c>
      <c r="F212" s="2" t="s">
        <v>1291</v>
      </c>
      <c r="G212" s="2" t="str">
        <f t="shared" si="20"/>
        <v>01.1.7.022</v>
      </c>
      <c r="H212" s="83" t="s">
        <v>1932</v>
      </c>
      <c r="I212" s="83" t="str">
        <f t="shared" si="23"/>
        <v>0117022</v>
      </c>
      <c r="J212" s="2" t="s">
        <v>1891</v>
      </c>
      <c r="K212" s="120" t="str">
        <f>IFERROR(VLOOKUP(H212,'Bridge matrix'!$A$3:$E$731,3,FALSE),"no")</f>
        <v>Espárragos</v>
      </c>
      <c r="L212" s="120" t="str">
        <f t="shared" si="21"/>
        <v>Espárragos</v>
      </c>
      <c r="M212" s="120" t="str">
        <f t="shared" si="22"/>
        <v>Espárragos</v>
      </c>
      <c r="N212" s="120" t="str">
        <f t="shared" si="24"/>
        <v>Espárragos</v>
      </c>
      <c r="O212" s="2" t="e">
        <f>VLOOKUP(N212,'Bridge matrix'!$D$3:$E$731,2,FALSE)</f>
        <v>#N/A</v>
      </c>
      <c r="Q212" s="18"/>
      <c r="R212" s="80"/>
      <c r="S212" s="80"/>
      <c r="T212" s="80"/>
    </row>
    <row r="213" spans="1:20" x14ac:dyDescent="0.25">
      <c r="A213" s="2" t="s">
        <v>593</v>
      </c>
      <c r="B213" s="2" t="s">
        <v>595</v>
      </c>
      <c r="C213" s="2" t="s">
        <v>598</v>
      </c>
      <c r="D213" s="2" t="s">
        <v>670</v>
      </c>
      <c r="F213" s="2" t="s">
        <v>1292</v>
      </c>
      <c r="G213" s="2" t="str">
        <f t="shared" si="20"/>
        <v>01.1.7.023</v>
      </c>
      <c r="H213" s="83" t="s">
        <v>1933</v>
      </c>
      <c r="I213" s="83" t="str">
        <f t="shared" si="23"/>
        <v>0117023</v>
      </c>
      <c r="J213" s="2" t="s">
        <v>1892</v>
      </c>
      <c r="K213" s="120" t="str">
        <f>IFERROR(VLOOKUP(H213,'Bridge matrix'!$A$3:$E$731,3,FALSE),"no")</f>
        <v>Espinaca</v>
      </c>
      <c r="L213" s="120" t="str">
        <f t="shared" si="21"/>
        <v>Espinaca</v>
      </c>
      <c r="M213" s="120" t="str">
        <f t="shared" si="22"/>
        <v>Espinaca</v>
      </c>
      <c r="N213" s="120" t="str">
        <f t="shared" si="24"/>
        <v>Espinaca</v>
      </c>
      <c r="O213" s="2" t="e">
        <f>VLOOKUP(N213,'Bridge matrix'!$D$3:$E$731,2,FALSE)</f>
        <v>#N/A</v>
      </c>
      <c r="Q213" s="18"/>
      <c r="R213" s="80"/>
      <c r="S213" s="80"/>
      <c r="T213" s="80"/>
    </row>
    <row r="214" spans="1:20" x14ac:dyDescent="0.25">
      <c r="A214" s="2" t="s">
        <v>593</v>
      </c>
      <c r="B214" s="2" t="s">
        <v>595</v>
      </c>
      <c r="C214" s="2" t="s">
        <v>598</v>
      </c>
      <c r="D214" s="2" t="s">
        <v>670</v>
      </c>
      <c r="F214" s="2" t="s">
        <v>1293</v>
      </c>
      <c r="G214" s="2" t="str">
        <f t="shared" si="20"/>
        <v>01.1.7.024</v>
      </c>
      <c r="H214" s="83" t="s">
        <v>1934</v>
      </c>
      <c r="I214" s="83" t="str">
        <f t="shared" si="23"/>
        <v>0117024</v>
      </c>
      <c r="J214" s="2" t="s">
        <v>1893</v>
      </c>
      <c r="K214" s="120" t="str">
        <f>IFERROR(VLOOKUP(H214,'Bridge matrix'!$A$3:$E$731,3,FALSE),"no")</f>
        <v>Hinojo</v>
      </c>
      <c r="L214" s="120" t="str">
        <f t="shared" si="21"/>
        <v>Hinojo</v>
      </c>
      <c r="M214" s="120" t="str">
        <f t="shared" si="22"/>
        <v>Hinojo</v>
      </c>
      <c r="N214" s="120" t="str">
        <f t="shared" si="24"/>
        <v>Hinojo</v>
      </c>
      <c r="O214" s="2" t="e">
        <f>VLOOKUP(N214,'Bridge matrix'!$D$3:$E$731,2,FALSE)</f>
        <v>#N/A</v>
      </c>
      <c r="Q214" s="18"/>
      <c r="R214" s="80"/>
      <c r="S214" s="80"/>
      <c r="T214" s="80"/>
    </row>
    <row r="215" spans="1:20" x14ac:dyDescent="0.25">
      <c r="A215" s="2" t="s">
        <v>593</v>
      </c>
      <c r="B215" s="2" t="s">
        <v>595</v>
      </c>
      <c r="C215" s="2" t="s">
        <v>598</v>
      </c>
      <c r="D215" s="2" t="s">
        <v>670</v>
      </c>
      <c r="F215" s="2" t="s">
        <v>1294</v>
      </c>
      <c r="G215" s="2" t="str">
        <f t="shared" si="20"/>
        <v>01.1.7.025</v>
      </c>
      <c r="H215" s="83" t="s">
        <v>1935</v>
      </c>
      <c r="I215" s="83" t="str">
        <f t="shared" si="23"/>
        <v>0117025</v>
      </c>
      <c r="J215" s="2" t="s">
        <v>1894</v>
      </c>
      <c r="K215" s="120" t="str">
        <f>IFERROR(VLOOKUP(H215,'Bridge matrix'!$A$3:$E$731,3,FALSE),"no")</f>
        <v>Hongos comestibles (champiñones)</v>
      </c>
      <c r="L215" s="120" t="str">
        <f t="shared" si="21"/>
        <v>Hongos comestibles (champiñones)</v>
      </c>
      <c r="M215" s="120" t="str">
        <f t="shared" si="22"/>
        <v>Hongos comestibles (champiñones)</v>
      </c>
      <c r="N215" s="120" t="str">
        <f t="shared" si="24"/>
        <v>Hongos comestibles (champiñones)</v>
      </c>
      <c r="O215" s="2" t="e">
        <f>VLOOKUP(N215,'Bridge matrix'!$D$3:$E$731,2,FALSE)</f>
        <v>#N/A</v>
      </c>
      <c r="Q215" s="18"/>
      <c r="R215" s="80"/>
      <c r="S215" s="80"/>
      <c r="T215" s="80"/>
    </row>
    <row r="216" spans="1:20" x14ac:dyDescent="0.25">
      <c r="A216" s="2" t="s">
        <v>593</v>
      </c>
      <c r="B216" s="2" t="s">
        <v>595</v>
      </c>
      <c r="C216" s="2" t="s">
        <v>598</v>
      </c>
      <c r="D216" s="2" t="s">
        <v>670</v>
      </c>
      <c r="F216" s="2" t="s">
        <v>1295</v>
      </c>
      <c r="G216" s="2" t="str">
        <f t="shared" si="20"/>
        <v>01.1.7.026</v>
      </c>
      <c r="H216" s="83" t="s">
        <v>1936</v>
      </c>
      <c r="I216" s="83" t="str">
        <f t="shared" si="23"/>
        <v>0117026</v>
      </c>
      <c r="J216" s="2" t="s">
        <v>1895</v>
      </c>
      <c r="K216" s="120" t="str">
        <f>IFERROR(VLOOKUP(H216,'Bridge matrix'!$A$3:$E$731,3,FALSE),"no")</f>
        <v>Hortalizas, verduras picadas</v>
      </c>
      <c r="L216" s="120" t="str">
        <f t="shared" si="21"/>
        <v>Hortalizas, verduras picadas</v>
      </c>
      <c r="M216" s="120" t="str">
        <f t="shared" si="22"/>
        <v>Hortalizas, verduras picadas</v>
      </c>
      <c r="N216" s="120" t="str">
        <f t="shared" si="24"/>
        <v>Hortalizas, verduras picadas</v>
      </c>
      <c r="O216" s="2" t="e">
        <f>VLOOKUP(N216,'Bridge matrix'!$D$3:$E$731,2,FALSE)</f>
        <v>#N/A</v>
      </c>
      <c r="Q216" s="18"/>
      <c r="R216" s="80"/>
      <c r="S216" s="80"/>
      <c r="T216" s="80"/>
    </row>
    <row r="217" spans="1:20" x14ac:dyDescent="0.25">
      <c r="A217" s="2" t="s">
        <v>593</v>
      </c>
      <c r="B217" s="2" t="s">
        <v>595</v>
      </c>
      <c r="C217" s="2" t="s">
        <v>598</v>
      </c>
      <c r="D217" s="2" t="s">
        <v>670</v>
      </c>
      <c r="F217" s="2" t="s">
        <v>1296</v>
      </c>
      <c r="G217" s="2" t="str">
        <f t="shared" si="20"/>
        <v>01.1.7.027</v>
      </c>
      <c r="H217" s="83" t="s">
        <v>571</v>
      </c>
      <c r="I217" s="83" t="str">
        <f t="shared" si="23"/>
        <v>0117027</v>
      </c>
      <c r="J217" s="2" t="s">
        <v>572</v>
      </c>
      <c r="K217" s="120" t="str">
        <f>IFERROR(VLOOKUP(H217,'Bridge matrix'!$A$3:$E$731,3,FALSE),"no")</f>
        <v>Lechuga corriente</v>
      </c>
      <c r="L217" s="120" t="str">
        <f t="shared" si="21"/>
        <v>Lechuga corriente</v>
      </c>
      <c r="M217" s="120" t="str">
        <f t="shared" si="22"/>
        <v>Lechuga corriente</v>
      </c>
      <c r="N217" s="120" t="str">
        <f t="shared" si="24"/>
        <v>Lechuga corriente</v>
      </c>
      <c r="O217" s="2" t="e">
        <f>VLOOKUP(N217,'Bridge matrix'!$D$3:$E$731,2,FALSE)</f>
        <v>#N/A</v>
      </c>
      <c r="Q217" s="18"/>
      <c r="R217" s="80"/>
      <c r="S217" s="80"/>
      <c r="T217" s="80"/>
    </row>
    <row r="218" spans="1:20" x14ac:dyDescent="0.25">
      <c r="A218" s="2" t="s">
        <v>593</v>
      </c>
      <c r="B218" s="2" t="s">
        <v>595</v>
      </c>
      <c r="C218" s="2" t="s">
        <v>598</v>
      </c>
      <c r="D218" s="2" t="s">
        <v>670</v>
      </c>
      <c r="F218" s="2" t="s">
        <v>1600</v>
      </c>
      <c r="G218" s="2" t="str">
        <f t="shared" si="20"/>
        <v>01.1.7.028</v>
      </c>
      <c r="H218" s="83" t="s">
        <v>573</v>
      </c>
      <c r="I218" s="83" t="str">
        <f t="shared" si="23"/>
        <v>0117028</v>
      </c>
      <c r="J218" s="2" t="s">
        <v>574</v>
      </c>
      <c r="K218" s="120" t="str">
        <f>IFERROR(VLOOKUP(H218,'Bridge matrix'!$A$3:$E$731,3,FALSE),"no")</f>
        <v>Lechuga crespa</v>
      </c>
      <c r="L218" s="120" t="str">
        <f t="shared" si="21"/>
        <v>Lechuga crespa</v>
      </c>
      <c r="M218" s="120" t="str">
        <f t="shared" si="22"/>
        <v>Lechuga crespa</v>
      </c>
      <c r="N218" s="120" t="str">
        <f t="shared" si="24"/>
        <v>Lechuga crespa</v>
      </c>
      <c r="O218" s="2" t="e">
        <f>VLOOKUP(N218,'Bridge matrix'!$D$3:$E$731,2,FALSE)</f>
        <v>#N/A</v>
      </c>
      <c r="Q218" s="18"/>
      <c r="R218" s="80"/>
      <c r="S218" s="80"/>
      <c r="T218" s="80"/>
    </row>
    <row r="219" spans="1:20" x14ac:dyDescent="0.25">
      <c r="A219" s="2" t="s">
        <v>593</v>
      </c>
      <c r="B219" s="2" t="s">
        <v>595</v>
      </c>
      <c r="C219" s="2" t="s">
        <v>598</v>
      </c>
      <c r="D219" s="2" t="s">
        <v>670</v>
      </c>
      <c r="F219" s="2" t="s">
        <v>1601</v>
      </c>
      <c r="G219" s="2" t="str">
        <f t="shared" si="20"/>
        <v>01.1.7.029</v>
      </c>
      <c r="H219" s="83" t="s">
        <v>1937</v>
      </c>
      <c r="I219" s="83" t="str">
        <f t="shared" si="23"/>
        <v>0117029</v>
      </c>
      <c r="J219" s="2" t="s">
        <v>1896</v>
      </c>
      <c r="K219" s="120" t="str">
        <f>IFERROR(VLOOKUP(H219,'Bridge matrix'!$A$3:$E$731,3,FALSE),"no")</f>
        <v>Melloco</v>
      </c>
      <c r="L219" s="120" t="str">
        <f t="shared" si="21"/>
        <v>Melloco</v>
      </c>
      <c r="M219" s="120" t="str">
        <f t="shared" si="22"/>
        <v>Melloco</v>
      </c>
      <c r="N219" s="120" t="str">
        <f t="shared" si="24"/>
        <v>Melloco</v>
      </c>
      <c r="O219" s="2" t="e">
        <f>VLOOKUP(N219,'Bridge matrix'!$D$3:$E$731,2,FALSE)</f>
        <v>#N/A</v>
      </c>
      <c r="Q219" s="18"/>
      <c r="R219" s="80"/>
      <c r="S219" s="80"/>
      <c r="T219" s="80"/>
    </row>
    <row r="220" spans="1:20" x14ac:dyDescent="0.25">
      <c r="A220" s="2" t="s">
        <v>593</v>
      </c>
      <c r="B220" s="2" t="s">
        <v>595</v>
      </c>
      <c r="C220" s="2" t="s">
        <v>598</v>
      </c>
      <c r="D220" s="2" t="s">
        <v>670</v>
      </c>
      <c r="F220" s="2" t="s">
        <v>1602</v>
      </c>
      <c r="G220" s="2" t="str">
        <f t="shared" si="20"/>
        <v>01.1.7.030</v>
      </c>
      <c r="H220" s="83" t="s">
        <v>1938</v>
      </c>
      <c r="I220" s="83" t="str">
        <f t="shared" si="23"/>
        <v>0117030</v>
      </c>
      <c r="J220" s="2" t="s">
        <v>1897</v>
      </c>
      <c r="K220" s="120" t="str">
        <f>IFERROR(VLOOKUP(H220,'Bridge matrix'!$A$3:$E$731,3,FALSE),"no")</f>
        <v>Nabo</v>
      </c>
      <c r="L220" s="120" t="str">
        <f t="shared" si="21"/>
        <v>Nabo</v>
      </c>
      <c r="M220" s="120" t="str">
        <f t="shared" si="22"/>
        <v>Nabo</v>
      </c>
      <c r="N220" s="120" t="str">
        <f t="shared" si="24"/>
        <v>Nabo</v>
      </c>
      <c r="O220" s="2" t="e">
        <f>VLOOKUP(N220,'Bridge matrix'!$D$3:$E$731,2,FALSE)</f>
        <v>#N/A</v>
      </c>
      <c r="Q220" s="18"/>
      <c r="R220" s="80"/>
      <c r="S220" s="80"/>
      <c r="T220" s="80"/>
    </row>
    <row r="221" spans="1:20" x14ac:dyDescent="0.25">
      <c r="A221" s="2" t="s">
        <v>593</v>
      </c>
      <c r="B221" s="2" t="s">
        <v>595</v>
      </c>
      <c r="C221" s="2" t="s">
        <v>598</v>
      </c>
      <c r="D221" s="2" t="s">
        <v>670</v>
      </c>
      <c r="F221" s="2" t="s">
        <v>1603</v>
      </c>
      <c r="G221" s="2" t="str">
        <f t="shared" si="20"/>
        <v>01.1.7.031</v>
      </c>
      <c r="H221" s="83" t="s">
        <v>1939</v>
      </c>
      <c r="I221" s="83" t="str">
        <f t="shared" si="23"/>
        <v>0117031</v>
      </c>
      <c r="J221" s="2" t="s">
        <v>1898</v>
      </c>
      <c r="K221" s="120" t="str">
        <f>IFERROR(VLOOKUP(H221,'Bridge matrix'!$A$3:$E$731,3,FALSE),"no")</f>
        <v>Palmito</v>
      </c>
      <c r="L221" s="120" t="str">
        <f t="shared" si="21"/>
        <v>Palmito</v>
      </c>
      <c r="M221" s="120" t="str">
        <f t="shared" si="22"/>
        <v>Palmito</v>
      </c>
      <c r="N221" s="120" t="str">
        <f t="shared" si="24"/>
        <v>Palmito</v>
      </c>
      <c r="O221" s="2" t="e">
        <f>VLOOKUP(N221,'Bridge matrix'!$D$3:$E$731,2,FALSE)</f>
        <v>#N/A</v>
      </c>
      <c r="Q221" s="18"/>
      <c r="R221" s="80"/>
      <c r="S221" s="80"/>
      <c r="T221" s="80"/>
    </row>
    <row r="222" spans="1:20" x14ac:dyDescent="0.25">
      <c r="A222" s="2" t="s">
        <v>593</v>
      </c>
      <c r="B222" s="2" t="s">
        <v>595</v>
      </c>
      <c r="C222" s="2" t="s">
        <v>598</v>
      </c>
      <c r="D222" s="2" t="s">
        <v>670</v>
      </c>
      <c r="F222" s="2" t="s">
        <v>1604</v>
      </c>
      <c r="G222" s="2" t="str">
        <f t="shared" si="20"/>
        <v>01.1.7.032</v>
      </c>
      <c r="H222" s="83" t="s">
        <v>1940</v>
      </c>
      <c r="I222" s="83" t="str">
        <f t="shared" si="23"/>
        <v>0117032</v>
      </c>
      <c r="J222" s="2" t="s">
        <v>1899</v>
      </c>
      <c r="K222" s="120" t="str">
        <f>IFERROR(VLOOKUP(H222,'Bridge matrix'!$A$3:$E$731,3,FALSE),"no")</f>
        <v>Papanabo</v>
      </c>
      <c r="L222" s="120" t="str">
        <f t="shared" si="21"/>
        <v>Papanabo</v>
      </c>
      <c r="M222" s="120" t="str">
        <f t="shared" si="22"/>
        <v>Papanabo</v>
      </c>
      <c r="N222" s="120" t="str">
        <f t="shared" si="24"/>
        <v>Papanabo</v>
      </c>
      <c r="O222" s="2" t="e">
        <f>VLOOKUP(N222,'Bridge matrix'!$D$3:$E$731,2,FALSE)</f>
        <v>#N/A</v>
      </c>
      <c r="Q222" s="18"/>
      <c r="R222" s="80"/>
      <c r="S222" s="80"/>
      <c r="T222" s="80"/>
    </row>
    <row r="223" spans="1:20" x14ac:dyDescent="0.25">
      <c r="A223" s="2" t="s">
        <v>593</v>
      </c>
      <c r="B223" s="2" t="s">
        <v>595</v>
      </c>
      <c r="C223" s="2" t="s">
        <v>598</v>
      </c>
      <c r="D223" s="2" t="s">
        <v>670</v>
      </c>
      <c r="F223" s="2" t="s">
        <v>1605</v>
      </c>
      <c r="G223" s="2" t="str">
        <f t="shared" si="20"/>
        <v>01.1.7.033</v>
      </c>
      <c r="H223" s="83" t="s">
        <v>1941</v>
      </c>
      <c r="I223" s="83" t="str">
        <f t="shared" si="23"/>
        <v>0117033</v>
      </c>
      <c r="J223" s="2" t="s">
        <v>1900</v>
      </c>
      <c r="K223" s="120" t="str">
        <f>IFERROR(VLOOKUP(H223,'Bridge matrix'!$A$3:$E$731,3,FALSE),"no")</f>
        <v>Pepinillo (pepino de sal en la costa)</v>
      </c>
      <c r="L223" s="120" t="str">
        <f t="shared" si="21"/>
        <v>Pepinillo (pepino de sal en la costa)</v>
      </c>
      <c r="M223" s="120" t="str">
        <f t="shared" si="22"/>
        <v>Pepinillo (pepino de sal en la costa)</v>
      </c>
      <c r="N223" s="120" t="str">
        <f t="shared" si="24"/>
        <v>Pepinillo (pepino de sal en la costa)</v>
      </c>
      <c r="O223" s="2" t="e">
        <f>VLOOKUP(N223,'Bridge matrix'!$D$3:$E$731,2,FALSE)</f>
        <v>#N/A</v>
      </c>
      <c r="Q223" s="18"/>
      <c r="R223" s="80"/>
      <c r="S223" s="80"/>
      <c r="T223" s="80"/>
    </row>
    <row r="224" spans="1:20" x14ac:dyDescent="0.25">
      <c r="A224" s="2" t="s">
        <v>593</v>
      </c>
      <c r="B224" s="2" t="s">
        <v>595</v>
      </c>
      <c r="C224" s="2" t="s">
        <v>598</v>
      </c>
      <c r="D224" s="2" t="s">
        <v>670</v>
      </c>
      <c r="F224" s="2" t="s">
        <v>1606</v>
      </c>
      <c r="G224" s="2" t="str">
        <f t="shared" si="20"/>
        <v>01.1.7.034</v>
      </c>
      <c r="H224" s="83" t="s">
        <v>1942</v>
      </c>
      <c r="I224" s="83" t="str">
        <f t="shared" si="23"/>
        <v>0117034</v>
      </c>
      <c r="J224" s="2" t="s">
        <v>1350</v>
      </c>
      <c r="K224" s="120" t="str">
        <f>IFERROR(VLOOKUP(H224,'Bridge matrix'!$A$3:$E$731,3,FALSE),"no")</f>
        <v>Pimiento</v>
      </c>
      <c r="L224" s="120" t="str">
        <f t="shared" si="21"/>
        <v>Pimiento</v>
      </c>
      <c r="M224" s="120" t="str">
        <f t="shared" si="22"/>
        <v>Pimiento</v>
      </c>
      <c r="N224" s="120" t="str">
        <f t="shared" si="24"/>
        <v>Pimiento</v>
      </c>
      <c r="O224" s="2" t="e">
        <f>VLOOKUP(N224,'Bridge matrix'!$D$3:$E$731,2,FALSE)</f>
        <v>#N/A</v>
      </c>
      <c r="Q224" s="18"/>
      <c r="R224" s="80"/>
      <c r="S224" s="80"/>
      <c r="T224" s="80"/>
    </row>
    <row r="225" spans="1:20" x14ac:dyDescent="0.25">
      <c r="A225" s="2" t="s">
        <v>593</v>
      </c>
      <c r="B225" s="2" t="s">
        <v>595</v>
      </c>
      <c r="C225" s="2" t="s">
        <v>598</v>
      </c>
      <c r="D225" s="2" t="s">
        <v>670</v>
      </c>
      <c r="F225" s="2" t="s">
        <v>1607</v>
      </c>
      <c r="G225" s="2" t="str">
        <f t="shared" si="20"/>
        <v>01.1.7.035</v>
      </c>
      <c r="H225" s="83" t="s">
        <v>1943</v>
      </c>
      <c r="I225" s="83" t="str">
        <f t="shared" si="23"/>
        <v>0117035</v>
      </c>
      <c r="J225" s="2" t="s">
        <v>1901</v>
      </c>
      <c r="K225" s="120" t="str">
        <f>IFERROR(VLOOKUP(H225,'Bridge matrix'!$A$3:$E$731,3,FALSE),"no")</f>
        <v>Puerro</v>
      </c>
      <c r="L225" s="120" t="str">
        <f t="shared" si="21"/>
        <v>Puerro</v>
      </c>
      <c r="M225" s="120" t="str">
        <f t="shared" si="22"/>
        <v>Puerro</v>
      </c>
      <c r="N225" s="120" t="str">
        <f t="shared" si="24"/>
        <v>Puerro</v>
      </c>
      <c r="O225" s="2" t="e">
        <f>VLOOKUP(N225,'Bridge matrix'!$D$3:$E$731,2,FALSE)</f>
        <v>#N/A</v>
      </c>
      <c r="Q225" s="18"/>
      <c r="R225" s="80"/>
      <c r="S225" s="80"/>
      <c r="T225" s="80"/>
    </row>
    <row r="226" spans="1:20" x14ac:dyDescent="0.25">
      <c r="A226" s="2" t="s">
        <v>593</v>
      </c>
      <c r="B226" s="2" t="s">
        <v>595</v>
      </c>
      <c r="C226" s="2" t="s">
        <v>598</v>
      </c>
      <c r="D226" s="2" t="s">
        <v>670</v>
      </c>
      <c r="F226" s="2" t="s">
        <v>1608</v>
      </c>
      <c r="G226" s="2" t="str">
        <f t="shared" si="20"/>
        <v>01.1.7.036</v>
      </c>
      <c r="H226" s="83" t="s">
        <v>1944</v>
      </c>
      <c r="I226" s="83" t="str">
        <f t="shared" si="23"/>
        <v>0117036</v>
      </c>
      <c r="J226" s="2" t="s">
        <v>1902</v>
      </c>
      <c r="K226" s="120" t="str">
        <f>IFERROR(VLOOKUP(H226,'Bridge matrix'!$A$3:$E$731,3,FALSE),"no")</f>
        <v>Rábano</v>
      </c>
      <c r="L226" s="120" t="str">
        <f t="shared" si="21"/>
        <v>Rábano</v>
      </c>
      <c r="M226" s="120" t="str">
        <f t="shared" si="22"/>
        <v>Rábano</v>
      </c>
      <c r="N226" s="120" t="str">
        <f t="shared" si="24"/>
        <v>Rábano</v>
      </c>
      <c r="O226" s="2" t="e">
        <f>VLOOKUP(N226,'Bridge matrix'!$D$3:$E$731,2,FALSE)</f>
        <v>#N/A</v>
      </c>
      <c r="Q226" s="18"/>
      <c r="R226" s="80"/>
      <c r="S226" s="80"/>
      <c r="T226" s="80"/>
    </row>
    <row r="227" spans="1:20" x14ac:dyDescent="0.25">
      <c r="A227" s="2" t="s">
        <v>593</v>
      </c>
      <c r="B227" s="2" t="s">
        <v>595</v>
      </c>
      <c r="C227" s="2" t="s">
        <v>598</v>
      </c>
      <c r="D227" s="2" t="s">
        <v>670</v>
      </c>
      <c r="F227" s="2" t="s">
        <v>1609</v>
      </c>
      <c r="G227" s="2" t="str">
        <f t="shared" si="20"/>
        <v>01.1.7.037</v>
      </c>
      <c r="H227" s="83" t="s">
        <v>1945</v>
      </c>
      <c r="I227" s="83" t="str">
        <f t="shared" si="23"/>
        <v>0117037</v>
      </c>
      <c r="J227" s="2" t="s">
        <v>1903</v>
      </c>
      <c r="K227" s="120" t="str">
        <f>IFERROR(VLOOKUP(H227,'Bridge matrix'!$A$3:$E$731,3,FALSE),"no")</f>
        <v>Remolacha (veteraba)</v>
      </c>
      <c r="L227" s="120" t="str">
        <f t="shared" si="21"/>
        <v>Remolacha (veteraba)</v>
      </c>
      <c r="M227" s="120" t="str">
        <f t="shared" si="22"/>
        <v>Remolacha (veteraba)</v>
      </c>
      <c r="N227" s="120" t="str">
        <f t="shared" si="24"/>
        <v>Remolacha (veteraba)</v>
      </c>
      <c r="O227" s="2" t="e">
        <f>VLOOKUP(N227,'Bridge matrix'!$D$3:$E$731,2,FALSE)</f>
        <v>#N/A</v>
      </c>
      <c r="Q227" s="18"/>
      <c r="R227" s="80"/>
      <c r="S227" s="80"/>
      <c r="T227" s="80"/>
    </row>
    <row r="228" spans="1:20" x14ac:dyDescent="0.25">
      <c r="A228" s="2" t="s">
        <v>593</v>
      </c>
      <c r="B228" s="2" t="s">
        <v>595</v>
      </c>
      <c r="C228" s="2" t="s">
        <v>598</v>
      </c>
      <c r="D228" s="2" t="s">
        <v>670</v>
      </c>
      <c r="F228" s="2" t="s">
        <v>1610</v>
      </c>
      <c r="G228" s="2" t="str">
        <f t="shared" si="20"/>
        <v>01.1.7.038</v>
      </c>
      <c r="H228" s="83" t="s">
        <v>575</v>
      </c>
      <c r="I228" s="83" t="str">
        <f t="shared" si="23"/>
        <v>0117038</v>
      </c>
      <c r="J228" s="2" t="s">
        <v>576</v>
      </c>
      <c r="K228" s="120" t="str">
        <f>IFERROR(VLOOKUP(H228,'Bridge matrix'!$A$3:$E$731,3,FALSE),"no")</f>
        <v>Tomate riñón</v>
      </c>
      <c r="L228" s="120" t="str">
        <f t="shared" si="21"/>
        <v>Tomate riñón</v>
      </c>
      <c r="M228" s="120" t="str">
        <f t="shared" si="22"/>
        <v>Tomate riñón</v>
      </c>
      <c r="N228" s="120" t="str">
        <f t="shared" si="24"/>
        <v>Tomate riñón</v>
      </c>
      <c r="O228" s="2" t="e">
        <f>VLOOKUP(N228,'Bridge matrix'!$D$3:$E$731,2,FALSE)</f>
        <v>#N/A</v>
      </c>
      <c r="Q228" s="18"/>
      <c r="R228" s="80"/>
      <c r="S228" s="80"/>
      <c r="T228" s="80"/>
    </row>
    <row r="229" spans="1:20" x14ac:dyDescent="0.25">
      <c r="A229" s="2" t="s">
        <v>593</v>
      </c>
      <c r="B229" s="2" t="s">
        <v>595</v>
      </c>
      <c r="C229" s="2" t="s">
        <v>598</v>
      </c>
      <c r="D229" s="2" t="s">
        <v>670</v>
      </c>
      <c r="F229" s="2" t="s">
        <v>1611</v>
      </c>
      <c r="G229" s="2" t="str">
        <f t="shared" si="20"/>
        <v>01.1.7.039</v>
      </c>
      <c r="H229" s="83" t="s">
        <v>1946</v>
      </c>
      <c r="I229" s="83" t="str">
        <f t="shared" si="23"/>
        <v>0117039</v>
      </c>
      <c r="J229" s="2" t="s">
        <v>1904</v>
      </c>
      <c r="K229" s="120" t="str">
        <f>IFERROR(VLOOKUP(H229,'Bridge matrix'!$A$3:$E$731,3,FALSE),"no")</f>
        <v>Vainitas (llamada verdura en la costa)</v>
      </c>
      <c r="L229" s="120" t="str">
        <f t="shared" si="21"/>
        <v>Vainitas (llamada verdura en la costa)</v>
      </c>
      <c r="M229" s="120" t="str">
        <f t="shared" si="22"/>
        <v>Vainitas (llamada verdura en la costa)</v>
      </c>
      <c r="N229" s="120" t="str">
        <f t="shared" si="24"/>
        <v>Vainitas (llamada verdura en la costa)</v>
      </c>
      <c r="O229" s="2" t="e">
        <f>VLOOKUP(N229,'Bridge matrix'!$D$3:$E$731,2,FALSE)</f>
        <v>#N/A</v>
      </c>
      <c r="Q229" s="18"/>
      <c r="R229" s="80"/>
      <c r="S229" s="80"/>
      <c r="T229" s="80"/>
    </row>
    <row r="230" spans="1:20" x14ac:dyDescent="0.25">
      <c r="A230" s="2" t="s">
        <v>593</v>
      </c>
      <c r="B230" s="2" t="s">
        <v>595</v>
      </c>
      <c r="C230" s="2" t="s">
        <v>598</v>
      </c>
      <c r="D230" s="2" t="s">
        <v>670</v>
      </c>
      <c r="F230" s="2" t="s">
        <v>1612</v>
      </c>
      <c r="G230" s="2" t="str">
        <f t="shared" si="20"/>
        <v>01.1.7.040</v>
      </c>
      <c r="H230" s="83" t="s">
        <v>1947</v>
      </c>
      <c r="I230" s="83" t="str">
        <f t="shared" si="23"/>
        <v>0117040</v>
      </c>
      <c r="J230" s="2" t="s">
        <v>1905</v>
      </c>
      <c r="K230" s="120" t="str">
        <f>IFERROR(VLOOKUP(H230,'Bridge matrix'!$A$3:$E$731,3,FALSE),"no")</f>
        <v>Zambo</v>
      </c>
      <c r="L230" s="120" t="str">
        <f t="shared" si="21"/>
        <v>Zambo</v>
      </c>
      <c r="M230" s="120" t="str">
        <f t="shared" si="22"/>
        <v>Zambo</v>
      </c>
      <c r="N230" s="120" t="str">
        <f t="shared" si="24"/>
        <v>Zambo</v>
      </c>
      <c r="O230" s="2" t="e">
        <f>VLOOKUP(N230,'Bridge matrix'!$D$3:$E$731,2,FALSE)</f>
        <v>#N/A</v>
      </c>
      <c r="Q230" s="18"/>
      <c r="R230" s="80"/>
      <c r="S230" s="80"/>
      <c r="T230" s="80"/>
    </row>
    <row r="231" spans="1:20" x14ac:dyDescent="0.25">
      <c r="A231" s="2" t="s">
        <v>593</v>
      </c>
      <c r="B231" s="2" t="s">
        <v>595</v>
      </c>
      <c r="C231" s="2" t="s">
        <v>598</v>
      </c>
      <c r="D231" s="2" t="s">
        <v>670</v>
      </c>
      <c r="F231" s="2" t="s">
        <v>1613</v>
      </c>
      <c r="G231" s="2" t="str">
        <f t="shared" si="20"/>
        <v>01.1.7.041</v>
      </c>
      <c r="H231" s="83" t="s">
        <v>1948</v>
      </c>
      <c r="I231" s="83" t="str">
        <f t="shared" si="23"/>
        <v>0117041</v>
      </c>
      <c r="J231" s="2" t="s">
        <v>1906</v>
      </c>
      <c r="K231" s="120" t="str">
        <f>IFERROR(VLOOKUP(H231,'Bridge matrix'!$A$3:$E$731,3,FALSE),"no")</f>
        <v>Zanahoria amarilla</v>
      </c>
      <c r="L231" s="120" t="str">
        <f t="shared" si="21"/>
        <v>Zanahoria amarilla</v>
      </c>
      <c r="M231" s="120" t="str">
        <f t="shared" si="22"/>
        <v>Zanahoria amarilla</v>
      </c>
      <c r="N231" s="120" t="str">
        <f t="shared" si="24"/>
        <v>Zanahoria amarilla</v>
      </c>
      <c r="O231" s="2" t="e">
        <f>VLOOKUP(N231,'Bridge matrix'!$D$3:$E$731,2,FALSE)</f>
        <v>#N/A</v>
      </c>
      <c r="Q231" s="18"/>
      <c r="R231" s="80"/>
      <c r="S231" s="80"/>
      <c r="T231" s="80"/>
    </row>
    <row r="232" spans="1:20" x14ac:dyDescent="0.25">
      <c r="A232" s="2" t="s">
        <v>593</v>
      </c>
      <c r="B232" s="2" t="s">
        <v>595</v>
      </c>
      <c r="C232" s="2" t="s">
        <v>598</v>
      </c>
      <c r="D232" s="2" t="s">
        <v>670</v>
      </c>
      <c r="F232" s="2" t="s">
        <v>1614</v>
      </c>
      <c r="G232" s="2" t="str">
        <f t="shared" si="20"/>
        <v>01.1.7.042</v>
      </c>
      <c r="H232" s="83" t="s">
        <v>1949</v>
      </c>
      <c r="I232" s="83" t="str">
        <f t="shared" si="23"/>
        <v>0117042</v>
      </c>
      <c r="J232" s="2" t="s">
        <v>1907</v>
      </c>
      <c r="K232" s="120" t="str">
        <f>IFERROR(VLOOKUP(H232,'Bridge matrix'!$A$3:$E$731,3,FALSE),"no")</f>
        <v>Zanahoria blanca</v>
      </c>
      <c r="L232" s="120" t="str">
        <f t="shared" si="21"/>
        <v>Zanahoria blanca</v>
      </c>
      <c r="M232" s="120" t="str">
        <f t="shared" si="22"/>
        <v>Zanahoria blanca</v>
      </c>
      <c r="N232" s="120" t="str">
        <f t="shared" si="24"/>
        <v>Zanahoria blanca</v>
      </c>
      <c r="O232" s="2" t="e">
        <f>VLOOKUP(N232,'Bridge matrix'!$D$3:$E$731,2,FALSE)</f>
        <v>#N/A</v>
      </c>
      <c r="Q232" s="18"/>
      <c r="R232" s="80"/>
      <c r="S232" s="80"/>
      <c r="T232" s="80"/>
    </row>
    <row r="233" spans="1:20" x14ac:dyDescent="0.25">
      <c r="A233" s="2" t="s">
        <v>593</v>
      </c>
      <c r="B233" s="2" t="s">
        <v>595</v>
      </c>
      <c r="C233" s="2" t="s">
        <v>598</v>
      </c>
      <c r="D233" s="2" t="s">
        <v>670</v>
      </c>
      <c r="F233" s="2" t="s">
        <v>1615</v>
      </c>
      <c r="G233" s="2" t="str">
        <f t="shared" si="20"/>
        <v>01.1.7.043</v>
      </c>
      <c r="H233" s="83" t="s">
        <v>1950</v>
      </c>
      <c r="I233" s="83" t="str">
        <f t="shared" si="23"/>
        <v>0117043</v>
      </c>
      <c r="J233" s="2" t="s">
        <v>1908</v>
      </c>
      <c r="K233" s="120" t="str">
        <f>IFERROR(VLOOKUP(H233,'Bridge matrix'!$A$3:$E$731,3,FALSE),"no")</f>
        <v>Zapallo (calabaza)</v>
      </c>
      <c r="L233" s="120" t="str">
        <f t="shared" si="21"/>
        <v>Zapallo (calabaza)</v>
      </c>
      <c r="M233" s="120" t="str">
        <f t="shared" si="22"/>
        <v>Zapallo (calabaza)</v>
      </c>
      <c r="N233" s="120" t="str">
        <f t="shared" si="24"/>
        <v>Zapallo (calabaza)</v>
      </c>
      <c r="O233" s="2" t="e">
        <f>VLOOKUP(N233,'Bridge matrix'!$D$3:$E$731,2,FALSE)</f>
        <v>#N/A</v>
      </c>
      <c r="Q233" s="18"/>
      <c r="R233" s="80"/>
      <c r="S233" s="80"/>
      <c r="T233" s="80"/>
    </row>
    <row r="234" spans="1:20" x14ac:dyDescent="0.25">
      <c r="A234" s="2" t="s">
        <v>593</v>
      </c>
      <c r="B234" s="2" t="s">
        <v>595</v>
      </c>
      <c r="C234" s="2" t="s">
        <v>598</v>
      </c>
      <c r="D234" s="2" t="s">
        <v>670</v>
      </c>
      <c r="F234" s="2" t="s">
        <v>1616</v>
      </c>
      <c r="G234" s="2" t="str">
        <f t="shared" si="20"/>
        <v>01.1.7.044</v>
      </c>
      <c r="H234" s="83" t="s">
        <v>1951</v>
      </c>
      <c r="I234" s="83" t="str">
        <f t="shared" si="23"/>
        <v>0117044</v>
      </c>
      <c r="J234" s="2" t="s">
        <v>1909</v>
      </c>
      <c r="K234" s="120" t="str">
        <f>IFERROR(VLOOKUP(H234,'Bridge matrix'!$A$3:$E$731,3,FALSE),"no")</f>
        <v>Zuquini</v>
      </c>
      <c r="L234" s="120" t="str">
        <f t="shared" si="21"/>
        <v>Zuquini</v>
      </c>
      <c r="M234" s="120" t="str">
        <f t="shared" si="22"/>
        <v>Zuquini</v>
      </c>
      <c r="N234" s="120" t="str">
        <f t="shared" si="24"/>
        <v>Zuquini</v>
      </c>
      <c r="O234" s="2" t="e">
        <f>VLOOKUP(N234,'Bridge matrix'!$D$3:$E$731,2,FALSE)</f>
        <v>#N/A</v>
      </c>
      <c r="Q234" s="18"/>
      <c r="R234" s="80"/>
      <c r="S234" s="80"/>
      <c r="T234" s="80"/>
    </row>
    <row r="235" spans="1:20" x14ac:dyDescent="0.25">
      <c r="A235" s="2" t="s">
        <v>593</v>
      </c>
      <c r="B235" s="2" t="s">
        <v>595</v>
      </c>
      <c r="C235" s="2" t="s">
        <v>598</v>
      </c>
      <c r="D235" s="2" t="s">
        <v>670</v>
      </c>
      <c r="F235" s="2" t="s">
        <v>1617</v>
      </c>
      <c r="G235" s="2" t="str">
        <f t="shared" si="20"/>
        <v>01.1.7.045</v>
      </c>
      <c r="H235" s="83" t="s">
        <v>1952</v>
      </c>
      <c r="I235" s="83" t="str">
        <f t="shared" si="23"/>
        <v>0117045</v>
      </c>
      <c r="J235" s="2" t="s">
        <v>1910</v>
      </c>
      <c r="K235" s="120" t="str">
        <f>IFERROR(VLOOKUP(H235,'Bridge matrix'!$A$3:$E$731,3,FALSE),"no")</f>
        <v>Cebollín</v>
      </c>
      <c r="L235" s="120" t="str">
        <f t="shared" si="21"/>
        <v>Cebollín</v>
      </c>
      <c r="M235" s="120" t="str">
        <f t="shared" si="22"/>
        <v>Cebollín</v>
      </c>
      <c r="N235" s="120" t="str">
        <f t="shared" si="24"/>
        <v>Cebollín</v>
      </c>
      <c r="O235" s="2" t="e">
        <f>VLOOKUP(N235,'Bridge matrix'!$D$3:$E$731,2,FALSE)</f>
        <v>#N/A</v>
      </c>
      <c r="Q235" s="18"/>
      <c r="R235" s="80"/>
      <c r="S235" s="80"/>
      <c r="T235" s="80"/>
    </row>
    <row r="236" spans="1:20" x14ac:dyDescent="0.25">
      <c r="A236" s="2" t="s">
        <v>593</v>
      </c>
      <c r="B236" s="2" t="s">
        <v>595</v>
      </c>
      <c r="C236" s="2" t="s">
        <v>598</v>
      </c>
      <c r="D236" s="2" t="s">
        <v>670</v>
      </c>
      <c r="F236" s="2" t="s">
        <v>1247</v>
      </c>
      <c r="G236" s="2" t="str">
        <f t="shared" si="20"/>
        <v>01.1.7.099</v>
      </c>
      <c r="H236" s="83" t="s">
        <v>1953</v>
      </c>
      <c r="I236" s="83" t="str">
        <f t="shared" si="23"/>
        <v>0117099</v>
      </c>
      <c r="J236" s="2" t="s">
        <v>1911</v>
      </c>
      <c r="K236" s="120" t="str">
        <f>IFERROR(VLOOKUP(H236,'Bridge matrix'!$A$3:$E$731,3,FALSE),"no")</f>
        <v>Otras hortalizas verduras frescas</v>
      </c>
      <c r="L236" s="120" t="str">
        <f t="shared" si="21"/>
        <v>Otras hortalizas verduras frescas</v>
      </c>
      <c r="M236" s="120" t="str">
        <f t="shared" si="22"/>
        <v>Otras hortalizas verduras frescas</v>
      </c>
      <c r="N236" s="120" t="str">
        <f t="shared" si="24"/>
        <v>Otras hortalizas verduras frescas</v>
      </c>
      <c r="O236" s="2" t="e">
        <f>VLOOKUP(N236,'Bridge matrix'!$D$3:$E$731,2,FALSE)</f>
        <v>#N/A</v>
      </c>
      <c r="Q236" s="18"/>
      <c r="R236" s="80"/>
      <c r="S236" s="80"/>
      <c r="T236" s="80"/>
    </row>
    <row r="237" spans="1:20" x14ac:dyDescent="0.25">
      <c r="A237" s="2" t="s">
        <v>592</v>
      </c>
      <c r="B237" s="2" t="s">
        <v>595</v>
      </c>
      <c r="C237" s="2" t="s">
        <v>598</v>
      </c>
      <c r="D237" s="2" t="s">
        <v>670</v>
      </c>
      <c r="E237" s="2" t="s">
        <v>605</v>
      </c>
      <c r="G237" s="2" t="str">
        <f>B237&amp;IF(C237="","","."&amp;C237)&amp;IF(D237="","","."&amp;D237)&amp;IF(E237="","","."&amp;E237)&amp;IF(F237="","","."&amp;F237)</f>
        <v>01.1.7.100</v>
      </c>
      <c r="H237" s="83" t="s">
        <v>675</v>
      </c>
      <c r="I237" s="83" t="str">
        <f t="shared" si="23"/>
        <v>0117100</v>
      </c>
      <c r="J237" s="2" t="s">
        <v>676</v>
      </c>
      <c r="K237" s="120" t="str">
        <f>IFERROR(VLOOKUP(H237,'Bridge matrix'!$A$3:$E$731,3,FALSE),"no")</f>
        <v>Leguminosas frescas, refrigeradas y congeladas</v>
      </c>
      <c r="L237" s="120" t="str">
        <f t="shared" si="21"/>
        <v>Leguminosas frescas, refrigeradas y congeladas</v>
      </c>
      <c r="M237" s="120" t="str">
        <f t="shared" si="22"/>
        <v>Leguminosas frescas, refrigeradas y congeladas</v>
      </c>
      <c r="N237" s="120" t="str">
        <f t="shared" si="24"/>
        <v>Leguminosas frescas, refrigeradas y congeladas</v>
      </c>
      <c r="O237" s="2" t="e">
        <f>VLOOKUP(N237,'Bridge matrix'!$D$3:$E$731,2,FALSE)</f>
        <v>#N/A</v>
      </c>
      <c r="Q237" s="18"/>
      <c r="R237" s="80"/>
      <c r="S237" s="80"/>
      <c r="T237" s="80"/>
    </row>
    <row r="238" spans="1:20" x14ac:dyDescent="0.25">
      <c r="A238" s="2" t="s">
        <v>593</v>
      </c>
      <c r="B238" s="2" t="s">
        <v>595</v>
      </c>
      <c r="C238" s="2" t="s">
        <v>598</v>
      </c>
      <c r="D238" s="2" t="s">
        <v>670</v>
      </c>
      <c r="F238" s="2" t="s">
        <v>1563</v>
      </c>
      <c r="G238" s="2" t="str">
        <f t="shared" ref="G238:G245" si="25">B238&amp;IF(C238="","","."&amp;C238)&amp;IF(D238="","","."&amp;D238)&amp;IF(E238="","","."&amp;E238)&amp;IF(F238="","","."&amp;F238)</f>
        <v>01.1.7.101</v>
      </c>
      <c r="H238" s="83" t="s">
        <v>581</v>
      </c>
      <c r="I238" s="83" t="str">
        <f t="shared" si="23"/>
        <v>0117101</v>
      </c>
      <c r="J238" s="2" t="s">
        <v>582</v>
      </c>
      <c r="K238" s="120" t="str">
        <f>IFERROR(VLOOKUP(H238,'Bridge matrix'!$A$3:$E$731,3,FALSE),"no")</f>
        <v>Arveja tierna (pelada o en vaina)</v>
      </c>
      <c r="L238" s="120" t="str">
        <f t="shared" si="21"/>
        <v>Arveja tierna (pelada o en vaina)</v>
      </c>
      <c r="M238" s="120" t="str">
        <f t="shared" si="22"/>
        <v>Arveja tierna (pelada o en vaina)</v>
      </c>
      <c r="N238" s="120" t="str">
        <f t="shared" si="24"/>
        <v>Arveja tierna (pelada o en vaina)</v>
      </c>
      <c r="O238" s="2" t="e">
        <f>VLOOKUP(N238,'Bridge matrix'!$D$3:$E$731,2,FALSE)</f>
        <v>#N/A</v>
      </c>
      <c r="Q238" s="18"/>
      <c r="R238" s="80"/>
      <c r="S238" s="80"/>
      <c r="T238" s="80"/>
    </row>
    <row r="239" spans="1:20" x14ac:dyDescent="0.25">
      <c r="A239" s="2" t="s">
        <v>593</v>
      </c>
      <c r="B239" s="2" t="s">
        <v>595</v>
      </c>
      <c r="C239" s="2" t="s">
        <v>598</v>
      </c>
      <c r="D239" s="2" t="s">
        <v>670</v>
      </c>
      <c r="F239" s="2" t="s">
        <v>1564</v>
      </c>
      <c r="G239" s="2" t="str">
        <f t="shared" si="25"/>
        <v>01.1.7.102</v>
      </c>
      <c r="H239" s="83" t="s">
        <v>1954</v>
      </c>
      <c r="I239" s="83" t="str">
        <f t="shared" si="23"/>
        <v>0117102</v>
      </c>
      <c r="J239" s="2" t="s">
        <v>1959</v>
      </c>
      <c r="K239" s="120" t="str">
        <f>IFERROR(VLOOKUP(H239,'Bridge matrix'!$A$3:$E$731,3,FALSE),"no")</f>
        <v>Chochos</v>
      </c>
      <c r="L239" s="120" t="str">
        <f t="shared" si="21"/>
        <v>Chochos</v>
      </c>
      <c r="M239" s="120" t="str">
        <f t="shared" si="22"/>
        <v>Chochos</v>
      </c>
      <c r="N239" s="120" t="str">
        <f t="shared" si="24"/>
        <v>Chochos</v>
      </c>
      <c r="O239" s="2" t="e">
        <f>VLOOKUP(N239,'Bridge matrix'!$D$3:$E$731,2,FALSE)</f>
        <v>#N/A</v>
      </c>
      <c r="Q239" s="18"/>
      <c r="R239" s="80"/>
      <c r="S239" s="80"/>
      <c r="T239" s="80"/>
    </row>
    <row r="240" spans="1:20" x14ac:dyDescent="0.25">
      <c r="A240" s="2" t="s">
        <v>593</v>
      </c>
      <c r="B240" s="2" t="s">
        <v>595</v>
      </c>
      <c r="C240" s="2" t="s">
        <v>598</v>
      </c>
      <c r="D240" s="2" t="s">
        <v>670</v>
      </c>
      <c r="F240" s="2" t="s">
        <v>1565</v>
      </c>
      <c r="G240" s="2" t="str">
        <f t="shared" si="25"/>
        <v>01.1.7.103</v>
      </c>
      <c r="H240" s="83" t="s">
        <v>577</v>
      </c>
      <c r="I240" s="83" t="str">
        <f t="shared" si="23"/>
        <v>0117103</v>
      </c>
      <c r="J240" s="2" t="s">
        <v>578</v>
      </c>
      <c r="K240" s="120" t="str">
        <f>IFERROR(VLOOKUP(H240,'Bridge matrix'!$A$3:$E$731,3,FALSE),"no")</f>
        <v>Fréjol tierno (pelado o en vaina)</v>
      </c>
      <c r="L240" s="120" t="str">
        <f t="shared" si="21"/>
        <v>Fréjol tierno (pelado o en vaina)</v>
      </c>
      <c r="M240" s="120" t="str">
        <f t="shared" si="22"/>
        <v>Fréjol tierno (pelado o en vaina)</v>
      </c>
      <c r="N240" s="120" t="str">
        <f t="shared" si="24"/>
        <v>Fréjol tierno (pelado o en vaina)</v>
      </c>
      <c r="O240" s="2" t="e">
        <f>VLOOKUP(N240,'Bridge matrix'!$D$3:$E$731,2,FALSE)</f>
        <v>#N/A</v>
      </c>
      <c r="Q240" s="18"/>
      <c r="R240" s="80"/>
      <c r="S240" s="80"/>
      <c r="T240" s="80"/>
    </row>
    <row r="241" spans="1:20" x14ac:dyDescent="0.25">
      <c r="A241" s="2" t="s">
        <v>593</v>
      </c>
      <c r="B241" s="2" t="s">
        <v>595</v>
      </c>
      <c r="C241" s="2" t="s">
        <v>598</v>
      </c>
      <c r="D241" s="2" t="s">
        <v>670</v>
      </c>
      <c r="F241" s="2" t="s">
        <v>1566</v>
      </c>
      <c r="G241" s="2" t="str">
        <f t="shared" si="25"/>
        <v>01.1.7.104</v>
      </c>
      <c r="H241" s="83" t="s">
        <v>1955</v>
      </c>
      <c r="I241" s="83" t="str">
        <f t="shared" si="23"/>
        <v>0117104</v>
      </c>
      <c r="J241" s="2" t="s">
        <v>1960</v>
      </c>
      <c r="K241" s="120" t="str">
        <f>IFERROR(VLOOKUP(H241,'Bridge matrix'!$A$3:$E$731,3,FALSE),"no")</f>
        <v>Garbanzos</v>
      </c>
      <c r="L241" s="120" t="str">
        <f t="shared" si="21"/>
        <v>Garbanzos</v>
      </c>
      <c r="M241" s="120" t="str">
        <f t="shared" si="22"/>
        <v>Garbanzos</v>
      </c>
      <c r="N241" s="120" t="str">
        <f t="shared" si="24"/>
        <v>Garbanzos</v>
      </c>
      <c r="O241" s="2" t="e">
        <f>VLOOKUP(N241,'Bridge matrix'!$D$3:$E$731,2,FALSE)</f>
        <v>#N/A</v>
      </c>
      <c r="Q241" s="18"/>
      <c r="R241" s="80"/>
      <c r="S241" s="80"/>
      <c r="T241" s="80"/>
    </row>
    <row r="242" spans="1:20" x14ac:dyDescent="0.25">
      <c r="A242" s="2" t="s">
        <v>593</v>
      </c>
      <c r="B242" s="2" t="s">
        <v>595</v>
      </c>
      <c r="C242" s="2" t="s">
        <v>598</v>
      </c>
      <c r="D242" s="2" t="s">
        <v>670</v>
      </c>
      <c r="F242" s="2" t="s">
        <v>1567</v>
      </c>
      <c r="G242" s="2" t="str">
        <f t="shared" si="25"/>
        <v>01.1.7.105</v>
      </c>
      <c r="H242" s="83" t="s">
        <v>579</v>
      </c>
      <c r="I242" s="83" t="str">
        <f t="shared" si="23"/>
        <v>0117105</v>
      </c>
      <c r="J242" s="2" t="s">
        <v>580</v>
      </c>
      <c r="K242" s="120" t="str">
        <f>IFERROR(VLOOKUP(H242,'Bridge matrix'!$A$3:$E$731,3,FALSE),"no")</f>
        <v>Habas tiernas (pelada o en vaina)</v>
      </c>
      <c r="L242" s="120" t="str">
        <f t="shared" si="21"/>
        <v>Habas tiernas (pelada o en vaina)</v>
      </c>
      <c r="M242" s="120" t="str">
        <f t="shared" si="22"/>
        <v>Habas tiernas (pelada o en vaina)</v>
      </c>
      <c r="N242" s="120" t="str">
        <f t="shared" si="24"/>
        <v>Habas tiernas (pelada o en vaina)</v>
      </c>
      <c r="O242" s="2" t="e">
        <f>VLOOKUP(N242,'Bridge matrix'!$D$3:$E$731,2,FALSE)</f>
        <v>#N/A</v>
      </c>
      <c r="Q242" s="18"/>
      <c r="R242" s="80"/>
      <c r="S242" s="80"/>
      <c r="T242" s="80"/>
    </row>
    <row r="243" spans="1:20" x14ac:dyDescent="0.25">
      <c r="A243" s="2" t="s">
        <v>593</v>
      </c>
      <c r="B243" s="2" t="s">
        <v>595</v>
      </c>
      <c r="C243" s="2" t="s">
        <v>598</v>
      </c>
      <c r="D243" s="2" t="s">
        <v>670</v>
      </c>
      <c r="F243" s="2" t="s">
        <v>1568</v>
      </c>
      <c r="G243" s="2" t="str">
        <f t="shared" si="25"/>
        <v>01.1.7.106</v>
      </c>
      <c r="H243" s="83" t="s">
        <v>1956</v>
      </c>
      <c r="I243" s="83" t="str">
        <f t="shared" si="23"/>
        <v>0117106</v>
      </c>
      <c r="J243" s="2" t="s">
        <v>1961</v>
      </c>
      <c r="K243" s="120" t="str">
        <f>IFERROR(VLOOKUP(H243,'Bridge matrix'!$A$3:$E$731,3,FALSE),"no")</f>
        <v>Habichuelas</v>
      </c>
      <c r="L243" s="120" t="str">
        <f t="shared" si="21"/>
        <v>Habichuelas</v>
      </c>
      <c r="M243" s="120" t="str">
        <f t="shared" si="22"/>
        <v>Habichuelas</v>
      </c>
      <c r="N243" s="120" t="str">
        <f t="shared" si="24"/>
        <v>Habichuelas</v>
      </c>
      <c r="O243" s="2" t="e">
        <f>VLOOKUP(N243,'Bridge matrix'!$D$3:$E$731,2,FALSE)</f>
        <v>#N/A</v>
      </c>
      <c r="Q243" s="18"/>
      <c r="R243" s="80"/>
      <c r="S243" s="80"/>
      <c r="T243" s="80"/>
    </row>
    <row r="244" spans="1:20" x14ac:dyDescent="0.25">
      <c r="A244" s="2" t="s">
        <v>593</v>
      </c>
      <c r="B244" s="2" t="s">
        <v>595</v>
      </c>
      <c r="C244" s="2" t="s">
        <v>598</v>
      </c>
      <c r="D244" s="2" t="s">
        <v>670</v>
      </c>
      <c r="F244" s="2" t="s">
        <v>1569</v>
      </c>
      <c r="G244" s="2" t="str">
        <f t="shared" si="25"/>
        <v>01.1.7.107</v>
      </c>
      <c r="H244" s="83" t="s">
        <v>1957</v>
      </c>
      <c r="I244" s="83" t="str">
        <f t="shared" si="23"/>
        <v>0117107</v>
      </c>
      <c r="J244" s="2" t="s">
        <v>1962</v>
      </c>
      <c r="K244" s="120" t="str">
        <f>IFERROR(VLOOKUP(H244,'Bridge matrix'!$A$3:$E$731,3,FALSE),"no")</f>
        <v>Maní con o sin cáscara (sin procesar)</v>
      </c>
      <c r="L244" s="120" t="str">
        <f t="shared" si="21"/>
        <v>Maní con o sin cáscara (sin procesar)</v>
      </c>
      <c r="M244" s="120" t="str">
        <f t="shared" si="22"/>
        <v>Maní con o sin cáscara (sin procesar)</v>
      </c>
      <c r="N244" s="120" t="str">
        <f t="shared" si="24"/>
        <v>Maní con o sin cáscara (sin procesar)</v>
      </c>
      <c r="O244" s="2" t="e">
        <f>VLOOKUP(N244,'Bridge matrix'!$D$3:$E$731,2,FALSE)</f>
        <v>#N/A</v>
      </c>
      <c r="Q244" s="18"/>
      <c r="R244" s="80"/>
      <c r="S244" s="80"/>
      <c r="T244" s="80"/>
    </row>
    <row r="245" spans="1:20" x14ac:dyDescent="0.25">
      <c r="A245" s="2" t="s">
        <v>593</v>
      </c>
      <c r="B245" s="2" t="s">
        <v>595</v>
      </c>
      <c r="C245" s="2" t="s">
        <v>598</v>
      </c>
      <c r="D245" s="2" t="s">
        <v>670</v>
      </c>
      <c r="F245" s="2" t="s">
        <v>1574</v>
      </c>
      <c r="G245" s="2" t="str">
        <f t="shared" si="25"/>
        <v>01.1.7.199</v>
      </c>
      <c r="H245" s="83" t="s">
        <v>1958</v>
      </c>
      <c r="I245" s="83" t="str">
        <f t="shared" si="23"/>
        <v>0117199</v>
      </c>
      <c r="J245" s="2" t="s">
        <v>1963</v>
      </c>
      <c r="K245" s="120" t="str">
        <f>IFERROR(VLOOKUP(H245,'Bridge matrix'!$A$3:$E$731,3,FALSE),"no")</f>
        <v>Otras leguminosas frescas, refrigeradas y congeladas</v>
      </c>
      <c r="L245" s="120" t="str">
        <f t="shared" si="21"/>
        <v>Otras leguminosas frescas, refrigeradas y congeladas</v>
      </c>
      <c r="M245" s="120" t="str">
        <f t="shared" si="22"/>
        <v>Otras leguminosas frescas, refrigeradas y congeladas</v>
      </c>
      <c r="N245" s="120" t="str">
        <f t="shared" si="24"/>
        <v>Otras leguminosas frescas, refrigeradas y congeladas</v>
      </c>
      <c r="O245" s="2" t="e">
        <f>VLOOKUP(N245,'Bridge matrix'!$D$3:$E$731,2,FALSE)</f>
        <v>#N/A</v>
      </c>
      <c r="Q245" s="18"/>
      <c r="R245" s="80"/>
      <c r="S245" s="80"/>
      <c r="T245" s="80"/>
    </row>
    <row r="246" spans="1:20" x14ac:dyDescent="0.25">
      <c r="A246" s="2" t="s">
        <v>592</v>
      </c>
      <c r="B246" s="2" t="s">
        <v>595</v>
      </c>
      <c r="C246" s="2" t="s">
        <v>598</v>
      </c>
      <c r="D246" s="2" t="s">
        <v>670</v>
      </c>
      <c r="E246" s="2" t="s">
        <v>608</v>
      </c>
      <c r="G246" s="2" t="str">
        <f>B246&amp;IF(C246="","","."&amp;C246)&amp;IF(D246="","","."&amp;D246)&amp;IF(E246="","","."&amp;E246)&amp;IF(F246="","","."&amp;F246)</f>
        <v>01.1.7.200</v>
      </c>
      <c r="H246" s="83" t="s">
        <v>677</v>
      </c>
      <c r="I246" s="83" t="str">
        <f t="shared" si="23"/>
        <v>0117200</v>
      </c>
      <c r="J246" s="2" t="s">
        <v>678</v>
      </c>
      <c r="K246" s="120" t="str">
        <f>IFERROR(VLOOKUP(H246,'Bridge matrix'!$A$3:$E$731,3,FALSE),"no")</f>
        <v>Tubérculos</v>
      </c>
      <c r="L246" s="120" t="str">
        <f t="shared" si="21"/>
        <v>Tubérculos</v>
      </c>
      <c r="M246" s="120" t="str">
        <f t="shared" si="22"/>
        <v>Tubérculos</v>
      </c>
      <c r="N246" s="120" t="str">
        <f t="shared" si="24"/>
        <v>Tubérculos</v>
      </c>
      <c r="O246" s="2" t="e">
        <f>VLOOKUP(N246,'Bridge matrix'!$D$3:$E$731,2,FALSE)</f>
        <v>#N/A</v>
      </c>
      <c r="Q246" s="18"/>
      <c r="R246" s="80"/>
      <c r="S246" s="80"/>
      <c r="T246" s="80"/>
    </row>
    <row r="247" spans="1:20" x14ac:dyDescent="0.25">
      <c r="A247" s="2" t="s">
        <v>593</v>
      </c>
      <c r="B247" s="2" t="s">
        <v>595</v>
      </c>
      <c r="C247" s="2" t="s">
        <v>598</v>
      </c>
      <c r="D247" s="2" t="s">
        <v>670</v>
      </c>
      <c r="F247" s="2" t="s">
        <v>1803</v>
      </c>
      <c r="G247" s="2" t="str">
        <f t="shared" ref="G247:G261" si="26">B247&amp;IF(C247="","","."&amp;C247)&amp;IF(D247="","","."&amp;D247)&amp;IF(E247="","","."&amp;E247)&amp;IF(F247="","","."&amp;F247)</f>
        <v>01.1.7.201</v>
      </c>
      <c r="H247" s="83" t="s">
        <v>561</v>
      </c>
      <c r="I247" s="83" t="str">
        <f t="shared" si="23"/>
        <v>0117201</v>
      </c>
      <c r="J247" s="2" t="s">
        <v>562</v>
      </c>
      <c r="K247" s="120" t="str">
        <f>IFERROR(VLOOKUP(H247,'Bridge matrix'!$A$3:$E$731,3,FALSE),"no")</f>
        <v>Camote o batata</v>
      </c>
      <c r="L247" s="120" t="str">
        <f t="shared" si="21"/>
        <v>Camote o batata</v>
      </c>
      <c r="M247" s="120" t="str">
        <f t="shared" si="22"/>
        <v>Camote o batata</v>
      </c>
      <c r="N247" s="120" t="str">
        <f t="shared" si="24"/>
        <v>Camote o batata</v>
      </c>
      <c r="O247" s="2" t="e">
        <f>VLOOKUP(N247,'Bridge matrix'!$D$3:$E$731,2,FALSE)</f>
        <v>#N/A</v>
      </c>
      <c r="Q247" s="18"/>
      <c r="R247" s="80"/>
      <c r="S247" s="80"/>
      <c r="T247" s="80"/>
    </row>
    <row r="248" spans="1:20" x14ac:dyDescent="0.25">
      <c r="A248" s="2" t="s">
        <v>593</v>
      </c>
      <c r="B248" s="2" t="s">
        <v>595</v>
      </c>
      <c r="C248" s="2" t="s">
        <v>598</v>
      </c>
      <c r="D248" s="2" t="s">
        <v>670</v>
      </c>
      <c r="F248" s="2" t="s">
        <v>1804</v>
      </c>
      <c r="G248" s="2" t="str">
        <f t="shared" si="26"/>
        <v>01.1.7.202</v>
      </c>
      <c r="H248" s="83" t="s">
        <v>563</v>
      </c>
      <c r="I248" s="83" t="str">
        <f t="shared" si="23"/>
        <v>0117202</v>
      </c>
      <c r="J248" s="2" t="s">
        <v>564</v>
      </c>
      <c r="K248" s="120" t="str">
        <f>IFERROR(VLOOKUP(H248,'Bridge matrix'!$A$3:$E$731,3,FALSE),"no")</f>
        <v>Mashua</v>
      </c>
      <c r="L248" s="120" t="str">
        <f t="shared" si="21"/>
        <v>Mashua</v>
      </c>
      <c r="M248" s="120" t="str">
        <f t="shared" si="22"/>
        <v>Mashua</v>
      </c>
      <c r="N248" s="120" t="str">
        <f t="shared" si="24"/>
        <v>Mashua</v>
      </c>
      <c r="O248" s="2" t="e">
        <f>VLOOKUP(N248,'Bridge matrix'!$D$3:$E$731,2,FALSE)</f>
        <v>#N/A</v>
      </c>
      <c r="Q248" s="18"/>
      <c r="R248" s="80"/>
      <c r="S248" s="80"/>
      <c r="T248" s="80"/>
    </row>
    <row r="249" spans="1:20" x14ac:dyDescent="0.25">
      <c r="A249" s="2" t="s">
        <v>593</v>
      </c>
      <c r="B249" s="2" t="s">
        <v>595</v>
      </c>
      <c r="C249" s="2" t="s">
        <v>598</v>
      </c>
      <c r="D249" s="2" t="s">
        <v>670</v>
      </c>
      <c r="F249" s="2" t="s">
        <v>1805</v>
      </c>
      <c r="G249" s="2" t="str">
        <f t="shared" si="26"/>
        <v>01.1.7.203</v>
      </c>
      <c r="H249" s="83" t="s">
        <v>565</v>
      </c>
      <c r="I249" s="83" t="str">
        <f t="shared" si="23"/>
        <v>0117203</v>
      </c>
      <c r="J249" s="2" t="s">
        <v>566</v>
      </c>
      <c r="K249" s="120" t="str">
        <f>IFERROR(VLOOKUP(H249,'Bridge matrix'!$A$3:$E$731,3,FALSE),"no")</f>
        <v>Oca</v>
      </c>
      <c r="L249" s="120" t="str">
        <f t="shared" si="21"/>
        <v>Oca</v>
      </c>
      <c r="M249" s="120" t="str">
        <f t="shared" si="22"/>
        <v>Oca</v>
      </c>
      <c r="N249" s="120" t="str">
        <f t="shared" si="24"/>
        <v>Oca</v>
      </c>
      <c r="O249" s="2" t="e">
        <f>VLOOKUP(N249,'Bridge matrix'!$D$3:$E$731,2,FALSE)</f>
        <v>#N/A</v>
      </c>
      <c r="Q249" s="18"/>
      <c r="R249" s="80"/>
      <c r="S249" s="80"/>
      <c r="T249" s="80"/>
    </row>
    <row r="250" spans="1:20" x14ac:dyDescent="0.25">
      <c r="A250" s="2" t="s">
        <v>593</v>
      </c>
      <c r="B250" s="2" t="s">
        <v>595</v>
      </c>
      <c r="C250" s="2" t="s">
        <v>598</v>
      </c>
      <c r="D250" s="2" t="s">
        <v>670</v>
      </c>
      <c r="F250" s="2" t="s">
        <v>1806</v>
      </c>
      <c r="G250" s="2" t="str">
        <f t="shared" si="26"/>
        <v>01.1.7.204</v>
      </c>
      <c r="H250" s="83" t="s">
        <v>550</v>
      </c>
      <c r="I250" s="83" t="str">
        <f t="shared" si="23"/>
        <v>0117204</v>
      </c>
      <c r="J250" s="2" t="s">
        <v>1965</v>
      </c>
      <c r="K250" s="120" t="str">
        <f>IFERROR(VLOOKUP(H250,'Bridge matrix'!$A$3:$E$731,3,FALSE),"no")</f>
        <v>Papa catalina o blanca 1 2</v>
      </c>
      <c r="L250" s="120" t="str">
        <f t="shared" si="21"/>
        <v>Papa catalina o blanca 1 2</v>
      </c>
      <c r="M250" s="120" t="str">
        <f t="shared" si="22"/>
        <v>Papa catalina o blanca 1 2</v>
      </c>
      <c r="N250" s="120" t="str">
        <f t="shared" si="24"/>
        <v>Papa catalina o blanca 1 2</v>
      </c>
      <c r="O250" s="2" t="e">
        <f>VLOOKUP(N250,'Bridge matrix'!$D$3:$E$731,2,FALSE)</f>
        <v>#N/A</v>
      </c>
      <c r="Q250" s="18"/>
      <c r="R250" s="80"/>
      <c r="S250" s="80"/>
      <c r="T250" s="80"/>
    </row>
    <row r="251" spans="1:20" x14ac:dyDescent="0.25">
      <c r="A251" s="2" t="s">
        <v>593</v>
      </c>
      <c r="B251" s="2" t="s">
        <v>595</v>
      </c>
      <c r="C251" s="2" t="s">
        <v>598</v>
      </c>
      <c r="D251" s="2" t="s">
        <v>670</v>
      </c>
      <c r="F251" s="2" t="s">
        <v>1807</v>
      </c>
      <c r="G251" s="2" t="str">
        <f t="shared" si="26"/>
        <v>01.1.7.205</v>
      </c>
      <c r="H251" s="83" t="s">
        <v>551</v>
      </c>
      <c r="I251" s="83" t="str">
        <f t="shared" si="23"/>
        <v>0117205</v>
      </c>
      <c r="J251" s="2" t="s">
        <v>1966</v>
      </c>
      <c r="K251" s="120" t="str">
        <f>IFERROR(VLOOKUP(H251,'Bridge matrix'!$A$3:$E$731,3,FALSE),"no")</f>
        <v>Papa cecilia 1 2</v>
      </c>
      <c r="L251" s="120" t="str">
        <f t="shared" si="21"/>
        <v>Papa cecilia 1 2</v>
      </c>
      <c r="M251" s="120" t="str">
        <f t="shared" si="22"/>
        <v>Papa cecilia 1 2</v>
      </c>
      <c r="N251" s="120" t="str">
        <f t="shared" si="24"/>
        <v>Papa cecilia 1 2</v>
      </c>
      <c r="O251" s="2" t="e">
        <f>VLOOKUP(N251,'Bridge matrix'!$D$3:$E$731,2,FALSE)</f>
        <v>#N/A</v>
      </c>
      <c r="Q251" s="18"/>
      <c r="R251" s="80"/>
      <c r="S251" s="80"/>
      <c r="T251" s="80"/>
    </row>
    <row r="252" spans="1:20" x14ac:dyDescent="0.25">
      <c r="A252" s="2" t="s">
        <v>593</v>
      </c>
      <c r="B252" s="2" t="s">
        <v>595</v>
      </c>
      <c r="C252" s="2" t="s">
        <v>598</v>
      </c>
      <c r="D252" s="2" t="s">
        <v>670</v>
      </c>
      <c r="F252" s="2" t="s">
        <v>1808</v>
      </c>
      <c r="G252" s="2" t="str">
        <f t="shared" si="26"/>
        <v>01.1.7.206</v>
      </c>
      <c r="H252" s="83" t="s">
        <v>552</v>
      </c>
      <c r="I252" s="83" t="str">
        <f t="shared" si="23"/>
        <v>0117206</v>
      </c>
      <c r="J252" s="2" t="s">
        <v>1967</v>
      </c>
      <c r="K252" s="120" t="str">
        <f>IFERROR(VLOOKUP(H252,'Bridge matrix'!$A$3:$E$731,3,FALSE),"no")</f>
        <v>Papa chaucha 1 2</v>
      </c>
      <c r="L252" s="120" t="str">
        <f t="shared" si="21"/>
        <v>Papa chaucha 1 2</v>
      </c>
      <c r="M252" s="120" t="str">
        <f t="shared" si="22"/>
        <v>Papa chaucha 1 2</v>
      </c>
      <c r="N252" s="120" t="str">
        <f t="shared" si="24"/>
        <v>Papa chaucha 1 2</v>
      </c>
      <c r="O252" s="2" t="e">
        <f>VLOOKUP(N252,'Bridge matrix'!$D$3:$E$731,2,FALSE)</f>
        <v>#N/A</v>
      </c>
      <c r="Q252" s="18"/>
      <c r="R252" s="80"/>
      <c r="S252" s="80"/>
      <c r="T252" s="80"/>
    </row>
    <row r="253" spans="1:20" x14ac:dyDescent="0.25">
      <c r="A253" s="2" t="s">
        <v>593</v>
      </c>
      <c r="B253" s="2" t="s">
        <v>595</v>
      </c>
      <c r="C253" s="2" t="s">
        <v>598</v>
      </c>
      <c r="D253" s="2" t="s">
        <v>670</v>
      </c>
      <c r="F253" s="2" t="s">
        <v>1809</v>
      </c>
      <c r="G253" s="2" t="str">
        <f t="shared" si="26"/>
        <v>01.1.7.207</v>
      </c>
      <c r="H253" s="83" t="s">
        <v>553</v>
      </c>
      <c r="I253" s="83" t="str">
        <f t="shared" si="23"/>
        <v>0117207</v>
      </c>
      <c r="J253" s="2" t="s">
        <v>1968</v>
      </c>
      <c r="K253" s="120" t="str">
        <f>IFERROR(VLOOKUP(H253,'Bridge matrix'!$A$3:$E$731,3,FALSE),"no")</f>
        <v>Papa china 1 2</v>
      </c>
      <c r="L253" s="120" t="str">
        <f t="shared" si="21"/>
        <v>Papa china 1 2</v>
      </c>
      <c r="M253" s="120" t="str">
        <f t="shared" si="22"/>
        <v>Papa china 1 2</v>
      </c>
      <c r="N253" s="120" t="str">
        <f t="shared" si="24"/>
        <v>Papa china 1 2</v>
      </c>
      <c r="O253" s="2" t="e">
        <f>VLOOKUP(N253,'Bridge matrix'!$D$3:$E$731,2,FALSE)</f>
        <v>#N/A</v>
      </c>
      <c r="Q253" s="18"/>
      <c r="R253" s="80"/>
      <c r="S253" s="80"/>
      <c r="T253" s="80"/>
    </row>
    <row r="254" spans="1:20" x14ac:dyDescent="0.25">
      <c r="A254" s="2" t="s">
        <v>593</v>
      </c>
      <c r="B254" s="2" t="s">
        <v>595</v>
      </c>
      <c r="C254" s="2" t="s">
        <v>598</v>
      </c>
      <c r="D254" s="2" t="s">
        <v>670</v>
      </c>
      <c r="F254" s="2" t="s">
        <v>1810</v>
      </c>
      <c r="G254" s="2" t="str">
        <f t="shared" si="26"/>
        <v>01.1.7.208</v>
      </c>
      <c r="H254" s="83" t="s">
        <v>554</v>
      </c>
      <c r="I254" s="83" t="str">
        <f t="shared" si="23"/>
        <v>0117208</v>
      </c>
      <c r="J254" s="2" t="s">
        <v>1969</v>
      </c>
      <c r="K254" s="120" t="str">
        <f>IFERROR(VLOOKUP(H254,'Bridge matrix'!$A$3:$E$731,3,FALSE),"no")</f>
        <v>Papa chola 1 2</v>
      </c>
      <c r="L254" s="120" t="str">
        <f t="shared" si="21"/>
        <v>Papa chola 1 2</v>
      </c>
      <c r="M254" s="120" t="str">
        <f t="shared" si="22"/>
        <v>Papa chola 1 2</v>
      </c>
      <c r="N254" s="120" t="str">
        <f t="shared" si="24"/>
        <v>Papa chola 1 2</v>
      </c>
      <c r="O254" s="2" t="e">
        <f>VLOOKUP(N254,'Bridge matrix'!$D$3:$E$731,2,FALSE)</f>
        <v>#N/A</v>
      </c>
      <c r="Q254" s="18"/>
      <c r="R254" s="80"/>
      <c r="S254" s="80"/>
      <c r="T254" s="80"/>
    </row>
    <row r="255" spans="1:20" x14ac:dyDescent="0.25">
      <c r="A255" s="2" t="s">
        <v>593</v>
      </c>
      <c r="B255" s="2" t="s">
        <v>595</v>
      </c>
      <c r="C255" s="2" t="s">
        <v>598</v>
      </c>
      <c r="D255" s="2" t="s">
        <v>670</v>
      </c>
      <c r="F255" s="2" t="s">
        <v>1811</v>
      </c>
      <c r="G255" s="2" t="str">
        <f t="shared" si="26"/>
        <v>01.1.7.209</v>
      </c>
      <c r="H255" s="83" t="s">
        <v>555</v>
      </c>
      <c r="I255" s="83" t="str">
        <f t="shared" si="23"/>
        <v>0117209</v>
      </c>
      <c r="J255" s="2" t="s">
        <v>1970</v>
      </c>
      <c r="K255" s="120" t="str">
        <f>IFERROR(VLOOKUP(H255,'Bridge matrix'!$A$3:$E$731,3,FALSE),"no")</f>
        <v>Papa de otra variedad 1 2</v>
      </c>
      <c r="L255" s="120" t="str">
        <f t="shared" si="21"/>
        <v>Papa de otra variedad 1 2</v>
      </c>
      <c r="M255" s="120" t="str">
        <f t="shared" si="22"/>
        <v>Papa de otra variedad 1 2</v>
      </c>
      <c r="N255" s="120" t="str">
        <f t="shared" si="24"/>
        <v>Papa de otra variedad 1 2</v>
      </c>
      <c r="O255" s="2" t="e">
        <f>VLOOKUP(N255,'Bridge matrix'!$D$3:$E$731,2,FALSE)</f>
        <v>#N/A</v>
      </c>
      <c r="Q255" s="18"/>
      <c r="R255" s="80"/>
      <c r="S255" s="80"/>
      <c r="T255" s="80"/>
    </row>
    <row r="256" spans="1:20" x14ac:dyDescent="0.25">
      <c r="A256" s="2" t="s">
        <v>593</v>
      </c>
      <c r="B256" s="2" t="s">
        <v>595</v>
      </c>
      <c r="C256" s="2" t="s">
        <v>598</v>
      </c>
      <c r="D256" s="2" t="s">
        <v>670</v>
      </c>
      <c r="F256" s="2" t="s">
        <v>1812</v>
      </c>
      <c r="G256" s="2" t="str">
        <f t="shared" si="26"/>
        <v>01.1.7.210</v>
      </c>
      <c r="H256" s="83" t="s">
        <v>556</v>
      </c>
      <c r="I256" s="83" t="str">
        <f t="shared" si="23"/>
        <v>0117210</v>
      </c>
      <c r="J256" s="2" t="s">
        <v>1971</v>
      </c>
      <c r="K256" s="120" t="str">
        <f>IFERROR(VLOOKUP(H256,'Bridge matrix'!$A$3:$E$731,3,FALSE),"no")</f>
        <v>Papa gabriela 1 2</v>
      </c>
      <c r="L256" s="120" t="str">
        <f t="shared" si="21"/>
        <v>Papa gabriela 1 2</v>
      </c>
      <c r="M256" s="120" t="str">
        <f t="shared" si="22"/>
        <v>Papa gabriela 1 2</v>
      </c>
      <c r="N256" s="120" t="str">
        <f t="shared" si="24"/>
        <v>Papa gabriela 1 2</v>
      </c>
      <c r="O256" s="2" t="e">
        <f>VLOOKUP(N256,'Bridge matrix'!$D$3:$E$731,2,FALSE)</f>
        <v>#N/A</v>
      </c>
      <c r="Q256" s="18"/>
      <c r="R256" s="80"/>
      <c r="S256" s="80"/>
      <c r="T256" s="80"/>
    </row>
    <row r="257" spans="1:20" x14ac:dyDescent="0.25">
      <c r="A257" s="2" t="s">
        <v>593</v>
      </c>
      <c r="B257" s="2" t="s">
        <v>595</v>
      </c>
      <c r="C257" s="2" t="s">
        <v>598</v>
      </c>
      <c r="D257" s="2" t="s">
        <v>670</v>
      </c>
      <c r="F257" s="2" t="s">
        <v>1813</v>
      </c>
      <c r="G257" s="2" t="str">
        <f t="shared" si="26"/>
        <v>01.1.7.211</v>
      </c>
      <c r="H257" s="83" t="s">
        <v>557</v>
      </c>
      <c r="I257" s="83" t="str">
        <f t="shared" si="23"/>
        <v>0117211</v>
      </c>
      <c r="J257" s="2" t="s">
        <v>1972</v>
      </c>
      <c r="K257" s="120" t="str">
        <f>IFERROR(VLOOKUP(H257,'Bridge matrix'!$A$3:$E$731,3,FALSE),"no")</f>
        <v>Papa leona 1 2</v>
      </c>
      <c r="L257" s="120" t="str">
        <f t="shared" si="21"/>
        <v>Papa leona 1 2</v>
      </c>
      <c r="M257" s="120" t="str">
        <f t="shared" si="22"/>
        <v>Papa leona 1 2</v>
      </c>
      <c r="N257" s="120" t="str">
        <f t="shared" si="24"/>
        <v>Papa leona 1 2</v>
      </c>
      <c r="O257" s="2" t="e">
        <f>VLOOKUP(N257,'Bridge matrix'!$D$3:$E$731,2,FALSE)</f>
        <v>#N/A</v>
      </c>
      <c r="Q257" s="18"/>
      <c r="R257" s="80"/>
      <c r="S257" s="80"/>
      <c r="T257" s="80"/>
    </row>
    <row r="258" spans="1:20" x14ac:dyDescent="0.25">
      <c r="A258" s="2" t="s">
        <v>593</v>
      </c>
      <c r="B258" s="2" t="s">
        <v>595</v>
      </c>
      <c r="C258" s="2" t="s">
        <v>598</v>
      </c>
      <c r="D258" s="2" t="s">
        <v>670</v>
      </c>
      <c r="F258" s="2" t="s">
        <v>1814</v>
      </c>
      <c r="G258" s="2" t="str">
        <f t="shared" si="26"/>
        <v>01.1.7.212</v>
      </c>
      <c r="H258" s="83" t="s">
        <v>558</v>
      </c>
      <c r="I258" s="83" t="str">
        <f t="shared" si="23"/>
        <v>0117212</v>
      </c>
      <c r="J258" s="2" t="s">
        <v>1973</v>
      </c>
      <c r="K258" s="120" t="str">
        <f>IFERROR(VLOOKUP(H258,'Bridge matrix'!$A$3:$E$731,3,FALSE),"no")</f>
        <v>Papa semi chola 1 2</v>
      </c>
      <c r="L258" s="120" t="str">
        <f t="shared" ref="L258:L321" si="27">IF(AND(H258=LEFT(H259,LEN(H258)),L259&lt;&gt;"no"),"ll",IF(K258="no","no",K258))</f>
        <v>Papa semi chola 1 2</v>
      </c>
      <c r="M258" s="120" t="str">
        <f t="shared" ref="M258:M321" si="28">IF(L258&lt;&gt;"no",L258,IF(VLOOKUP(LEFT(H258,6),$H$2:$K$714,3,FALSE)="ll","no",VLOOKUP(LEFT(H258,6),$H$2:$K$714,3,FALSE)))</f>
        <v>Papa semi chola 1 2</v>
      </c>
      <c r="N258" s="120" t="str">
        <f t="shared" si="24"/>
        <v>Papa semi chola 1 2</v>
      </c>
      <c r="O258" s="2" t="e">
        <f>VLOOKUP(N258,'Bridge matrix'!$D$3:$E$731,2,FALSE)</f>
        <v>#N/A</v>
      </c>
      <c r="Q258" s="18"/>
      <c r="R258" s="80"/>
      <c r="S258" s="80"/>
      <c r="T258" s="80"/>
    </row>
    <row r="259" spans="1:20" x14ac:dyDescent="0.25">
      <c r="A259" s="2" t="s">
        <v>593</v>
      </c>
      <c r="B259" s="2" t="s">
        <v>595</v>
      </c>
      <c r="C259" s="2" t="s">
        <v>598</v>
      </c>
      <c r="D259" s="2" t="s">
        <v>670</v>
      </c>
      <c r="F259" s="2" t="s">
        <v>1815</v>
      </c>
      <c r="G259" s="2" t="str">
        <f t="shared" si="26"/>
        <v>01.1.7.213</v>
      </c>
      <c r="H259" s="83" t="s">
        <v>559</v>
      </c>
      <c r="I259" s="83" t="str">
        <f t="shared" ref="I259:I322" si="29">B259&amp;C259&amp;D259&amp;E259&amp;F259</f>
        <v>0117213</v>
      </c>
      <c r="J259" s="2" t="s">
        <v>1974</v>
      </c>
      <c r="K259" s="120" t="str">
        <f>IFERROR(VLOOKUP(H259,'Bridge matrix'!$A$3:$E$731,3,FALSE),"no")</f>
        <v>Papa uvilla 1 2</v>
      </c>
      <c r="L259" s="120" t="str">
        <f t="shared" si="27"/>
        <v>Papa uvilla 1 2</v>
      </c>
      <c r="M259" s="120" t="str">
        <f t="shared" si="28"/>
        <v>Papa uvilla 1 2</v>
      </c>
      <c r="N259" s="120" t="str">
        <f t="shared" ref="N259:N322" si="30">M259</f>
        <v>Papa uvilla 1 2</v>
      </c>
      <c r="O259" s="2" t="e">
        <f>VLOOKUP(N259,'Bridge matrix'!$D$3:$E$731,2,FALSE)</f>
        <v>#N/A</v>
      </c>
      <c r="Q259" s="18"/>
      <c r="R259" s="80"/>
      <c r="S259" s="80"/>
      <c r="T259" s="80"/>
    </row>
    <row r="260" spans="1:20" x14ac:dyDescent="0.25">
      <c r="A260" s="2" t="s">
        <v>593</v>
      </c>
      <c r="B260" s="2" t="s">
        <v>595</v>
      </c>
      <c r="C260" s="2" t="s">
        <v>598</v>
      </c>
      <c r="D260" s="2" t="s">
        <v>670</v>
      </c>
      <c r="F260" s="2" t="s">
        <v>1964</v>
      </c>
      <c r="G260" s="2" t="str">
        <f t="shared" si="26"/>
        <v>01.1.7.214</v>
      </c>
      <c r="H260" s="83" t="s">
        <v>560</v>
      </c>
      <c r="I260" s="83" t="str">
        <f t="shared" si="29"/>
        <v>0117214</v>
      </c>
      <c r="J260" s="2" t="s">
        <v>521</v>
      </c>
      <c r="K260" s="120" t="str">
        <f>IFERROR(VLOOKUP(H260,'Bridge matrix'!$A$3:$E$731,3,FALSE),"no")</f>
        <v>Yuca</v>
      </c>
      <c r="L260" s="120" t="str">
        <f t="shared" si="27"/>
        <v>Yuca</v>
      </c>
      <c r="M260" s="120" t="str">
        <f t="shared" si="28"/>
        <v>Yuca</v>
      </c>
      <c r="N260" s="120" t="str">
        <f t="shared" si="30"/>
        <v>Yuca</v>
      </c>
      <c r="O260" s="2" t="e">
        <f>VLOOKUP(N260,'Bridge matrix'!$D$3:$E$731,2,FALSE)</f>
        <v>#N/A</v>
      </c>
      <c r="Q260" s="18"/>
      <c r="R260" s="80"/>
      <c r="S260" s="80"/>
      <c r="T260" s="80"/>
    </row>
    <row r="261" spans="1:20" x14ac:dyDescent="0.25">
      <c r="A261" s="2" t="s">
        <v>593</v>
      </c>
      <c r="B261" s="2" t="s">
        <v>595</v>
      </c>
      <c r="C261" s="2" t="s">
        <v>598</v>
      </c>
      <c r="D261" s="2" t="s">
        <v>670</v>
      </c>
      <c r="F261" s="2" t="s">
        <v>1816</v>
      </c>
      <c r="G261" s="2" t="str">
        <f t="shared" si="26"/>
        <v>01.1.7.299</v>
      </c>
      <c r="H261" s="83" t="s">
        <v>567</v>
      </c>
      <c r="I261" s="83" t="str">
        <f t="shared" si="29"/>
        <v>0117299</v>
      </c>
      <c r="J261" s="2" t="s">
        <v>568</v>
      </c>
      <c r="K261" s="120" t="str">
        <f>IFERROR(VLOOKUP(H261,'Bridge matrix'!$A$3:$E$731,3,FALSE),"no")</f>
        <v>Otras tubérculos</v>
      </c>
      <c r="L261" s="120" t="str">
        <f t="shared" si="27"/>
        <v>Otras tubérculos</v>
      </c>
      <c r="M261" s="120" t="str">
        <f t="shared" si="28"/>
        <v>Otras tubérculos</v>
      </c>
      <c r="N261" s="120" t="str">
        <f t="shared" si="30"/>
        <v>Otras tubérculos</v>
      </c>
      <c r="O261" s="2" t="e">
        <f>VLOOKUP(N261,'Bridge matrix'!$D$3:$E$731,2,FALSE)</f>
        <v>#N/A</v>
      </c>
      <c r="Q261" s="18"/>
      <c r="R261" s="80"/>
      <c r="S261" s="80"/>
      <c r="T261" s="80"/>
    </row>
    <row r="262" spans="1:20" x14ac:dyDescent="0.25">
      <c r="A262" s="2" t="s">
        <v>592</v>
      </c>
      <c r="B262" s="2" t="s">
        <v>595</v>
      </c>
      <c r="C262" s="2" t="s">
        <v>598</v>
      </c>
      <c r="D262" s="2" t="s">
        <v>670</v>
      </c>
      <c r="E262" s="2" t="s">
        <v>611</v>
      </c>
      <c r="G262" s="2" t="str">
        <f t="shared" ref="G262:G344" si="31">B262&amp;IF(C262="","","."&amp;C262)&amp;IF(D262="","","."&amp;D262)&amp;IF(E262="","","."&amp;E262)&amp;IF(F262="","","."&amp;F262)</f>
        <v>01.1.7.300</v>
      </c>
      <c r="H262" s="83" t="s">
        <v>679</v>
      </c>
      <c r="I262" s="83" t="str">
        <f t="shared" si="29"/>
        <v>0117300</v>
      </c>
      <c r="J262" s="2" t="s">
        <v>680</v>
      </c>
      <c r="K262" s="120" t="str">
        <f>IFERROR(VLOOKUP(H262,'Bridge matrix'!$A$3:$E$731,3,FALSE),"no")</f>
        <v xml:space="preserve">Hortalizas verduras / leguminosas secos y en conserva </v>
      </c>
      <c r="L262" s="120" t="str">
        <f t="shared" si="27"/>
        <v xml:space="preserve">Hortalizas verduras / leguminosas secos y en conserva </v>
      </c>
      <c r="M262" s="120" t="str">
        <f t="shared" si="28"/>
        <v xml:space="preserve">Hortalizas verduras / leguminosas secos y en conserva </v>
      </c>
      <c r="N262" s="120" t="str">
        <f t="shared" si="30"/>
        <v xml:space="preserve">Hortalizas verduras / leguminosas secos y en conserva </v>
      </c>
      <c r="O262" s="2" t="e">
        <f>VLOOKUP(N262,'Bridge matrix'!$D$3:$E$731,2,FALSE)</f>
        <v>#N/A</v>
      </c>
      <c r="Q262" s="18"/>
      <c r="R262" s="80"/>
      <c r="S262" s="80"/>
      <c r="T262" s="80"/>
    </row>
    <row r="263" spans="1:20" x14ac:dyDescent="0.25">
      <c r="A263" s="2" t="s">
        <v>593</v>
      </c>
      <c r="B263" s="2" t="s">
        <v>595</v>
      </c>
      <c r="C263" s="2" t="s">
        <v>598</v>
      </c>
      <c r="D263" s="2" t="s">
        <v>670</v>
      </c>
      <c r="F263" s="2" t="s">
        <v>1980</v>
      </c>
      <c r="G263" s="2" t="str">
        <f t="shared" si="31"/>
        <v>01.1.7.301</v>
      </c>
      <c r="H263" s="83" t="s">
        <v>2014</v>
      </c>
      <c r="I263" s="83" t="str">
        <f t="shared" si="29"/>
        <v>0117301</v>
      </c>
      <c r="J263" s="2" t="s">
        <v>2048</v>
      </c>
      <c r="K263" s="120" t="str">
        <f>IFERROR(VLOOKUP(H263,'Bridge matrix'!$A$3:$E$731,3,FALSE),"no")</f>
        <v>Aceitunas</v>
      </c>
      <c r="L263" s="120" t="str">
        <f t="shared" si="27"/>
        <v>Aceitunas</v>
      </c>
      <c r="M263" s="120" t="str">
        <f t="shared" si="28"/>
        <v>Aceitunas</v>
      </c>
      <c r="N263" s="120" t="str">
        <f t="shared" si="30"/>
        <v>Aceitunas</v>
      </c>
      <c r="O263" s="2" t="e">
        <f>VLOOKUP(N263,'Bridge matrix'!$D$3:$E$731,2,FALSE)</f>
        <v>#N/A</v>
      </c>
      <c r="Q263" s="18"/>
      <c r="R263" s="80"/>
      <c r="S263" s="80"/>
      <c r="T263" s="80"/>
    </row>
    <row r="264" spans="1:20" x14ac:dyDescent="0.25">
      <c r="A264" s="2" t="s">
        <v>593</v>
      </c>
      <c r="B264" s="2" t="s">
        <v>595</v>
      </c>
      <c r="C264" s="2" t="s">
        <v>598</v>
      </c>
      <c r="D264" s="2" t="s">
        <v>670</v>
      </c>
      <c r="F264" s="2" t="s">
        <v>1981</v>
      </c>
      <c r="G264" s="2" t="str">
        <f t="shared" si="31"/>
        <v>01.1.7.302</v>
      </c>
      <c r="H264" s="83" t="s">
        <v>2015</v>
      </c>
      <c r="I264" s="83" t="str">
        <f t="shared" si="29"/>
        <v>0117302</v>
      </c>
      <c r="J264" s="2" t="s">
        <v>2049</v>
      </c>
      <c r="K264" s="120" t="str">
        <f>IFERROR(VLOOKUP(H264,'Bridge matrix'!$A$3:$E$731,3,FALSE),"no")</f>
        <v>Alcaparras</v>
      </c>
      <c r="L264" s="120" t="str">
        <f t="shared" si="27"/>
        <v>Alcaparras</v>
      </c>
      <c r="M264" s="120" t="str">
        <f t="shared" si="28"/>
        <v>Alcaparras</v>
      </c>
      <c r="N264" s="120" t="str">
        <f t="shared" si="30"/>
        <v>Alcaparras</v>
      </c>
      <c r="O264" s="2" t="e">
        <f>VLOOKUP(N264,'Bridge matrix'!$D$3:$E$731,2,FALSE)</f>
        <v>#N/A</v>
      </c>
      <c r="Q264" s="18"/>
      <c r="R264" s="80"/>
      <c r="S264" s="80"/>
      <c r="T264" s="80"/>
    </row>
    <row r="265" spans="1:20" x14ac:dyDescent="0.25">
      <c r="A265" s="2" t="s">
        <v>593</v>
      </c>
      <c r="B265" s="2" t="s">
        <v>595</v>
      </c>
      <c r="C265" s="2" t="s">
        <v>598</v>
      </c>
      <c r="D265" s="2" t="s">
        <v>670</v>
      </c>
      <c r="F265" s="2" t="s">
        <v>1982</v>
      </c>
      <c r="G265" s="2" t="str">
        <f t="shared" si="31"/>
        <v>01.1.7.303</v>
      </c>
      <c r="H265" s="83" t="s">
        <v>2016</v>
      </c>
      <c r="I265" s="83" t="str">
        <f t="shared" si="29"/>
        <v>0117303</v>
      </c>
      <c r="J265" s="2" t="s">
        <v>2050</v>
      </c>
      <c r="K265" s="120" t="str">
        <f>IFERROR(VLOOKUP(H265,'Bridge matrix'!$A$3:$E$731,3,FALSE),"no")</f>
        <v>Arveja en conserva</v>
      </c>
      <c r="L265" s="120" t="str">
        <f t="shared" si="27"/>
        <v>Arveja en conserva</v>
      </c>
      <c r="M265" s="120" t="str">
        <f t="shared" si="28"/>
        <v>Arveja en conserva</v>
      </c>
      <c r="N265" s="120" t="str">
        <f t="shared" si="30"/>
        <v>Arveja en conserva</v>
      </c>
      <c r="O265" s="2" t="e">
        <f>VLOOKUP(N265,'Bridge matrix'!$D$3:$E$731,2,FALSE)</f>
        <v>#N/A</v>
      </c>
      <c r="Q265" s="18"/>
      <c r="R265" s="80"/>
      <c r="S265" s="80"/>
      <c r="T265" s="80"/>
    </row>
    <row r="266" spans="1:20" x14ac:dyDescent="0.25">
      <c r="A266" s="2" t="s">
        <v>593</v>
      </c>
      <c r="B266" s="2" t="s">
        <v>595</v>
      </c>
      <c r="C266" s="2" t="s">
        <v>598</v>
      </c>
      <c r="D266" s="2" t="s">
        <v>670</v>
      </c>
      <c r="F266" s="2" t="s">
        <v>1983</v>
      </c>
      <c r="G266" s="2" t="str">
        <f t="shared" si="31"/>
        <v>01.1.7.304</v>
      </c>
      <c r="H266" s="83" t="s">
        <v>2017</v>
      </c>
      <c r="I266" s="83" t="str">
        <f t="shared" si="29"/>
        <v>0117304</v>
      </c>
      <c r="J266" s="2" t="s">
        <v>2051</v>
      </c>
      <c r="K266" s="120" t="str">
        <f>IFERROR(VLOOKUP(H266,'Bridge matrix'!$A$3:$E$731,3,FALSE),"no")</f>
        <v>Arvejas secas</v>
      </c>
      <c r="L266" s="120" t="str">
        <f t="shared" si="27"/>
        <v>Arvejas secas</v>
      </c>
      <c r="M266" s="120" t="str">
        <f t="shared" si="28"/>
        <v>Arvejas secas</v>
      </c>
      <c r="N266" s="120" t="str">
        <f t="shared" si="30"/>
        <v>Arvejas secas</v>
      </c>
      <c r="O266" s="2" t="e">
        <f>VLOOKUP(N266,'Bridge matrix'!$D$3:$E$731,2,FALSE)</f>
        <v>#N/A</v>
      </c>
      <c r="Q266" s="18"/>
      <c r="R266" s="80"/>
      <c r="S266" s="80"/>
      <c r="T266" s="80"/>
    </row>
    <row r="267" spans="1:20" x14ac:dyDescent="0.25">
      <c r="A267" s="2" t="s">
        <v>593</v>
      </c>
      <c r="B267" s="2" t="s">
        <v>595</v>
      </c>
      <c r="C267" s="2" t="s">
        <v>598</v>
      </c>
      <c r="D267" s="2" t="s">
        <v>670</v>
      </c>
      <c r="F267" s="2" t="s">
        <v>1984</v>
      </c>
      <c r="G267" s="2" t="str">
        <f t="shared" si="31"/>
        <v>01.1.7.305</v>
      </c>
      <c r="H267" s="83" t="s">
        <v>2018</v>
      </c>
      <c r="I267" s="83" t="str">
        <f t="shared" si="29"/>
        <v>0117305</v>
      </c>
      <c r="J267" s="2" t="s">
        <v>2052</v>
      </c>
      <c r="K267" s="120" t="str">
        <f>IFERROR(VLOOKUP(H267,'Bridge matrix'!$A$3:$E$731,3,FALSE),"no")</f>
        <v>Cebollitas encurtidas</v>
      </c>
      <c r="L267" s="120" t="str">
        <f t="shared" si="27"/>
        <v>Cebollitas encurtidas</v>
      </c>
      <c r="M267" s="120" t="str">
        <f t="shared" si="28"/>
        <v>Cebollitas encurtidas</v>
      </c>
      <c r="N267" s="120" t="str">
        <f t="shared" si="30"/>
        <v>Cebollitas encurtidas</v>
      </c>
      <c r="O267" s="2" t="e">
        <f>VLOOKUP(N267,'Bridge matrix'!$D$3:$E$731,2,FALSE)</f>
        <v>#N/A</v>
      </c>
      <c r="Q267" s="18"/>
      <c r="R267" s="80"/>
      <c r="S267" s="80"/>
      <c r="T267" s="80"/>
    </row>
    <row r="268" spans="1:20" x14ac:dyDescent="0.25">
      <c r="A268" s="2" t="s">
        <v>593</v>
      </c>
      <c r="B268" s="2" t="s">
        <v>595</v>
      </c>
      <c r="C268" s="2" t="s">
        <v>598</v>
      </c>
      <c r="D268" s="2" t="s">
        <v>670</v>
      </c>
      <c r="F268" s="2" t="s">
        <v>1985</v>
      </c>
      <c r="G268" s="2" t="str">
        <f t="shared" si="31"/>
        <v>01.1.7.306</v>
      </c>
      <c r="H268" s="83" t="s">
        <v>2019</v>
      </c>
      <c r="I268" s="83" t="str">
        <f t="shared" si="29"/>
        <v>0117306</v>
      </c>
      <c r="J268" s="2" t="s">
        <v>2053</v>
      </c>
      <c r="K268" s="120" t="str">
        <f>IFERROR(VLOOKUP(H268,'Bridge matrix'!$A$3:$E$731,3,FALSE),"no")</f>
        <v>Choclo enlatado</v>
      </c>
      <c r="L268" s="120" t="str">
        <f t="shared" si="27"/>
        <v>Choclo enlatado</v>
      </c>
      <c r="M268" s="120" t="str">
        <f t="shared" si="28"/>
        <v>Choclo enlatado</v>
      </c>
      <c r="N268" s="120" t="str">
        <f t="shared" si="30"/>
        <v>Choclo enlatado</v>
      </c>
      <c r="O268" s="2" t="e">
        <f>VLOOKUP(N268,'Bridge matrix'!$D$3:$E$731,2,FALSE)</f>
        <v>#N/A</v>
      </c>
      <c r="Q268" s="18"/>
      <c r="R268" s="80"/>
      <c r="S268" s="80"/>
      <c r="T268" s="80"/>
    </row>
    <row r="269" spans="1:20" x14ac:dyDescent="0.25">
      <c r="A269" s="2" t="s">
        <v>593</v>
      </c>
      <c r="B269" s="2" t="s">
        <v>595</v>
      </c>
      <c r="C269" s="2" t="s">
        <v>598</v>
      </c>
      <c r="D269" s="2" t="s">
        <v>670</v>
      </c>
      <c r="F269" s="2" t="s">
        <v>1986</v>
      </c>
      <c r="G269" s="2" t="str">
        <f t="shared" si="31"/>
        <v>01.1.7.307</v>
      </c>
      <c r="H269" s="83" t="s">
        <v>2020</v>
      </c>
      <c r="I269" s="83" t="str">
        <f t="shared" si="29"/>
        <v>0117307</v>
      </c>
      <c r="J269" s="2" t="s">
        <v>2054</v>
      </c>
      <c r="K269" s="120" t="str">
        <f>IFERROR(VLOOKUP(H269,'Bridge matrix'!$A$3:$E$731,3,FALSE),"no")</f>
        <v>Encurtido (varios vegetales en vinagre)</v>
      </c>
      <c r="L269" s="120" t="str">
        <f t="shared" si="27"/>
        <v>Encurtido (varios vegetales en vinagre)</v>
      </c>
      <c r="M269" s="120" t="str">
        <f t="shared" si="28"/>
        <v>Encurtido (varios vegetales en vinagre)</v>
      </c>
      <c r="N269" s="120" t="str">
        <f t="shared" si="30"/>
        <v>Encurtido (varios vegetales en vinagre)</v>
      </c>
      <c r="O269" s="2" t="e">
        <f>VLOOKUP(N269,'Bridge matrix'!$D$3:$E$731,2,FALSE)</f>
        <v>#N/A</v>
      </c>
      <c r="Q269" s="18"/>
      <c r="R269" s="80"/>
      <c r="S269" s="80"/>
      <c r="T269" s="80"/>
    </row>
    <row r="270" spans="1:20" x14ac:dyDescent="0.25">
      <c r="A270" s="2" t="s">
        <v>593</v>
      </c>
      <c r="B270" s="2" t="s">
        <v>595</v>
      </c>
      <c r="C270" s="2" t="s">
        <v>598</v>
      </c>
      <c r="D270" s="2" t="s">
        <v>670</v>
      </c>
      <c r="F270" s="2" t="s">
        <v>1987</v>
      </c>
      <c r="G270" s="2" t="str">
        <f t="shared" si="31"/>
        <v>01.1.7.308</v>
      </c>
      <c r="H270" s="83" t="s">
        <v>2021</v>
      </c>
      <c r="I270" s="83" t="str">
        <f t="shared" si="29"/>
        <v>0117308</v>
      </c>
      <c r="J270" s="2" t="s">
        <v>2055</v>
      </c>
      <c r="K270" s="120" t="str">
        <f>IFERROR(VLOOKUP(H270,'Bridge matrix'!$A$3:$E$731,3,FALSE),"no")</f>
        <v>Espárragos en conserva</v>
      </c>
      <c r="L270" s="120" t="str">
        <f t="shared" si="27"/>
        <v>Espárragos en conserva</v>
      </c>
      <c r="M270" s="120" t="str">
        <f t="shared" si="28"/>
        <v>Espárragos en conserva</v>
      </c>
      <c r="N270" s="120" t="str">
        <f t="shared" si="30"/>
        <v>Espárragos en conserva</v>
      </c>
      <c r="O270" s="2" t="e">
        <f>VLOOKUP(N270,'Bridge matrix'!$D$3:$E$731,2,FALSE)</f>
        <v>#N/A</v>
      </c>
      <c r="Q270" s="18"/>
      <c r="R270" s="80"/>
      <c r="S270" s="80"/>
      <c r="T270" s="80"/>
    </row>
    <row r="271" spans="1:20" x14ac:dyDescent="0.25">
      <c r="A271" s="2" t="s">
        <v>593</v>
      </c>
      <c r="B271" s="2" t="s">
        <v>595</v>
      </c>
      <c r="C271" s="2" t="s">
        <v>598</v>
      </c>
      <c r="D271" s="2" t="s">
        <v>670</v>
      </c>
      <c r="F271" s="2" t="s">
        <v>1988</v>
      </c>
      <c r="G271" s="2" t="str">
        <f t="shared" si="31"/>
        <v>01.1.7.309</v>
      </c>
      <c r="H271" s="83" t="s">
        <v>2022</v>
      </c>
      <c r="I271" s="83" t="str">
        <f t="shared" si="29"/>
        <v>0117309</v>
      </c>
      <c r="J271" s="2" t="s">
        <v>2056</v>
      </c>
      <c r="K271" s="120" t="str">
        <f>IFERROR(VLOOKUP(H271,'Bridge matrix'!$A$3:$E$731,3,FALSE),"no")</f>
        <v>Fréjol en conserva</v>
      </c>
      <c r="L271" s="120" t="str">
        <f t="shared" si="27"/>
        <v>Fréjol en conserva</v>
      </c>
      <c r="M271" s="120" t="str">
        <f t="shared" si="28"/>
        <v>Fréjol en conserva</v>
      </c>
      <c r="N271" s="120" t="str">
        <f t="shared" si="30"/>
        <v>Fréjol en conserva</v>
      </c>
      <c r="O271" s="2" t="e">
        <f>VLOOKUP(N271,'Bridge matrix'!$D$3:$E$731,2,FALSE)</f>
        <v>#N/A</v>
      </c>
      <c r="Q271" s="18"/>
      <c r="R271" s="80"/>
      <c r="S271" s="80"/>
      <c r="T271" s="80"/>
    </row>
    <row r="272" spans="1:20" x14ac:dyDescent="0.25">
      <c r="A272" s="2" t="s">
        <v>593</v>
      </c>
      <c r="B272" s="2" t="s">
        <v>595</v>
      </c>
      <c r="C272" s="2" t="s">
        <v>598</v>
      </c>
      <c r="D272" s="2" t="s">
        <v>670</v>
      </c>
      <c r="F272" s="2" t="s">
        <v>1989</v>
      </c>
      <c r="G272" s="2" t="str">
        <f t="shared" si="31"/>
        <v>01.1.7.310</v>
      </c>
      <c r="H272" s="83" t="s">
        <v>2023</v>
      </c>
      <c r="I272" s="83" t="str">
        <f t="shared" si="29"/>
        <v>0117310</v>
      </c>
      <c r="J272" s="2" t="s">
        <v>2057</v>
      </c>
      <c r="K272" s="120" t="str">
        <f>IFERROR(VLOOKUP(H272,'Bridge matrix'!$A$3:$E$731,3,FALSE),"no")</f>
        <v>Fréjol seco (porotos)</v>
      </c>
      <c r="L272" s="120" t="str">
        <f t="shared" si="27"/>
        <v>Fréjol seco (porotos)</v>
      </c>
      <c r="M272" s="120" t="str">
        <f t="shared" si="28"/>
        <v>Fréjol seco (porotos)</v>
      </c>
      <c r="N272" s="120" t="str">
        <f t="shared" si="30"/>
        <v>Fréjol seco (porotos)</v>
      </c>
      <c r="O272" s="2" t="e">
        <f>VLOOKUP(N272,'Bridge matrix'!$D$3:$E$731,2,FALSE)</f>
        <v>#N/A</v>
      </c>
      <c r="Q272" s="18"/>
      <c r="R272" s="80"/>
      <c r="S272" s="80"/>
      <c r="T272" s="80"/>
    </row>
    <row r="273" spans="1:20" x14ac:dyDescent="0.25">
      <c r="A273" s="2" t="s">
        <v>593</v>
      </c>
      <c r="B273" s="2" t="s">
        <v>595</v>
      </c>
      <c r="C273" s="2" t="s">
        <v>598</v>
      </c>
      <c r="D273" s="2" t="s">
        <v>670</v>
      </c>
      <c r="F273" s="2" t="s">
        <v>1990</v>
      </c>
      <c r="G273" s="2" t="str">
        <f t="shared" si="31"/>
        <v>01.1.7.311</v>
      </c>
      <c r="H273" s="83" t="s">
        <v>2024</v>
      </c>
      <c r="I273" s="83" t="str">
        <f t="shared" si="29"/>
        <v>0117311</v>
      </c>
      <c r="J273" s="2" t="s">
        <v>2058</v>
      </c>
      <c r="K273" s="120" t="str">
        <f>IFERROR(VLOOKUP(H273,'Bridge matrix'!$A$3:$E$731,3,FALSE),"no")</f>
        <v>Garbanzo seco</v>
      </c>
      <c r="L273" s="120" t="str">
        <f t="shared" si="27"/>
        <v>Garbanzo seco</v>
      </c>
      <c r="M273" s="120" t="str">
        <f t="shared" si="28"/>
        <v>Garbanzo seco</v>
      </c>
      <c r="N273" s="120" t="str">
        <f t="shared" si="30"/>
        <v>Garbanzo seco</v>
      </c>
      <c r="O273" s="2" t="e">
        <f>VLOOKUP(N273,'Bridge matrix'!$D$3:$E$731,2,FALSE)</f>
        <v>#N/A</v>
      </c>
      <c r="Q273" s="18"/>
      <c r="R273" s="80"/>
      <c r="S273" s="80"/>
      <c r="T273" s="80"/>
    </row>
    <row r="274" spans="1:20" x14ac:dyDescent="0.25">
      <c r="A274" s="2" t="s">
        <v>593</v>
      </c>
      <c r="B274" s="2" t="s">
        <v>595</v>
      </c>
      <c r="C274" s="2" t="s">
        <v>598</v>
      </c>
      <c r="D274" s="2" t="s">
        <v>670</v>
      </c>
      <c r="F274" s="2" t="s">
        <v>1991</v>
      </c>
      <c r="G274" s="2" t="str">
        <f t="shared" si="31"/>
        <v>01.1.7.312</v>
      </c>
      <c r="H274" s="83" t="s">
        <v>2025</v>
      </c>
      <c r="I274" s="83" t="str">
        <f t="shared" si="29"/>
        <v>0117312</v>
      </c>
      <c r="J274" s="2" t="s">
        <v>2059</v>
      </c>
      <c r="K274" s="120" t="str">
        <f>IFERROR(VLOOKUP(H274,'Bridge matrix'!$A$3:$E$731,3,FALSE),"no")</f>
        <v>Garbanzos enlatados</v>
      </c>
      <c r="L274" s="120" t="str">
        <f t="shared" si="27"/>
        <v>Garbanzos enlatados</v>
      </c>
      <c r="M274" s="120" t="str">
        <f t="shared" si="28"/>
        <v>Garbanzos enlatados</v>
      </c>
      <c r="N274" s="120" t="str">
        <f t="shared" si="30"/>
        <v>Garbanzos enlatados</v>
      </c>
      <c r="O274" s="2" t="e">
        <f>VLOOKUP(N274,'Bridge matrix'!$D$3:$E$731,2,FALSE)</f>
        <v>#N/A</v>
      </c>
      <c r="Q274" s="18"/>
      <c r="R274" s="80"/>
      <c r="S274" s="80"/>
      <c r="T274" s="80"/>
    </row>
    <row r="275" spans="1:20" x14ac:dyDescent="0.25">
      <c r="A275" s="2" t="s">
        <v>593</v>
      </c>
      <c r="B275" s="2" t="s">
        <v>595</v>
      </c>
      <c r="C275" s="2" t="s">
        <v>598</v>
      </c>
      <c r="D275" s="2" t="s">
        <v>670</v>
      </c>
      <c r="F275" s="2" t="s">
        <v>1992</v>
      </c>
      <c r="G275" s="2" t="str">
        <f t="shared" si="31"/>
        <v>01.1.7.313</v>
      </c>
      <c r="H275" s="83" t="s">
        <v>2026</v>
      </c>
      <c r="I275" s="83" t="str">
        <f t="shared" si="29"/>
        <v>0117313</v>
      </c>
      <c r="J275" s="2" t="s">
        <v>2060</v>
      </c>
      <c r="K275" s="120" t="str">
        <f>IFERROR(VLOOKUP(H275,'Bridge matrix'!$A$3:$E$731,3,FALSE),"no")</f>
        <v>Habas enlatadas</v>
      </c>
      <c r="L275" s="120" t="str">
        <f t="shared" si="27"/>
        <v>Habas enlatadas</v>
      </c>
      <c r="M275" s="120" t="str">
        <f t="shared" si="28"/>
        <v>Habas enlatadas</v>
      </c>
      <c r="N275" s="120" t="str">
        <f t="shared" si="30"/>
        <v>Habas enlatadas</v>
      </c>
      <c r="O275" s="2" t="e">
        <f>VLOOKUP(N275,'Bridge matrix'!$D$3:$E$731,2,FALSE)</f>
        <v>#N/A</v>
      </c>
      <c r="Q275" s="18"/>
      <c r="R275" s="80"/>
      <c r="S275" s="80"/>
      <c r="T275" s="80"/>
    </row>
    <row r="276" spans="1:20" x14ac:dyDescent="0.25">
      <c r="A276" s="2" t="s">
        <v>593</v>
      </c>
      <c r="B276" s="2" t="s">
        <v>595</v>
      </c>
      <c r="C276" s="2" t="s">
        <v>598</v>
      </c>
      <c r="D276" s="2" t="s">
        <v>670</v>
      </c>
      <c r="F276" s="2" t="s">
        <v>1993</v>
      </c>
      <c r="G276" s="2" t="str">
        <f t="shared" si="31"/>
        <v>01.1.7.314</v>
      </c>
      <c r="H276" s="83" t="s">
        <v>2027</v>
      </c>
      <c r="I276" s="83" t="str">
        <f t="shared" si="29"/>
        <v>0117314</v>
      </c>
      <c r="J276" s="2" t="s">
        <v>2061</v>
      </c>
      <c r="K276" s="120" t="str">
        <f>IFERROR(VLOOKUP(H276,'Bridge matrix'!$A$3:$E$731,3,FALSE),"no")</f>
        <v>Habas secas</v>
      </c>
      <c r="L276" s="120" t="str">
        <f t="shared" si="27"/>
        <v>Habas secas</v>
      </c>
      <c r="M276" s="120" t="str">
        <f t="shared" si="28"/>
        <v>Habas secas</v>
      </c>
      <c r="N276" s="120" t="str">
        <f t="shared" si="30"/>
        <v>Habas secas</v>
      </c>
      <c r="O276" s="2" t="e">
        <f>VLOOKUP(N276,'Bridge matrix'!$D$3:$E$731,2,FALSE)</f>
        <v>#N/A</v>
      </c>
      <c r="Q276" s="18"/>
      <c r="R276" s="80"/>
      <c r="S276" s="80"/>
      <c r="T276" s="80"/>
    </row>
    <row r="277" spans="1:20" x14ac:dyDescent="0.25">
      <c r="A277" s="2" t="s">
        <v>593</v>
      </c>
      <c r="B277" s="2" t="s">
        <v>595</v>
      </c>
      <c r="C277" s="2" t="s">
        <v>598</v>
      </c>
      <c r="D277" s="2" t="s">
        <v>670</v>
      </c>
      <c r="F277" s="2" t="s">
        <v>1994</v>
      </c>
      <c r="G277" s="2" t="str">
        <f t="shared" si="31"/>
        <v>01.1.7.315</v>
      </c>
      <c r="H277" s="83" t="s">
        <v>2028</v>
      </c>
      <c r="I277" s="83" t="str">
        <f t="shared" si="29"/>
        <v>0117315</v>
      </c>
      <c r="J277" s="2" t="s">
        <v>2062</v>
      </c>
      <c r="K277" s="120" t="str">
        <f>IFERROR(VLOOKUP(H277,'Bridge matrix'!$A$3:$E$731,3,FALSE),"no")</f>
        <v>Harina de arveja</v>
      </c>
      <c r="L277" s="120" t="str">
        <f t="shared" si="27"/>
        <v>Harina de arveja</v>
      </c>
      <c r="M277" s="120" t="str">
        <f t="shared" si="28"/>
        <v>Harina de arveja</v>
      </c>
      <c r="N277" s="120" t="str">
        <f t="shared" si="30"/>
        <v>Harina de arveja</v>
      </c>
      <c r="O277" s="2" t="e">
        <f>VLOOKUP(N277,'Bridge matrix'!$D$3:$E$731,2,FALSE)</f>
        <v>#N/A</v>
      </c>
      <c r="Q277" s="18"/>
      <c r="R277" s="80"/>
      <c r="S277" s="80"/>
      <c r="T277" s="80"/>
    </row>
    <row r="278" spans="1:20" x14ac:dyDescent="0.25">
      <c r="A278" s="2" t="s">
        <v>593</v>
      </c>
      <c r="B278" s="2" t="s">
        <v>595</v>
      </c>
      <c r="C278" s="2" t="s">
        <v>598</v>
      </c>
      <c r="D278" s="2" t="s">
        <v>670</v>
      </c>
      <c r="F278" s="2" t="s">
        <v>1995</v>
      </c>
      <c r="G278" s="2" t="str">
        <f t="shared" si="31"/>
        <v>01.1.7.316</v>
      </c>
      <c r="H278" s="83" t="s">
        <v>2029</v>
      </c>
      <c r="I278" s="83" t="str">
        <f t="shared" si="29"/>
        <v>0117316</v>
      </c>
      <c r="J278" s="2" t="s">
        <v>2063</v>
      </c>
      <c r="K278" s="120" t="str">
        <f>IFERROR(VLOOKUP(H278,'Bridge matrix'!$A$3:$E$731,3,FALSE),"no")</f>
        <v>Harina de haba</v>
      </c>
      <c r="L278" s="120" t="str">
        <f t="shared" si="27"/>
        <v>Harina de haba</v>
      </c>
      <c r="M278" s="120" t="str">
        <f t="shared" si="28"/>
        <v>Harina de haba</v>
      </c>
      <c r="N278" s="120" t="str">
        <f t="shared" si="30"/>
        <v>Harina de haba</v>
      </c>
      <c r="O278" s="2" t="e">
        <f>VLOOKUP(N278,'Bridge matrix'!$D$3:$E$731,2,FALSE)</f>
        <v>#N/A</v>
      </c>
      <c r="Q278" s="18"/>
      <c r="R278" s="80"/>
      <c r="S278" s="80"/>
      <c r="T278" s="80"/>
    </row>
    <row r="279" spans="1:20" x14ac:dyDescent="0.25">
      <c r="A279" s="2" t="s">
        <v>593</v>
      </c>
      <c r="B279" s="2" t="s">
        <v>595</v>
      </c>
      <c r="C279" s="2" t="s">
        <v>598</v>
      </c>
      <c r="D279" s="2" t="s">
        <v>670</v>
      </c>
      <c r="F279" s="2" t="s">
        <v>1996</v>
      </c>
      <c r="G279" s="2" t="str">
        <f t="shared" si="31"/>
        <v>01.1.7.317</v>
      </c>
      <c r="H279" s="83" t="s">
        <v>2030</v>
      </c>
      <c r="I279" s="83" t="str">
        <f t="shared" si="29"/>
        <v>0117317</v>
      </c>
      <c r="J279" s="2" t="s">
        <v>2064</v>
      </c>
      <c r="K279" s="120" t="str">
        <f>IFERROR(VLOOKUP(H279,'Bridge matrix'!$A$3:$E$731,3,FALSE),"no")</f>
        <v>Harina de soya</v>
      </c>
      <c r="L279" s="120" t="str">
        <f t="shared" si="27"/>
        <v>Harina de soya</v>
      </c>
      <c r="M279" s="120" t="str">
        <f t="shared" si="28"/>
        <v>Harina de soya</v>
      </c>
      <c r="N279" s="120" t="str">
        <f t="shared" si="30"/>
        <v>Harina de soya</v>
      </c>
      <c r="O279" s="2" t="e">
        <f>VLOOKUP(N279,'Bridge matrix'!$D$3:$E$731,2,FALSE)</f>
        <v>#N/A</v>
      </c>
      <c r="Q279" s="18"/>
      <c r="R279" s="80"/>
      <c r="S279" s="80"/>
      <c r="T279" s="80"/>
    </row>
    <row r="280" spans="1:20" x14ac:dyDescent="0.25">
      <c r="A280" s="2" t="s">
        <v>593</v>
      </c>
      <c r="B280" s="2" t="s">
        <v>595</v>
      </c>
      <c r="C280" s="2" t="s">
        <v>598</v>
      </c>
      <c r="D280" s="2" t="s">
        <v>670</v>
      </c>
      <c r="F280" s="2" t="s">
        <v>1997</v>
      </c>
      <c r="G280" s="2" t="str">
        <f t="shared" si="31"/>
        <v>01.1.7.318</v>
      </c>
      <c r="H280" s="83" t="s">
        <v>2031</v>
      </c>
      <c r="I280" s="83" t="str">
        <f t="shared" si="29"/>
        <v>0117318</v>
      </c>
      <c r="J280" s="2" t="s">
        <v>2065</v>
      </c>
      <c r="K280" s="120" t="str">
        <f>IFERROR(VLOOKUP(H280,'Bridge matrix'!$A$3:$E$731,3,FALSE),"no")</f>
        <v>Hongos en conserva (champiñones)</v>
      </c>
      <c r="L280" s="120" t="str">
        <f t="shared" si="27"/>
        <v>Hongos en conserva (champiñones)</v>
      </c>
      <c r="M280" s="120" t="str">
        <f t="shared" si="28"/>
        <v>Hongos en conserva (champiñones)</v>
      </c>
      <c r="N280" s="120" t="str">
        <f t="shared" si="30"/>
        <v>Hongos en conserva (champiñones)</v>
      </c>
      <c r="O280" s="2" t="e">
        <f>VLOOKUP(N280,'Bridge matrix'!$D$3:$E$731,2,FALSE)</f>
        <v>#N/A</v>
      </c>
      <c r="Q280" s="18"/>
      <c r="R280" s="80"/>
      <c r="S280" s="80"/>
      <c r="T280" s="80"/>
    </row>
    <row r="281" spans="1:20" x14ac:dyDescent="0.25">
      <c r="A281" s="2" t="s">
        <v>593</v>
      </c>
      <c r="B281" s="2" t="s">
        <v>595</v>
      </c>
      <c r="C281" s="2" t="s">
        <v>598</v>
      </c>
      <c r="D281" s="2" t="s">
        <v>670</v>
      </c>
      <c r="F281" s="2" t="s">
        <v>1998</v>
      </c>
      <c r="G281" s="2" t="str">
        <f t="shared" si="31"/>
        <v>01.1.7.319</v>
      </c>
      <c r="H281" s="83" t="s">
        <v>2032</v>
      </c>
      <c r="I281" s="83" t="str">
        <f t="shared" si="29"/>
        <v>0117319</v>
      </c>
      <c r="J281" s="2" t="s">
        <v>2066</v>
      </c>
      <c r="K281" s="120" t="str">
        <f>IFERROR(VLOOKUP(H281,'Bridge matrix'!$A$3:$E$731,3,FALSE),"no")</f>
        <v>Hongos secos (champiñones)</v>
      </c>
      <c r="L281" s="120" t="str">
        <f t="shared" si="27"/>
        <v>Hongos secos (champiñones)</v>
      </c>
      <c r="M281" s="120" t="str">
        <f t="shared" si="28"/>
        <v>Hongos secos (champiñones)</v>
      </c>
      <c r="N281" s="120" t="str">
        <f t="shared" si="30"/>
        <v>Hongos secos (champiñones)</v>
      </c>
      <c r="O281" s="2" t="e">
        <f>VLOOKUP(N281,'Bridge matrix'!$D$3:$E$731,2,FALSE)</f>
        <v>#N/A</v>
      </c>
      <c r="Q281" s="18"/>
      <c r="R281" s="80"/>
      <c r="S281" s="80"/>
      <c r="T281" s="80"/>
    </row>
    <row r="282" spans="1:20" x14ac:dyDescent="0.25">
      <c r="A282" s="2" t="s">
        <v>593</v>
      </c>
      <c r="B282" s="2" t="s">
        <v>595</v>
      </c>
      <c r="C282" s="2" t="s">
        <v>598</v>
      </c>
      <c r="D282" s="2" t="s">
        <v>670</v>
      </c>
      <c r="F282" s="2" t="s">
        <v>1999</v>
      </c>
      <c r="G282" s="2" t="str">
        <f t="shared" si="31"/>
        <v>01.1.7.320</v>
      </c>
      <c r="H282" s="83" t="s">
        <v>2033</v>
      </c>
      <c r="I282" s="83" t="str">
        <f t="shared" si="29"/>
        <v>0117320</v>
      </c>
      <c r="J282" s="2" t="s">
        <v>583</v>
      </c>
      <c r="K282" s="120" t="str">
        <f>IFERROR(VLOOKUP(H282,'Bridge matrix'!$A$3:$E$731,3,FALSE),"no")</f>
        <v>Lenteja</v>
      </c>
      <c r="L282" s="120" t="str">
        <f t="shared" si="27"/>
        <v>Lenteja</v>
      </c>
      <c r="M282" s="120" t="str">
        <f t="shared" si="28"/>
        <v>Lenteja</v>
      </c>
      <c r="N282" s="120" t="str">
        <f t="shared" si="30"/>
        <v>Lenteja</v>
      </c>
      <c r="O282" s="2" t="e">
        <f>VLOOKUP(N282,'Bridge matrix'!$D$3:$E$731,2,FALSE)</f>
        <v>#N/A</v>
      </c>
      <c r="Q282" s="18"/>
      <c r="R282" s="80"/>
      <c r="S282" s="80"/>
      <c r="T282" s="80"/>
    </row>
    <row r="283" spans="1:20" x14ac:dyDescent="0.25">
      <c r="A283" s="2" t="s">
        <v>593</v>
      </c>
      <c r="B283" s="2" t="s">
        <v>595</v>
      </c>
      <c r="C283" s="2" t="s">
        <v>598</v>
      </c>
      <c r="D283" s="2" t="s">
        <v>670</v>
      </c>
      <c r="F283" s="2" t="s">
        <v>2000</v>
      </c>
      <c r="G283" s="2" t="str">
        <f t="shared" si="31"/>
        <v>01.1.7.321</v>
      </c>
      <c r="H283" s="83" t="s">
        <v>2034</v>
      </c>
      <c r="I283" s="83" t="str">
        <f t="shared" si="29"/>
        <v>0117321</v>
      </c>
      <c r="J283" s="2" t="s">
        <v>2067</v>
      </c>
      <c r="K283" s="120" t="str">
        <f>IFERROR(VLOOKUP(H283,'Bridge matrix'!$A$3:$E$731,3,FALSE),"no")</f>
        <v>Lenteja en conserva</v>
      </c>
      <c r="L283" s="120" t="str">
        <f t="shared" si="27"/>
        <v>Lenteja en conserva</v>
      </c>
      <c r="M283" s="120" t="str">
        <f t="shared" si="28"/>
        <v>Lenteja en conserva</v>
      </c>
      <c r="N283" s="120" t="str">
        <f t="shared" si="30"/>
        <v>Lenteja en conserva</v>
      </c>
      <c r="O283" s="2" t="e">
        <f>VLOOKUP(N283,'Bridge matrix'!$D$3:$E$731,2,FALSE)</f>
        <v>#N/A</v>
      </c>
      <c r="Q283" s="18"/>
      <c r="R283" s="80"/>
      <c r="S283" s="80"/>
      <c r="T283" s="80"/>
    </row>
    <row r="284" spans="1:20" x14ac:dyDescent="0.25">
      <c r="A284" s="2" t="s">
        <v>593</v>
      </c>
      <c r="B284" s="2" t="s">
        <v>595</v>
      </c>
      <c r="C284" s="2" t="s">
        <v>598</v>
      </c>
      <c r="D284" s="2" t="s">
        <v>670</v>
      </c>
      <c r="F284" s="2" t="s">
        <v>2001</v>
      </c>
      <c r="G284" s="2" t="str">
        <f t="shared" si="31"/>
        <v>01.1.7.322</v>
      </c>
      <c r="H284" s="83" t="s">
        <v>2035</v>
      </c>
      <c r="I284" s="83" t="str">
        <f t="shared" si="29"/>
        <v>0117322</v>
      </c>
      <c r="J284" s="2" t="s">
        <v>2068</v>
      </c>
      <c r="K284" s="120" t="str">
        <f>IFERROR(VLOOKUP(H284,'Bridge matrix'!$A$3:$E$731,3,FALSE),"no")</f>
        <v>Menestra de fréjol</v>
      </c>
      <c r="L284" s="120" t="str">
        <f t="shared" si="27"/>
        <v>Menestra de fréjol</v>
      </c>
      <c r="M284" s="120" t="str">
        <f t="shared" si="28"/>
        <v>Menestra de fréjol</v>
      </c>
      <c r="N284" s="120" t="str">
        <f t="shared" si="30"/>
        <v>Menestra de fréjol</v>
      </c>
      <c r="O284" s="2" t="e">
        <f>VLOOKUP(N284,'Bridge matrix'!$D$3:$E$731,2,FALSE)</f>
        <v>#N/A</v>
      </c>
      <c r="Q284" s="18"/>
      <c r="R284" s="80"/>
      <c r="S284" s="80"/>
      <c r="T284" s="80"/>
    </row>
    <row r="285" spans="1:20" x14ac:dyDescent="0.25">
      <c r="A285" s="2" t="s">
        <v>593</v>
      </c>
      <c r="B285" s="2" t="s">
        <v>595</v>
      </c>
      <c r="C285" s="2" t="s">
        <v>598</v>
      </c>
      <c r="D285" s="2" t="s">
        <v>670</v>
      </c>
      <c r="F285" s="2" t="s">
        <v>2002</v>
      </c>
      <c r="G285" s="2" t="str">
        <f t="shared" si="31"/>
        <v>01.1.7.323</v>
      </c>
      <c r="H285" s="83" t="s">
        <v>2036</v>
      </c>
      <c r="I285" s="83" t="str">
        <f t="shared" si="29"/>
        <v>0117323</v>
      </c>
      <c r="J285" s="2" t="s">
        <v>2069</v>
      </c>
      <c r="K285" s="120" t="str">
        <f>IFERROR(VLOOKUP(H285,'Bridge matrix'!$A$3:$E$731,3,FALSE),"no")</f>
        <v>Menestra de lenteja</v>
      </c>
      <c r="L285" s="120" t="str">
        <f t="shared" si="27"/>
        <v>Menestra de lenteja</v>
      </c>
      <c r="M285" s="120" t="str">
        <f t="shared" si="28"/>
        <v>Menestra de lenteja</v>
      </c>
      <c r="N285" s="120" t="str">
        <f t="shared" si="30"/>
        <v>Menestra de lenteja</v>
      </c>
      <c r="O285" s="2" t="e">
        <f>VLOOKUP(N285,'Bridge matrix'!$D$3:$E$731,2,FALSE)</f>
        <v>#N/A</v>
      </c>
      <c r="Q285" s="18"/>
      <c r="R285" s="80"/>
      <c r="S285" s="80"/>
      <c r="T285" s="80"/>
    </row>
    <row r="286" spans="1:20" x14ac:dyDescent="0.25">
      <c r="A286" s="2" t="s">
        <v>593</v>
      </c>
      <c r="B286" s="2" t="s">
        <v>595</v>
      </c>
      <c r="C286" s="2" t="s">
        <v>598</v>
      </c>
      <c r="D286" s="2" t="s">
        <v>670</v>
      </c>
      <c r="F286" s="2" t="s">
        <v>2003</v>
      </c>
      <c r="G286" s="2" t="str">
        <f t="shared" si="31"/>
        <v>01.1.7.324</v>
      </c>
      <c r="H286" s="83" t="s">
        <v>2037</v>
      </c>
      <c r="I286" s="83" t="str">
        <f t="shared" si="29"/>
        <v>0117324</v>
      </c>
      <c r="J286" s="2" t="s">
        <v>2070</v>
      </c>
      <c r="K286" s="120" t="str">
        <f>IFERROR(VLOOKUP(H286,'Bridge matrix'!$A$3:$E$731,3,FALSE),"no")</f>
        <v>Mote cocinado</v>
      </c>
      <c r="L286" s="120" t="str">
        <f t="shared" si="27"/>
        <v>Mote cocinado</v>
      </c>
      <c r="M286" s="120" t="str">
        <f t="shared" si="28"/>
        <v>Mote cocinado</v>
      </c>
      <c r="N286" s="120" t="str">
        <f t="shared" si="30"/>
        <v>Mote cocinado</v>
      </c>
      <c r="O286" s="2" t="e">
        <f>VLOOKUP(N286,'Bridge matrix'!$D$3:$E$731,2,FALSE)</f>
        <v>#N/A</v>
      </c>
      <c r="Q286" s="18"/>
      <c r="R286" s="80"/>
      <c r="S286" s="80"/>
      <c r="T286" s="80"/>
    </row>
    <row r="287" spans="1:20" x14ac:dyDescent="0.25">
      <c r="A287" s="2" t="s">
        <v>593</v>
      </c>
      <c r="B287" s="2" t="s">
        <v>595</v>
      </c>
      <c r="C287" s="2" t="s">
        <v>598</v>
      </c>
      <c r="D287" s="2" t="s">
        <v>670</v>
      </c>
      <c r="F287" s="2" t="s">
        <v>2004</v>
      </c>
      <c r="G287" s="2" t="str">
        <f t="shared" si="31"/>
        <v>01.1.7.325</v>
      </c>
      <c r="H287" s="83" t="s">
        <v>2038</v>
      </c>
      <c r="I287" s="83" t="str">
        <f t="shared" si="29"/>
        <v>0117325</v>
      </c>
      <c r="J287" s="2" t="s">
        <v>2071</v>
      </c>
      <c r="K287" s="120" t="str">
        <f>IFERROR(VLOOKUP(H287,'Bridge matrix'!$A$3:$E$731,3,FALSE),"no")</f>
        <v>Pepinillo agridulce</v>
      </c>
      <c r="L287" s="120" t="str">
        <f t="shared" si="27"/>
        <v>Pepinillo agridulce</v>
      </c>
      <c r="M287" s="120" t="str">
        <f t="shared" si="28"/>
        <v>Pepinillo agridulce</v>
      </c>
      <c r="N287" s="120" t="str">
        <f t="shared" si="30"/>
        <v>Pepinillo agridulce</v>
      </c>
      <c r="O287" s="2" t="e">
        <f>VLOOKUP(N287,'Bridge matrix'!$D$3:$E$731,2,FALSE)</f>
        <v>#N/A</v>
      </c>
      <c r="Q287" s="18"/>
      <c r="R287" s="80"/>
      <c r="S287" s="80"/>
      <c r="T287" s="80"/>
    </row>
    <row r="288" spans="1:20" x14ac:dyDescent="0.25">
      <c r="A288" s="2" t="s">
        <v>593</v>
      </c>
      <c r="B288" s="2" t="s">
        <v>595</v>
      </c>
      <c r="C288" s="2" t="s">
        <v>598</v>
      </c>
      <c r="D288" s="2" t="s">
        <v>670</v>
      </c>
      <c r="F288" s="2" t="s">
        <v>2005</v>
      </c>
      <c r="G288" s="2" t="str">
        <f t="shared" si="31"/>
        <v>01.1.7.326</v>
      </c>
      <c r="H288" s="83" t="s">
        <v>2039</v>
      </c>
      <c r="I288" s="83" t="str">
        <f t="shared" si="29"/>
        <v>0117326</v>
      </c>
      <c r="J288" s="2" t="s">
        <v>548</v>
      </c>
      <c r="K288" s="120" t="str">
        <f>IFERROR(VLOOKUP(H288,'Bridge matrix'!$A$3:$E$731,3,FALSE),"no")</f>
        <v>Soya</v>
      </c>
      <c r="L288" s="120" t="str">
        <f t="shared" si="27"/>
        <v>Soya</v>
      </c>
      <c r="M288" s="120" t="str">
        <f t="shared" si="28"/>
        <v>Soya</v>
      </c>
      <c r="N288" s="120" t="str">
        <f t="shared" si="30"/>
        <v>Soya</v>
      </c>
      <c r="O288" s="2" t="e">
        <f>VLOOKUP(N288,'Bridge matrix'!$D$3:$E$731,2,FALSE)</f>
        <v>#N/A</v>
      </c>
      <c r="Q288" s="18"/>
      <c r="R288" s="80"/>
      <c r="S288" s="80"/>
      <c r="T288" s="80"/>
    </row>
    <row r="289" spans="1:20" x14ac:dyDescent="0.25">
      <c r="A289" s="2" t="s">
        <v>593</v>
      </c>
      <c r="B289" s="2" t="s">
        <v>595</v>
      </c>
      <c r="C289" s="2" t="s">
        <v>598</v>
      </c>
      <c r="D289" s="2" t="s">
        <v>670</v>
      </c>
      <c r="F289" s="2" t="s">
        <v>2006</v>
      </c>
      <c r="G289" s="2" t="str">
        <f t="shared" si="31"/>
        <v>01.1.7.327</v>
      </c>
      <c r="H289" s="83" t="s">
        <v>2040</v>
      </c>
      <c r="I289" s="83" t="str">
        <f t="shared" si="29"/>
        <v>0117327</v>
      </c>
      <c r="J289" s="2" t="s">
        <v>2072</v>
      </c>
      <c r="K289" s="120" t="str">
        <f>IFERROR(VLOOKUP(H289,'Bridge matrix'!$A$3:$E$731,3,FALSE),"no")</f>
        <v>Tomate natural en conserva</v>
      </c>
      <c r="L289" s="120" t="str">
        <f t="shared" si="27"/>
        <v>Tomate natural en conserva</v>
      </c>
      <c r="M289" s="120" t="str">
        <f t="shared" si="28"/>
        <v>Tomate natural en conserva</v>
      </c>
      <c r="N289" s="120" t="str">
        <f t="shared" si="30"/>
        <v>Tomate natural en conserva</v>
      </c>
      <c r="O289" s="2" t="e">
        <f>VLOOKUP(N289,'Bridge matrix'!$D$3:$E$731,2,FALSE)</f>
        <v>#N/A</v>
      </c>
      <c r="Q289" s="18"/>
      <c r="R289" s="80"/>
      <c r="S289" s="80"/>
      <c r="T289" s="80"/>
    </row>
    <row r="290" spans="1:20" x14ac:dyDescent="0.25">
      <c r="A290" s="2" t="s">
        <v>593</v>
      </c>
      <c r="B290" s="2" t="s">
        <v>595</v>
      </c>
      <c r="C290" s="2" t="s">
        <v>598</v>
      </c>
      <c r="D290" s="2" t="s">
        <v>670</v>
      </c>
      <c r="F290" s="2" t="s">
        <v>2007</v>
      </c>
      <c r="G290" s="2" t="str">
        <f t="shared" si="31"/>
        <v>01.1.7.328</v>
      </c>
      <c r="H290" s="83" t="s">
        <v>2041</v>
      </c>
      <c r="I290" s="83" t="str">
        <f t="shared" si="29"/>
        <v>0117328</v>
      </c>
      <c r="J290" s="2" t="s">
        <v>2073</v>
      </c>
      <c r="K290" s="120" t="str">
        <f>IFERROR(VLOOKUP(H290,'Bridge matrix'!$A$3:$E$731,3,FALSE),"no")</f>
        <v>Vainitas en conserva</v>
      </c>
      <c r="L290" s="120" t="str">
        <f t="shared" si="27"/>
        <v>Vainitas en conserva</v>
      </c>
      <c r="M290" s="120" t="str">
        <f t="shared" si="28"/>
        <v>Vainitas en conserva</v>
      </c>
      <c r="N290" s="120" t="str">
        <f t="shared" si="30"/>
        <v>Vainitas en conserva</v>
      </c>
      <c r="O290" s="2" t="e">
        <f>VLOOKUP(N290,'Bridge matrix'!$D$3:$E$731,2,FALSE)</f>
        <v>#N/A</v>
      </c>
      <c r="Q290" s="18"/>
      <c r="R290" s="80"/>
      <c r="S290" s="80"/>
      <c r="T290" s="80"/>
    </row>
    <row r="291" spans="1:20" x14ac:dyDescent="0.25">
      <c r="A291" s="2" t="s">
        <v>593</v>
      </c>
      <c r="B291" s="2" t="s">
        <v>595</v>
      </c>
      <c r="C291" s="2" t="s">
        <v>598</v>
      </c>
      <c r="D291" s="2" t="s">
        <v>670</v>
      </c>
      <c r="F291" s="2" t="s">
        <v>2008</v>
      </c>
      <c r="G291" s="2" t="str">
        <f t="shared" si="31"/>
        <v>01.1.7.329</v>
      </c>
      <c r="H291" s="83" t="s">
        <v>2042</v>
      </c>
      <c r="I291" s="83" t="str">
        <f t="shared" si="29"/>
        <v>0117329</v>
      </c>
      <c r="J291" s="2" t="s">
        <v>2074</v>
      </c>
      <c r="K291" s="120" t="str">
        <f>IFERROR(VLOOKUP(H291,'Bridge matrix'!$A$3:$E$731,3,FALSE),"no")</f>
        <v>Vegetales mixtos en conserva</v>
      </c>
      <c r="L291" s="120" t="str">
        <f t="shared" si="27"/>
        <v>Vegetales mixtos en conserva</v>
      </c>
      <c r="M291" s="120" t="str">
        <f t="shared" si="28"/>
        <v>Vegetales mixtos en conserva</v>
      </c>
      <c r="N291" s="120" t="str">
        <f t="shared" si="30"/>
        <v>Vegetales mixtos en conserva</v>
      </c>
      <c r="O291" s="2" t="e">
        <f>VLOOKUP(N291,'Bridge matrix'!$D$3:$E$731,2,FALSE)</f>
        <v>#N/A</v>
      </c>
      <c r="Q291" s="18"/>
      <c r="R291" s="80"/>
      <c r="S291" s="80"/>
      <c r="T291" s="80"/>
    </row>
    <row r="292" spans="1:20" x14ac:dyDescent="0.25">
      <c r="A292" s="2" t="s">
        <v>593</v>
      </c>
      <c r="B292" s="2" t="s">
        <v>595</v>
      </c>
      <c r="C292" s="2" t="s">
        <v>598</v>
      </c>
      <c r="D292" s="2" t="s">
        <v>670</v>
      </c>
      <c r="F292" s="2" t="s">
        <v>2009</v>
      </c>
      <c r="G292" s="2" t="str">
        <f t="shared" si="31"/>
        <v>01.1.7.330</v>
      </c>
      <c r="H292" s="83" t="s">
        <v>2043</v>
      </c>
      <c r="I292" s="83" t="str">
        <f t="shared" si="29"/>
        <v>0117330</v>
      </c>
      <c r="J292" s="2" t="s">
        <v>2075</v>
      </c>
      <c r="K292" s="120" t="str">
        <f>IFERROR(VLOOKUP(H292,'Bridge matrix'!$A$3:$E$731,3,FALSE),"no")</f>
        <v>Verduras, hortalizas, leguminosas, cocinadas</v>
      </c>
      <c r="L292" s="120" t="str">
        <f t="shared" si="27"/>
        <v>Verduras, hortalizas, leguminosas, cocinadas</v>
      </c>
      <c r="M292" s="120" t="str">
        <f t="shared" si="28"/>
        <v>Verduras, hortalizas, leguminosas, cocinadas</v>
      </c>
      <c r="N292" s="120" t="str">
        <f t="shared" si="30"/>
        <v>Verduras, hortalizas, leguminosas, cocinadas</v>
      </c>
      <c r="O292" s="2" t="e">
        <f>VLOOKUP(N292,'Bridge matrix'!$D$3:$E$731,2,FALSE)</f>
        <v>#N/A</v>
      </c>
      <c r="Q292" s="18"/>
      <c r="R292" s="80"/>
      <c r="S292" s="80"/>
      <c r="T292" s="80"/>
    </row>
    <row r="293" spans="1:20" x14ac:dyDescent="0.25">
      <c r="A293" s="2" t="s">
        <v>593</v>
      </c>
      <c r="B293" s="2" t="s">
        <v>595</v>
      </c>
      <c r="C293" s="2" t="s">
        <v>598</v>
      </c>
      <c r="D293" s="2" t="s">
        <v>670</v>
      </c>
      <c r="F293" s="2" t="s">
        <v>2010</v>
      </c>
      <c r="G293" s="2" t="str">
        <f t="shared" si="31"/>
        <v>01.1.7.331</v>
      </c>
      <c r="H293" s="83" t="s">
        <v>2044</v>
      </c>
      <c r="I293" s="83" t="str">
        <f t="shared" si="29"/>
        <v>0117331</v>
      </c>
      <c r="J293" s="2" t="s">
        <v>2076</v>
      </c>
      <c r="K293" s="120" t="str">
        <f>IFERROR(VLOOKUP(H293,'Bridge matrix'!$A$3:$E$731,3,FALSE),"no")</f>
        <v>Zanahorias en conserva</v>
      </c>
      <c r="L293" s="120" t="str">
        <f t="shared" si="27"/>
        <v>Zanahorias en conserva</v>
      </c>
      <c r="M293" s="120" t="str">
        <f t="shared" si="28"/>
        <v>Zanahorias en conserva</v>
      </c>
      <c r="N293" s="120" t="str">
        <f t="shared" si="30"/>
        <v>Zanahorias en conserva</v>
      </c>
      <c r="O293" s="2" t="e">
        <f>VLOOKUP(N293,'Bridge matrix'!$D$3:$E$731,2,FALSE)</f>
        <v>#N/A</v>
      </c>
      <c r="Q293" s="18"/>
      <c r="R293" s="80"/>
      <c r="S293" s="80"/>
      <c r="T293" s="80"/>
    </row>
    <row r="294" spans="1:20" x14ac:dyDescent="0.25">
      <c r="A294" s="2" t="s">
        <v>593</v>
      </c>
      <c r="B294" s="2" t="s">
        <v>595</v>
      </c>
      <c r="C294" s="2" t="s">
        <v>598</v>
      </c>
      <c r="D294" s="2" t="s">
        <v>670</v>
      </c>
      <c r="F294" s="2" t="s">
        <v>2011</v>
      </c>
      <c r="G294" s="2" t="str">
        <f t="shared" si="31"/>
        <v>01.1.7.397</v>
      </c>
      <c r="H294" s="83" t="s">
        <v>2045</v>
      </c>
      <c r="I294" s="83" t="str">
        <f t="shared" si="29"/>
        <v>0117397</v>
      </c>
      <c r="J294" s="2" t="s">
        <v>2077</v>
      </c>
      <c r="K294" s="120" t="str">
        <f>IFERROR(VLOOKUP(H294,'Bridge matrix'!$A$3:$E$731,3,FALSE),"no")</f>
        <v>Otras harinas de leguminosas</v>
      </c>
      <c r="L294" s="120" t="str">
        <f t="shared" si="27"/>
        <v>Otras harinas de leguminosas</v>
      </c>
      <c r="M294" s="120" t="str">
        <f t="shared" si="28"/>
        <v>Otras harinas de leguminosas</v>
      </c>
      <c r="N294" s="120" t="str">
        <f t="shared" si="30"/>
        <v>Otras harinas de leguminosas</v>
      </c>
      <c r="O294" s="2" t="e">
        <f>VLOOKUP(N294,'Bridge matrix'!$D$3:$E$731,2,FALSE)</f>
        <v>#N/A</v>
      </c>
      <c r="Q294" s="18"/>
      <c r="R294" s="80"/>
      <c r="S294" s="80"/>
      <c r="T294" s="80"/>
    </row>
    <row r="295" spans="1:20" x14ac:dyDescent="0.25">
      <c r="A295" s="2" t="s">
        <v>593</v>
      </c>
      <c r="B295" s="2" t="s">
        <v>595</v>
      </c>
      <c r="C295" s="2" t="s">
        <v>598</v>
      </c>
      <c r="D295" s="2" t="s">
        <v>670</v>
      </c>
      <c r="F295" s="2" t="s">
        <v>2012</v>
      </c>
      <c r="G295" s="2" t="str">
        <f t="shared" si="31"/>
        <v>01.1.7.398</v>
      </c>
      <c r="H295" s="83" t="s">
        <v>2046</v>
      </c>
      <c r="I295" s="83" t="str">
        <f t="shared" si="29"/>
        <v>0117398</v>
      </c>
      <c r="J295" s="2" t="s">
        <v>2078</v>
      </c>
      <c r="K295" s="120" t="str">
        <f>IFERROR(VLOOKUP(H295,'Bridge matrix'!$A$3:$E$731,3,FALSE),"no")</f>
        <v>Otras hortalizas y verduras en conserva</v>
      </c>
      <c r="L295" s="120" t="str">
        <f t="shared" si="27"/>
        <v>Otras hortalizas y verduras en conserva</v>
      </c>
      <c r="M295" s="120" t="str">
        <f t="shared" si="28"/>
        <v>Otras hortalizas y verduras en conserva</v>
      </c>
      <c r="N295" s="120" t="str">
        <f t="shared" si="30"/>
        <v>Otras hortalizas y verduras en conserva</v>
      </c>
      <c r="O295" s="2" t="e">
        <f>VLOOKUP(N295,'Bridge matrix'!$D$3:$E$731,2,FALSE)</f>
        <v>#N/A</v>
      </c>
      <c r="Q295" s="18"/>
      <c r="R295" s="80"/>
      <c r="S295" s="80"/>
      <c r="T295" s="80"/>
    </row>
    <row r="296" spans="1:20" x14ac:dyDescent="0.25">
      <c r="A296" s="2" t="s">
        <v>593</v>
      </c>
      <c r="B296" s="2" t="s">
        <v>595</v>
      </c>
      <c r="C296" s="2" t="s">
        <v>598</v>
      </c>
      <c r="D296" s="2" t="s">
        <v>670</v>
      </c>
      <c r="F296" s="2" t="s">
        <v>2013</v>
      </c>
      <c r="G296" s="2" t="str">
        <f t="shared" si="31"/>
        <v>01.1.7.399</v>
      </c>
      <c r="H296" s="83" t="s">
        <v>2047</v>
      </c>
      <c r="I296" s="83" t="str">
        <f t="shared" si="29"/>
        <v>0117399</v>
      </c>
      <c r="J296" s="2" t="s">
        <v>2079</v>
      </c>
      <c r="K296" s="120" t="str">
        <f>IFERROR(VLOOKUP(H296,'Bridge matrix'!$A$3:$E$731,3,FALSE),"no")</f>
        <v>Otras leguminosas secas y en conserva</v>
      </c>
      <c r="L296" s="120" t="str">
        <f t="shared" si="27"/>
        <v>Otras leguminosas secas y en conserva</v>
      </c>
      <c r="M296" s="120" t="str">
        <f t="shared" si="28"/>
        <v>Otras leguminosas secas y en conserva</v>
      </c>
      <c r="N296" s="120" t="str">
        <f t="shared" si="30"/>
        <v>Otras leguminosas secas y en conserva</v>
      </c>
      <c r="O296" s="2" t="e">
        <f>VLOOKUP(N296,'Bridge matrix'!$D$3:$E$731,2,FALSE)</f>
        <v>#N/A</v>
      </c>
      <c r="Q296" s="18"/>
      <c r="R296" s="80"/>
      <c r="S296" s="80"/>
      <c r="T296" s="80"/>
    </row>
    <row r="297" spans="1:20" x14ac:dyDescent="0.25">
      <c r="A297" s="2" t="s">
        <v>591</v>
      </c>
      <c r="B297" s="2" t="s">
        <v>595</v>
      </c>
      <c r="C297" s="2" t="s">
        <v>598</v>
      </c>
      <c r="D297" s="2" t="s">
        <v>681</v>
      </c>
      <c r="E297" s="2" t="s">
        <v>596</v>
      </c>
      <c r="G297" s="2" t="str">
        <f t="shared" si="31"/>
        <v>01.1.8</v>
      </c>
      <c r="H297" s="83" t="s">
        <v>682</v>
      </c>
      <c r="I297" s="83" t="str">
        <f t="shared" si="29"/>
        <v>0118</v>
      </c>
      <c r="J297" s="2" t="s">
        <v>683</v>
      </c>
      <c r="K297" s="120" t="str">
        <f>IFERROR(VLOOKUP(H297,'Bridge matrix'!$A$3:$E$731,3,FALSE),"no")</f>
        <v>AZÚCAR, MERMELADA, MIEL, CHOCOLATE Y DULCES DE AZÚCAR</v>
      </c>
      <c r="L297" s="120" t="str">
        <f t="shared" si="27"/>
        <v>ll</v>
      </c>
      <c r="M297" s="120" t="str">
        <f t="shared" si="28"/>
        <v>ll</v>
      </c>
      <c r="N297" s="120" t="str">
        <f t="shared" si="30"/>
        <v>ll</v>
      </c>
      <c r="O297" s="2" t="str">
        <f>VLOOKUP(N297,'Bridge matrix'!$D$3:$E$731,2,FALSE)</f>
        <v>matched on SC/SSC level</v>
      </c>
      <c r="Q297" s="18"/>
      <c r="R297" s="80"/>
      <c r="S297" s="80"/>
      <c r="T297" s="80"/>
    </row>
    <row r="298" spans="1:20" x14ac:dyDescent="0.25">
      <c r="A298" s="2" t="s">
        <v>592</v>
      </c>
      <c r="B298" s="2" t="s">
        <v>595</v>
      </c>
      <c r="C298" s="2" t="s">
        <v>598</v>
      </c>
      <c r="D298" s="2" t="s">
        <v>681</v>
      </c>
      <c r="E298" s="2" t="s">
        <v>602</v>
      </c>
      <c r="G298" s="2" t="str">
        <f t="shared" si="31"/>
        <v>01.1.8.000</v>
      </c>
      <c r="H298" s="83" t="s">
        <v>684</v>
      </c>
      <c r="I298" s="83" t="str">
        <f t="shared" si="29"/>
        <v>0118000</v>
      </c>
      <c r="J298" s="2" t="s">
        <v>685</v>
      </c>
      <c r="K298" s="120" t="str">
        <f>IFERROR(VLOOKUP(H298,'Bridge matrix'!$A$3:$E$731,3,FALSE),"no")</f>
        <v>Azúcar</v>
      </c>
      <c r="L298" s="120" t="str">
        <f t="shared" si="27"/>
        <v>Azúcar</v>
      </c>
      <c r="M298" s="120" t="str">
        <f t="shared" si="28"/>
        <v>Azúcar</v>
      </c>
      <c r="N298" s="120" t="str">
        <f t="shared" si="30"/>
        <v>Azúcar</v>
      </c>
      <c r="O298" s="2" t="e">
        <f>VLOOKUP(N298,'Bridge matrix'!$D$3:$E$731,2,FALSE)</f>
        <v>#N/A</v>
      </c>
      <c r="Q298" s="18"/>
      <c r="R298" s="80"/>
      <c r="S298" s="80"/>
      <c r="T298" s="80"/>
    </row>
    <row r="299" spans="1:20" x14ac:dyDescent="0.25">
      <c r="A299" s="2" t="s">
        <v>592</v>
      </c>
      <c r="B299" s="2" t="s">
        <v>595</v>
      </c>
      <c r="C299" s="2" t="s">
        <v>598</v>
      </c>
      <c r="D299" s="2" t="s">
        <v>681</v>
      </c>
      <c r="E299" s="2" t="s">
        <v>605</v>
      </c>
      <c r="G299" s="2" t="str">
        <f t="shared" si="31"/>
        <v>01.1.8.100</v>
      </c>
      <c r="H299" s="83" t="s">
        <v>686</v>
      </c>
      <c r="I299" s="83" t="str">
        <f t="shared" si="29"/>
        <v>0118100</v>
      </c>
      <c r="J299" s="2" t="s">
        <v>687</v>
      </c>
      <c r="K299" s="120" t="str">
        <f>IFERROR(VLOOKUP(H299,'Bridge matrix'!$A$3:$E$731,3,FALSE),"no")</f>
        <v>Dulces, mermeladas, miel y jarabes</v>
      </c>
      <c r="L299" s="120" t="str">
        <f t="shared" si="27"/>
        <v>Dulces, mermeladas, miel y jarabes</v>
      </c>
      <c r="M299" s="120" t="str">
        <f t="shared" si="28"/>
        <v>Dulces, mermeladas, miel y jarabes</v>
      </c>
      <c r="N299" s="120" t="str">
        <f t="shared" si="30"/>
        <v>Dulces, mermeladas, miel y jarabes</v>
      </c>
      <c r="O299" s="2" t="e">
        <f>VLOOKUP(N299,'Bridge matrix'!$D$3:$E$731,2,FALSE)</f>
        <v>#N/A</v>
      </c>
      <c r="Q299" s="18"/>
      <c r="R299" s="80"/>
      <c r="S299" s="80"/>
      <c r="T299" s="80"/>
    </row>
    <row r="300" spans="1:20" x14ac:dyDescent="0.25">
      <c r="A300" s="2" t="s">
        <v>592</v>
      </c>
      <c r="B300" s="2" t="s">
        <v>595</v>
      </c>
      <c r="C300" s="2" t="s">
        <v>598</v>
      </c>
      <c r="D300" s="2" t="s">
        <v>681</v>
      </c>
      <c r="E300" s="2" t="s">
        <v>608</v>
      </c>
      <c r="G300" s="2" t="str">
        <f t="shared" si="31"/>
        <v>01.1.8.200</v>
      </c>
      <c r="H300" s="83" t="s">
        <v>688</v>
      </c>
      <c r="I300" s="83" t="str">
        <f t="shared" si="29"/>
        <v>0118200</v>
      </c>
      <c r="J300" s="2" t="s">
        <v>689</v>
      </c>
      <c r="K300" s="120" t="str">
        <f>IFERROR(VLOOKUP(H300,'Bridge matrix'!$A$3:$E$731,3,FALSE),"no")</f>
        <v>Helados</v>
      </c>
      <c r="L300" s="120" t="str">
        <f t="shared" si="27"/>
        <v>Helados</v>
      </c>
      <c r="M300" s="120" t="str">
        <f t="shared" si="28"/>
        <v>Helados</v>
      </c>
      <c r="N300" s="120" t="str">
        <f t="shared" si="30"/>
        <v>Helados</v>
      </c>
      <c r="O300" s="2" t="e">
        <f>VLOOKUP(N300,'Bridge matrix'!$D$3:$E$731,2,FALSE)</f>
        <v>#N/A</v>
      </c>
      <c r="Q300" s="18"/>
      <c r="R300" s="80"/>
      <c r="S300" s="80"/>
      <c r="T300" s="80"/>
    </row>
    <row r="301" spans="1:20" x14ac:dyDescent="0.25">
      <c r="A301" s="2" t="s">
        <v>592</v>
      </c>
      <c r="B301" s="2" t="s">
        <v>595</v>
      </c>
      <c r="C301" s="2" t="s">
        <v>598</v>
      </c>
      <c r="D301" s="2" t="s">
        <v>681</v>
      </c>
      <c r="E301" s="2" t="s">
        <v>611</v>
      </c>
      <c r="G301" s="2" t="str">
        <f t="shared" si="31"/>
        <v>01.1.8.300</v>
      </c>
      <c r="H301" s="83" t="s">
        <v>690</v>
      </c>
      <c r="I301" s="83" t="str">
        <f t="shared" si="29"/>
        <v>0118300</v>
      </c>
      <c r="J301" s="3" t="s">
        <v>691</v>
      </c>
      <c r="K301" s="120" t="str">
        <f>IFERROR(VLOOKUP(H301,'Bridge matrix'!$A$3:$E$731,3,FALSE),"no")</f>
        <v>Chocolates y dulces de azúcar</v>
      </c>
      <c r="L301" s="120" t="str">
        <f t="shared" si="27"/>
        <v>Chocolates y dulces de azúcar</v>
      </c>
      <c r="M301" s="120" t="str">
        <f t="shared" si="28"/>
        <v>Chocolates y dulces de azúcar</v>
      </c>
      <c r="N301" s="120" t="str">
        <f t="shared" si="30"/>
        <v>Chocolates y dulces de azúcar</v>
      </c>
      <c r="O301" s="2" t="e">
        <f>VLOOKUP(N301,'Bridge matrix'!$D$3:$E$731,2,FALSE)</f>
        <v>#N/A</v>
      </c>
      <c r="Q301" s="18"/>
      <c r="R301" s="80"/>
      <c r="S301" s="80"/>
      <c r="T301" s="80"/>
    </row>
    <row r="302" spans="1:20" x14ac:dyDescent="0.25">
      <c r="A302" s="2" t="s">
        <v>593</v>
      </c>
      <c r="B302" s="2" t="s">
        <v>595</v>
      </c>
      <c r="C302" s="2" t="s">
        <v>598</v>
      </c>
      <c r="D302" s="2" t="s">
        <v>681</v>
      </c>
      <c r="F302" s="2" t="s">
        <v>1980</v>
      </c>
      <c r="G302" s="2" t="str">
        <f t="shared" si="31"/>
        <v>01.1.8.301</v>
      </c>
      <c r="H302" s="83" t="s">
        <v>2081</v>
      </c>
      <c r="I302" s="83" t="str">
        <f t="shared" si="29"/>
        <v>0118301</v>
      </c>
      <c r="J302" s="3" t="s">
        <v>2102</v>
      </c>
      <c r="K302" s="120" t="str">
        <f>IFERROR(VLOOKUP(H302,'Bridge matrix'!$A$3:$E$731,3,FALSE),"no")</f>
        <v>Barras de maní enconfitadas</v>
      </c>
      <c r="L302" s="120" t="str">
        <f t="shared" si="27"/>
        <v>Barras de maní enconfitadas</v>
      </c>
      <c r="M302" s="120" t="str">
        <f t="shared" si="28"/>
        <v>Barras de maní enconfitadas</v>
      </c>
      <c r="N302" s="120" t="str">
        <f t="shared" si="30"/>
        <v>Barras de maní enconfitadas</v>
      </c>
      <c r="O302" s="2" t="e">
        <f>VLOOKUP(N302,'Bridge matrix'!$D$3:$E$731,2,FALSE)</f>
        <v>#N/A</v>
      </c>
      <c r="Q302" s="18"/>
      <c r="R302" s="80"/>
      <c r="S302" s="80"/>
      <c r="T302" s="80"/>
    </row>
    <row r="303" spans="1:20" x14ac:dyDescent="0.25">
      <c r="A303" s="2" t="s">
        <v>593</v>
      </c>
      <c r="B303" s="2" t="s">
        <v>595</v>
      </c>
      <c r="C303" s="2" t="s">
        <v>598</v>
      </c>
      <c r="D303" s="2" t="s">
        <v>681</v>
      </c>
      <c r="F303" s="2" t="s">
        <v>1981</v>
      </c>
      <c r="G303" s="2" t="str">
        <f t="shared" si="31"/>
        <v>01.1.8.302</v>
      </c>
      <c r="H303" s="83" t="s">
        <v>2082</v>
      </c>
      <c r="I303" s="83" t="str">
        <f t="shared" si="29"/>
        <v>0118302</v>
      </c>
      <c r="J303" s="3" t="s">
        <v>2103</v>
      </c>
      <c r="K303" s="120" t="str">
        <f>IFERROR(VLOOKUP(H303,'Bridge matrix'!$A$3:$E$731,3,FALSE),"no")</f>
        <v>Bolitas de coco</v>
      </c>
      <c r="L303" s="120" t="str">
        <f t="shared" si="27"/>
        <v>Bolitas de coco</v>
      </c>
      <c r="M303" s="120" t="str">
        <f t="shared" si="28"/>
        <v>Bolitas de coco</v>
      </c>
      <c r="N303" s="120" t="str">
        <f t="shared" si="30"/>
        <v>Bolitas de coco</v>
      </c>
      <c r="O303" s="2" t="e">
        <f>VLOOKUP(N303,'Bridge matrix'!$D$3:$E$731,2,FALSE)</f>
        <v>#N/A</v>
      </c>
      <c r="Q303" s="18"/>
      <c r="R303" s="80"/>
      <c r="S303" s="80"/>
      <c r="T303" s="80"/>
    </row>
    <row r="304" spans="1:20" x14ac:dyDescent="0.25">
      <c r="A304" s="2" t="s">
        <v>593</v>
      </c>
      <c r="B304" s="2" t="s">
        <v>595</v>
      </c>
      <c r="C304" s="2" t="s">
        <v>598</v>
      </c>
      <c r="D304" s="2" t="s">
        <v>681</v>
      </c>
      <c r="F304" s="2" t="s">
        <v>1982</v>
      </c>
      <c r="G304" s="2" t="str">
        <f t="shared" si="31"/>
        <v>01.1.8.303</v>
      </c>
      <c r="H304" s="83" t="s">
        <v>2083</v>
      </c>
      <c r="I304" s="83" t="str">
        <f t="shared" si="29"/>
        <v>0118303</v>
      </c>
      <c r="J304" s="3" t="s">
        <v>2104</v>
      </c>
      <c r="K304" s="120" t="str">
        <f>IFERROR(VLOOKUP(H304,'Bridge matrix'!$A$3:$E$731,3,FALSE),"no")</f>
        <v>Bombones o chocolates</v>
      </c>
      <c r="L304" s="120" t="str">
        <f t="shared" si="27"/>
        <v>Bombones o chocolates</v>
      </c>
      <c r="M304" s="120" t="str">
        <f t="shared" si="28"/>
        <v>Bombones o chocolates</v>
      </c>
      <c r="N304" s="120" t="str">
        <f t="shared" si="30"/>
        <v>Bombones o chocolates</v>
      </c>
      <c r="O304" s="2" t="e">
        <f>VLOOKUP(N304,'Bridge matrix'!$D$3:$E$731,2,FALSE)</f>
        <v>#N/A</v>
      </c>
      <c r="Q304" s="18"/>
      <c r="R304" s="80"/>
      <c r="S304" s="80"/>
      <c r="T304" s="80"/>
    </row>
    <row r="305" spans="1:24" x14ac:dyDescent="0.25">
      <c r="A305" s="2" t="s">
        <v>593</v>
      </c>
      <c r="B305" s="2" t="s">
        <v>595</v>
      </c>
      <c r="C305" s="2" t="s">
        <v>598</v>
      </c>
      <c r="D305" s="2" t="s">
        <v>681</v>
      </c>
      <c r="F305" s="2" t="s">
        <v>1983</v>
      </c>
      <c r="G305" s="2" t="str">
        <f t="shared" si="31"/>
        <v>01.1.8.304</v>
      </c>
      <c r="H305" s="83" t="s">
        <v>2084</v>
      </c>
      <c r="I305" s="83" t="str">
        <f t="shared" si="29"/>
        <v>0118304</v>
      </c>
      <c r="J305" s="3" t="s">
        <v>2121</v>
      </c>
      <c r="K305" s="120" t="str">
        <f>IFERROR(VLOOKUP(H305,'Bridge matrix'!$A$3:$E$731,3,FALSE),"no")</f>
        <v>Caramelos (para flanes y otros postres)</v>
      </c>
      <c r="L305" s="120" t="str">
        <f t="shared" si="27"/>
        <v>Caramelos (para flanes y otros postres)</v>
      </c>
      <c r="M305" s="120" t="str">
        <f t="shared" si="28"/>
        <v>Caramelos (para flanes y otros postres)</v>
      </c>
      <c r="N305" s="120" t="str">
        <f t="shared" si="30"/>
        <v>Caramelos (para flanes y otros postres)</v>
      </c>
      <c r="O305" s="2" t="e">
        <f>VLOOKUP(N305,'Bridge matrix'!$D$3:$E$731,2,FALSE)</f>
        <v>#N/A</v>
      </c>
      <c r="Q305" s="18"/>
      <c r="R305" s="80"/>
      <c r="S305" s="80"/>
      <c r="T305" s="80"/>
    </row>
    <row r="306" spans="1:24" x14ac:dyDescent="0.25">
      <c r="A306" s="2" t="s">
        <v>593</v>
      </c>
      <c r="B306" s="2" t="s">
        <v>595</v>
      </c>
      <c r="C306" s="2" t="s">
        <v>598</v>
      </c>
      <c r="D306" s="2" t="s">
        <v>681</v>
      </c>
      <c r="F306" s="2" t="s">
        <v>1984</v>
      </c>
      <c r="G306" s="2" t="str">
        <f t="shared" si="31"/>
        <v>01.1.8.305</v>
      </c>
      <c r="H306" s="83" t="s">
        <v>2085</v>
      </c>
      <c r="I306" s="83" t="str">
        <f t="shared" si="29"/>
        <v>0118305</v>
      </c>
      <c r="J306" s="3" t="s">
        <v>2105</v>
      </c>
      <c r="K306" s="120" t="str">
        <f>IFERROR(VLOOKUP(H306,'Bridge matrix'!$A$3:$E$731,3,FALSE),"no")</f>
        <v>Caramelos surtidos</v>
      </c>
      <c r="L306" s="120" t="str">
        <f t="shared" si="27"/>
        <v>Caramelos surtidos</v>
      </c>
      <c r="M306" s="120" t="str">
        <f t="shared" si="28"/>
        <v>Caramelos surtidos</v>
      </c>
      <c r="N306" s="120" t="str">
        <f t="shared" si="30"/>
        <v>Caramelos surtidos</v>
      </c>
      <c r="O306" s="2" t="e">
        <f>VLOOKUP(N306,'Bridge matrix'!$D$3:$E$731,2,FALSE)</f>
        <v>#N/A</v>
      </c>
      <c r="Q306" s="18"/>
      <c r="R306" s="80"/>
      <c r="S306" s="80"/>
      <c r="T306" s="80"/>
      <c r="X306" s="80"/>
    </row>
    <row r="307" spans="1:24" x14ac:dyDescent="0.25">
      <c r="A307" s="2" t="s">
        <v>593</v>
      </c>
      <c r="B307" s="2" t="s">
        <v>595</v>
      </c>
      <c r="C307" s="2" t="s">
        <v>598</v>
      </c>
      <c r="D307" s="2" t="s">
        <v>681</v>
      </c>
      <c r="F307" s="2" t="s">
        <v>1985</v>
      </c>
      <c r="G307" s="2" t="str">
        <f t="shared" si="31"/>
        <v>01.1.8.306</v>
      </c>
      <c r="H307" s="83" t="s">
        <v>2086</v>
      </c>
      <c r="I307" s="83" t="str">
        <f t="shared" si="29"/>
        <v>0118306</v>
      </c>
      <c r="J307" s="3" t="s">
        <v>2106</v>
      </c>
      <c r="K307" s="120" t="str">
        <f>IFERROR(VLOOKUP(H307,'Bridge matrix'!$A$3:$E$731,3,FALSE),"no")</f>
        <v>Chicles (goma de mascar)</v>
      </c>
      <c r="L307" s="120" t="str">
        <f t="shared" si="27"/>
        <v>Chicles (goma de mascar)</v>
      </c>
      <c r="M307" s="120" t="str">
        <f t="shared" si="28"/>
        <v>Chicles (goma de mascar)</v>
      </c>
      <c r="N307" s="120" t="str">
        <f t="shared" si="30"/>
        <v>Chicles (goma de mascar)</v>
      </c>
      <c r="O307" s="2" t="e">
        <f>VLOOKUP(N307,'Bridge matrix'!$D$3:$E$731,2,FALSE)</f>
        <v>#N/A</v>
      </c>
      <c r="Q307" s="18"/>
      <c r="R307" s="80"/>
      <c r="S307" s="80"/>
      <c r="T307" s="80"/>
    </row>
    <row r="308" spans="1:24" x14ac:dyDescent="0.25">
      <c r="A308" s="2" t="s">
        <v>593</v>
      </c>
      <c r="B308" s="2" t="s">
        <v>595</v>
      </c>
      <c r="C308" s="2" t="s">
        <v>598</v>
      </c>
      <c r="D308" s="2" t="s">
        <v>681</v>
      </c>
      <c r="F308" s="2" t="s">
        <v>1986</v>
      </c>
      <c r="G308" s="2" t="str">
        <f t="shared" si="31"/>
        <v>01.1.8.307</v>
      </c>
      <c r="H308" s="83" t="s">
        <v>2087</v>
      </c>
      <c r="I308" s="83" t="str">
        <f t="shared" si="29"/>
        <v>0118307</v>
      </c>
      <c r="J308" s="3" t="s">
        <v>2107</v>
      </c>
      <c r="K308" s="120" t="str">
        <f>IFERROR(VLOOKUP(H308,'Bridge matrix'!$A$3:$E$731,3,FALSE),"no")</f>
        <v>Chocolate en barra y otras formas (incluido el amargo)</v>
      </c>
      <c r="L308" s="120" t="str">
        <f t="shared" si="27"/>
        <v>Chocolate en barra y otras formas (incluido el amargo)</v>
      </c>
      <c r="M308" s="120" t="str">
        <f t="shared" si="28"/>
        <v>Chocolate en barra y otras formas (incluido el amargo)</v>
      </c>
      <c r="N308" s="120" t="str">
        <f t="shared" si="30"/>
        <v>Chocolate en barra y otras formas (incluido el amargo)</v>
      </c>
      <c r="O308" s="2" t="e">
        <f>VLOOKUP(N308,'Bridge matrix'!$D$3:$E$731,2,FALSE)</f>
        <v>#N/A</v>
      </c>
      <c r="Q308" s="18"/>
      <c r="R308" s="80"/>
      <c r="S308" s="80"/>
      <c r="T308" s="80"/>
    </row>
    <row r="309" spans="1:24" x14ac:dyDescent="0.25">
      <c r="A309" s="2" t="s">
        <v>593</v>
      </c>
      <c r="B309" s="2" t="s">
        <v>595</v>
      </c>
      <c r="C309" s="2" t="s">
        <v>598</v>
      </c>
      <c r="D309" s="2" t="s">
        <v>681</v>
      </c>
      <c r="F309" s="2" t="s">
        <v>1987</v>
      </c>
      <c r="G309" s="2" t="str">
        <f t="shared" si="31"/>
        <v>01.1.8.308</v>
      </c>
      <c r="H309" s="83" t="s">
        <v>2088</v>
      </c>
      <c r="I309" s="83" t="str">
        <f t="shared" si="29"/>
        <v>0118308</v>
      </c>
      <c r="J309" s="3" t="s">
        <v>2108</v>
      </c>
      <c r="K309" s="120" t="str">
        <f>IFERROR(VLOOKUP(H309,'Bridge matrix'!$A$3:$E$731,3,FALSE),"no")</f>
        <v>Chupetes</v>
      </c>
      <c r="L309" s="120" t="str">
        <f t="shared" si="27"/>
        <v>Chupetes</v>
      </c>
      <c r="M309" s="120" t="str">
        <f t="shared" si="28"/>
        <v>Chupetes</v>
      </c>
      <c r="N309" s="120" t="str">
        <f t="shared" si="30"/>
        <v>Chupetes</v>
      </c>
      <c r="O309" s="2" t="e">
        <f>VLOOKUP(N309,'Bridge matrix'!$D$3:$E$731,2,FALSE)</f>
        <v>#N/A</v>
      </c>
      <c r="Q309" s="18"/>
      <c r="R309" s="80"/>
      <c r="S309" s="80"/>
      <c r="T309" s="80"/>
    </row>
    <row r="310" spans="1:24" x14ac:dyDescent="0.25">
      <c r="A310" s="2" t="s">
        <v>593</v>
      </c>
      <c r="B310" s="2" t="s">
        <v>595</v>
      </c>
      <c r="C310" s="2" t="s">
        <v>598</v>
      </c>
      <c r="D310" s="2" t="s">
        <v>681</v>
      </c>
      <c r="F310" s="2" t="s">
        <v>1988</v>
      </c>
      <c r="G310" s="2" t="str">
        <f t="shared" si="31"/>
        <v>01.1.8.309</v>
      </c>
      <c r="H310" s="83" t="s">
        <v>2089</v>
      </c>
      <c r="I310" s="83" t="str">
        <f t="shared" si="29"/>
        <v>0118309</v>
      </c>
      <c r="J310" s="3" t="s">
        <v>2109</v>
      </c>
      <c r="K310" s="120" t="str">
        <f>IFERROR(VLOOKUP(H310,'Bridge matrix'!$A$3:$E$731,3,FALSE),"no")</f>
        <v>Colaciones</v>
      </c>
      <c r="L310" s="120" t="str">
        <f t="shared" si="27"/>
        <v>Colaciones</v>
      </c>
      <c r="M310" s="120" t="str">
        <f t="shared" si="28"/>
        <v>Colaciones</v>
      </c>
      <c r="N310" s="120" t="str">
        <f t="shared" si="30"/>
        <v>Colaciones</v>
      </c>
      <c r="O310" s="2" t="e">
        <f>VLOOKUP(N310,'Bridge matrix'!$D$3:$E$731,2,FALSE)</f>
        <v>#N/A</v>
      </c>
      <c r="Q310" s="18"/>
      <c r="R310" s="80"/>
      <c r="S310" s="80"/>
      <c r="T310" s="80"/>
    </row>
    <row r="311" spans="1:24" x14ac:dyDescent="0.25">
      <c r="A311" s="2" t="s">
        <v>593</v>
      </c>
      <c r="B311" s="2" t="s">
        <v>595</v>
      </c>
      <c r="C311" s="2" t="s">
        <v>598</v>
      </c>
      <c r="D311" s="2" t="s">
        <v>681</v>
      </c>
      <c r="F311" s="2" t="s">
        <v>1989</v>
      </c>
      <c r="G311" s="2" t="str">
        <f t="shared" si="31"/>
        <v>01.1.8.310</v>
      </c>
      <c r="H311" s="83" t="s">
        <v>2090</v>
      </c>
      <c r="I311" s="83" t="str">
        <f t="shared" si="29"/>
        <v>0118310</v>
      </c>
      <c r="J311" s="3" t="s">
        <v>2110</v>
      </c>
      <c r="K311" s="120" t="str">
        <f>IFERROR(VLOOKUP(H311,'Bridge matrix'!$A$3:$E$731,3,FALSE),"no")</f>
        <v>Confites</v>
      </c>
      <c r="L311" s="120" t="str">
        <f t="shared" si="27"/>
        <v>Confites</v>
      </c>
      <c r="M311" s="120" t="str">
        <f t="shared" si="28"/>
        <v>Confites</v>
      </c>
      <c r="N311" s="120" t="str">
        <f t="shared" si="30"/>
        <v>Confites</v>
      </c>
      <c r="O311" s="2" t="e">
        <f>VLOOKUP(N311,'Bridge matrix'!$D$3:$E$731,2,FALSE)</f>
        <v>#N/A</v>
      </c>
      <c r="Q311" s="18"/>
      <c r="R311" s="80"/>
      <c r="S311" s="80"/>
      <c r="T311" s="80"/>
    </row>
    <row r="312" spans="1:24" x14ac:dyDescent="0.25">
      <c r="A312" s="2" t="s">
        <v>593</v>
      </c>
      <c r="B312" s="2" t="s">
        <v>595</v>
      </c>
      <c r="C312" s="2" t="s">
        <v>598</v>
      </c>
      <c r="D312" s="2" t="s">
        <v>681</v>
      </c>
      <c r="F312" s="2" t="s">
        <v>1990</v>
      </c>
      <c r="G312" s="2" t="str">
        <f t="shared" si="31"/>
        <v>01.1.8.311</v>
      </c>
      <c r="H312" s="83" t="s">
        <v>2091</v>
      </c>
      <c r="I312" s="83" t="str">
        <f t="shared" si="29"/>
        <v>0118311</v>
      </c>
      <c r="J312" s="3" t="s">
        <v>2111</v>
      </c>
      <c r="K312" s="120" t="str">
        <f>IFERROR(VLOOKUP(H312,'Bridge matrix'!$A$3:$E$731,3,FALSE),"no")</f>
        <v>Dulces de ajonjolí</v>
      </c>
      <c r="L312" s="120" t="str">
        <f t="shared" si="27"/>
        <v>Dulces de ajonjolí</v>
      </c>
      <c r="M312" s="120" t="str">
        <f t="shared" si="28"/>
        <v>Dulces de ajonjolí</v>
      </c>
      <c r="N312" s="120" t="str">
        <f t="shared" si="30"/>
        <v>Dulces de ajonjolí</v>
      </c>
      <c r="O312" s="2" t="e">
        <f>VLOOKUP(N312,'Bridge matrix'!$D$3:$E$731,2,FALSE)</f>
        <v>#N/A</v>
      </c>
      <c r="Q312" s="18"/>
      <c r="R312" s="80"/>
      <c r="S312" s="80"/>
      <c r="T312" s="80"/>
    </row>
    <row r="313" spans="1:24" x14ac:dyDescent="0.25">
      <c r="A313" s="2" t="s">
        <v>593</v>
      </c>
      <c r="B313" s="2" t="s">
        <v>595</v>
      </c>
      <c r="C313" s="2" t="s">
        <v>598</v>
      </c>
      <c r="D313" s="2" t="s">
        <v>681</v>
      </c>
      <c r="F313" s="2" t="s">
        <v>1991</v>
      </c>
      <c r="G313" s="2" t="str">
        <f t="shared" si="31"/>
        <v>01.1.8.312</v>
      </c>
      <c r="H313" s="83" t="s">
        <v>2092</v>
      </c>
      <c r="I313" s="83" t="str">
        <f t="shared" si="29"/>
        <v>0118312</v>
      </c>
      <c r="J313" s="3" t="s">
        <v>2112</v>
      </c>
      <c r="K313" s="120" t="str">
        <f>IFERROR(VLOOKUP(H313,'Bridge matrix'!$A$3:$E$731,3,FALSE),"no")</f>
        <v>Dulces de frutas</v>
      </c>
      <c r="L313" s="120" t="str">
        <f t="shared" si="27"/>
        <v>Dulces de frutas</v>
      </c>
      <c r="M313" s="120" t="str">
        <f t="shared" si="28"/>
        <v>Dulces de frutas</v>
      </c>
      <c r="N313" s="120" t="str">
        <f t="shared" si="30"/>
        <v>Dulces de frutas</v>
      </c>
      <c r="O313" s="2" t="e">
        <f>VLOOKUP(N313,'Bridge matrix'!$D$3:$E$731,2,FALSE)</f>
        <v>#N/A</v>
      </c>
      <c r="Q313" s="18"/>
      <c r="R313" s="80"/>
      <c r="S313" s="80"/>
      <c r="T313" s="80"/>
    </row>
    <row r="314" spans="1:24" x14ac:dyDescent="0.25">
      <c r="A314" s="2" t="s">
        <v>593</v>
      </c>
      <c r="B314" s="2" t="s">
        <v>595</v>
      </c>
      <c r="C314" s="2" t="s">
        <v>598</v>
      </c>
      <c r="D314" s="2" t="s">
        <v>681</v>
      </c>
      <c r="F314" s="2" t="s">
        <v>1992</v>
      </c>
      <c r="G314" s="2" t="str">
        <f t="shared" si="31"/>
        <v>01.1.8.313</v>
      </c>
      <c r="H314" s="83" t="s">
        <v>2093</v>
      </c>
      <c r="I314" s="83" t="str">
        <f t="shared" si="29"/>
        <v>0118313</v>
      </c>
      <c r="J314" s="3" t="s">
        <v>2113</v>
      </c>
      <c r="K314" s="120" t="str">
        <f>IFERROR(VLOOKUP(H314,'Bridge matrix'!$A$3:$E$731,3,FALSE),"no")</f>
        <v>Gomitas</v>
      </c>
      <c r="L314" s="120" t="str">
        <f t="shared" si="27"/>
        <v>Gomitas</v>
      </c>
      <c r="M314" s="120" t="str">
        <f t="shared" si="28"/>
        <v>Gomitas</v>
      </c>
      <c r="N314" s="120" t="str">
        <f t="shared" si="30"/>
        <v>Gomitas</v>
      </c>
      <c r="O314" s="2" t="e">
        <f>VLOOKUP(N314,'Bridge matrix'!$D$3:$E$731,2,FALSE)</f>
        <v>#N/A</v>
      </c>
      <c r="Q314" s="18"/>
      <c r="R314" s="80"/>
      <c r="S314" s="80"/>
      <c r="T314" s="80"/>
    </row>
    <row r="315" spans="1:24" x14ac:dyDescent="0.25">
      <c r="A315" s="2" t="s">
        <v>593</v>
      </c>
      <c r="B315" s="2" t="s">
        <v>595</v>
      </c>
      <c r="C315" s="2" t="s">
        <v>598</v>
      </c>
      <c r="D315" s="2" t="s">
        <v>681</v>
      </c>
      <c r="F315" s="2" t="s">
        <v>1993</v>
      </c>
      <c r="G315" s="2" t="str">
        <f t="shared" si="31"/>
        <v>01.1.8.314</v>
      </c>
      <c r="H315" s="83" t="s">
        <v>2094</v>
      </c>
      <c r="I315" s="83" t="str">
        <f t="shared" si="29"/>
        <v>0118314</v>
      </c>
      <c r="J315" s="3" t="s">
        <v>2114</v>
      </c>
      <c r="K315" s="120" t="str">
        <f>IFERROR(VLOOKUP(H315,'Bridge matrix'!$A$3:$E$731,3,FALSE),"no")</f>
        <v>Grageas</v>
      </c>
      <c r="L315" s="120" t="str">
        <f t="shared" si="27"/>
        <v>Grageas</v>
      </c>
      <c r="M315" s="120" t="str">
        <f t="shared" si="28"/>
        <v>Grageas</v>
      </c>
      <c r="N315" s="120" t="str">
        <f t="shared" si="30"/>
        <v>Grageas</v>
      </c>
      <c r="O315" s="2" t="e">
        <f>VLOOKUP(N315,'Bridge matrix'!$D$3:$E$731,2,FALSE)</f>
        <v>#N/A</v>
      </c>
      <c r="Q315" s="18"/>
      <c r="R315" s="80"/>
      <c r="S315" s="80"/>
      <c r="T315" s="80"/>
    </row>
    <row r="316" spans="1:24" x14ac:dyDescent="0.25">
      <c r="A316" s="2" t="s">
        <v>593</v>
      </c>
      <c r="B316" s="2" t="s">
        <v>595</v>
      </c>
      <c r="C316" s="2" t="s">
        <v>598</v>
      </c>
      <c r="D316" s="2" t="s">
        <v>681</v>
      </c>
      <c r="F316" s="2" t="s">
        <v>1994</v>
      </c>
      <c r="G316" s="2" t="str">
        <f t="shared" si="31"/>
        <v>01.1.8.315</v>
      </c>
      <c r="H316" s="83" t="s">
        <v>2095</v>
      </c>
      <c r="I316" s="83" t="str">
        <f t="shared" si="29"/>
        <v>0118315</v>
      </c>
      <c r="J316" s="3" t="s">
        <v>2115</v>
      </c>
      <c r="K316" s="120" t="str">
        <f>IFERROR(VLOOKUP(H316,'Bridge matrix'!$A$3:$E$731,3,FALSE),"no")</f>
        <v>Habas enconfitadas</v>
      </c>
      <c r="L316" s="120" t="str">
        <f t="shared" si="27"/>
        <v>Habas enconfitadas</v>
      </c>
      <c r="M316" s="120" t="str">
        <f t="shared" si="28"/>
        <v>Habas enconfitadas</v>
      </c>
      <c r="N316" s="120" t="str">
        <f t="shared" si="30"/>
        <v>Habas enconfitadas</v>
      </c>
      <c r="O316" s="2" t="e">
        <f>VLOOKUP(N316,'Bridge matrix'!$D$3:$E$731,2,FALSE)</f>
        <v>#N/A</v>
      </c>
      <c r="Q316" s="18"/>
      <c r="R316" s="80"/>
      <c r="S316" s="80"/>
      <c r="T316" s="80"/>
    </row>
    <row r="317" spans="1:24" x14ac:dyDescent="0.25">
      <c r="A317" s="2" t="s">
        <v>593</v>
      </c>
      <c r="B317" s="2" t="s">
        <v>595</v>
      </c>
      <c r="C317" s="2" t="s">
        <v>598</v>
      </c>
      <c r="D317" s="2" t="s">
        <v>681</v>
      </c>
      <c r="F317" s="2" t="s">
        <v>1995</v>
      </c>
      <c r="G317" s="2" t="str">
        <f t="shared" si="31"/>
        <v>01.1.8.316</v>
      </c>
      <c r="H317" s="83" t="s">
        <v>2096</v>
      </c>
      <c r="I317" s="83" t="str">
        <f t="shared" si="29"/>
        <v>0118316</v>
      </c>
      <c r="J317" s="3" t="s">
        <v>2116</v>
      </c>
      <c r="K317" s="120" t="str">
        <f>IFERROR(VLOOKUP(H317,'Bridge matrix'!$A$3:$E$731,3,FALSE),"no")</f>
        <v>Maíz con dulce</v>
      </c>
      <c r="L317" s="120" t="str">
        <f t="shared" si="27"/>
        <v>Maíz con dulce</v>
      </c>
      <c r="M317" s="120" t="str">
        <f t="shared" si="28"/>
        <v>Maíz con dulce</v>
      </c>
      <c r="N317" s="120" t="str">
        <f t="shared" si="30"/>
        <v>Maíz con dulce</v>
      </c>
      <c r="O317" s="2" t="e">
        <f>VLOOKUP(N317,'Bridge matrix'!$D$3:$E$731,2,FALSE)</f>
        <v>#N/A</v>
      </c>
      <c r="Q317" s="18"/>
      <c r="R317" s="80"/>
      <c r="S317" s="80"/>
      <c r="T317" s="80"/>
    </row>
    <row r="318" spans="1:24" x14ac:dyDescent="0.25">
      <c r="A318" s="2" t="s">
        <v>593</v>
      </c>
      <c r="B318" s="2" t="s">
        <v>595</v>
      </c>
      <c r="C318" s="2" t="s">
        <v>598</v>
      </c>
      <c r="D318" s="2" t="s">
        <v>681</v>
      </c>
      <c r="F318" s="2" t="s">
        <v>1996</v>
      </c>
      <c r="G318" s="2" t="str">
        <f t="shared" si="31"/>
        <v>01.1.8.317</v>
      </c>
      <c r="H318" s="83" t="s">
        <v>2097</v>
      </c>
      <c r="I318" s="83" t="str">
        <f t="shared" si="29"/>
        <v>0118317</v>
      </c>
      <c r="J318" s="3" t="s">
        <v>2117</v>
      </c>
      <c r="K318" s="120" t="str">
        <f>IFERROR(VLOOKUP(H318,'Bridge matrix'!$A$3:$E$731,3,FALSE),"no")</f>
        <v>Maní con dulce</v>
      </c>
      <c r="L318" s="120" t="str">
        <f t="shared" si="27"/>
        <v>Maní con dulce</v>
      </c>
      <c r="M318" s="120" t="str">
        <f t="shared" si="28"/>
        <v>Maní con dulce</v>
      </c>
      <c r="N318" s="120" t="str">
        <f t="shared" si="30"/>
        <v>Maní con dulce</v>
      </c>
      <c r="O318" s="2" t="e">
        <f>VLOOKUP(N318,'Bridge matrix'!$D$3:$E$731,2,FALSE)</f>
        <v>#N/A</v>
      </c>
      <c r="Q318" s="18"/>
      <c r="R318" s="80"/>
      <c r="S318" s="80"/>
      <c r="T318" s="80"/>
    </row>
    <row r="319" spans="1:24" x14ac:dyDescent="0.25">
      <c r="A319" s="2" t="s">
        <v>593</v>
      </c>
      <c r="B319" s="2" t="s">
        <v>595</v>
      </c>
      <c r="C319" s="2" t="s">
        <v>598</v>
      </c>
      <c r="D319" s="2" t="s">
        <v>681</v>
      </c>
      <c r="F319" s="2" t="s">
        <v>1997</v>
      </c>
      <c r="G319" s="2" t="str">
        <f t="shared" si="31"/>
        <v>01.1.8.318</v>
      </c>
      <c r="H319" s="83" t="s">
        <v>2098</v>
      </c>
      <c r="I319" s="83" t="str">
        <f t="shared" si="29"/>
        <v>0118318</v>
      </c>
      <c r="J319" s="3" t="s">
        <v>2118</v>
      </c>
      <c r="K319" s="120" t="str">
        <f>IFERROR(VLOOKUP(H319,'Bridge matrix'!$A$3:$E$731,3,FALSE),"no")</f>
        <v>Masmelos</v>
      </c>
      <c r="L319" s="120" t="str">
        <f t="shared" si="27"/>
        <v>Masmelos</v>
      </c>
      <c r="M319" s="120" t="str">
        <f t="shared" si="28"/>
        <v>Masmelos</v>
      </c>
      <c r="N319" s="120" t="str">
        <f t="shared" si="30"/>
        <v>Masmelos</v>
      </c>
      <c r="O319" s="2" t="e">
        <f>VLOOKUP(N319,'Bridge matrix'!$D$3:$E$731,2,FALSE)</f>
        <v>#N/A</v>
      </c>
      <c r="Q319" s="18"/>
      <c r="R319" s="80"/>
      <c r="S319" s="80"/>
      <c r="T319" s="80"/>
    </row>
    <row r="320" spans="1:24" x14ac:dyDescent="0.25">
      <c r="A320" s="2" t="s">
        <v>593</v>
      </c>
      <c r="B320" s="2" t="s">
        <v>595</v>
      </c>
      <c r="C320" s="2" t="s">
        <v>598</v>
      </c>
      <c r="D320" s="2" t="s">
        <v>681</v>
      </c>
      <c r="F320" s="2" t="s">
        <v>1998</v>
      </c>
      <c r="G320" s="2" t="str">
        <f t="shared" si="31"/>
        <v>01.1.8.319</v>
      </c>
      <c r="H320" s="83" t="s">
        <v>2099</v>
      </c>
      <c r="I320" s="83" t="str">
        <f t="shared" si="29"/>
        <v>0118319</v>
      </c>
      <c r="J320" s="3" t="s">
        <v>2119</v>
      </c>
      <c r="K320" s="120" t="str">
        <f>IFERROR(VLOOKUP(H320,'Bridge matrix'!$A$3:$E$731,3,FALSE),"no")</f>
        <v>Nogadas</v>
      </c>
      <c r="L320" s="120" t="str">
        <f t="shared" si="27"/>
        <v>Nogadas</v>
      </c>
      <c r="M320" s="120" t="str">
        <f t="shared" si="28"/>
        <v>Nogadas</v>
      </c>
      <c r="N320" s="120" t="str">
        <f t="shared" si="30"/>
        <v>Nogadas</v>
      </c>
      <c r="O320" s="2" t="e">
        <f>VLOOKUP(N320,'Bridge matrix'!$D$3:$E$731,2,FALSE)</f>
        <v>#N/A</v>
      </c>
      <c r="Q320" s="18"/>
      <c r="R320" s="80"/>
      <c r="S320" s="80"/>
      <c r="T320" s="80"/>
    </row>
    <row r="321" spans="1:20" x14ac:dyDescent="0.25">
      <c r="A321" s="2" t="s">
        <v>593</v>
      </c>
      <c r="B321" s="2" t="s">
        <v>595</v>
      </c>
      <c r="C321" s="2" t="s">
        <v>598</v>
      </c>
      <c r="D321" s="2" t="s">
        <v>681</v>
      </c>
      <c r="F321" s="2" t="s">
        <v>1999</v>
      </c>
      <c r="G321" s="2" t="str">
        <f t="shared" si="31"/>
        <v>01.1.8.320</v>
      </c>
      <c r="H321" s="83" t="s">
        <v>2100</v>
      </c>
      <c r="I321" s="83" t="str">
        <f t="shared" si="29"/>
        <v>0118320</v>
      </c>
      <c r="J321" s="3" t="s">
        <v>2120</v>
      </c>
      <c r="K321" s="120" t="str">
        <f>IFERROR(VLOOKUP(H321,'Bridge matrix'!$A$3:$E$731,3,FALSE),"no")</f>
        <v>Turrones</v>
      </c>
      <c r="L321" s="120" t="str">
        <f t="shared" si="27"/>
        <v>Turrones</v>
      </c>
      <c r="M321" s="120" t="str">
        <f t="shared" si="28"/>
        <v>Turrones</v>
      </c>
      <c r="N321" s="120" t="str">
        <f t="shared" si="30"/>
        <v>Turrones</v>
      </c>
      <c r="O321" s="2" t="e">
        <f>VLOOKUP(N321,'Bridge matrix'!$D$3:$E$731,2,FALSE)</f>
        <v>#N/A</v>
      </c>
      <c r="Q321" s="18"/>
      <c r="R321" s="80"/>
      <c r="S321" s="80"/>
      <c r="T321" s="80"/>
    </row>
    <row r="322" spans="1:20" x14ac:dyDescent="0.25">
      <c r="A322" s="2" t="s">
        <v>593</v>
      </c>
      <c r="B322" s="2" t="s">
        <v>595</v>
      </c>
      <c r="C322" s="2" t="s">
        <v>598</v>
      </c>
      <c r="D322" s="2" t="s">
        <v>681</v>
      </c>
      <c r="F322" s="2" t="s">
        <v>2000</v>
      </c>
      <c r="G322" s="2" t="str">
        <f t="shared" si="31"/>
        <v>01.1.8.321</v>
      </c>
      <c r="H322" s="83" t="s">
        <v>2101</v>
      </c>
      <c r="I322" s="83" t="str">
        <f t="shared" si="29"/>
        <v>0118321</v>
      </c>
      <c r="J322" s="3" t="s">
        <v>2122</v>
      </c>
      <c r="K322" s="120" t="str">
        <f>IFERROR(VLOOKUP(H322,'Bridge matrix'!$A$3:$E$731,3,FALSE),"no")</f>
        <v>Otros chocolates y dulces de azúcar</v>
      </c>
      <c r="L322" s="120" t="str">
        <f t="shared" ref="L322:L385" si="32">IF(AND(H322=LEFT(H323,LEN(H322)),L323&lt;&gt;"no"),"ll",IF(K322="no","no",K322))</f>
        <v>Otros chocolates y dulces de azúcar</v>
      </c>
      <c r="M322" s="120" t="str">
        <f t="shared" ref="M322:M385" si="33">IF(L322&lt;&gt;"no",L322,IF(VLOOKUP(LEFT(H322,6),$H$2:$K$714,3,FALSE)="ll","no",VLOOKUP(LEFT(H322,6),$H$2:$K$714,3,FALSE)))</f>
        <v>Otros chocolates y dulces de azúcar</v>
      </c>
      <c r="N322" s="120" t="str">
        <f t="shared" si="30"/>
        <v>Otros chocolates y dulces de azúcar</v>
      </c>
      <c r="O322" s="2" t="e">
        <f>VLOOKUP(N322,'Bridge matrix'!$D$3:$E$731,2,FALSE)</f>
        <v>#N/A</v>
      </c>
      <c r="Q322" s="18"/>
      <c r="R322" s="80"/>
      <c r="S322" s="80"/>
      <c r="T322" s="80"/>
    </row>
    <row r="323" spans="1:20" x14ac:dyDescent="0.25">
      <c r="A323" s="2" t="s">
        <v>591</v>
      </c>
      <c r="B323" s="2" t="s">
        <v>595</v>
      </c>
      <c r="C323" s="2" t="s">
        <v>598</v>
      </c>
      <c r="D323" s="2" t="s">
        <v>692</v>
      </c>
      <c r="E323" s="2" t="s">
        <v>596</v>
      </c>
      <c r="G323" s="2" t="str">
        <f t="shared" si="31"/>
        <v>01.1.9</v>
      </c>
      <c r="H323" s="83" t="s">
        <v>693</v>
      </c>
      <c r="I323" s="83" t="str">
        <f t="shared" ref="I323:I386" si="34">B323&amp;C323&amp;D323&amp;E323&amp;F323</f>
        <v>0119</v>
      </c>
      <c r="J323" s="2" t="s">
        <v>694</v>
      </c>
      <c r="K323" s="120" t="str">
        <f>IFERROR(VLOOKUP(H323,'Bridge matrix'!$A$3:$E$731,3,FALSE),"no")</f>
        <v>PRODUCTOS ALIMENTICIOS (N.E.P.)</v>
      </c>
      <c r="L323" s="120" t="str">
        <f t="shared" si="32"/>
        <v>PRODUCTOS ALIMENTICIOS (N.E.P.)</v>
      </c>
      <c r="M323" s="120" t="str">
        <f t="shared" si="33"/>
        <v>PRODUCTOS ALIMENTICIOS (N.E.P.)</v>
      </c>
      <c r="N323" s="120" t="str">
        <f t="shared" ref="N323:N386" si="35">M323</f>
        <v>PRODUCTOS ALIMENTICIOS (N.E.P.)</v>
      </c>
      <c r="O323" s="2" t="e">
        <f>VLOOKUP(N323,'Bridge matrix'!$D$3:$E$731,2,FALSE)</f>
        <v>#N/A</v>
      </c>
      <c r="Q323" s="18"/>
      <c r="R323" s="80"/>
      <c r="S323" s="80"/>
      <c r="T323" s="80"/>
    </row>
    <row r="324" spans="1:20" x14ac:dyDescent="0.25">
      <c r="A324" s="2" t="s">
        <v>592</v>
      </c>
      <c r="B324" s="2" t="s">
        <v>595</v>
      </c>
      <c r="C324" s="2" t="s">
        <v>598</v>
      </c>
      <c r="D324" s="2" t="s">
        <v>692</v>
      </c>
      <c r="E324" s="2" t="s">
        <v>602</v>
      </c>
      <c r="G324" s="2" t="str">
        <f t="shared" si="31"/>
        <v>01.1.9.000</v>
      </c>
      <c r="H324" s="83" t="s">
        <v>695</v>
      </c>
      <c r="I324" s="83" t="str">
        <f t="shared" si="34"/>
        <v>0119000</v>
      </c>
      <c r="J324" s="2" t="s">
        <v>696</v>
      </c>
      <c r="K324" s="120" t="str">
        <f>IFERROR(VLOOKUP(H324,'Bridge matrix'!$A$3:$E$731,3,FALSE),"no")</f>
        <v>no</v>
      </c>
      <c r="L324" s="120" t="str">
        <f t="shared" si="32"/>
        <v>no</v>
      </c>
      <c r="M324" s="120" t="str">
        <f t="shared" si="33"/>
        <v>PRODUCTOS ALIMENTICIOS (N.E.P.)</v>
      </c>
      <c r="N324" s="120" t="str">
        <f t="shared" si="35"/>
        <v>PRODUCTOS ALIMENTICIOS (N.E.P.)</v>
      </c>
      <c r="O324" s="2" t="e">
        <f>VLOOKUP(N324,'Bridge matrix'!$D$3:$E$731,2,FALSE)</f>
        <v>#N/A</v>
      </c>
      <c r="Q324" s="18"/>
      <c r="R324" s="80"/>
      <c r="S324" s="80"/>
      <c r="T324" s="80"/>
    </row>
    <row r="325" spans="1:20" x14ac:dyDescent="0.25">
      <c r="A325" s="2" t="s">
        <v>592</v>
      </c>
      <c r="B325" s="2" t="s">
        <v>595</v>
      </c>
      <c r="C325" s="2" t="s">
        <v>598</v>
      </c>
      <c r="D325" s="2" t="s">
        <v>692</v>
      </c>
      <c r="E325" s="2" t="s">
        <v>605</v>
      </c>
      <c r="G325" s="2" t="str">
        <f t="shared" si="31"/>
        <v>01.1.9.100</v>
      </c>
      <c r="H325" s="83" t="s">
        <v>697</v>
      </c>
      <c r="I325" s="83" t="str">
        <f t="shared" si="34"/>
        <v>0119100</v>
      </c>
      <c r="J325" s="2" t="s">
        <v>698</v>
      </c>
      <c r="K325" s="120" t="str">
        <f>IFERROR(VLOOKUP(H325,'Bridge matrix'!$A$3:$E$731,3,FALSE),"no")</f>
        <v>no</v>
      </c>
      <c r="L325" s="120" t="str">
        <f t="shared" si="32"/>
        <v>no</v>
      </c>
      <c r="M325" s="120" t="str">
        <f t="shared" si="33"/>
        <v>PRODUCTOS ALIMENTICIOS (N.E.P.)</v>
      </c>
      <c r="N325" s="120" t="str">
        <f t="shared" si="35"/>
        <v>PRODUCTOS ALIMENTICIOS (N.E.P.)</v>
      </c>
      <c r="O325" s="2" t="e">
        <f>VLOOKUP(N325,'Bridge matrix'!$D$3:$E$731,2,FALSE)</f>
        <v>#N/A</v>
      </c>
      <c r="Q325" s="18"/>
      <c r="R325" s="80"/>
      <c r="S325" s="80"/>
      <c r="T325" s="80"/>
    </row>
    <row r="326" spans="1:20" x14ac:dyDescent="0.25">
      <c r="A326" s="2" t="s">
        <v>592</v>
      </c>
      <c r="B326" s="2" t="s">
        <v>595</v>
      </c>
      <c r="C326" s="2" t="s">
        <v>598</v>
      </c>
      <c r="D326" s="2" t="s">
        <v>692</v>
      </c>
      <c r="E326" s="2" t="s">
        <v>608</v>
      </c>
      <c r="G326" s="2" t="str">
        <f t="shared" si="31"/>
        <v>01.1.9.200</v>
      </c>
      <c r="H326" s="83" t="s">
        <v>699</v>
      </c>
      <c r="I326" s="83" t="str">
        <f t="shared" si="34"/>
        <v>0119200</v>
      </c>
      <c r="J326" s="2" t="s">
        <v>700</v>
      </c>
      <c r="K326" s="120" t="str">
        <f>IFERROR(VLOOKUP(H326,'Bridge matrix'!$A$3:$E$731,3,FALSE),"no")</f>
        <v>no</v>
      </c>
      <c r="L326" s="120" t="str">
        <f t="shared" si="32"/>
        <v>no</v>
      </c>
      <c r="M326" s="120" t="str">
        <f t="shared" si="33"/>
        <v>PRODUCTOS ALIMENTICIOS (N.E.P.)</v>
      </c>
      <c r="N326" s="120" t="str">
        <f t="shared" si="35"/>
        <v>PRODUCTOS ALIMENTICIOS (N.E.P.)</v>
      </c>
      <c r="O326" s="2" t="e">
        <f>VLOOKUP(N326,'Bridge matrix'!$D$3:$E$731,2,FALSE)</f>
        <v>#N/A</v>
      </c>
      <c r="Q326" s="18"/>
      <c r="R326" s="80"/>
      <c r="S326" s="80"/>
      <c r="T326" s="80"/>
    </row>
    <row r="327" spans="1:20" x14ac:dyDescent="0.25">
      <c r="A327" s="2" t="s">
        <v>590</v>
      </c>
      <c r="B327" s="2" t="s">
        <v>595</v>
      </c>
      <c r="C327" s="2" t="s">
        <v>619</v>
      </c>
      <c r="D327" s="2" t="s">
        <v>596</v>
      </c>
      <c r="E327" s="2" t="s">
        <v>596</v>
      </c>
      <c r="G327" s="2" t="str">
        <f t="shared" si="31"/>
        <v>01.2</v>
      </c>
      <c r="H327" s="83" t="s">
        <v>701</v>
      </c>
      <c r="I327" s="83" t="str">
        <f t="shared" si="34"/>
        <v>012</v>
      </c>
      <c r="J327" s="2" t="s">
        <v>702</v>
      </c>
      <c r="K327" s="120" t="str">
        <f>IFERROR(VLOOKUP(H327,'Bridge matrix'!$A$3:$E$731,3,FALSE),"no")</f>
        <v>no</v>
      </c>
      <c r="L327" s="120" t="str">
        <f t="shared" si="32"/>
        <v>ll</v>
      </c>
      <c r="M327" s="120" t="str">
        <f t="shared" si="33"/>
        <v>ll</v>
      </c>
      <c r="N327" s="120" t="str">
        <f t="shared" si="35"/>
        <v>ll</v>
      </c>
      <c r="O327" s="2" t="str">
        <f>VLOOKUP(N327,'Bridge matrix'!$D$3:$E$731,2,FALSE)</f>
        <v>matched on SC/SSC level</v>
      </c>
      <c r="Q327" s="18"/>
      <c r="R327" s="80"/>
      <c r="S327" s="80"/>
      <c r="T327" s="80"/>
    </row>
    <row r="328" spans="1:20" x14ac:dyDescent="0.25">
      <c r="A328" s="2" t="s">
        <v>591</v>
      </c>
      <c r="B328" s="2" t="s">
        <v>595</v>
      </c>
      <c r="C328" s="2" t="s">
        <v>619</v>
      </c>
      <c r="D328" s="2" t="s">
        <v>598</v>
      </c>
      <c r="E328" s="2" t="s">
        <v>596</v>
      </c>
      <c r="G328" s="2" t="str">
        <f t="shared" si="31"/>
        <v>01.2.1</v>
      </c>
      <c r="H328" s="83" t="s">
        <v>703</v>
      </c>
      <c r="I328" s="83" t="str">
        <f t="shared" si="34"/>
        <v>0121</v>
      </c>
      <c r="J328" s="2" t="s">
        <v>704</v>
      </c>
      <c r="K328" s="120" t="str">
        <f>IFERROR(VLOOKUP(H328,'Bridge matrix'!$A$3:$E$731,3,FALSE),"no")</f>
        <v xml:space="preserve">CAFÉ, TE, CACAO, Y HIERBAS AROMATICAS </v>
      </c>
      <c r="L328" s="120" t="str">
        <f t="shared" si="32"/>
        <v xml:space="preserve">CAFÉ, TE, CACAO, Y HIERBAS AROMATICAS </v>
      </c>
      <c r="M328" s="120" t="str">
        <f t="shared" si="33"/>
        <v xml:space="preserve">CAFÉ, TE, CACAO, Y HIERBAS AROMATICAS </v>
      </c>
      <c r="N328" s="120" t="str">
        <f t="shared" si="35"/>
        <v xml:space="preserve">CAFÉ, TE, CACAO, Y HIERBAS AROMATICAS </v>
      </c>
      <c r="O328" s="2" t="e">
        <f>VLOOKUP(N328,'Bridge matrix'!$D$3:$E$731,2,FALSE)</f>
        <v>#N/A</v>
      </c>
      <c r="Q328" s="18"/>
      <c r="R328" s="80"/>
      <c r="S328" s="80"/>
      <c r="T328" s="80"/>
    </row>
    <row r="329" spans="1:20" x14ac:dyDescent="0.25">
      <c r="A329" s="2" t="s">
        <v>592</v>
      </c>
      <c r="B329" s="2" t="s">
        <v>595</v>
      </c>
      <c r="C329" s="2" t="s">
        <v>619</v>
      </c>
      <c r="D329" s="2" t="s">
        <v>598</v>
      </c>
      <c r="E329" s="2" t="s">
        <v>602</v>
      </c>
      <c r="G329" s="2" t="str">
        <f t="shared" si="31"/>
        <v>01.2.1.000</v>
      </c>
      <c r="H329" s="83" t="s">
        <v>705</v>
      </c>
      <c r="I329" s="83" t="str">
        <f t="shared" si="34"/>
        <v>0121000</v>
      </c>
      <c r="J329" s="2" t="s">
        <v>706</v>
      </c>
      <c r="K329" s="120" t="str">
        <f>IFERROR(VLOOKUP(H329,'Bridge matrix'!$A$3:$E$731,3,FALSE),"no")</f>
        <v>no</v>
      </c>
      <c r="L329" s="120" t="str">
        <f t="shared" si="32"/>
        <v>no</v>
      </c>
      <c r="M329" s="120" t="str">
        <f t="shared" si="33"/>
        <v xml:space="preserve">CAFÉ, TE, CACAO, Y HIERBAS AROMATICAS </v>
      </c>
      <c r="N329" s="120" t="str">
        <f t="shared" si="35"/>
        <v xml:space="preserve">CAFÉ, TE, CACAO, Y HIERBAS AROMATICAS </v>
      </c>
      <c r="O329" s="2" t="e">
        <f>VLOOKUP(N329,'Bridge matrix'!$D$3:$E$731,2,FALSE)</f>
        <v>#N/A</v>
      </c>
      <c r="Q329" s="18"/>
      <c r="R329" s="80"/>
      <c r="S329" s="80"/>
      <c r="T329" s="80"/>
    </row>
    <row r="330" spans="1:20" x14ac:dyDescent="0.25">
      <c r="A330" s="2" t="s">
        <v>591</v>
      </c>
      <c r="B330" s="2" t="s">
        <v>595</v>
      </c>
      <c r="C330" s="2" t="s">
        <v>619</v>
      </c>
      <c r="D330" s="2" t="s">
        <v>619</v>
      </c>
      <c r="E330" s="2" t="s">
        <v>596</v>
      </c>
      <c r="G330" s="2" t="str">
        <f t="shared" si="31"/>
        <v>01.2.2</v>
      </c>
      <c r="H330" s="83" t="s">
        <v>707</v>
      </c>
      <c r="I330" s="83" t="str">
        <f t="shared" si="34"/>
        <v>0122</v>
      </c>
      <c r="J330" s="2" t="s">
        <v>708</v>
      </c>
      <c r="K330" s="120" t="str">
        <f>IFERROR(VLOOKUP(H330,'Bridge matrix'!$A$3:$E$731,3,FALSE),"no")</f>
        <v>AGUAS MINERALES, REFRESCOS, JUGOS DE FRUTAS Y DE LEGUMBRES</v>
      </c>
      <c r="L330" s="120" t="str">
        <f t="shared" si="32"/>
        <v>AGUAS MINERALES, REFRESCOS, JUGOS DE FRUTAS Y DE LEGUMBRES</v>
      </c>
      <c r="M330" s="120" t="str">
        <f t="shared" si="33"/>
        <v>AGUAS MINERALES, REFRESCOS, JUGOS DE FRUTAS Y DE LEGUMBRES</v>
      </c>
      <c r="N330" s="120" t="str">
        <f t="shared" si="35"/>
        <v>AGUAS MINERALES, REFRESCOS, JUGOS DE FRUTAS Y DE LEGUMBRES</v>
      </c>
      <c r="O330" s="2" t="e">
        <f>VLOOKUP(N330,'Bridge matrix'!$D$3:$E$731,2,FALSE)</f>
        <v>#N/A</v>
      </c>
      <c r="Q330" s="18"/>
      <c r="R330" s="80"/>
      <c r="S330" s="80"/>
      <c r="T330" s="80"/>
    </row>
    <row r="331" spans="1:20" x14ac:dyDescent="0.25">
      <c r="A331" s="2" t="s">
        <v>592</v>
      </c>
      <c r="B331" s="2" t="s">
        <v>595</v>
      </c>
      <c r="C331" s="2" t="s">
        <v>619</v>
      </c>
      <c r="D331" s="2" t="s">
        <v>619</v>
      </c>
      <c r="E331" s="2" t="s">
        <v>602</v>
      </c>
      <c r="G331" s="2" t="str">
        <f t="shared" si="31"/>
        <v>01.2.2.000</v>
      </c>
      <c r="H331" s="83" t="s">
        <v>709</v>
      </c>
      <c r="I331" s="83" t="str">
        <f t="shared" si="34"/>
        <v>0122000</v>
      </c>
      <c r="J331" s="2" t="s">
        <v>710</v>
      </c>
      <c r="K331" s="120" t="str">
        <f>IFERROR(VLOOKUP(H331,'Bridge matrix'!$A$3:$E$731,3,FALSE),"no")</f>
        <v>no</v>
      </c>
      <c r="L331" s="120" t="str">
        <f t="shared" si="32"/>
        <v>no</v>
      </c>
      <c r="M331" s="120" t="str">
        <f t="shared" si="33"/>
        <v>AGUAS MINERALES, REFRESCOS, JUGOS DE FRUTAS Y DE LEGUMBRES</v>
      </c>
      <c r="N331" s="120" t="str">
        <f t="shared" si="35"/>
        <v>AGUAS MINERALES, REFRESCOS, JUGOS DE FRUTAS Y DE LEGUMBRES</v>
      </c>
      <c r="O331" s="2" t="e">
        <f>VLOOKUP(N331,'Bridge matrix'!$D$3:$E$731,2,FALSE)</f>
        <v>#N/A</v>
      </c>
      <c r="Q331" s="18"/>
      <c r="R331" s="80"/>
      <c r="S331" s="80"/>
      <c r="T331" s="80"/>
    </row>
    <row r="332" spans="1:20" x14ac:dyDescent="0.25">
      <c r="A332" s="2" t="s">
        <v>592</v>
      </c>
      <c r="B332" s="2" t="s">
        <v>595</v>
      </c>
      <c r="C332" s="2" t="s">
        <v>619</v>
      </c>
      <c r="D332" s="2" t="s">
        <v>619</v>
      </c>
      <c r="E332" s="2" t="s">
        <v>605</v>
      </c>
      <c r="G332" s="2" t="str">
        <f t="shared" si="31"/>
        <v>01.2.2.100</v>
      </c>
      <c r="H332" s="83" t="s">
        <v>711</v>
      </c>
      <c r="I332" s="83" t="str">
        <f t="shared" si="34"/>
        <v>0122100</v>
      </c>
      <c r="J332" s="2" t="s">
        <v>712</v>
      </c>
      <c r="K332" s="120" t="str">
        <f>IFERROR(VLOOKUP(H332,'Bridge matrix'!$A$3:$E$731,3,FALSE),"no")</f>
        <v>no</v>
      </c>
      <c r="L332" s="120" t="str">
        <f t="shared" si="32"/>
        <v>no</v>
      </c>
      <c r="M332" s="120" t="str">
        <f t="shared" si="33"/>
        <v>AGUAS MINERALES, REFRESCOS, JUGOS DE FRUTAS Y DE LEGUMBRES</v>
      </c>
      <c r="N332" s="120" t="str">
        <f t="shared" si="35"/>
        <v>AGUAS MINERALES, REFRESCOS, JUGOS DE FRUTAS Y DE LEGUMBRES</v>
      </c>
      <c r="O332" s="2" t="e">
        <f>VLOOKUP(N332,'Bridge matrix'!$D$3:$E$731,2,FALSE)</f>
        <v>#N/A</v>
      </c>
      <c r="Q332" s="18"/>
      <c r="R332" s="80"/>
      <c r="S332" s="80"/>
      <c r="T332" s="80"/>
    </row>
    <row r="333" spans="1:20" x14ac:dyDescent="0.25">
      <c r="A333" s="2" t="s">
        <v>589</v>
      </c>
      <c r="B333" s="2" t="s">
        <v>713</v>
      </c>
      <c r="C333" s="2" t="s">
        <v>596</v>
      </c>
      <c r="D333" s="2" t="s">
        <v>596</v>
      </c>
      <c r="E333" s="2" t="s">
        <v>596</v>
      </c>
      <c r="G333" s="2" t="str">
        <f t="shared" si="31"/>
        <v>02</v>
      </c>
      <c r="H333" s="83" t="s">
        <v>713</v>
      </c>
      <c r="I333" s="83" t="str">
        <f t="shared" si="34"/>
        <v>02</v>
      </c>
      <c r="J333" s="2" t="s">
        <v>714</v>
      </c>
      <c r="K333" s="120" t="str">
        <f>IFERROR(VLOOKUP(H333,'Bridge matrix'!$A$3:$E$731,3,FALSE),"no")</f>
        <v>no</v>
      </c>
      <c r="L333" s="120" t="str">
        <f t="shared" si="32"/>
        <v>ll</v>
      </c>
      <c r="M333" s="120" t="str">
        <f t="shared" si="33"/>
        <v>ll</v>
      </c>
      <c r="N333" s="120" t="str">
        <f t="shared" si="35"/>
        <v>ll</v>
      </c>
      <c r="O333" s="2" t="str">
        <f>VLOOKUP(N333,'Bridge matrix'!$D$3:$E$731,2,FALSE)</f>
        <v>matched on SC/SSC level</v>
      </c>
      <c r="Q333" s="18"/>
      <c r="R333" s="80"/>
      <c r="S333" s="80"/>
      <c r="T333" s="80"/>
    </row>
    <row r="334" spans="1:20" x14ac:dyDescent="0.25">
      <c r="A334" s="2" t="s">
        <v>590</v>
      </c>
      <c r="B334" s="2" t="s">
        <v>713</v>
      </c>
      <c r="C334" s="2" t="s">
        <v>598</v>
      </c>
      <c r="D334" s="2" t="s">
        <v>596</v>
      </c>
      <c r="E334" s="2" t="s">
        <v>596</v>
      </c>
      <c r="G334" s="2" t="str">
        <f t="shared" si="31"/>
        <v>02.1</v>
      </c>
      <c r="H334" s="83" t="s">
        <v>715</v>
      </c>
      <c r="I334" s="83" t="str">
        <f t="shared" si="34"/>
        <v>021</v>
      </c>
      <c r="J334" s="2" t="s">
        <v>716</v>
      </c>
      <c r="K334" s="120" t="str">
        <f>IFERROR(VLOOKUP(H334,'Bridge matrix'!$A$3:$E$731,3,FALSE),"no")</f>
        <v>no</v>
      </c>
      <c r="L334" s="120" t="str">
        <f t="shared" si="32"/>
        <v>ll</v>
      </c>
      <c r="M334" s="120" t="str">
        <f t="shared" si="33"/>
        <v>ll</v>
      </c>
      <c r="N334" s="120" t="str">
        <f t="shared" si="35"/>
        <v>ll</v>
      </c>
      <c r="O334" s="2" t="str">
        <f>VLOOKUP(N334,'Bridge matrix'!$D$3:$E$731,2,FALSE)</f>
        <v>matched on SC/SSC level</v>
      </c>
      <c r="Q334" s="18"/>
      <c r="R334" s="80"/>
      <c r="S334" s="80"/>
      <c r="T334" s="80"/>
    </row>
    <row r="335" spans="1:20" x14ac:dyDescent="0.25">
      <c r="A335" s="2" t="s">
        <v>591</v>
      </c>
      <c r="B335" s="2" t="s">
        <v>713</v>
      </c>
      <c r="C335" s="2" t="s">
        <v>598</v>
      </c>
      <c r="D335" s="2" t="s">
        <v>598</v>
      </c>
      <c r="E335" s="2" t="s">
        <v>596</v>
      </c>
      <c r="G335" s="2" t="str">
        <f t="shared" si="31"/>
        <v>02.1.1</v>
      </c>
      <c r="H335" s="83" t="s">
        <v>717</v>
      </c>
      <c r="I335" s="83" t="str">
        <f t="shared" si="34"/>
        <v>0211</v>
      </c>
      <c r="J335" s="2" t="s">
        <v>718</v>
      </c>
      <c r="K335" s="120" t="str">
        <f>IFERROR(VLOOKUP(H335,'Bridge matrix'!$A$3:$E$731,3,FALSE),"no")</f>
        <v xml:space="preserve">BEBIDAS DESTILADAS </v>
      </c>
      <c r="L335" s="120" t="str">
        <f t="shared" si="32"/>
        <v xml:space="preserve">BEBIDAS DESTILADAS </v>
      </c>
      <c r="M335" s="120" t="str">
        <f t="shared" si="33"/>
        <v xml:space="preserve">BEBIDAS DESTILADAS </v>
      </c>
      <c r="N335" s="120" t="str">
        <f t="shared" si="35"/>
        <v xml:space="preserve">BEBIDAS DESTILADAS </v>
      </c>
      <c r="O335" s="2" t="e">
        <f>VLOOKUP(N335,'Bridge matrix'!$D$3:$E$731,2,FALSE)</f>
        <v>#N/A</v>
      </c>
      <c r="Q335" s="18"/>
      <c r="R335" s="80"/>
      <c r="S335" s="80"/>
      <c r="T335" s="80"/>
    </row>
    <row r="336" spans="1:20" x14ac:dyDescent="0.25">
      <c r="A336" s="2" t="s">
        <v>592</v>
      </c>
      <c r="B336" s="2" t="s">
        <v>713</v>
      </c>
      <c r="C336" s="2" t="s">
        <v>598</v>
      </c>
      <c r="D336" s="2" t="s">
        <v>598</v>
      </c>
      <c r="E336" s="2" t="s">
        <v>602</v>
      </c>
      <c r="G336" s="2" t="str">
        <f t="shared" si="31"/>
        <v>02.1.1.000</v>
      </c>
      <c r="H336" s="83" t="s">
        <v>719</v>
      </c>
      <c r="I336" s="83" t="str">
        <f t="shared" si="34"/>
        <v>0211000</v>
      </c>
      <c r="J336" s="2" t="s">
        <v>720</v>
      </c>
      <c r="K336" s="120" t="str">
        <f>IFERROR(VLOOKUP(H336,'Bridge matrix'!$A$3:$E$731,3,FALSE),"no")</f>
        <v>no</v>
      </c>
      <c r="L336" s="120" t="str">
        <f t="shared" si="32"/>
        <v>no</v>
      </c>
      <c r="M336" s="120" t="str">
        <f t="shared" si="33"/>
        <v xml:space="preserve">BEBIDAS DESTILADAS </v>
      </c>
      <c r="N336" s="120" t="str">
        <f t="shared" si="35"/>
        <v xml:space="preserve">BEBIDAS DESTILADAS </v>
      </c>
      <c r="O336" s="2" t="e">
        <f>VLOOKUP(N336,'Bridge matrix'!$D$3:$E$731,2,FALSE)</f>
        <v>#N/A</v>
      </c>
      <c r="Q336" s="18"/>
      <c r="R336" s="80"/>
      <c r="S336" s="80"/>
      <c r="T336" s="80"/>
    </row>
    <row r="337" spans="1:20" x14ac:dyDescent="0.25">
      <c r="A337" s="2" t="s">
        <v>591</v>
      </c>
      <c r="B337" s="2" t="s">
        <v>713</v>
      </c>
      <c r="C337" s="2" t="s">
        <v>598</v>
      </c>
      <c r="D337" s="2" t="s">
        <v>619</v>
      </c>
      <c r="E337" s="2" t="s">
        <v>596</v>
      </c>
      <c r="G337" s="2" t="str">
        <f t="shared" si="31"/>
        <v>02.1.2</v>
      </c>
      <c r="H337" s="83" t="s">
        <v>721</v>
      </c>
      <c r="I337" s="83" t="str">
        <f t="shared" si="34"/>
        <v>0212</v>
      </c>
      <c r="J337" s="2" t="s">
        <v>722</v>
      </c>
      <c r="K337" s="120" t="str">
        <f>IFERROR(VLOOKUP(H337,'Bridge matrix'!$A$3:$E$731,3,FALSE),"no")</f>
        <v xml:space="preserve">VINO </v>
      </c>
      <c r="L337" s="120" t="str">
        <f t="shared" si="32"/>
        <v xml:space="preserve">VINO </v>
      </c>
      <c r="M337" s="120" t="str">
        <f t="shared" si="33"/>
        <v xml:space="preserve">VINO </v>
      </c>
      <c r="N337" s="120" t="str">
        <f t="shared" si="35"/>
        <v xml:space="preserve">VINO </v>
      </c>
      <c r="O337" s="2" t="e">
        <f>VLOOKUP(N337,'Bridge matrix'!$D$3:$E$731,2,FALSE)</f>
        <v>#N/A</v>
      </c>
      <c r="Q337" s="18"/>
      <c r="R337" s="80"/>
      <c r="S337" s="80"/>
      <c r="T337" s="80"/>
    </row>
    <row r="338" spans="1:20" x14ac:dyDescent="0.25">
      <c r="A338" s="2" t="s">
        <v>592</v>
      </c>
      <c r="B338" s="2" t="s">
        <v>713</v>
      </c>
      <c r="C338" s="2" t="s">
        <v>598</v>
      </c>
      <c r="D338" s="2" t="s">
        <v>619</v>
      </c>
      <c r="E338" s="2" t="s">
        <v>602</v>
      </c>
      <c r="G338" s="2" t="str">
        <f t="shared" si="31"/>
        <v>02.1.2.000</v>
      </c>
      <c r="H338" s="83" t="s">
        <v>723</v>
      </c>
      <c r="I338" s="83" t="str">
        <f t="shared" si="34"/>
        <v>0212000</v>
      </c>
      <c r="J338" s="2" t="s">
        <v>724</v>
      </c>
      <c r="K338" s="120" t="str">
        <f>IFERROR(VLOOKUP(H338,'Bridge matrix'!$A$3:$E$731,3,FALSE),"no")</f>
        <v>no</v>
      </c>
      <c r="L338" s="120" t="str">
        <f t="shared" si="32"/>
        <v>no</v>
      </c>
      <c r="M338" s="120" t="str">
        <f t="shared" si="33"/>
        <v xml:space="preserve">VINO </v>
      </c>
      <c r="N338" s="120" t="str">
        <f t="shared" si="35"/>
        <v xml:space="preserve">VINO </v>
      </c>
      <c r="O338" s="2" t="e">
        <f>VLOOKUP(N338,'Bridge matrix'!$D$3:$E$731,2,FALSE)</f>
        <v>#N/A</v>
      </c>
      <c r="Q338" s="18"/>
      <c r="R338" s="80"/>
      <c r="S338" s="80"/>
      <c r="T338" s="80"/>
    </row>
    <row r="339" spans="1:20" x14ac:dyDescent="0.25">
      <c r="A339" s="2" t="s">
        <v>591</v>
      </c>
      <c r="B339" s="2" t="s">
        <v>713</v>
      </c>
      <c r="C339" s="2" t="s">
        <v>598</v>
      </c>
      <c r="D339" s="2" t="s">
        <v>633</v>
      </c>
      <c r="E339" s="2" t="s">
        <v>596</v>
      </c>
      <c r="G339" s="2" t="str">
        <f t="shared" si="31"/>
        <v>02.1.3</v>
      </c>
      <c r="H339" s="83" t="s">
        <v>725</v>
      </c>
      <c r="I339" s="83" t="str">
        <f t="shared" si="34"/>
        <v>0213</v>
      </c>
      <c r="J339" s="2" t="s">
        <v>726</v>
      </c>
      <c r="K339" s="120" t="str">
        <f>IFERROR(VLOOKUP(H339,'Bridge matrix'!$A$3:$E$731,3,FALSE),"no")</f>
        <v xml:space="preserve">CERVEZA </v>
      </c>
      <c r="L339" s="120" t="str">
        <f t="shared" si="32"/>
        <v xml:space="preserve">CERVEZA </v>
      </c>
      <c r="M339" s="120" t="str">
        <f t="shared" si="33"/>
        <v xml:space="preserve">CERVEZA </v>
      </c>
      <c r="N339" s="120" t="str">
        <f t="shared" si="35"/>
        <v xml:space="preserve">CERVEZA </v>
      </c>
      <c r="O339" s="2" t="e">
        <f>VLOOKUP(N339,'Bridge matrix'!$D$3:$E$731,2,FALSE)</f>
        <v>#N/A</v>
      </c>
      <c r="Q339" s="18"/>
      <c r="R339" s="80"/>
      <c r="S339" s="80"/>
      <c r="T339" s="80"/>
    </row>
    <row r="340" spans="1:20" x14ac:dyDescent="0.25">
      <c r="A340" s="2" t="s">
        <v>592</v>
      </c>
      <c r="B340" s="2" t="s">
        <v>713</v>
      </c>
      <c r="C340" s="2" t="s">
        <v>598</v>
      </c>
      <c r="D340" s="2" t="s">
        <v>633</v>
      </c>
      <c r="E340" s="2" t="s">
        <v>602</v>
      </c>
      <c r="G340" s="2" t="str">
        <f t="shared" si="31"/>
        <v>02.1.3.000</v>
      </c>
      <c r="H340" s="83" t="s">
        <v>727</v>
      </c>
      <c r="I340" s="83" t="str">
        <f t="shared" si="34"/>
        <v>0213000</v>
      </c>
      <c r="J340" s="2" t="s">
        <v>728</v>
      </c>
      <c r="K340" s="120" t="str">
        <f>IFERROR(VLOOKUP(H340,'Bridge matrix'!$A$3:$E$731,3,FALSE),"no")</f>
        <v>no</v>
      </c>
      <c r="L340" s="120" t="str">
        <f t="shared" si="32"/>
        <v>no</v>
      </c>
      <c r="M340" s="120" t="str">
        <f t="shared" si="33"/>
        <v xml:space="preserve">CERVEZA </v>
      </c>
      <c r="N340" s="120" t="str">
        <f t="shared" si="35"/>
        <v xml:space="preserve">CERVEZA </v>
      </c>
      <c r="O340" s="2" t="e">
        <f>VLOOKUP(N340,'Bridge matrix'!$D$3:$E$731,2,FALSE)</f>
        <v>#N/A</v>
      </c>
      <c r="Q340" s="18"/>
      <c r="R340" s="80"/>
      <c r="S340" s="80"/>
      <c r="T340" s="80"/>
    </row>
    <row r="341" spans="1:20" x14ac:dyDescent="0.25">
      <c r="A341" s="2" t="s">
        <v>590</v>
      </c>
      <c r="B341" s="2" t="s">
        <v>713</v>
      </c>
      <c r="C341" s="2" t="s">
        <v>619</v>
      </c>
      <c r="D341" s="2" t="s">
        <v>596</v>
      </c>
      <c r="E341" s="2" t="s">
        <v>596</v>
      </c>
      <c r="G341" s="2" t="str">
        <f t="shared" si="31"/>
        <v>02.2</v>
      </c>
      <c r="H341" s="83" t="s">
        <v>729</v>
      </c>
      <c r="I341" s="83" t="str">
        <f t="shared" si="34"/>
        <v>022</v>
      </c>
      <c r="J341" s="2" t="s">
        <v>730</v>
      </c>
      <c r="K341" s="120" t="str">
        <f>IFERROR(VLOOKUP(H341,'Bridge matrix'!$A$3:$E$731,3,FALSE),"no")</f>
        <v>no</v>
      </c>
      <c r="L341" s="120" t="str">
        <f t="shared" si="32"/>
        <v>ll</v>
      </c>
      <c r="M341" s="120" t="str">
        <f t="shared" si="33"/>
        <v>ll</v>
      </c>
      <c r="N341" s="120" t="str">
        <f t="shared" si="35"/>
        <v>ll</v>
      </c>
      <c r="O341" s="2" t="str">
        <f>VLOOKUP(N341,'Bridge matrix'!$D$3:$E$731,2,FALSE)</f>
        <v>matched on SC/SSC level</v>
      </c>
      <c r="Q341" s="18"/>
      <c r="R341" s="80"/>
      <c r="S341" s="80"/>
      <c r="T341" s="80"/>
    </row>
    <row r="342" spans="1:20" x14ac:dyDescent="0.25">
      <c r="A342" s="2" t="s">
        <v>591</v>
      </c>
      <c r="B342" s="2" t="s">
        <v>713</v>
      </c>
      <c r="C342" s="2" t="s">
        <v>619</v>
      </c>
      <c r="D342" s="2" t="s">
        <v>598</v>
      </c>
      <c r="E342" s="2" t="s">
        <v>596</v>
      </c>
      <c r="G342" s="2" t="str">
        <f t="shared" si="31"/>
        <v>02.2.1</v>
      </c>
      <c r="H342" s="83" t="s">
        <v>731</v>
      </c>
      <c r="I342" s="83" t="str">
        <f t="shared" si="34"/>
        <v>0221</v>
      </c>
      <c r="J342" s="2" t="s">
        <v>732</v>
      </c>
      <c r="K342" s="120" t="str">
        <f>IFERROR(VLOOKUP(H342,'Bridge matrix'!$A$3:$E$731,3,FALSE),"no")</f>
        <v xml:space="preserve">TABACO </v>
      </c>
      <c r="L342" s="120" t="str">
        <f t="shared" si="32"/>
        <v xml:space="preserve">TABACO </v>
      </c>
      <c r="M342" s="120" t="str">
        <f t="shared" si="33"/>
        <v xml:space="preserve">TABACO </v>
      </c>
      <c r="N342" s="120" t="str">
        <f t="shared" si="35"/>
        <v xml:space="preserve">TABACO </v>
      </c>
      <c r="O342" s="2" t="e">
        <f>VLOOKUP(N342,'Bridge matrix'!$D$3:$E$731,2,FALSE)</f>
        <v>#N/A</v>
      </c>
      <c r="Q342" s="18"/>
      <c r="R342" s="80"/>
      <c r="S342" s="80"/>
      <c r="T342" s="80"/>
    </row>
    <row r="343" spans="1:20" x14ac:dyDescent="0.25">
      <c r="A343" s="2" t="s">
        <v>592</v>
      </c>
      <c r="B343" s="2" t="s">
        <v>713</v>
      </c>
      <c r="C343" s="2" t="s">
        <v>619</v>
      </c>
      <c r="D343" s="2" t="s">
        <v>598</v>
      </c>
      <c r="E343" s="2" t="s">
        <v>602</v>
      </c>
      <c r="G343" s="2" t="str">
        <f t="shared" si="31"/>
        <v>02.2.1.000</v>
      </c>
      <c r="H343" s="83" t="s">
        <v>733</v>
      </c>
      <c r="I343" s="83" t="str">
        <f t="shared" si="34"/>
        <v>0221000</v>
      </c>
      <c r="J343" s="2" t="s">
        <v>734</v>
      </c>
      <c r="K343" s="120" t="str">
        <f>IFERROR(VLOOKUP(H343,'Bridge matrix'!$A$3:$E$731,3,FALSE),"no")</f>
        <v>no</v>
      </c>
      <c r="L343" s="120" t="str">
        <f t="shared" si="32"/>
        <v>no</v>
      </c>
      <c r="M343" s="120" t="str">
        <f t="shared" si="33"/>
        <v xml:space="preserve">TABACO </v>
      </c>
      <c r="N343" s="120" t="str">
        <f t="shared" si="35"/>
        <v xml:space="preserve">TABACO </v>
      </c>
      <c r="O343" s="2" t="e">
        <f>VLOOKUP(N343,'Bridge matrix'!$D$3:$E$731,2,FALSE)</f>
        <v>#N/A</v>
      </c>
    </row>
    <row r="344" spans="1:20" x14ac:dyDescent="0.25">
      <c r="A344" s="2" t="s">
        <v>590</v>
      </c>
      <c r="B344" s="2" t="s">
        <v>713</v>
      </c>
      <c r="C344" s="2" t="s">
        <v>633</v>
      </c>
      <c r="D344" s="2" t="s">
        <v>596</v>
      </c>
      <c r="E344" s="2" t="s">
        <v>596</v>
      </c>
      <c r="G344" s="2" t="str">
        <f t="shared" si="31"/>
        <v>02.3</v>
      </c>
      <c r="H344" s="83" t="s">
        <v>735</v>
      </c>
      <c r="I344" s="83" t="str">
        <f t="shared" si="34"/>
        <v>023</v>
      </c>
      <c r="J344" s="2" t="s">
        <v>736</v>
      </c>
      <c r="K344" s="120" t="str">
        <f>IFERROR(VLOOKUP(H344,'Bridge matrix'!$A$3:$E$731,3,FALSE),"no")</f>
        <v>no</v>
      </c>
      <c r="L344" s="120" t="str">
        <f t="shared" si="32"/>
        <v>ll</v>
      </c>
      <c r="M344" s="120" t="str">
        <f t="shared" si="33"/>
        <v>ll</v>
      </c>
      <c r="N344" s="120" t="str">
        <f t="shared" si="35"/>
        <v>ll</v>
      </c>
      <c r="O344" s="2" t="str">
        <f>VLOOKUP(N344,'Bridge matrix'!$D$3:$E$731,2,FALSE)</f>
        <v>matched on SC/SSC level</v>
      </c>
    </row>
    <row r="345" spans="1:20" x14ac:dyDescent="0.25">
      <c r="A345" s="2" t="s">
        <v>591</v>
      </c>
      <c r="B345" s="2" t="s">
        <v>713</v>
      </c>
      <c r="C345" s="2" t="s">
        <v>633</v>
      </c>
      <c r="D345" s="2" t="s">
        <v>598</v>
      </c>
      <c r="E345" s="2" t="s">
        <v>596</v>
      </c>
      <c r="G345" s="2" t="str">
        <f t="shared" ref="G345:G407" si="36">B345&amp;IF(C345="","","."&amp;C345)&amp;IF(D345="","","."&amp;D345)&amp;IF(E345="","","."&amp;E345)&amp;IF(F345="","","."&amp;F345)</f>
        <v>02.3.1</v>
      </c>
      <c r="H345" s="83" t="s">
        <v>737</v>
      </c>
      <c r="I345" s="83" t="str">
        <f t="shared" si="34"/>
        <v>0231</v>
      </c>
      <c r="J345" s="2" t="s">
        <v>738</v>
      </c>
      <c r="K345" s="120" t="str">
        <f>IFERROR(VLOOKUP(H345,'Bridge matrix'!$A$3:$E$731,3,FALSE),"no")</f>
        <v xml:space="preserve">ESTUPEFACIENTES </v>
      </c>
      <c r="L345" s="120" t="str">
        <f t="shared" si="32"/>
        <v xml:space="preserve">ESTUPEFACIENTES </v>
      </c>
      <c r="M345" s="120" t="str">
        <f t="shared" si="33"/>
        <v xml:space="preserve">ESTUPEFACIENTES </v>
      </c>
      <c r="N345" s="120" t="str">
        <f t="shared" si="35"/>
        <v xml:space="preserve">ESTUPEFACIENTES </v>
      </c>
      <c r="O345" s="2" t="e">
        <f>VLOOKUP(N345,'Bridge matrix'!$D$3:$E$731,2,FALSE)</f>
        <v>#N/A</v>
      </c>
    </row>
    <row r="346" spans="1:20" x14ac:dyDescent="0.25">
      <c r="A346" s="2" t="s">
        <v>592</v>
      </c>
      <c r="B346" s="2" t="s">
        <v>713</v>
      </c>
      <c r="C346" s="2" t="s">
        <v>633</v>
      </c>
      <c r="D346" s="2" t="s">
        <v>598</v>
      </c>
      <c r="E346" s="2" t="s">
        <v>602</v>
      </c>
      <c r="G346" s="2" t="str">
        <f t="shared" si="36"/>
        <v>02.3.1.000</v>
      </c>
      <c r="H346" s="83" t="s">
        <v>739</v>
      </c>
      <c r="I346" s="83" t="str">
        <f t="shared" si="34"/>
        <v>0231000</v>
      </c>
      <c r="J346" s="2" t="s">
        <v>740</v>
      </c>
      <c r="K346" s="120" t="str">
        <f>IFERROR(VLOOKUP(H346,'Bridge matrix'!$A$3:$E$731,3,FALSE),"no")</f>
        <v>no</v>
      </c>
      <c r="L346" s="120" t="str">
        <f t="shared" si="32"/>
        <v>no</v>
      </c>
      <c r="M346" s="120" t="str">
        <f t="shared" si="33"/>
        <v xml:space="preserve">ESTUPEFACIENTES </v>
      </c>
      <c r="N346" s="120" t="str">
        <f t="shared" si="35"/>
        <v xml:space="preserve">ESTUPEFACIENTES </v>
      </c>
      <c r="O346" s="2" t="e">
        <f>VLOOKUP(N346,'Bridge matrix'!$D$3:$E$731,2,FALSE)</f>
        <v>#N/A</v>
      </c>
    </row>
    <row r="347" spans="1:20" x14ac:dyDescent="0.25">
      <c r="A347" s="2" t="s">
        <v>589</v>
      </c>
      <c r="B347" s="2" t="s">
        <v>741</v>
      </c>
      <c r="C347" s="2" t="s">
        <v>596</v>
      </c>
      <c r="D347" s="2" t="s">
        <v>596</v>
      </c>
      <c r="E347" s="2" t="s">
        <v>596</v>
      </c>
      <c r="G347" s="2" t="str">
        <f t="shared" si="36"/>
        <v>03</v>
      </c>
      <c r="H347" s="83" t="s">
        <v>741</v>
      </c>
      <c r="I347" s="83" t="str">
        <f t="shared" si="34"/>
        <v>03</v>
      </c>
      <c r="J347" s="2" t="s">
        <v>742</v>
      </c>
      <c r="K347" s="120" t="str">
        <f>IFERROR(VLOOKUP(H347,'Bridge matrix'!$A$3:$E$731,3,FALSE),"no")</f>
        <v>no</v>
      </c>
      <c r="L347" s="120" t="str">
        <f t="shared" si="32"/>
        <v>ll</v>
      </c>
      <c r="M347" s="120" t="str">
        <f t="shared" si="33"/>
        <v>ll</v>
      </c>
      <c r="N347" s="120" t="str">
        <f t="shared" si="35"/>
        <v>ll</v>
      </c>
      <c r="O347" s="2" t="str">
        <f>VLOOKUP(N347,'Bridge matrix'!$D$3:$E$731,2,FALSE)</f>
        <v>matched on SC/SSC level</v>
      </c>
    </row>
    <row r="348" spans="1:20" x14ac:dyDescent="0.25">
      <c r="A348" s="2" t="s">
        <v>590</v>
      </c>
      <c r="B348" s="2" t="s">
        <v>741</v>
      </c>
      <c r="C348" s="2" t="s">
        <v>598</v>
      </c>
      <c r="D348" s="2" t="s">
        <v>596</v>
      </c>
      <c r="E348" s="2" t="s">
        <v>596</v>
      </c>
      <c r="G348" s="2" t="str">
        <f t="shared" si="36"/>
        <v>03.1</v>
      </c>
      <c r="H348" s="83" t="s">
        <v>743</v>
      </c>
      <c r="I348" s="83" t="str">
        <f t="shared" si="34"/>
        <v>031</v>
      </c>
      <c r="J348" s="2" t="s">
        <v>1244</v>
      </c>
      <c r="K348" s="120" t="str">
        <f>IFERROR(VLOOKUP(H348,'Bridge matrix'!$A$3:$E$731,3,FALSE),"no")</f>
        <v>no</v>
      </c>
      <c r="L348" s="120" t="str">
        <f t="shared" si="32"/>
        <v>ll</v>
      </c>
      <c r="M348" s="120" t="str">
        <f t="shared" si="33"/>
        <v>ll</v>
      </c>
      <c r="N348" s="120" t="str">
        <f t="shared" si="35"/>
        <v>ll</v>
      </c>
      <c r="O348" s="2" t="str">
        <f>VLOOKUP(N348,'Bridge matrix'!$D$3:$E$731,2,FALSE)</f>
        <v>matched on SC/SSC level</v>
      </c>
    </row>
    <row r="349" spans="1:20" x14ac:dyDescent="0.25">
      <c r="A349" s="2" t="s">
        <v>591</v>
      </c>
      <c r="B349" s="2" t="s">
        <v>741</v>
      </c>
      <c r="C349" s="2" t="s">
        <v>598</v>
      </c>
      <c r="D349" s="2" t="s">
        <v>598</v>
      </c>
      <c r="E349" s="2" t="s">
        <v>596</v>
      </c>
      <c r="G349" s="2" t="str">
        <f t="shared" si="36"/>
        <v>03.1.1</v>
      </c>
      <c r="H349" s="83" t="s">
        <v>744</v>
      </c>
      <c r="I349" s="83" t="str">
        <f t="shared" si="34"/>
        <v>0311</v>
      </c>
      <c r="J349" s="2" t="s">
        <v>745</v>
      </c>
      <c r="K349" s="120" t="str">
        <f>IFERROR(VLOOKUP(H349,'Bridge matrix'!$A$3:$E$731,3,FALSE),"no")</f>
        <v xml:space="preserve">MATERIALES PARA PRENDAS DE VESTIR </v>
      </c>
      <c r="L349" s="120" t="str">
        <f t="shared" si="32"/>
        <v xml:space="preserve">MATERIALES PARA PRENDAS DE VESTIR </v>
      </c>
      <c r="M349" s="120" t="str">
        <f t="shared" si="33"/>
        <v xml:space="preserve">MATERIALES PARA PRENDAS DE VESTIR </v>
      </c>
      <c r="N349" s="120" t="str">
        <f t="shared" si="35"/>
        <v xml:space="preserve">MATERIALES PARA PRENDAS DE VESTIR </v>
      </c>
      <c r="O349" s="2" t="e">
        <f>VLOOKUP(N349,'Bridge matrix'!$D$3:$E$731,2,FALSE)</f>
        <v>#N/A</v>
      </c>
    </row>
    <row r="350" spans="1:20" x14ac:dyDescent="0.25">
      <c r="A350" s="2" t="s">
        <v>592</v>
      </c>
      <c r="B350" s="2" t="s">
        <v>741</v>
      </c>
      <c r="C350" s="2" t="s">
        <v>598</v>
      </c>
      <c r="D350" s="2" t="s">
        <v>598</v>
      </c>
      <c r="E350" s="2" t="s">
        <v>602</v>
      </c>
      <c r="G350" s="2" t="str">
        <f t="shared" si="36"/>
        <v>03.1.1.000</v>
      </c>
      <c r="H350" s="83" t="s">
        <v>746</v>
      </c>
      <c r="I350" s="83" t="str">
        <f t="shared" si="34"/>
        <v>0311000</v>
      </c>
      <c r="J350" s="2" t="s">
        <v>747</v>
      </c>
      <c r="K350" s="120" t="str">
        <f>IFERROR(VLOOKUP(H350,'Bridge matrix'!$A$3:$E$731,3,FALSE),"no")</f>
        <v>no</v>
      </c>
      <c r="L350" s="120" t="str">
        <f t="shared" si="32"/>
        <v>no</v>
      </c>
      <c r="M350" s="120" t="str">
        <f t="shared" si="33"/>
        <v xml:space="preserve">MATERIALES PARA PRENDAS DE VESTIR </v>
      </c>
      <c r="N350" s="120" t="str">
        <f t="shared" si="35"/>
        <v xml:space="preserve">MATERIALES PARA PRENDAS DE VESTIR </v>
      </c>
      <c r="O350" s="2" t="e">
        <f>VLOOKUP(N350,'Bridge matrix'!$D$3:$E$731,2,FALSE)</f>
        <v>#N/A</v>
      </c>
    </row>
    <row r="351" spans="1:20" x14ac:dyDescent="0.25">
      <c r="A351" s="2" t="s">
        <v>591</v>
      </c>
      <c r="B351" s="2" t="s">
        <v>741</v>
      </c>
      <c r="C351" s="2" t="s">
        <v>598</v>
      </c>
      <c r="D351" s="2" t="s">
        <v>619</v>
      </c>
      <c r="E351" s="2" t="s">
        <v>596</v>
      </c>
      <c r="G351" s="2" t="str">
        <f t="shared" si="36"/>
        <v>03.1.2</v>
      </c>
      <c r="H351" s="83" t="s">
        <v>748</v>
      </c>
      <c r="I351" s="83" t="str">
        <f t="shared" si="34"/>
        <v>0312</v>
      </c>
      <c r="J351" s="2" t="s">
        <v>749</v>
      </c>
      <c r="K351" s="120" t="str">
        <f>IFERROR(VLOOKUP(H351,'Bridge matrix'!$A$3:$E$731,3,FALSE),"no")</f>
        <v xml:space="preserve">PRENDAS DE VESTIR </v>
      </c>
      <c r="L351" s="120" t="str">
        <f t="shared" si="32"/>
        <v xml:space="preserve">PRENDAS DE VESTIR </v>
      </c>
      <c r="M351" s="120" t="str">
        <f t="shared" si="33"/>
        <v xml:space="preserve">PRENDAS DE VESTIR </v>
      </c>
      <c r="N351" s="120" t="str">
        <f t="shared" si="35"/>
        <v xml:space="preserve">PRENDAS DE VESTIR </v>
      </c>
      <c r="O351" s="2" t="e">
        <f>VLOOKUP(N351,'Bridge matrix'!$D$3:$E$731,2,FALSE)</f>
        <v>#N/A</v>
      </c>
    </row>
    <row r="352" spans="1:20" x14ac:dyDescent="0.25">
      <c r="A352" s="2" t="s">
        <v>592</v>
      </c>
      <c r="B352" s="2" t="s">
        <v>741</v>
      </c>
      <c r="C352" s="2" t="s">
        <v>598</v>
      </c>
      <c r="D352" s="2" t="s">
        <v>619</v>
      </c>
      <c r="E352" s="2" t="s">
        <v>602</v>
      </c>
      <c r="G352" s="2" t="str">
        <f t="shared" si="36"/>
        <v>03.1.2.000</v>
      </c>
      <c r="H352" s="83" t="s">
        <v>750</v>
      </c>
      <c r="I352" s="83" t="str">
        <f t="shared" si="34"/>
        <v>0312000</v>
      </c>
      <c r="J352" s="2" t="s">
        <v>751</v>
      </c>
      <c r="K352" s="120" t="str">
        <f>IFERROR(VLOOKUP(H352,'Bridge matrix'!$A$3:$E$731,3,FALSE),"no")</f>
        <v>no</v>
      </c>
      <c r="L352" s="120" t="str">
        <f t="shared" si="32"/>
        <v>no</v>
      </c>
      <c r="M352" s="120" t="str">
        <f t="shared" si="33"/>
        <v xml:space="preserve">PRENDAS DE VESTIR </v>
      </c>
      <c r="N352" s="120" t="str">
        <f t="shared" si="35"/>
        <v xml:space="preserve">PRENDAS DE VESTIR </v>
      </c>
      <c r="O352" s="2" t="e">
        <f>VLOOKUP(N352,'Bridge matrix'!$D$3:$E$731,2,FALSE)</f>
        <v>#N/A</v>
      </c>
    </row>
    <row r="353" spans="1:15" x14ac:dyDescent="0.25">
      <c r="A353" s="2" t="s">
        <v>592</v>
      </c>
      <c r="B353" s="2" t="s">
        <v>741</v>
      </c>
      <c r="C353" s="2" t="s">
        <v>598</v>
      </c>
      <c r="D353" s="2" t="s">
        <v>619</v>
      </c>
      <c r="E353" s="2" t="s">
        <v>605</v>
      </c>
      <c r="G353" s="2" t="str">
        <f t="shared" si="36"/>
        <v>03.1.2.100</v>
      </c>
      <c r="H353" s="83" t="s">
        <v>752</v>
      </c>
      <c r="I353" s="83" t="str">
        <f t="shared" si="34"/>
        <v>0312100</v>
      </c>
      <c r="J353" s="2" t="s">
        <v>753</v>
      </c>
      <c r="K353" s="120" t="str">
        <f>IFERROR(VLOOKUP(H353,'Bridge matrix'!$A$3:$E$731,3,FALSE),"no")</f>
        <v>no</v>
      </c>
      <c r="L353" s="120" t="str">
        <f t="shared" si="32"/>
        <v>no</v>
      </c>
      <c r="M353" s="120" t="str">
        <f t="shared" si="33"/>
        <v xml:space="preserve">PRENDAS DE VESTIR </v>
      </c>
      <c r="N353" s="120" t="str">
        <f t="shared" si="35"/>
        <v xml:space="preserve">PRENDAS DE VESTIR </v>
      </c>
      <c r="O353" s="2" t="e">
        <f>VLOOKUP(N353,'Bridge matrix'!$D$3:$E$731,2,FALSE)</f>
        <v>#N/A</v>
      </c>
    </row>
    <row r="354" spans="1:15" x14ac:dyDescent="0.25">
      <c r="A354" s="2" t="s">
        <v>592</v>
      </c>
      <c r="B354" s="2" t="s">
        <v>741</v>
      </c>
      <c r="C354" s="2" t="s">
        <v>598</v>
      </c>
      <c r="D354" s="2" t="s">
        <v>619</v>
      </c>
      <c r="E354" s="2" t="s">
        <v>608</v>
      </c>
      <c r="G354" s="2" t="str">
        <f t="shared" si="36"/>
        <v>03.1.2.200</v>
      </c>
      <c r="H354" s="83" t="s">
        <v>754</v>
      </c>
      <c r="I354" s="83" t="str">
        <f t="shared" si="34"/>
        <v>0312200</v>
      </c>
      <c r="J354" s="2" t="s">
        <v>755</v>
      </c>
      <c r="K354" s="120" t="str">
        <f>IFERROR(VLOOKUP(H354,'Bridge matrix'!$A$3:$E$731,3,FALSE),"no")</f>
        <v>no</v>
      </c>
      <c r="L354" s="120" t="str">
        <f t="shared" si="32"/>
        <v>no</v>
      </c>
      <c r="M354" s="120" t="str">
        <f t="shared" si="33"/>
        <v xml:space="preserve">PRENDAS DE VESTIR </v>
      </c>
      <c r="N354" s="120" t="str">
        <f t="shared" si="35"/>
        <v xml:space="preserve">PRENDAS DE VESTIR </v>
      </c>
      <c r="O354" s="2" t="e">
        <f>VLOOKUP(N354,'Bridge matrix'!$D$3:$E$731,2,FALSE)</f>
        <v>#N/A</v>
      </c>
    </row>
    <row r="355" spans="1:15" x14ac:dyDescent="0.25">
      <c r="A355" s="2" t="s">
        <v>592</v>
      </c>
      <c r="B355" s="2" t="s">
        <v>741</v>
      </c>
      <c r="C355" s="2" t="s">
        <v>598</v>
      </c>
      <c r="D355" s="2" t="s">
        <v>619</v>
      </c>
      <c r="E355" s="2" t="s">
        <v>611</v>
      </c>
      <c r="G355" s="2" t="str">
        <f t="shared" si="36"/>
        <v>03.1.2.300</v>
      </c>
      <c r="H355" s="83" t="s">
        <v>756</v>
      </c>
      <c r="I355" s="83" t="str">
        <f t="shared" si="34"/>
        <v>0312300</v>
      </c>
      <c r="J355" s="2" t="s">
        <v>757</v>
      </c>
      <c r="K355" s="120" t="str">
        <f>IFERROR(VLOOKUP(H355,'Bridge matrix'!$A$3:$E$731,3,FALSE),"no")</f>
        <v>no</v>
      </c>
      <c r="L355" s="120" t="str">
        <f t="shared" si="32"/>
        <v>no</v>
      </c>
      <c r="M355" s="120" t="str">
        <f t="shared" si="33"/>
        <v xml:space="preserve">PRENDAS DE VESTIR </v>
      </c>
      <c r="N355" s="120" t="str">
        <f t="shared" si="35"/>
        <v xml:space="preserve">PRENDAS DE VESTIR </v>
      </c>
      <c r="O355" s="2" t="e">
        <f>VLOOKUP(N355,'Bridge matrix'!$D$3:$E$731,2,FALSE)</f>
        <v>#N/A</v>
      </c>
    </row>
    <row r="356" spans="1:15" x14ac:dyDescent="0.25">
      <c r="A356" s="2" t="s">
        <v>591</v>
      </c>
      <c r="B356" s="2" t="s">
        <v>741</v>
      </c>
      <c r="C356" s="2" t="s">
        <v>598</v>
      </c>
      <c r="D356" s="2" t="s">
        <v>633</v>
      </c>
      <c r="E356" s="2" t="s">
        <v>596</v>
      </c>
      <c r="G356" s="2" t="str">
        <f t="shared" si="36"/>
        <v>03.1.3</v>
      </c>
      <c r="H356" s="83" t="s">
        <v>758</v>
      </c>
      <c r="I356" s="83" t="str">
        <f t="shared" si="34"/>
        <v>0313</v>
      </c>
      <c r="J356" s="2" t="s">
        <v>759</v>
      </c>
      <c r="K356" s="120" t="str">
        <f>IFERROR(VLOOKUP(H356,'Bridge matrix'!$A$3:$E$731,3,FALSE),"no")</f>
        <v xml:space="preserve">OTROS ARTÍCULOS Y ACCESORIOS DE VESTIR </v>
      </c>
      <c r="L356" s="120" t="str">
        <f t="shared" si="32"/>
        <v xml:space="preserve">OTROS ARTÍCULOS Y ACCESORIOS DE VESTIR </v>
      </c>
      <c r="M356" s="120" t="str">
        <f t="shared" si="33"/>
        <v xml:space="preserve">OTROS ARTÍCULOS Y ACCESORIOS DE VESTIR </v>
      </c>
      <c r="N356" s="120" t="str">
        <f t="shared" si="35"/>
        <v xml:space="preserve">OTROS ARTÍCULOS Y ACCESORIOS DE VESTIR </v>
      </c>
      <c r="O356" s="2" t="e">
        <f>VLOOKUP(N356,'Bridge matrix'!$D$3:$E$731,2,FALSE)</f>
        <v>#N/A</v>
      </c>
    </row>
    <row r="357" spans="1:15" x14ac:dyDescent="0.25">
      <c r="A357" s="2" t="s">
        <v>592</v>
      </c>
      <c r="B357" s="2" t="s">
        <v>741</v>
      </c>
      <c r="C357" s="2" t="s">
        <v>598</v>
      </c>
      <c r="D357" s="2" t="s">
        <v>633</v>
      </c>
      <c r="E357" s="2" t="s">
        <v>602</v>
      </c>
      <c r="G357" s="2" t="str">
        <f t="shared" si="36"/>
        <v>03.1.3.000</v>
      </c>
      <c r="H357" s="83" t="s">
        <v>760</v>
      </c>
      <c r="I357" s="83" t="str">
        <f t="shared" si="34"/>
        <v>0313000</v>
      </c>
      <c r="J357" s="2" t="s">
        <v>761</v>
      </c>
      <c r="K357" s="120" t="str">
        <f>IFERROR(VLOOKUP(H357,'Bridge matrix'!$A$3:$E$731,3,FALSE),"no")</f>
        <v>no</v>
      </c>
      <c r="L357" s="120" t="str">
        <f t="shared" si="32"/>
        <v>no</v>
      </c>
      <c r="M357" s="120" t="str">
        <f t="shared" si="33"/>
        <v xml:space="preserve">OTROS ARTÍCULOS Y ACCESORIOS DE VESTIR </v>
      </c>
      <c r="N357" s="120" t="str">
        <f t="shared" si="35"/>
        <v xml:space="preserve">OTROS ARTÍCULOS Y ACCESORIOS DE VESTIR </v>
      </c>
      <c r="O357" s="2" t="e">
        <f>VLOOKUP(N357,'Bridge matrix'!$D$3:$E$731,2,FALSE)</f>
        <v>#N/A</v>
      </c>
    </row>
    <row r="358" spans="1:15" x14ac:dyDescent="0.25">
      <c r="A358" s="2" t="s">
        <v>591</v>
      </c>
      <c r="B358" s="2" t="s">
        <v>741</v>
      </c>
      <c r="C358" s="2" t="s">
        <v>598</v>
      </c>
      <c r="D358" s="2" t="s">
        <v>643</v>
      </c>
      <c r="E358" s="2" t="s">
        <v>596</v>
      </c>
      <c r="G358" s="2" t="str">
        <f t="shared" si="36"/>
        <v>03.1.4</v>
      </c>
      <c r="H358" s="83" t="s">
        <v>762</v>
      </c>
      <c r="I358" s="83" t="str">
        <f t="shared" si="34"/>
        <v>0314</v>
      </c>
      <c r="J358" s="2" t="s">
        <v>763</v>
      </c>
      <c r="K358" s="120" t="str">
        <f>IFERROR(VLOOKUP(H358,'Bridge matrix'!$A$3:$E$731,3,FALSE),"no")</f>
        <v>LIMPIEZA, REPARACIÓN Y ALQUILER DE PRENDAS DE VESTIR</v>
      </c>
      <c r="L358" s="120" t="str">
        <f t="shared" si="32"/>
        <v>LIMPIEZA, REPARACIÓN Y ALQUILER DE PRENDAS DE VESTIR</v>
      </c>
      <c r="M358" s="120" t="str">
        <f t="shared" si="33"/>
        <v>LIMPIEZA, REPARACIÓN Y ALQUILER DE PRENDAS DE VESTIR</v>
      </c>
      <c r="N358" s="120" t="str">
        <f t="shared" si="35"/>
        <v>LIMPIEZA, REPARACIÓN Y ALQUILER DE PRENDAS DE VESTIR</v>
      </c>
      <c r="O358" s="2" t="e">
        <f>VLOOKUP(N358,'Bridge matrix'!$D$3:$E$731,2,FALSE)</f>
        <v>#N/A</v>
      </c>
    </row>
    <row r="359" spans="1:15" x14ac:dyDescent="0.25">
      <c r="A359" s="2" t="s">
        <v>592</v>
      </c>
      <c r="B359" s="2" t="s">
        <v>741</v>
      </c>
      <c r="C359" s="2" t="s">
        <v>598</v>
      </c>
      <c r="D359" s="2" t="s">
        <v>643</v>
      </c>
      <c r="E359" s="2" t="s">
        <v>602</v>
      </c>
      <c r="G359" s="2" t="str">
        <f t="shared" si="36"/>
        <v>03.1.4.000</v>
      </c>
      <c r="H359" s="83" t="s">
        <v>764</v>
      </c>
      <c r="I359" s="83" t="str">
        <f t="shared" si="34"/>
        <v>0314000</v>
      </c>
      <c r="J359" s="2" t="s">
        <v>765</v>
      </c>
      <c r="K359" s="120" t="str">
        <f>IFERROR(VLOOKUP(H359,'Bridge matrix'!$A$3:$E$731,3,FALSE),"no")</f>
        <v>no</v>
      </c>
      <c r="L359" s="120" t="str">
        <f t="shared" si="32"/>
        <v>no</v>
      </c>
      <c r="M359" s="120" t="str">
        <f t="shared" si="33"/>
        <v>LIMPIEZA, REPARACIÓN Y ALQUILER DE PRENDAS DE VESTIR</v>
      </c>
      <c r="N359" s="120" t="str">
        <f t="shared" si="35"/>
        <v>LIMPIEZA, REPARACIÓN Y ALQUILER DE PRENDAS DE VESTIR</v>
      </c>
      <c r="O359" s="2" t="e">
        <f>VLOOKUP(N359,'Bridge matrix'!$D$3:$E$731,2,FALSE)</f>
        <v>#N/A</v>
      </c>
    </row>
    <row r="360" spans="1:15" x14ac:dyDescent="0.25">
      <c r="A360" s="2" t="s">
        <v>591</v>
      </c>
      <c r="B360" s="2" t="s">
        <v>741</v>
      </c>
      <c r="C360" s="2" t="s">
        <v>598</v>
      </c>
      <c r="D360" s="2" t="s">
        <v>656</v>
      </c>
      <c r="E360" s="2" t="s">
        <v>596</v>
      </c>
      <c r="G360" s="2" t="str">
        <f t="shared" si="36"/>
        <v>03.1.5</v>
      </c>
      <c r="H360" s="83" t="s">
        <v>766</v>
      </c>
      <c r="I360" s="83" t="str">
        <f t="shared" si="34"/>
        <v>0315</v>
      </c>
      <c r="J360" s="2" t="s">
        <v>767</v>
      </c>
      <c r="K360" s="120" t="str">
        <f>IFERROR(VLOOKUP(H360,'Bridge matrix'!$A$3:$E$731,3,FALSE),"no")</f>
        <v>CONFECCIÓN DE PRENDAS DE VESTIR - PARA TODOS LOS MIEMBROS DEL HOGAR</v>
      </c>
      <c r="L360" s="120" t="str">
        <f t="shared" si="32"/>
        <v>CONFECCIÓN DE PRENDAS DE VESTIR - PARA TODOS LOS MIEMBROS DEL HOGAR</v>
      </c>
      <c r="M360" s="120" t="str">
        <f t="shared" si="33"/>
        <v>CONFECCIÓN DE PRENDAS DE VESTIR - PARA TODOS LOS MIEMBROS DEL HOGAR</v>
      </c>
      <c r="N360" s="120" t="str">
        <f t="shared" si="35"/>
        <v>CONFECCIÓN DE PRENDAS DE VESTIR - PARA TODOS LOS MIEMBROS DEL HOGAR</v>
      </c>
      <c r="O360" s="2" t="e">
        <f>VLOOKUP(N360,'Bridge matrix'!$D$3:$E$731,2,FALSE)</f>
        <v>#N/A</v>
      </c>
    </row>
    <row r="361" spans="1:15" x14ac:dyDescent="0.25">
      <c r="A361" s="2" t="s">
        <v>592</v>
      </c>
      <c r="B361" s="2" t="s">
        <v>741</v>
      </c>
      <c r="C361" s="2" t="s">
        <v>598</v>
      </c>
      <c r="D361" s="2" t="s">
        <v>656</v>
      </c>
      <c r="E361" s="2" t="s">
        <v>602</v>
      </c>
      <c r="G361" s="2" t="str">
        <f t="shared" si="36"/>
        <v>03.1.5.000</v>
      </c>
      <c r="H361" s="83" t="s">
        <v>768</v>
      </c>
      <c r="I361" s="83" t="str">
        <f t="shared" si="34"/>
        <v>0315000</v>
      </c>
      <c r="J361" s="2" t="s">
        <v>769</v>
      </c>
      <c r="K361" s="120" t="str">
        <f>IFERROR(VLOOKUP(H361,'Bridge matrix'!$A$3:$E$731,3,FALSE),"no")</f>
        <v>no</v>
      </c>
      <c r="L361" s="120" t="str">
        <f t="shared" si="32"/>
        <v>no</v>
      </c>
      <c r="M361" s="120" t="str">
        <f t="shared" si="33"/>
        <v>CONFECCIÓN DE PRENDAS DE VESTIR - PARA TODOS LOS MIEMBROS DEL HOGAR</v>
      </c>
      <c r="N361" s="120" t="str">
        <f t="shared" si="35"/>
        <v>CONFECCIÓN DE PRENDAS DE VESTIR - PARA TODOS LOS MIEMBROS DEL HOGAR</v>
      </c>
      <c r="O361" s="2" t="e">
        <f>VLOOKUP(N361,'Bridge matrix'!$D$3:$E$731,2,FALSE)</f>
        <v>#N/A</v>
      </c>
    </row>
    <row r="362" spans="1:15" x14ac:dyDescent="0.25">
      <c r="A362" s="2" t="s">
        <v>590</v>
      </c>
      <c r="B362" s="2" t="s">
        <v>741</v>
      </c>
      <c r="C362" s="2" t="s">
        <v>619</v>
      </c>
      <c r="D362" s="2" t="s">
        <v>596</v>
      </c>
      <c r="E362" s="2" t="s">
        <v>596</v>
      </c>
      <c r="G362" s="2" t="str">
        <f t="shared" si="36"/>
        <v>03.2</v>
      </c>
      <c r="H362" s="83" t="s">
        <v>770</v>
      </c>
      <c r="I362" s="83" t="str">
        <f t="shared" si="34"/>
        <v>032</v>
      </c>
      <c r="J362" s="2" t="s">
        <v>771</v>
      </c>
      <c r="K362" s="120" t="str">
        <f>IFERROR(VLOOKUP(H362,'Bridge matrix'!$A$3:$E$731,3,FALSE),"no")</f>
        <v>no</v>
      </c>
      <c r="L362" s="120" t="str">
        <f t="shared" si="32"/>
        <v>ll</v>
      </c>
      <c r="M362" s="120" t="str">
        <f t="shared" si="33"/>
        <v>ll</v>
      </c>
      <c r="N362" s="120" t="str">
        <f t="shared" si="35"/>
        <v>ll</v>
      </c>
      <c r="O362" s="2" t="str">
        <f>VLOOKUP(N362,'Bridge matrix'!$D$3:$E$731,2,FALSE)</f>
        <v>matched on SC/SSC level</v>
      </c>
    </row>
    <row r="363" spans="1:15" x14ac:dyDescent="0.25">
      <c r="A363" s="2" t="s">
        <v>591</v>
      </c>
      <c r="B363" s="2" t="s">
        <v>741</v>
      </c>
      <c r="C363" s="2" t="s">
        <v>619</v>
      </c>
      <c r="D363" s="2" t="s">
        <v>598</v>
      </c>
      <c r="E363" s="2" t="s">
        <v>596</v>
      </c>
      <c r="G363" s="2" t="str">
        <f t="shared" si="36"/>
        <v>03.2.1</v>
      </c>
      <c r="H363" s="83" t="s">
        <v>772</v>
      </c>
      <c r="I363" s="83" t="str">
        <f t="shared" si="34"/>
        <v>0321</v>
      </c>
      <c r="J363" s="2" t="s">
        <v>773</v>
      </c>
      <c r="K363" s="120" t="str">
        <f>IFERROR(VLOOKUP(H363,'Bridge matrix'!$A$3:$E$731,3,FALSE),"no")</f>
        <v xml:space="preserve">ZAPATOS Y OTROS CALZADOS </v>
      </c>
      <c r="L363" s="120" t="str">
        <f t="shared" si="32"/>
        <v xml:space="preserve">ZAPATOS Y OTROS CALZADOS </v>
      </c>
      <c r="M363" s="120" t="str">
        <f t="shared" si="33"/>
        <v xml:space="preserve">ZAPATOS Y OTROS CALZADOS </v>
      </c>
      <c r="N363" s="120" t="str">
        <f t="shared" si="35"/>
        <v xml:space="preserve">ZAPATOS Y OTROS CALZADOS </v>
      </c>
      <c r="O363" s="2" t="e">
        <f>VLOOKUP(N363,'Bridge matrix'!$D$3:$E$731,2,FALSE)</f>
        <v>#N/A</v>
      </c>
    </row>
    <row r="364" spans="1:15" x14ac:dyDescent="0.25">
      <c r="A364" s="2" t="s">
        <v>592</v>
      </c>
      <c r="B364" s="2" t="s">
        <v>741</v>
      </c>
      <c r="C364" s="2" t="s">
        <v>619</v>
      </c>
      <c r="D364" s="2" t="s">
        <v>598</v>
      </c>
      <c r="E364" s="2" t="s">
        <v>602</v>
      </c>
      <c r="G364" s="2" t="str">
        <f t="shared" si="36"/>
        <v>03.2.1.000</v>
      </c>
      <c r="H364" s="83" t="s">
        <v>774</v>
      </c>
      <c r="I364" s="83" t="str">
        <f t="shared" si="34"/>
        <v>0321000</v>
      </c>
      <c r="J364" s="2" t="s">
        <v>775</v>
      </c>
      <c r="K364" s="120" t="str">
        <f>IFERROR(VLOOKUP(H364,'Bridge matrix'!$A$3:$E$731,3,FALSE),"no")</f>
        <v>no</v>
      </c>
      <c r="L364" s="120" t="str">
        <f t="shared" si="32"/>
        <v>no</v>
      </c>
      <c r="M364" s="120" t="str">
        <f t="shared" si="33"/>
        <v xml:space="preserve">ZAPATOS Y OTROS CALZADOS </v>
      </c>
      <c r="N364" s="120" t="str">
        <f t="shared" si="35"/>
        <v xml:space="preserve">ZAPATOS Y OTROS CALZADOS </v>
      </c>
      <c r="O364" s="2" t="e">
        <f>VLOOKUP(N364,'Bridge matrix'!$D$3:$E$731,2,FALSE)</f>
        <v>#N/A</v>
      </c>
    </row>
    <row r="365" spans="1:15" x14ac:dyDescent="0.25">
      <c r="A365" s="2" t="s">
        <v>592</v>
      </c>
      <c r="B365" s="2" t="s">
        <v>741</v>
      </c>
      <c r="C365" s="2" t="s">
        <v>619</v>
      </c>
      <c r="D365" s="2" t="s">
        <v>598</v>
      </c>
      <c r="E365" s="2" t="s">
        <v>605</v>
      </c>
      <c r="G365" s="2" t="str">
        <f t="shared" si="36"/>
        <v>03.2.1.100</v>
      </c>
      <c r="H365" s="83" t="s">
        <v>776</v>
      </c>
      <c r="I365" s="83" t="str">
        <f t="shared" si="34"/>
        <v>0321100</v>
      </c>
      <c r="J365" s="2" t="s">
        <v>777</v>
      </c>
      <c r="K365" s="120" t="str">
        <f>IFERROR(VLOOKUP(H365,'Bridge matrix'!$A$3:$E$731,3,FALSE),"no")</f>
        <v>no</v>
      </c>
      <c r="L365" s="120" t="str">
        <f t="shared" si="32"/>
        <v>no</v>
      </c>
      <c r="M365" s="120" t="str">
        <f t="shared" si="33"/>
        <v xml:space="preserve">ZAPATOS Y OTROS CALZADOS </v>
      </c>
      <c r="N365" s="120" t="str">
        <f t="shared" si="35"/>
        <v xml:space="preserve">ZAPATOS Y OTROS CALZADOS </v>
      </c>
      <c r="O365" s="2" t="e">
        <f>VLOOKUP(N365,'Bridge matrix'!$D$3:$E$731,2,FALSE)</f>
        <v>#N/A</v>
      </c>
    </row>
    <row r="366" spans="1:15" x14ac:dyDescent="0.25">
      <c r="A366" s="2" t="s">
        <v>592</v>
      </c>
      <c r="B366" s="2" t="s">
        <v>741</v>
      </c>
      <c r="C366" s="2" t="s">
        <v>619</v>
      </c>
      <c r="D366" s="2" t="s">
        <v>598</v>
      </c>
      <c r="E366" s="2" t="s">
        <v>608</v>
      </c>
      <c r="G366" s="2" t="str">
        <f t="shared" si="36"/>
        <v>03.2.1.200</v>
      </c>
      <c r="H366" s="83" t="s">
        <v>778</v>
      </c>
      <c r="I366" s="83" t="str">
        <f t="shared" si="34"/>
        <v>0321200</v>
      </c>
      <c r="J366" s="2" t="s">
        <v>779</v>
      </c>
      <c r="K366" s="120" t="str">
        <f>IFERROR(VLOOKUP(H366,'Bridge matrix'!$A$3:$E$731,3,FALSE),"no")</f>
        <v>no</v>
      </c>
      <c r="L366" s="120" t="str">
        <f t="shared" si="32"/>
        <v>no</v>
      </c>
      <c r="M366" s="120" t="str">
        <f t="shared" si="33"/>
        <v xml:space="preserve">ZAPATOS Y OTROS CALZADOS </v>
      </c>
      <c r="N366" s="120" t="str">
        <f t="shared" si="35"/>
        <v xml:space="preserve">ZAPATOS Y OTROS CALZADOS </v>
      </c>
      <c r="O366" s="2" t="e">
        <f>VLOOKUP(N366,'Bridge matrix'!$D$3:$E$731,2,FALSE)</f>
        <v>#N/A</v>
      </c>
    </row>
    <row r="367" spans="1:15" x14ac:dyDescent="0.25">
      <c r="A367" s="2" t="s">
        <v>592</v>
      </c>
      <c r="B367" s="2" t="s">
        <v>741</v>
      </c>
      <c r="C367" s="2" t="s">
        <v>619</v>
      </c>
      <c r="D367" s="2" t="s">
        <v>598</v>
      </c>
      <c r="E367" s="2" t="s">
        <v>611</v>
      </c>
      <c r="G367" s="2" t="str">
        <f t="shared" si="36"/>
        <v>03.2.1.300</v>
      </c>
      <c r="H367" s="83" t="s">
        <v>780</v>
      </c>
      <c r="I367" s="83" t="str">
        <f t="shared" si="34"/>
        <v>0321300</v>
      </c>
      <c r="J367" s="2" t="s">
        <v>781</v>
      </c>
      <c r="K367" s="120" t="str">
        <f>IFERROR(VLOOKUP(H367,'Bridge matrix'!$A$3:$E$731,3,FALSE),"no")</f>
        <v>no</v>
      </c>
      <c r="L367" s="120" t="str">
        <f t="shared" si="32"/>
        <v>no</v>
      </c>
      <c r="M367" s="120" t="str">
        <f t="shared" si="33"/>
        <v xml:space="preserve">ZAPATOS Y OTROS CALZADOS </v>
      </c>
      <c r="N367" s="120" t="str">
        <f t="shared" si="35"/>
        <v xml:space="preserve">ZAPATOS Y OTROS CALZADOS </v>
      </c>
      <c r="O367" s="2" t="e">
        <f>VLOOKUP(N367,'Bridge matrix'!$D$3:$E$731,2,FALSE)</f>
        <v>#N/A</v>
      </c>
    </row>
    <row r="368" spans="1:15" x14ac:dyDescent="0.25">
      <c r="A368" s="2" t="s">
        <v>591</v>
      </c>
      <c r="B368" s="2" t="s">
        <v>741</v>
      </c>
      <c r="C368" s="2" t="s">
        <v>619</v>
      </c>
      <c r="D368" s="2" t="s">
        <v>619</v>
      </c>
      <c r="E368" s="2" t="s">
        <v>596</v>
      </c>
      <c r="G368" s="2" t="str">
        <f t="shared" si="36"/>
        <v>03.2.2</v>
      </c>
      <c r="H368" s="83" t="s">
        <v>782</v>
      </c>
      <c r="I368" s="83" t="str">
        <f t="shared" si="34"/>
        <v>0322</v>
      </c>
      <c r="J368" s="2" t="s">
        <v>783</v>
      </c>
      <c r="K368" s="120" t="str">
        <f>IFERROR(VLOOKUP(H368,'Bridge matrix'!$A$3:$E$731,3,FALSE),"no")</f>
        <v>REPARACIÓN Y ALQUILER DE CALZADO</v>
      </c>
      <c r="L368" s="120" t="str">
        <f t="shared" si="32"/>
        <v>REPARACIÓN Y ALQUILER DE CALZADO</v>
      </c>
      <c r="M368" s="120" t="str">
        <f t="shared" si="33"/>
        <v>REPARACIÓN Y ALQUILER DE CALZADO</v>
      </c>
      <c r="N368" s="120" t="str">
        <f t="shared" si="35"/>
        <v>REPARACIÓN Y ALQUILER DE CALZADO</v>
      </c>
      <c r="O368" s="2" t="e">
        <f>VLOOKUP(N368,'Bridge matrix'!$D$3:$E$731,2,FALSE)</f>
        <v>#N/A</v>
      </c>
    </row>
    <row r="369" spans="1:15" x14ac:dyDescent="0.25">
      <c r="A369" s="2" t="s">
        <v>589</v>
      </c>
      <c r="B369" s="2" t="s">
        <v>784</v>
      </c>
      <c r="C369" s="2" t="s">
        <v>596</v>
      </c>
      <c r="D369" s="2" t="s">
        <v>596</v>
      </c>
      <c r="E369" s="2" t="s">
        <v>596</v>
      </c>
      <c r="G369" s="2" t="str">
        <f t="shared" si="36"/>
        <v>04</v>
      </c>
      <c r="H369" s="83" t="s">
        <v>784</v>
      </c>
      <c r="I369" s="83" t="str">
        <f t="shared" si="34"/>
        <v>04</v>
      </c>
      <c r="J369" s="2" t="s">
        <v>785</v>
      </c>
      <c r="K369" s="120" t="str">
        <f>IFERROR(VLOOKUP(H369,'Bridge matrix'!$A$3:$E$731,3,FALSE),"no")</f>
        <v>no</v>
      </c>
      <c r="L369" s="120" t="str">
        <f t="shared" si="32"/>
        <v>ll</v>
      </c>
      <c r="M369" s="120" t="str">
        <f t="shared" si="33"/>
        <v>ll</v>
      </c>
      <c r="N369" s="120" t="str">
        <f t="shared" si="35"/>
        <v>ll</v>
      </c>
      <c r="O369" s="2" t="str">
        <f>VLOOKUP(N369,'Bridge matrix'!$D$3:$E$731,2,FALSE)</f>
        <v>matched on SC/SSC level</v>
      </c>
    </row>
    <row r="370" spans="1:15" x14ac:dyDescent="0.25">
      <c r="A370" s="2" t="s">
        <v>590</v>
      </c>
      <c r="B370" s="2" t="s">
        <v>784</v>
      </c>
      <c r="C370" s="2" t="s">
        <v>598</v>
      </c>
      <c r="D370" s="2" t="s">
        <v>596</v>
      </c>
      <c r="E370" s="2" t="s">
        <v>596</v>
      </c>
      <c r="G370" s="2" t="str">
        <f t="shared" si="36"/>
        <v>04.1</v>
      </c>
      <c r="H370" s="83" t="s">
        <v>786</v>
      </c>
      <c r="I370" s="83" t="str">
        <f t="shared" si="34"/>
        <v>041</v>
      </c>
      <c r="J370" s="2" t="s">
        <v>787</v>
      </c>
      <c r="K370" s="120" t="str">
        <f>IFERROR(VLOOKUP(H370,'Bridge matrix'!$A$3:$E$731,3,FALSE),"no")</f>
        <v>no</v>
      </c>
      <c r="L370" s="120" t="str">
        <f t="shared" si="32"/>
        <v>ll</v>
      </c>
      <c r="M370" s="120" t="str">
        <f t="shared" si="33"/>
        <v>ll</v>
      </c>
      <c r="N370" s="120" t="str">
        <f t="shared" si="35"/>
        <v>ll</v>
      </c>
      <c r="O370" s="2" t="str">
        <f>VLOOKUP(N370,'Bridge matrix'!$D$3:$E$731,2,FALSE)</f>
        <v>matched on SC/SSC level</v>
      </c>
    </row>
    <row r="371" spans="1:15" x14ac:dyDescent="0.25">
      <c r="A371" s="2" t="s">
        <v>591</v>
      </c>
      <c r="B371" s="2" t="s">
        <v>784</v>
      </c>
      <c r="C371" s="2" t="s">
        <v>598</v>
      </c>
      <c r="D371" s="2" t="s">
        <v>598</v>
      </c>
      <c r="E371" s="2" t="s">
        <v>596</v>
      </c>
      <c r="G371" s="2" t="str">
        <f t="shared" si="36"/>
        <v>04.1.1</v>
      </c>
      <c r="H371" s="83" t="s">
        <v>788</v>
      </c>
      <c r="I371" s="83" t="str">
        <f t="shared" si="34"/>
        <v>0411</v>
      </c>
      <c r="J371" s="2" t="s">
        <v>789</v>
      </c>
      <c r="K371" s="120" t="str">
        <f>IFERROR(VLOOKUP(H371,'Bridge matrix'!$A$3:$E$731,3,FALSE),"no")</f>
        <v>ALQUILERES EFECTIVOS PAGADOS POR LOS INQUILINOS</v>
      </c>
      <c r="L371" s="120" t="str">
        <f t="shared" si="32"/>
        <v>ALQUILERES EFECTIVOS PAGADOS POR LOS INQUILINOS</v>
      </c>
      <c r="M371" s="120" t="str">
        <f t="shared" si="33"/>
        <v>ALQUILERES EFECTIVOS PAGADOS POR LOS INQUILINOS</v>
      </c>
      <c r="N371" s="120" t="str">
        <f t="shared" si="35"/>
        <v>ALQUILERES EFECTIVOS PAGADOS POR LOS INQUILINOS</v>
      </c>
      <c r="O371" s="2" t="e">
        <f>VLOOKUP(N371,'Bridge matrix'!$D$3:$E$731,2,FALSE)</f>
        <v>#N/A</v>
      </c>
    </row>
    <row r="372" spans="1:15" x14ac:dyDescent="0.25">
      <c r="A372" s="2" t="s">
        <v>592</v>
      </c>
      <c r="B372" s="2" t="s">
        <v>784</v>
      </c>
      <c r="C372" s="2" t="s">
        <v>598</v>
      </c>
      <c r="D372" s="2" t="s">
        <v>598</v>
      </c>
      <c r="E372" s="2" t="s">
        <v>602</v>
      </c>
      <c r="G372" s="2" t="str">
        <f t="shared" si="36"/>
        <v>04.1.1.000</v>
      </c>
      <c r="H372" s="83" t="s">
        <v>790</v>
      </c>
      <c r="I372" s="83" t="str">
        <f t="shared" si="34"/>
        <v>0411000</v>
      </c>
      <c r="J372" s="2" t="s">
        <v>791</v>
      </c>
      <c r="K372" s="120" t="str">
        <f>IFERROR(VLOOKUP(H372,'Bridge matrix'!$A$3:$E$731,3,FALSE),"no")</f>
        <v>no</v>
      </c>
      <c r="L372" s="120" t="str">
        <f t="shared" si="32"/>
        <v>no</v>
      </c>
      <c r="M372" s="120" t="str">
        <f t="shared" si="33"/>
        <v>ALQUILERES EFECTIVOS PAGADOS POR LOS INQUILINOS</v>
      </c>
      <c r="N372" s="120" t="str">
        <f t="shared" si="35"/>
        <v>ALQUILERES EFECTIVOS PAGADOS POR LOS INQUILINOS</v>
      </c>
      <c r="O372" s="2" t="e">
        <f>VLOOKUP(N372,'Bridge matrix'!$D$3:$E$731,2,FALSE)</f>
        <v>#N/A</v>
      </c>
    </row>
    <row r="373" spans="1:15" x14ac:dyDescent="0.25">
      <c r="A373" s="2" t="s">
        <v>591</v>
      </c>
      <c r="B373" s="2" t="s">
        <v>784</v>
      </c>
      <c r="C373" s="2" t="s">
        <v>598</v>
      </c>
      <c r="D373" s="2" t="s">
        <v>619</v>
      </c>
      <c r="E373" s="2" t="s">
        <v>596</v>
      </c>
      <c r="G373" s="2" t="str">
        <f t="shared" si="36"/>
        <v>04.1.2</v>
      </c>
      <c r="H373" s="83" t="s">
        <v>792</v>
      </c>
      <c r="I373" s="83" t="str">
        <f t="shared" si="34"/>
        <v>0412</v>
      </c>
      <c r="J373" s="2" t="s">
        <v>793</v>
      </c>
      <c r="K373" s="120" t="str">
        <f>IFERROR(VLOOKUP(H373,'Bridge matrix'!$A$3:$E$731,3,FALSE),"no")</f>
        <v xml:space="preserve">OTROS ALQUILERES EFECTIVOS </v>
      </c>
      <c r="L373" s="120" t="str">
        <f t="shared" si="32"/>
        <v xml:space="preserve">OTROS ALQUILERES EFECTIVOS </v>
      </c>
      <c r="M373" s="120" t="str">
        <f t="shared" si="33"/>
        <v xml:space="preserve">OTROS ALQUILERES EFECTIVOS </v>
      </c>
      <c r="N373" s="120" t="str">
        <f t="shared" si="35"/>
        <v xml:space="preserve">OTROS ALQUILERES EFECTIVOS </v>
      </c>
      <c r="O373" s="2" t="e">
        <f>VLOOKUP(N373,'Bridge matrix'!$D$3:$E$731,2,FALSE)</f>
        <v>#N/A</v>
      </c>
    </row>
    <row r="374" spans="1:15" x14ac:dyDescent="0.25">
      <c r="A374" s="2" t="s">
        <v>592</v>
      </c>
      <c r="B374" s="2" t="s">
        <v>784</v>
      </c>
      <c r="C374" s="2" t="s">
        <v>598</v>
      </c>
      <c r="D374" s="2" t="s">
        <v>619</v>
      </c>
      <c r="E374" s="2" t="s">
        <v>602</v>
      </c>
      <c r="G374" s="2" t="str">
        <f t="shared" si="36"/>
        <v>04.1.2.000</v>
      </c>
      <c r="H374" s="83" t="s">
        <v>794</v>
      </c>
      <c r="I374" s="83" t="str">
        <f t="shared" si="34"/>
        <v>0412000</v>
      </c>
      <c r="J374" s="2" t="s">
        <v>795</v>
      </c>
      <c r="K374" s="120" t="str">
        <f>IFERROR(VLOOKUP(H374,'Bridge matrix'!$A$3:$E$731,3,FALSE),"no")</f>
        <v>no</v>
      </c>
      <c r="L374" s="120" t="str">
        <f t="shared" si="32"/>
        <v>no</v>
      </c>
      <c r="M374" s="120" t="str">
        <f t="shared" si="33"/>
        <v xml:space="preserve">OTROS ALQUILERES EFECTIVOS </v>
      </c>
      <c r="N374" s="120" t="str">
        <f t="shared" si="35"/>
        <v xml:space="preserve">OTROS ALQUILERES EFECTIVOS </v>
      </c>
      <c r="O374" s="2" t="e">
        <f>VLOOKUP(N374,'Bridge matrix'!$D$3:$E$731,2,FALSE)</f>
        <v>#N/A</v>
      </c>
    </row>
    <row r="375" spans="1:15" x14ac:dyDescent="0.25">
      <c r="A375" s="2" t="s">
        <v>590</v>
      </c>
      <c r="B375" s="2" t="s">
        <v>784</v>
      </c>
      <c r="C375" s="2" t="s">
        <v>619</v>
      </c>
      <c r="D375" s="2" t="s">
        <v>596</v>
      </c>
      <c r="E375" s="2" t="s">
        <v>596</v>
      </c>
      <c r="G375" s="2" t="str">
        <f t="shared" si="36"/>
        <v>04.2</v>
      </c>
      <c r="H375" s="83" t="s">
        <v>796</v>
      </c>
      <c r="I375" s="83" t="str">
        <f t="shared" si="34"/>
        <v>042</v>
      </c>
      <c r="J375" s="2" t="s">
        <v>797</v>
      </c>
      <c r="K375" s="120" t="str">
        <f>IFERROR(VLOOKUP(H375,'Bridge matrix'!$A$3:$E$731,3,FALSE),"no")</f>
        <v>no</v>
      </c>
      <c r="L375" s="120" t="str">
        <f t="shared" si="32"/>
        <v>ll</v>
      </c>
      <c r="M375" s="120" t="str">
        <f t="shared" si="33"/>
        <v>ll</v>
      </c>
      <c r="N375" s="120" t="str">
        <f t="shared" si="35"/>
        <v>ll</v>
      </c>
      <c r="O375" s="2" t="str">
        <f>VLOOKUP(N375,'Bridge matrix'!$D$3:$E$731,2,FALSE)</f>
        <v>matched on SC/SSC level</v>
      </c>
    </row>
    <row r="376" spans="1:15" x14ac:dyDescent="0.25">
      <c r="A376" s="2" t="s">
        <v>591</v>
      </c>
      <c r="B376" s="2" t="s">
        <v>784</v>
      </c>
      <c r="C376" s="2" t="s">
        <v>619</v>
      </c>
      <c r="D376" s="2" t="s">
        <v>598</v>
      </c>
      <c r="E376" s="2" t="s">
        <v>596</v>
      </c>
      <c r="G376" s="2" t="str">
        <f t="shared" si="36"/>
        <v>04.2.1</v>
      </c>
      <c r="H376" s="83" t="s">
        <v>798</v>
      </c>
      <c r="I376" s="83" t="str">
        <f t="shared" si="34"/>
        <v>0421</v>
      </c>
      <c r="J376" s="2" t="s">
        <v>799</v>
      </c>
      <c r="K376" s="120" t="str">
        <f>IFERROR(VLOOKUP(H376,'Bridge matrix'!$A$3:$E$731,3,FALSE),"no")</f>
        <v>ALQUILERES IMPUTADOS DE LOS PROPIETARIOS-OCUPANTES</v>
      </c>
      <c r="L376" s="120" t="str">
        <f t="shared" si="32"/>
        <v>ALQUILERES IMPUTADOS DE LOS PROPIETARIOS-OCUPANTES</v>
      </c>
      <c r="M376" s="120" t="str">
        <f t="shared" si="33"/>
        <v>ALQUILERES IMPUTADOS DE LOS PROPIETARIOS-OCUPANTES</v>
      </c>
      <c r="N376" s="120" t="str">
        <f t="shared" si="35"/>
        <v>ALQUILERES IMPUTADOS DE LOS PROPIETARIOS-OCUPANTES</v>
      </c>
      <c r="O376" s="2" t="e">
        <f>VLOOKUP(N376,'Bridge matrix'!$D$3:$E$731,2,FALSE)</f>
        <v>#N/A</v>
      </c>
    </row>
    <row r="377" spans="1:15" x14ac:dyDescent="0.25">
      <c r="A377" s="2" t="s">
        <v>592</v>
      </c>
      <c r="B377" s="2" t="s">
        <v>784</v>
      </c>
      <c r="C377" s="2" t="s">
        <v>619</v>
      </c>
      <c r="D377" s="2" t="s">
        <v>598</v>
      </c>
      <c r="E377" s="2" t="s">
        <v>602</v>
      </c>
      <c r="G377" s="2" t="str">
        <f t="shared" si="36"/>
        <v>04.2.1.000</v>
      </c>
      <c r="H377" s="83" t="s">
        <v>800</v>
      </c>
      <c r="I377" s="83" t="str">
        <f t="shared" si="34"/>
        <v>0421000</v>
      </c>
      <c r="J377" s="2" t="s">
        <v>801</v>
      </c>
      <c r="K377" s="120" t="str">
        <f>IFERROR(VLOOKUP(H377,'Bridge matrix'!$A$3:$E$731,3,FALSE),"no")</f>
        <v>no</v>
      </c>
      <c r="L377" s="120" t="str">
        <f t="shared" si="32"/>
        <v>no</v>
      </c>
      <c r="M377" s="120" t="str">
        <f t="shared" si="33"/>
        <v>ALQUILERES IMPUTADOS DE LOS PROPIETARIOS-OCUPANTES</v>
      </c>
      <c r="N377" s="120" t="str">
        <f t="shared" si="35"/>
        <v>ALQUILERES IMPUTADOS DE LOS PROPIETARIOS-OCUPANTES</v>
      </c>
      <c r="O377" s="2" t="e">
        <f>VLOOKUP(N377,'Bridge matrix'!$D$3:$E$731,2,FALSE)</f>
        <v>#N/A</v>
      </c>
    </row>
    <row r="378" spans="1:15" x14ac:dyDescent="0.25">
      <c r="A378" s="2" t="s">
        <v>591</v>
      </c>
      <c r="B378" s="2" t="s">
        <v>784</v>
      </c>
      <c r="C378" s="2" t="s">
        <v>619</v>
      </c>
      <c r="D378" s="2" t="s">
        <v>619</v>
      </c>
      <c r="E378" s="2" t="s">
        <v>596</v>
      </c>
      <c r="G378" s="2" t="str">
        <f t="shared" si="36"/>
        <v>04.2.2</v>
      </c>
      <c r="H378" s="83" t="s">
        <v>802</v>
      </c>
      <c r="I378" s="83" t="str">
        <f t="shared" si="34"/>
        <v>0422</v>
      </c>
      <c r="J378" s="2" t="s">
        <v>803</v>
      </c>
      <c r="K378" s="120" t="str">
        <f>IFERROR(VLOOKUP(H378,'Bridge matrix'!$A$3:$E$731,3,FALSE),"no")</f>
        <v xml:space="preserve">OTROS ALQUILERES IMPUTADOS </v>
      </c>
      <c r="L378" s="120" t="str">
        <f t="shared" si="32"/>
        <v xml:space="preserve">OTROS ALQUILERES IMPUTADOS </v>
      </c>
      <c r="M378" s="120" t="str">
        <f t="shared" si="33"/>
        <v xml:space="preserve">OTROS ALQUILERES IMPUTADOS </v>
      </c>
      <c r="N378" s="120" t="str">
        <f t="shared" si="35"/>
        <v xml:space="preserve">OTROS ALQUILERES IMPUTADOS </v>
      </c>
      <c r="O378" s="2" t="e">
        <f>VLOOKUP(N378,'Bridge matrix'!$D$3:$E$731,2,FALSE)</f>
        <v>#N/A</v>
      </c>
    </row>
    <row r="379" spans="1:15" x14ac:dyDescent="0.25">
      <c r="A379" s="2" t="s">
        <v>592</v>
      </c>
      <c r="B379" s="2" t="s">
        <v>784</v>
      </c>
      <c r="C379" s="2" t="s">
        <v>619</v>
      </c>
      <c r="D379" s="2" t="s">
        <v>619</v>
      </c>
      <c r="E379" s="2" t="s">
        <v>602</v>
      </c>
      <c r="G379" s="2" t="str">
        <f t="shared" si="36"/>
        <v>04.2.2.000</v>
      </c>
      <c r="H379" s="83" t="s">
        <v>804</v>
      </c>
      <c r="I379" s="83" t="str">
        <f t="shared" si="34"/>
        <v>0422000</v>
      </c>
      <c r="J379" s="2" t="s">
        <v>805</v>
      </c>
      <c r="K379" s="120" t="str">
        <f>IFERROR(VLOOKUP(H379,'Bridge matrix'!$A$3:$E$731,3,FALSE),"no")</f>
        <v>no</v>
      </c>
      <c r="L379" s="120" t="str">
        <f t="shared" si="32"/>
        <v>no</v>
      </c>
      <c r="M379" s="120" t="str">
        <f t="shared" si="33"/>
        <v xml:space="preserve">OTROS ALQUILERES IMPUTADOS </v>
      </c>
      <c r="N379" s="120" t="str">
        <f t="shared" si="35"/>
        <v xml:space="preserve">OTROS ALQUILERES IMPUTADOS </v>
      </c>
      <c r="O379" s="2" t="e">
        <f>VLOOKUP(N379,'Bridge matrix'!$D$3:$E$731,2,FALSE)</f>
        <v>#N/A</v>
      </c>
    </row>
    <row r="380" spans="1:15" x14ac:dyDescent="0.25">
      <c r="A380" s="2" t="s">
        <v>591</v>
      </c>
      <c r="B380" s="2" t="s">
        <v>784</v>
      </c>
      <c r="C380" s="2" t="s">
        <v>619</v>
      </c>
      <c r="D380" s="2" t="s">
        <v>633</v>
      </c>
      <c r="E380" s="2" t="s">
        <v>596</v>
      </c>
      <c r="G380" s="2" t="str">
        <f t="shared" si="36"/>
        <v>04.2.3</v>
      </c>
      <c r="H380" s="83" t="s">
        <v>806</v>
      </c>
      <c r="I380" s="83" t="str">
        <f t="shared" si="34"/>
        <v>0423</v>
      </c>
      <c r="J380" s="2" t="s">
        <v>807</v>
      </c>
      <c r="K380" s="120" t="str">
        <f>IFERROR(VLOOKUP(H380,'Bridge matrix'!$A$3:$E$731,3,FALSE),"no")</f>
        <v>VIVIENDA PROPIA PAGADA A PLAZOS</v>
      </c>
      <c r="L380" s="120" t="str">
        <f t="shared" si="32"/>
        <v>VIVIENDA PROPIA PAGADA A PLAZOS</v>
      </c>
      <c r="M380" s="120" t="str">
        <f t="shared" si="33"/>
        <v>VIVIENDA PROPIA PAGADA A PLAZOS</v>
      </c>
      <c r="N380" s="120" t="str">
        <f t="shared" si="35"/>
        <v>VIVIENDA PROPIA PAGADA A PLAZOS</v>
      </c>
      <c r="O380" s="2" t="e">
        <f>VLOOKUP(N380,'Bridge matrix'!$D$3:$E$731,2,FALSE)</f>
        <v>#N/A</v>
      </c>
    </row>
    <row r="381" spans="1:15" x14ac:dyDescent="0.25">
      <c r="A381" s="2" t="s">
        <v>592</v>
      </c>
      <c r="B381" s="2" t="s">
        <v>784</v>
      </c>
      <c r="C381" s="2" t="s">
        <v>619</v>
      </c>
      <c r="D381" s="2" t="s">
        <v>633</v>
      </c>
      <c r="E381" s="2" t="s">
        <v>602</v>
      </c>
      <c r="G381" s="2" t="str">
        <f t="shared" si="36"/>
        <v>04.2.3.000</v>
      </c>
      <c r="H381" s="83" t="s">
        <v>808</v>
      </c>
      <c r="I381" s="83" t="str">
        <f t="shared" si="34"/>
        <v>0423000</v>
      </c>
      <c r="J381" s="2" t="s">
        <v>809</v>
      </c>
      <c r="K381" s="120" t="str">
        <f>IFERROR(VLOOKUP(H381,'Bridge matrix'!$A$3:$E$731,3,FALSE),"no")</f>
        <v>no</v>
      </c>
      <c r="L381" s="120" t="str">
        <f t="shared" si="32"/>
        <v>no</v>
      </c>
      <c r="M381" s="120" t="str">
        <f t="shared" si="33"/>
        <v>VIVIENDA PROPIA PAGADA A PLAZOS</v>
      </c>
      <c r="N381" s="120" t="str">
        <f t="shared" si="35"/>
        <v>VIVIENDA PROPIA PAGADA A PLAZOS</v>
      </c>
      <c r="O381" s="2" t="e">
        <f>VLOOKUP(N381,'Bridge matrix'!$D$3:$E$731,2,FALSE)</f>
        <v>#N/A</v>
      </c>
    </row>
    <row r="382" spans="1:15" x14ac:dyDescent="0.25">
      <c r="A382" s="2" t="s">
        <v>590</v>
      </c>
      <c r="B382" s="2" t="s">
        <v>784</v>
      </c>
      <c r="C382" s="2" t="s">
        <v>633</v>
      </c>
      <c r="D382" s="2" t="s">
        <v>596</v>
      </c>
      <c r="E382" s="2" t="s">
        <v>596</v>
      </c>
      <c r="G382" s="2" t="str">
        <f t="shared" si="36"/>
        <v>04.3</v>
      </c>
      <c r="H382" s="83" t="s">
        <v>810</v>
      </c>
      <c r="I382" s="83" t="str">
        <f t="shared" si="34"/>
        <v>043</v>
      </c>
      <c r="J382" s="2" t="s">
        <v>811</v>
      </c>
      <c r="K382" s="120" t="str">
        <f>IFERROR(VLOOKUP(H382,'Bridge matrix'!$A$3:$E$731,3,FALSE),"no")</f>
        <v>no</v>
      </c>
      <c r="L382" s="120" t="str">
        <f t="shared" si="32"/>
        <v>ll</v>
      </c>
      <c r="M382" s="120" t="str">
        <f t="shared" si="33"/>
        <v>ll</v>
      </c>
      <c r="N382" s="120" t="str">
        <f t="shared" si="35"/>
        <v>ll</v>
      </c>
      <c r="O382" s="2" t="str">
        <f>VLOOKUP(N382,'Bridge matrix'!$D$3:$E$731,2,FALSE)</f>
        <v>matched on SC/SSC level</v>
      </c>
    </row>
    <row r="383" spans="1:15" x14ac:dyDescent="0.25">
      <c r="A383" s="2" t="s">
        <v>591</v>
      </c>
      <c r="B383" s="2" t="s">
        <v>784</v>
      </c>
      <c r="C383" s="2" t="s">
        <v>633</v>
      </c>
      <c r="D383" s="2" t="s">
        <v>598</v>
      </c>
      <c r="E383" s="2" t="s">
        <v>596</v>
      </c>
      <c r="G383" s="2" t="str">
        <f t="shared" si="36"/>
        <v>04.3.1</v>
      </c>
      <c r="H383" s="83" t="s">
        <v>812</v>
      </c>
      <c r="I383" s="83" t="str">
        <f t="shared" si="34"/>
        <v>0431</v>
      </c>
      <c r="J383" s="2" t="s">
        <v>813</v>
      </c>
      <c r="K383" s="120" t="str">
        <f>IFERROR(VLOOKUP(H383,'Bridge matrix'!$A$3:$E$731,3,FALSE),"no")</f>
        <v>MATERIALES PARA LA CONSEVACION Y LA REPARACIÓN DE LA VIVIENDA</v>
      </c>
      <c r="L383" s="120" t="str">
        <f t="shared" si="32"/>
        <v>MATERIALES PARA LA CONSEVACION Y LA REPARACIÓN DE LA VIVIENDA</v>
      </c>
      <c r="M383" s="120" t="str">
        <f t="shared" si="33"/>
        <v>MATERIALES PARA LA CONSEVACION Y LA REPARACIÓN DE LA VIVIENDA</v>
      </c>
      <c r="N383" s="120" t="str">
        <f t="shared" si="35"/>
        <v>MATERIALES PARA LA CONSEVACION Y LA REPARACIÓN DE LA VIVIENDA</v>
      </c>
      <c r="O383" s="2" t="e">
        <f>VLOOKUP(N383,'Bridge matrix'!$D$3:$E$731,2,FALSE)</f>
        <v>#N/A</v>
      </c>
    </row>
    <row r="384" spans="1:15" x14ac:dyDescent="0.25">
      <c r="A384" s="2" t="s">
        <v>592</v>
      </c>
      <c r="B384" s="2" t="s">
        <v>784</v>
      </c>
      <c r="C384" s="2" t="s">
        <v>633</v>
      </c>
      <c r="D384" s="2" t="s">
        <v>598</v>
      </c>
      <c r="E384" s="2" t="s">
        <v>602</v>
      </c>
      <c r="G384" s="2" t="str">
        <f t="shared" si="36"/>
        <v>04.3.1.000</v>
      </c>
      <c r="H384" s="83" t="s">
        <v>814</v>
      </c>
      <c r="I384" s="83" t="str">
        <f t="shared" si="34"/>
        <v>0431000</v>
      </c>
      <c r="J384" s="2" t="s">
        <v>815</v>
      </c>
      <c r="K384" s="120" t="str">
        <f>IFERROR(VLOOKUP(H384,'Bridge matrix'!$A$3:$E$731,3,FALSE),"no")</f>
        <v>no</v>
      </c>
      <c r="L384" s="120" t="str">
        <f t="shared" si="32"/>
        <v>no</v>
      </c>
      <c r="M384" s="120" t="str">
        <f t="shared" si="33"/>
        <v>MATERIALES PARA LA CONSEVACION Y LA REPARACIÓN DE LA VIVIENDA</v>
      </c>
      <c r="N384" s="120" t="str">
        <f t="shared" si="35"/>
        <v>MATERIALES PARA LA CONSEVACION Y LA REPARACIÓN DE LA VIVIENDA</v>
      </c>
      <c r="O384" s="2" t="e">
        <f>VLOOKUP(N384,'Bridge matrix'!$D$3:$E$731,2,FALSE)</f>
        <v>#N/A</v>
      </c>
    </row>
    <row r="385" spans="1:15" x14ac:dyDescent="0.25">
      <c r="A385" s="2" t="s">
        <v>591</v>
      </c>
      <c r="B385" s="2" t="s">
        <v>784</v>
      </c>
      <c r="C385" s="2" t="s">
        <v>633</v>
      </c>
      <c r="D385" s="2" t="s">
        <v>619</v>
      </c>
      <c r="E385" s="2" t="s">
        <v>596</v>
      </c>
      <c r="G385" s="2" t="str">
        <f t="shared" si="36"/>
        <v>04.3.2</v>
      </c>
      <c r="H385" s="83" t="s">
        <v>816</v>
      </c>
      <c r="I385" s="83" t="str">
        <f t="shared" si="34"/>
        <v>0432</v>
      </c>
      <c r="J385" s="2" t="s">
        <v>817</v>
      </c>
      <c r="K385" s="120" t="str">
        <f>IFERROR(VLOOKUP(H385,'Bridge matrix'!$A$3:$E$731,3,FALSE),"no")</f>
        <v>SERVICIOS PARA LA CONSERVACION Y REPARACION DE LA VIVIENDA</v>
      </c>
      <c r="L385" s="120" t="str">
        <f t="shared" si="32"/>
        <v>SERVICIOS PARA LA CONSERVACION Y REPARACION DE LA VIVIENDA</v>
      </c>
      <c r="M385" s="120" t="str">
        <f t="shared" si="33"/>
        <v>SERVICIOS PARA LA CONSERVACION Y REPARACION DE LA VIVIENDA</v>
      </c>
      <c r="N385" s="120" t="str">
        <f t="shared" si="35"/>
        <v>SERVICIOS PARA LA CONSERVACION Y REPARACION DE LA VIVIENDA</v>
      </c>
      <c r="O385" s="2" t="e">
        <f>VLOOKUP(N385,'Bridge matrix'!$D$3:$E$731,2,FALSE)</f>
        <v>#N/A</v>
      </c>
    </row>
    <row r="386" spans="1:15" x14ac:dyDescent="0.25">
      <c r="A386" s="2" t="s">
        <v>592</v>
      </c>
      <c r="B386" s="2" t="s">
        <v>784</v>
      </c>
      <c r="C386" s="2" t="s">
        <v>633</v>
      </c>
      <c r="D386" s="2" t="s">
        <v>619</v>
      </c>
      <c r="E386" s="2" t="s">
        <v>602</v>
      </c>
      <c r="G386" s="2" t="str">
        <f t="shared" si="36"/>
        <v>04.3.2.000</v>
      </c>
      <c r="H386" s="83" t="s">
        <v>818</v>
      </c>
      <c r="I386" s="83" t="str">
        <f t="shared" si="34"/>
        <v>0432000</v>
      </c>
      <c r="J386" s="2" t="s">
        <v>819</v>
      </c>
      <c r="K386" s="120" t="str">
        <f>IFERROR(VLOOKUP(H386,'Bridge matrix'!$A$3:$E$731,3,FALSE),"no")</f>
        <v>no</v>
      </c>
      <c r="L386" s="120" t="str">
        <f t="shared" ref="L386:L449" si="37">IF(AND(H386=LEFT(H387,LEN(H386)),L387&lt;&gt;"no"),"ll",IF(K386="no","no",K386))</f>
        <v>no</v>
      </c>
      <c r="M386" s="120" t="str">
        <f t="shared" ref="M386:M449" si="38">IF(L386&lt;&gt;"no",L386,IF(VLOOKUP(LEFT(H386,6),$H$2:$K$714,3,FALSE)="ll","no",VLOOKUP(LEFT(H386,6),$H$2:$K$714,3,FALSE)))</f>
        <v>SERVICIOS PARA LA CONSERVACION Y REPARACION DE LA VIVIENDA</v>
      </c>
      <c r="N386" s="120" t="str">
        <f t="shared" si="35"/>
        <v>SERVICIOS PARA LA CONSERVACION Y REPARACION DE LA VIVIENDA</v>
      </c>
      <c r="O386" s="2" t="e">
        <f>VLOOKUP(N386,'Bridge matrix'!$D$3:$E$731,2,FALSE)</f>
        <v>#N/A</v>
      </c>
    </row>
    <row r="387" spans="1:15" x14ac:dyDescent="0.25">
      <c r="A387" s="2" t="s">
        <v>590</v>
      </c>
      <c r="B387" s="2" t="s">
        <v>784</v>
      </c>
      <c r="C387" s="2" t="s">
        <v>643</v>
      </c>
      <c r="D387" s="2" t="s">
        <v>596</v>
      </c>
      <c r="E387" s="2" t="s">
        <v>596</v>
      </c>
      <c r="G387" s="2" t="str">
        <f t="shared" si="36"/>
        <v>04.4</v>
      </c>
      <c r="H387" s="83" t="s">
        <v>820</v>
      </c>
      <c r="I387" s="83" t="str">
        <f t="shared" ref="I387:I450" si="39">B387&amp;C387&amp;D387&amp;E387&amp;F387</f>
        <v>044</v>
      </c>
      <c r="J387" s="2" t="s">
        <v>821</v>
      </c>
      <c r="K387" s="120" t="str">
        <f>IFERROR(VLOOKUP(H387,'Bridge matrix'!$A$3:$E$731,3,FALSE),"no")</f>
        <v>no</v>
      </c>
      <c r="L387" s="120" t="str">
        <f t="shared" si="37"/>
        <v>ll</v>
      </c>
      <c r="M387" s="120" t="str">
        <f t="shared" si="38"/>
        <v>ll</v>
      </c>
      <c r="N387" s="120" t="str">
        <f t="shared" ref="N387:N450" si="40">M387</f>
        <v>ll</v>
      </c>
      <c r="O387" s="2" t="str">
        <f>VLOOKUP(N387,'Bridge matrix'!$D$3:$E$731,2,FALSE)</f>
        <v>matched on SC/SSC level</v>
      </c>
    </row>
    <row r="388" spans="1:15" x14ac:dyDescent="0.25">
      <c r="A388" s="2" t="s">
        <v>591</v>
      </c>
      <c r="B388" s="2" t="s">
        <v>784</v>
      </c>
      <c r="C388" s="2" t="s">
        <v>643</v>
      </c>
      <c r="D388" s="2" t="s">
        <v>598</v>
      </c>
      <c r="E388" s="2" t="s">
        <v>596</v>
      </c>
      <c r="G388" s="2" t="str">
        <f t="shared" si="36"/>
        <v>04.4.1</v>
      </c>
      <c r="H388" s="83" t="s">
        <v>822</v>
      </c>
      <c r="I388" s="83" t="str">
        <f t="shared" si="39"/>
        <v>0441</v>
      </c>
      <c r="J388" s="2" t="s">
        <v>823</v>
      </c>
      <c r="K388" s="120" t="str">
        <f>IFERROR(VLOOKUP(H388,'Bridge matrix'!$A$3:$E$731,3,FALSE),"no")</f>
        <v xml:space="preserve">SUMINISTRO DE AGUA </v>
      </c>
      <c r="L388" s="120" t="str">
        <f t="shared" si="37"/>
        <v xml:space="preserve">SUMINISTRO DE AGUA </v>
      </c>
      <c r="M388" s="120" t="str">
        <f t="shared" si="38"/>
        <v xml:space="preserve">SUMINISTRO DE AGUA </v>
      </c>
      <c r="N388" s="120" t="str">
        <f t="shared" si="40"/>
        <v xml:space="preserve">SUMINISTRO DE AGUA </v>
      </c>
      <c r="O388" s="2" t="e">
        <f>VLOOKUP(N388,'Bridge matrix'!$D$3:$E$731,2,FALSE)</f>
        <v>#N/A</v>
      </c>
    </row>
    <row r="389" spans="1:15" x14ac:dyDescent="0.25">
      <c r="A389" s="2" t="s">
        <v>591</v>
      </c>
      <c r="B389" s="2" t="s">
        <v>784</v>
      </c>
      <c r="C389" s="2" t="s">
        <v>643</v>
      </c>
      <c r="D389" s="2" t="s">
        <v>619</v>
      </c>
      <c r="E389" s="2" t="s">
        <v>596</v>
      </c>
      <c r="G389" s="2" t="str">
        <f t="shared" si="36"/>
        <v>04.4.2</v>
      </c>
      <c r="H389" s="83" t="s">
        <v>824</v>
      </c>
      <c r="I389" s="83" t="str">
        <f t="shared" si="39"/>
        <v>0442</v>
      </c>
      <c r="J389" s="2" t="s">
        <v>825</v>
      </c>
      <c r="K389" s="120" t="str">
        <f>IFERROR(VLOOKUP(H389,'Bridge matrix'!$A$3:$E$731,3,FALSE),"no")</f>
        <v xml:space="preserve">RECOGIDA DE BASURA </v>
      </c>
      <c r="L389" s="120" t="str">
        <f t="shared" si="37"/>
        <v xml:space="preserve">RECOGIDA DE BASURA </v>
      </c>
      <c r="M389" s="120" t="str">
        <f t="shared" si="38"/>
        <v xml:space="preserve">RECOGIDA DE BASURA </v>
      </c>
      <c r="N389" s="120" t="str">
        <f t="shared" si="40"/>
        <v xml:space="preserve">RECOGIDA DE BASURA </v>
      </c>
      <c r="O389" s="2" t="e">
        <f>VLOOKUP(N389,'Bridge matrix'!$D$3:$E$731,2,FALSE)</f>
        <v>#N/A</v>
      </c>
    </row>
    <row r="390" spans="1:15" x14ac:dyDescent="0.25">
      <c r="A390" s="2" t="s">
        <v>591</v>
      </c>
      <c r="B390" s="2" t="s">
        <v>784</v>
      </c>
      <c r="C390" s="2" t="s">
        <v>643</v>
      </c>
      <c r="D390" s="2" t="s">
        <v>633</v>
      </c>
      <c r="E390" s="2" t="s">
        <v>596</v>
      </c>
      <c r="G390" s="2" t="str">
        <f t="shared" si="36"/>
        <v>04.4.3</v>
      </c>
      <c r="H390" s="83" t="s">
        <v>826</v>
      </c>
      <c r="I390" s="83" t="str">
        <f t="shared" si="39"/>
        <v>0443</v>
      </c>
      <c r="J390" s="2" t="s">
        <v>827</v>
      </c>
      <c r="K390" s="120" t="str">
        <f>IFERROR(VLOOKUP(H390,'Bridge matrix'!$A$3:$E$731,3,FALSE),"no")</f>
        <v xml:space="preserve">ALCANTARILLADO </v>
      </c>
      <c r="L390" s="120" t="str">
        <f t="shared" si="37"/>
        <v xml:space="preserve">ALCANTARILLADO </v>
      </c>
      <c r="M390" s="120" t="str">
        <f t="shared" si="38"/>
        <v xml:space="preserve">ALCANTARILLADO </v>
      </c>
      <c r="N390" s="120" t="str">
        <f t="shared" si="40"/>
        <v xml:space="preserve">ALCANTARILLADO </v>
      </c>
      <c r="O390" s="2" t="e">
        <f>VLOOKUP(N390,'Bridge matrix'!$D$3:$E$731,2,FALSE)</f>
        <v>#N/A</v>
      </c>
    </row>
    <row r="391" spans="1:15" x14ac:dyDescent="0.25">
      <c r="A391" s="2" t="s">
        <v>591</v>
      </c>
      <c r="B391" s="2" t="s">
        <v>784</v>
      </c>
      <c r="C391" s="2" t="s">
        <v>643</v>
      </c>
      <c r="D391" s="2" t="s">
        <v>643</v>
      </c>
      <c r="E391" s="2" t="s">
        <v>596</v>
      </c>
      <c r="G391" s="2" t="str">
        <f t="shared" si="36"/>
        <v>04.4.4</v>
      </c>
      <c r="H391" s="83" t="s">
        <v>828</v>
      </c>
      <c r="I391" s="83" t="str">
        <f t="shared" si="39"/>
        <v>0444</v>
      </c>
      <c r="J391" s="2" t="s">
        <v>829</v>
      </c>
      <c r="K391" s="120" t="str">
        <f>IFERROR(VLOOKUP(H391,'Bridge matrix'!$A$3:$E$731,3,FALSE),"no")</f>
        <v>OTROS SERVICIOS RELACIONADOS CON LA VIVIENDA N.E.P.</v>
      </c>
      <c r="L391" s="120" t="str">
        <f t="shared" si="37"/>
        <v>OTROS SERVICIOS RELACIONADOS CON LA VIVIENDA N.E.P.</v>
      </c>
      <c r="M391" s="120" t="str">
        <f t="shared" si="38"/>
        <v>OTROS SERVICIOS RELACIONADOS CON LA VIVIENDA N.E.P.</v>
      </c>
      <c r="N391" s="120" t="str">
        <f t="shared" si="40"/>
        <v>OTROS SERVICIOS RELACIONADOS CON LA VIVIENDA N.E.P.</v>
      </c>
      <c r="O391" s="2" t="e">
        <f>VLOOKUP(N391,'Bridge matrix'!$D$3:$E$731,2,FALSE)</f>
        <v>#N/A</v>
      </c>
    </row>
    <row r="392" spans="1:15" x14ac:dyDescent="0.25">
      <c r="A392" s="2" t="s">
        <v>590</v>
      </c>
      <c r="B392" s="2" t="s">
        <v>784</v>
      </c>
      <c r="C392" s="2" t="s">
        <v>656</v>
      </c>
      <c r="D392" s="2" t="s">
        <v>596</v>
      </c>
      <c r="E392" s="2" t="s">
        <v>596</v>
      </c>
      <c r="G392" s="2" t="str">
        <f t="shared" si="36"/>
        <v>04.5</v>
      </c>
      <c r="H392" s="83" t="s">
        <v>830</v>
      </c>
      <c r="I392" s="83" t="str">
        <f t="shared" si="39"/>
        <v>045</v>
      </c>
      <c r="J392" s="2" t="s">
        <v>831</v>
      </c>
      <c r="K392" s="120" t="str">
        <f>IFERROR(VLOOKUP(H392,'Bridge matrix'!$A$3:$E$731,3,FALSE),"no")</f>
        <v>no</v>
      </c>
      <c r="L392" s="120" t="str">
        <f t="shared" si="37"/>
        <v>ll</v>
      </c>
      <c r="M392" s="120" t="str">
        <f t="shared" si="38"/>
        <v>ll</v>
      </c>
      <c r="N392" s="120" t="str">
        <f t="shared" si="40"/>
        <v>ll</v>
      </c>
      <c r="O392" s="2" t="str">
        <f>VLOOKUP(N392,'Bridge matrix'!$D$3:$E$731,2,FALSE)</f>
        <v>matched on SC/SSC level</v>
      </c>
    </row>
    <row r="393" spans="1:15" x14ac:dyDescent="0.25">
      <c r="A393" s="2" t="s">
        <v>591</v>
      </c>
      <c r="B393" s="2" t="s">
        <v>784</v>
      </c>
      <c r="C393" s="2" t="s">
        <v>656</v>
      </c>
      <c r="D393" s="2" t="s">
        <v>598</v>
      </c>
      <c r="E393" s="2" t="s">
        <v>596</v>
      </c>
      <c r="G393" s="2" t="str">
        <f t="shared" si="36"/>
        <v>04.5.1</v>
      </c>
      <c r="H393" s="83" t="s">
        <v>832</v>
      </c>
      <c r="I393" s="83" t="str">
        <f t="shared" si="39"/>
        <v>0451</v>
      </c>
      <c r="J393" s="2" t="s">
        <v>833</v>
      </c>
      <c r="K393" s="120" t="str">
        <f>IFERROR(VLOOKUP(H393,'Bridge matrix'!$A$3:$E$731,3,FALSE),"no")</f>
        <v xml:space="preserve">ELECTRICIDAD </v>
      </c>
      <c r="L393" s="120" t="str">
        <f t="shared" si="37"/>
        <v>ll</v>
      </c>
      <c r="M393" s="120" t="str">
        <f t="shared" si="38"/>
        <v>ll</v>
      </c>
      <c r="N393" s="120" t="str">
        <f t="shared" si="40"/>
        <v>ll</v>
      </c>
      <c r="O393" s="2" t="str">
        <f>VLOOKUP(N393,'Bridge matrix'!$D$3:$E$731,2,FALSE)</f>
        <v>matched on SC/SSC level</v>
      </c>
    </row>
    <row r="394" spans="1:15" x14ac:dyDescent="0.25">
      <c r="A394" s="2" t="s">
        <v>592</v>
      </c>
      <c r="B394" s="2" t="s">
        <v>784</v>
      </c>
      <c r="C394" s="2" t="s">
        <v>656</v>
      </c>
      <c r="D394" s="2" t="s">
        <v>598</v>
      </c>
      <c r="E394" s="2" t="s">
        <v>602</v>
      </c>
      <c r="G394" s="2" t="str">
        <f t="shared" si="36"/>
        <v>04.5.1.000</v>
      </c>
      <c r="H394" s="83" t="s">
        <v>834</v>
      </c>
      <c r="I394" s="83" t="str">
        <f t="shared" si="39"/>
        <v>0451000</v>
      </c>
      <c r="J394" s="2" t="s">
        <v>0</v>
      </c>
      <c r="K394" s="120" t="str">
        <f>IFERROR(VLOOKUP(H394,'Bridge matrix'!$A$3:$E$731,3,FALSE),"no")</f>
        <v>Electricidad</v>
      </c>
      <c r="L394" s="120" t="str">
        <f t="shared" si="37"/>
        <v>Electricidad</v>
      </c>
      <c r="M394" s="120" t="str">
        <f t="shared" si="38"/>
        <v>Electricidad</v>
      </c>
      <c r="N394" s="120" t="str">
        <f t="shared" si="40"/>
        <v>Electricidad</v>
      </c>
      <c r="O394" s="2" t="e">
        <f>VLOOKUP(N394,'Bridge matrix'!$D$3:$E$731,2,FALSE)</f>
        <v>#N/A</v>
      </c>
    </row>
    <row r="395" spans="1:15" x14ac:dyDescent="0.25">
      <c r="A395" s="2" t="s">
        <v>593</v>
      </c>
      <c r="B395" s="2" t="s">
        <v>784</v>
      </c>
      <c r="C395" s="2" t="s">
        <v>656</v>
      </c>
      <c r="D395" s="2" t="s">
        <v>598</v>
      </c>
      <c r="E395" s="2" t="s">
        <v>596</v>
      </c>
      <c r="F395" s="2" t="s">
        <v>835</v>
      </c>
      <c r="G395" s="2" t="str">
        <f t="shared" si="36"/>
        <v>04.5.1.001</v>
      </c>
      <c r="H395" s="83" t="s">
        <v>836</v>
      </c>
      <c r="I395" s="83" t="str">
        <f t="shared" si="39"/>
        <v>0451001</v>
      </c>
      <c r="J395" s="2" t="s">
        <v>837</v>
      </c>
      <c r="K395" s="120" t="str">
        <f>IFERROR(VLOOKUP(H395,'Bridge matrix'!$A$3:$E$731,3,FALSE),"no")</f>
        <v>Compra de medidor de luz</v>
      </c>
      <c r="L395" s="120" t="str">
        <f t="shared" si="37"/>
        <v>Compra de medidor de luz</v>
      </c>
      <c r="M395" s="120" t="str">
        <f t="shared" si="38"/>
        <v>Compra de medidor de luz</v>
      </c>
      <c r="N395" s="120" t="str">
        <f t="shared" si="40"/>
        <v>Compra de medidor de luz</v>
      </c>
      <c r="O395" s="2" t="e">
        <f>VLOOKUP(N395,'Bridge matrix'!$D$3:$E$731,2,FALSE)</f>
        <v>#N/A</v>
      </c>
    </row>
    <row r="396" spans="1:15" x14ac:dyDescent="0.25">
      <c r="A396" s="2" t="s">
        <v>593</v>
      </c>
      <c r="B396" s="2" t="s">
        <v>784</v>
      </c>
      <c r="C396" s="2" t="s">
        <v>656</v>
      </c>
      <c r="D396" s="2" t="s">
        <v>598</v>
      </c>
      <c r="E396" s="2" t="s">
        <v>596</v>
      </c>
      <c r="F396" s="2" t="s">
        <v>838</v>
      </c>
      <c r="G396" s="2" t="str">
        <f t="shared" si="36"/>
        <v>04.5.1.002</v>
      </c>
      <c r="H396" s="83" t="s">
        <v>839</v>
      </c>
      <c r="I396" s="83" t="str">
        <f t="shared" si="39"/>
        <v>0451002</v>
      </c>
      <c r="J396" s="2" t="s">
        <v>840</v>
      </c>
      <c r="K396" s="120" t="str">
        <f>IFERROR(VLOOKUP(H396,'Bridge matrix'!$A$3:$E$731,3,FALSE),"no")</f>
        <v>Gasto por servicio de consumo eléctrico</v>
      </c>
      <c r="L396" s="120" t="str">
        <f t="shared" si="37"/>
        <v>Gasto por servicio de consumo eléctrico</v>
      </c>
      <c r="M396" s="120" t="str">
        <f t="shared" si="38"/>
        <v>Gasto por servicio de consumo eléctrico</v>
      </c>
      <c r="N396" s="120" t="str">
        <f t="shared" si="40"/>
        <v>Gasto por servicio de consumo eléctrico</v>
      </c>
      <c r="O396" s="2" t="e">
        <f>VLOOKUP(N396,'Bridge matrix'!$D$3:$E$731,2,FALSE)</f>
        <v>#N/A</v>
      </c>
    </row>
    <row r="397" spans="1:15" x14ac:dyDescent="0.25">
      <c r="A397" s="2" t="s">
        <v>591</v>
      </c>
      <c r="B397" s="2" t="s">
        <v>784</v>
      </c>
      <c r="C397" s="2" t="s">
        <v>656</v>
      </c>
      <c r="D397" s="2" t="s">
        <v>619</v>
      </c>
      <c r="E397" s="2" t="s">
        <v>596</v>
      </c>
      <c r="F397" s="2" t="s">
        <v>596</v>
      </c>
      <c r="G397" s="2" t="str">
        <f t="shared" si="36"/>
        <v>04.5.2</v>
      </c>
      <c r="H397" s="83" t="s">
        <v>841</v>
      </c>
      <c r="I397" s="83" t="str">
        <f t="shared" si="39"/>
        <v>0452</v>
      </c>
      <c r="J397" s="2" t="s">
        <v>842</v>
      </c>
      <c r="K397" s="120" t="str">
        <f>IFERROR(VLOOKUP(H397,'Bridge matrix'!$A$3:$E$731,3,FALSE),"no")</f>
        <v xml:space="preserve">GAS </v>
      </c>
      <c r="L397" s="120" t="str">
        <f t="shared" si="37"/>
        <v>ll</v>
      </c>
      <c r="M397" s="120" t="str">
        <f t="shared" si="38"/>
        <v>ll</v>
      </c>
      <c r="N397" s="120" t="str">
        <f t="shared" si="40"/>
        <v>ll</v>
      </c>
      <c r="O397" s="2" t="str">
        <f>VLOOKUP(N397,'Bridge matrix'!$D$3:$E$731,2,FALSE)</f>
        <v>matched on SC/SSC level</v>
      </c>
    </row>
    <row r="398" spans="1:15" x14ac:dyDescent="0.25">
      <c r="A398" s="2" t="s">
        <v>592</v>
      </c>
      <c r="B398" s="2" t="s">
        <v>784</v>
      </c>
      <c r="C398" s="2" t="s">
        <v>656</v>
      </c>
      <c r="D398" s="2" t="s">
        <v>619</v>
      </c>
      <c r="E398" s="2" t="s">
        <v>602</v>
      </c>
      <c r="F398" s="2" t="s">
        <v>596</v>
      </c>
      <c r="G398" s="2" t="str">
        <f t="shared" si="36"/>
        <v>04.5.2.000</v>
      </c>
      <c r="H398" s="83" t="s">
        <v>843</v>
      </c>
      <c r="I398" s="83" t="str">
        <f t="shared" si="39"/>
        <v>0452000</v>
      </c>
      <c r="J398" s="2" t="s">
        <v>844</v>
      </c>
      <c r="K398" s="120" t="str">
        <f>IFERROR(VLOOKUP(H398,'Bridge matrix'!$A$3:$E$731,3,FALSE),"no")</f>
        <v>Gas</v>
      </c>
      <c r="L398" s="120" t="str">
        <f t="shared" si="37"/>
        <v>Gas</v>
      </c>
      <c r="M398" s="120" t="str">
        <f t="shared" si="38"/>
        <v>Gas</v>
      </c>
      <c r="N398" s="120" t="str">
        <f t="shared" si="40"/>
        <v>Gas</v>
      </c>
      <c r="O398" s="2" t="e">
        <f>VLOOKUP(N398,'Bridge matrix'!$D$3:$E$731,2,FALSE)</f>
        <v>#N/A</v>
      </c>
    </row>
    <row r="399" spans="1:15" x14ac:dyDescent="0.25">
      <c r="A399" s="2" t="s">
        <v>593</v>
      </c>
      <c r="B399" s="2" t="s">
        <v>784</v>
      </c>
      <c r="C399" s="2" t="s">
        <v>656</v>
      </c>
      <c r="D399" s="2" t="s">
        <v>619</v>
      </c>
      <c r="E399" s="2" t="s">
        <v>596</v>
      </c>
      <c r="F399" s="2" t="s">
        <v>835</v>
      </c>
      <c r="G399" s="2" t="str">
        <f t="shared" si="36"/>
        <v>04.5.2.001</v>
      </c>
      <c r="H399" s="83" t="s">
        <v>845</v>
      </c>
      <c r="I399" s="83" t="str">
        <f t="shared" si="39"/>
        <v>0452001</v>
      </c>
      <c r="J399" s="2" t="s">
        <v>846</v>
      </c>
      <c r="K399" s="120" t="str">
        <f>IFERROR(VLOOKUP(H399,'Bridge matrix'!$A$3:$E$731,3,FALSE),"no")</f>
        <v>Gasto en gas doméstico</v>
      </c>
      <c r="L399" s="120" t="str">
        <f t="shared" si="37"/>
        <v>Gasto en gas doméstico</v>
      </c>
      <c r="M399" s="120" t="str">
        <f t="shared" si="38"/>
        <v>Gasto en gas doméstico</v>
      </c>
      <c r="N399" s="120" t="str">
        <f t="shared" si="40"/>
        <v>Gasto en gas doméstico</v>
      </c>
      <c r="O399" s="2" t="e">
        <f>VLOOKUP(N399,'Bridge matrix'!$D$3:$E$731,2,FALSE)</f>
        <v>#N/A</v>
      </c>
    </row>
    <row r="400" spans="1:15" x14ac:dyDescent="0.25">
      <c r="A400" s="2" t="s">
        <v>593</v>
      </c>
      <c r="B400" s="2" t="s">
        <v>784</v>
      </c>
      <c r="C400" s="2" t="s">
        <v>656</v>
      </c>
      <c r="D400" s="2" t="s">
        <v>619</v>
      </c>
      <c r="E400" s="2" t="s">
        <v>596</v>
      </c>
      <c r="F400" s="2" t="s">
        <v>838</v>
      </c>
      <c r="G400" s="2" t="str">
        <f t="shared" si="36"/>
        <v>04.5.2.002</v>
      </c>
      <c r="H400" s="83" t="s">
        <v>847</v>
      </c>
      <c r="I400" s="83" t="str">
        <f t="shared" si="39"/>
        <v>0452002</v>
      </c>
      <c r="J400" s="2" t="s">
        <v>848</v>
      </c>
      <c r="K400" s="120" t="str">
        <f>IFERROR(VLOOKUP(H400,'Bridge matrix'!$A$3:$E$731,3,FALSE),"no")</f>
        <v>Gasto en gas doméstico centralizado</v>
      </c>
      <c r="L400" s="120" t="str">
        <f t="shared" si="37"/>
        <v>Gasto en gas doméstico centralizado</v>
      </c>
      <c r="M400" s="120" t="str">
        <f t="shared" si="38"/>
        <v>Gasto en gas doméstico centralizado</v>
      </c>
      <c r="N400" s="120" t="str">
        <f t="shared" si="40"/>
        <v>Gasto en gas doméstico centralizado</v>
      </c>
      <c r="O400" s="2" t="e">
        <f>VLOOKUP(N400,'Bridge matrix'!$D$3:$E$731,2,FALSE)</f>
        <v>#N/A</v>
      </c>
    </row>
    <row r="401" spans="1:15" x14ac:dyDescent="0.25">
      <c r="A401" s="2" t="s">
        <v>593</v>
      </c>
      <c r="B401" s="2" t="s">
        <v>784</v>
      </c>
      <c r="C401" s="2" t="s">
        <v>656</v>
      </c>
      <c r="D401" s="2" t="s">
        <v>619</v>
      </c>
      <c r="E401" s="2" t="s">
        <v>596</v>
      </c>
      <c r="F401" s="2" t="s">
        <v>849</v>
      </c>
      <c r="G401" s="2" t="str">
        <f t="shared" si="36"/>
        <v>04.5.2.003</v>
      </c>
      <c r="H401" s="83" t="s">
        <v>850</v>
      </c>
      <c r="I401" s="83" t="str">
        <f t="shared" si="39"/>
        <v>0452003</v>
      </c>
      <c r="J401" s="2" t="s">
        <v>851</v>
      </c>
      <c r="K401" s="120" t="str">
        <f>IFERROR(VLOOKUP(H401,'Bridge matrix'!$A$3:$E$731,3,FALSE),"no")</f>
        <v>Recipientes de almacenamiento (cilindros de gas)</v>
      </c>
      <c r="L401" s="120" t="str">
        <f t="shared" si="37"/>
        <v>Recipientes de almacenamiento (cilindros de gas)</v>
      </c>
      <c r="M401" s="120" t="str">
        <f t="shared" si="38"/>
        <v>Recipientes de almacenamiento (cilindros de gas)</v>
      </c>
      <c r="N401" s="120" t="str">
        <f t="shared" si="40"/>
        <v>Recipientes de almacenamiento (cilindros de gas)</v>
      </c>
      <c r="O401" s="2" t="e">
        <f>VLOOKUP(N401,'Bridge matrix'!$D$3:$E$731,2,FALSE)</f>
        <v>#N/A</v>
      </c>
    </row>
    <row r="402" spans="1:15" x14ac:dyDescent="0.25">
      <c r="A402" s="2" t="s">
        <v>593</v>
      </c>
      <c r="B402" s="2" t="s">
        <v>784</v>
      </c>
      <c r="C402" s="2" t="s">
        <v>656</v>
      </c>
      <c r="D402" s="2" t="s">
        <v>619</v>
      </c>
      <c r="E402" s="2" t="s">
        <v>596</v>
      </c>
      <c r="F402" s="89" t="s">
        <v>1247</v>
      </c>
      <c r="G402" s="2" t="str">
        <f t="shared" si="36"/>
        <v>04.5.2.099</v>
      </c>
      <c r="H402" s="83" t="s">
        <v>1246</v>
      </c>
      <c r="I402" s="83" t="str">
        <f t="shared" si="39"/>
        <v>0452099</v>
      </c>
      <c r="J402" s="2" t="s">
        <v>852</v>
      </c>
      <c r="K402" s="120" t="str">
        <f>IFERROR(VLOOKUP(H402,'Bridge matrix'!$A$3:$E$731,3,FALSE),"no")</f>
        <v>Otros</v>
      </c>
      <c r="L402" s="120" t="str">
        <f t="shared" si="37"/>
        <v>Otros</v>
      </c>
      <c r="M402" s="120" t="str">
        <f t="shared" si="38"/>
        <v>Otros</v>
      </c>
      <c r="N402" s="120" t="str">
        <f t="shared" si="40"/>
        <v>Otros</v>
      </c>
      <c r="O402" s="2" t="e">
        <f>VLOOKUP(N402,'Bridge matrix'!$D$3:$E$731,2,FALSE)</f>
        <v>#N/A</v>
      </c>
    </row>
    <row r="403" spans="1:15" x14ac:dyDescent="0.25">
      <c r="A403" s="2" t="s">
        <v>591</v>
      </c>
      <c r="B403" s="2" t="s">
        <v>784</v>
      </c>
      <c r="C403" s="2" t="s">
        <v>656</v>
      </c>
      <c r="D403" s="2" t="s">
        <v>633</v>
      </c>
      <c r="E403" s="2" t="s">
        <v>596</v>
      </c>
      <c r="F403" s="2" t="s">
        <v>596</v>
      </c>
      <c r="G403" s="2" t="str">
        <f t="shared" si="36"/>
        <v>04.5.3</v>
      </c>
      <c r="H403" s="83" t="s">
        <v>853</v>
      </c>
      <c r="I403" s="83" t="str">
        <f t="shared" si="39"/>
        <v>0453</v>
      </c>
      <c r="J403" s="2" t="s">
        <v>854</v>
      </c>
      <c r="K403" s="120" t="str">
        <f>IFERROR(VLOOKUP(H403,'Bridge matrix'!$A$3:$E$731,3,FALSE),"no")</f>
        <v xml:space="preserve">COMBUSTIBLES LÍQUIDOS </v>
      </c>
      <c r="L403" s="120" t="str">
        <f t="shared" si="37"/>
        <v>ll</v>
      </c>
      <c r="M403" s="120" t="str">
        <f t="shared" si="38"/>
        <v>ll</v>
      </c>
      <c r="N403" s="120" t="str">
        <f t="shared" si="40"/>
        <v>ll</v>
      </c>
      <c r="O403" s="2" t="str">
        <f>VLOOKUP(N403,'Bridge matrix'!$D$3:$E$731,2,FALSE)</f>
        <v>matched on SC/SSC level</v>
      </c>
    </row>
    <row r="404" spans="1:15" x14ac:dyDescent="0.25">
      <c r="A404" s="2" t="s">
        <v>592</v>
      </c>
      <c r="B404" s="2" t="s">
        <v>784</v>
      </c>
      <c r="C404" s="2" t="s">
        <v>656</v>
      </c>
      <c r="D404" s="2" t="s">
        <v>633</v>
      </c>
      <c r="E404" s="2" t="s">
        <v>602</v>
      </c>
      <c r="F404" s="2" t="s">
        <v>596</v>
      </c>
      <c r="G404" s="2" t="str">
        <f t="shared" si="36"/>
        <v>04.5.3.000</v>
      </c>
      <c r="H404" s="83" t="s">
        <v>855</v>
      </c>
      <c r="I404" s="83" t="str">
        <f t="shared" si="39"/>
        <v>0453000</v>
      </c>
      <c r="J404" s="2" t="s">
        <v>856</v>
      </c>
      <c r="K404" s="120" t="str">
        <f>IFERROR(VLOOKUP(H404,'Bridge matrix'!$A$3:$E$731,3,FALSE),"no")</f>
        <v>Combustibles líquidos [Para la cocina NO para transporte]</v>
      </c>
      <c r="L404" s="120" t="str">
        <f t="shared" si="37"/>
        <v>Combustibles líquidos [Para la cocina NO para transporte]</v>
      </c>
      <c r="M404" s="120" t="str">
        <f t="shared" si="38"/>
        <v>Combustibles líquidos [Para la cocina NO para transporte]</v>
      </c>
      <c r="N404" s="120" t="str">
        <f t="shared" si="40"/>
        <v>Combustibles líquidos [Para la cocina NO para transporte]</v>
      </c>
      <c r="O404" s="2" t="e">
        <f>VLOOKUP(N404,'Bridge matrix'!$D$3:$E$731,2,FALSE)</f>
        <v>#N/A</v>
      </c>
    </row>
    <row r="405" spans="1:15" x14ac:dyDescent="0.25">
      <c r="A405" s="2" t="s">
        <v>593</v>
      </c>
      <c r="B405" s="2" t="s">
        <v>784</v>
      </c>
      <c r="C405" s="2" t="s">
        <v>656</v>
      </c>
      <c r="D405" s="2" t="s">
        <v>633</v>
      </c>
      <c r="E405" s="2" t="s">
        <v>596</v>
      </c>
      <c r="F405" s="2" t="s">
        <v>835</v>
      </c>
      <c r="G405" s="2" t="str">
        <f t="shared" si="36"/>
        <v>04.5.3.001</v>
      </c>
      <c r="H405" s="83" t="s">
        <v>857</v>
      </c>
      <c r="I405" s="83" t="str">
        <f t="shared" si="39"/>
        <v>0453001</v>
      </c>
      <c r="J405" s="2" t="s">
        <v>858</v>
      </c>
      <c r="K405" s="120" t="str">
        <f>IFERROR(VLOOKUP(H405,'Bridge matrix'!$A$3:$E$731,3,FALSE),"no")</f>
        <v>no</v>
      </c>
      <c r="L405" s="120" t="str">
        <f t="shared" si="37"/>
        <v>no</v>
      </c>
      <c r="M405" s="120" t="str">
        <f t="shared" si="38"/>
        <v xml:space="preserve">COMBUSTIBLES LÍQUIDOS </v>
      </c>
      <c r="N405" s="120" t="str">
        <f t="shared" si="40"/>
        <v xml:space="preserve">COMBUSTIBLES LÍQUIDOS </v>
      </c>
      <c r="O405" s="2" t="e">
        <f>VLOOKUP(N405,'Bridge matrix'!$D$3:$E$731,2,FALSE)</f>
        <v>#N/A</v>
      </c>
    </row>
    <row r="406" spans="1:15" x14ac:dyDescent="0.25">
      <c r="A406" s="2" t="s">
        <v>593</v>
      </c>
      <c r="B406" s="2" t="s">
        <v>784</v>
      </c>
      <c r="C406" s="2" t="s">
        <v>656</v>
      </c>
      <c r="D406" s="2" t="s">
        <v>633</v>
      </c>
      <c r="E406" s="2" t="s">
        <v>596</v>
      </c>
      <c r="F406" s="2" t="s">
        <v>838</v>
      </c>
      <c r="G406" s="2" t="str">
        <f t="shared" si="36"/>
        <v>04.5.3.002</v>
      </c>
      <c r="H406" s="83" t="s">
        <v>859</v>
      </c>
      <c r="I406" s="83" t="str">
        <f t="shared" si="39"/>
        <v>0453002</v>
      </c>
      <c r="J406" s="2" t="s">
        <v>860</v>
      </c>
      <c r="K406" s="120" t="str">
        <f>IFERROR(VLOOKUP(H406,'Bridge matrix'!$A$3:$E$731,3,FALSE),"no")</f>
        <v>no</v>
      </c>
      <c r="L406" s="120" t="str">
        <f t="shared" si="37"/>
        <v>no</v>
      </c>
      <c r="M406" s="120" t="str">
        <f t="shared" si="38"/>
        <v xml:space="preserve">COMBUSTIBLES LÍQUIDOS </v>
      </c>
      <c r="N406" s="120" t="str">
        <f t="shared" si="40"/>
        <v xml:space="preserve">COMBUSTIBLES LÍQUIDOS </v>
      </c>
      <c r="O406" s="2" t="e">
        <f>VLOOKUP(N406,'Bridge matrix'!$D$3:$E$731,2,FALSE)</f>
        <v>#N/A</v>
      </c>
    </row>
    <row r="407" spans="1:15" x14ac:dyDescent="0.25">
      <c r="A407" s="2" t="s">
        <v>593</v>
      </c>
      <c r="B407" s="2" t="s">
        <v>784</v>
      </c>
      <c r="C407" s="2" t="s">
        <v>656</v>
      </c>
      <c r="D407" s="2" t="s">
        <v>633</v>
      </c>
      <c r="E407" s="2" t="s">
        <v>596</v>
      </c>
      <c r="F407" s="2" t="s">
        <v>849</v>
      </c>
      <c r="G407" s="2" t="str">
        <f t="shared" si="36"/>
        <v>04.5.3.003</v>
      </c>
      <c r="H407" s="83" t="s">
        <v>861</v>
      </c>
      <c r="I407" s="83" t="str">
        <f t="shared" si="39"/>
        <v>0453003</v>
      </c>
      <c r="J407" s="2" t="s">
        <v>862</v>
      </c>
      <c r="K407" s="120" t="str">
        <f>IFERROR(VLOOKUP(H407,'Bridge matrix'!$A$3:$E$731,3,FALSE),"no")</f>
        <v>no</v>
      </c>
      <c r="L407" s="120" t="str">
        <f t="shared" si="37"/>
        <v>no</v>
      </c>
      <c r="M407" s="120" t="str">
        <f t="shared" si="38"/>
        <v xml:space="preserve">COMBUSTIBLES LÍQUIDOS </v>
      </c>
      <c r="N407" s="120" t="str">
        <f t="shared" si="40"/>
        <v xml:space="preserve">COMBUSTIBLES LÍQUIDOS </v>
      </c>
      <c r="O407" s="2" t="e">
        <f>VLOOKUP(N407,'Bridge matrix'!$D$3:$E$731,2,FALSE)</f>
        <v>#N/A</v>
      </c>
    </row>
    <row r="408" spans="1:15" x14ac:dyDescent="0.25">
      <c r="A408" s="2" t="s">
        <v>593</v>
      </c>
      <c r="B408" s="2" t="s">
        <v>784</v>
      </c>
      <c r="C408" s="2" t="s">
        <v>656</v>
      </c>
      <c r="D408" s="2" t="s">
        <v>633</v>
      </c>
      <c r="E408" s="2" t="s">
        <v>596</v>
      </c>
      <c r="F408" s="89" t="s">
        <v>1247</v>
      </c>
      <c r="G408" s="2" t="str">
        <f t="shared" ref="G408:G561" si="41">B408&amp;IF(C408="","","."&amp;C408)&amp;IF(D408="","","."&amp;D408)&amp;IF(E408="","","."&amp;E408)&amp;IF(F408="","","."&amp;F408)</f>
        <v>04.5.3.099</v>
      </c>
      <c r="H408" s="83" t="s">
        <v>2127</v>
      </c>
      <c r="I408" s="83" t="str">
        <f t="shared" si="39"/>
        <v>0453099</v>
      </c>
      <c r="J408" s="2" t="s">
        <v>863</v>
      </c>
      <c r="K408" s="120" t="str">
        <f>IFERROR(VLOOKUP(H408,'Bridge matrix'!$A$3:$E$731,3,FALSE),"no")</f>
        <v>no</v>
      </c>
      <c r="L408" s="120" t="str">
        <f t="shared" si="37"/>
        <v>no</v>
      </c>
      <c r="M408" s="120" t="str">
        <f t="shared" si="38"/>
        <v xml:space="preserve">COMBUSTIBLES LÍQUIDOS </v>
      </c>
      <c r="N408" s="120" t="str">
        <f t="shared" si="40"/>
        <v xml:space="preserve">COMBUSTIBLES LÍQUIDOS </v>
      </c>
      <c r="O408" s="2" t="e">
        <f>VLOOKUP(N408,'Bridge matrix'!$D$3:$E$731,2,FALSE)</f>
        <v>#N/A</v>
      </c>
    </row>
    <row r="409" spans="1:15" x14ac:dyDescent="0.25">
      <c r="A409" s="2" t="s">
        <v>591</v>
      </c>
      <c r="B409" s="2" t="s">
        <v>784</v>
      </c>
      <c r="C409" s="2" t="s">
        <v>656</v>
      </c>
      <c r="D409" s="2" t="s">
        <v>643</v>
      </c>
      <c r="E409" s="2" t="s">
        <v>596</v>
      </c>
      <c r="F409" s="2" t="s">
        <v>596</v>
      </c>
      <c r="G409" s="2" t="str">
        <f t="shared" si="41"/>
        <v>04.5.4</v>
      </c>
      <c r="H409" s="83" t="s">
        <v>864</v>
      </c>
      <c r="I409" s="83" t="str">
        <f t="shared" si="39"/>
        <v>0454</v>
      </c>
      <c r="J409" s="2" t="s">
        <v>865</v>
      </c>
      <c r="K409" s="120" t="str">
        <f>IFERROR(VLOOKUP(H409,'Bridge matrix'!$A$3:$E$731,3,FALSE),"no")</f>
        <v xml:space="preserve">COMBUSTIBLES SÓLIDOS </v>
      </c>
      <c r="L409" s="120" t="str">
        <f t="shared" si="37"/>
        <v xml:space="preserve">COMBUSTIBLES SÓLIDOS </v>
      </c>
      <c r="M409" s="120" t="str">
        <f t="shared" si="38"/>
        <v xml:space="preserve">COMBUSTIBLES SÓLIDOS </v>
      </c>
      <c r="N409" s="120" t="str">
        <f t="shared" si="40"/>
        <v xml:space="preserve">COMBUSTIBLES SÓLIDOS </v>
      </c>
      <c r="O409" s="2" t="e">
        <f>VLOOKUP(N409,'Bridge matrix'!$D$3:$E$731,2,FALSE)</f>
        <v>#N/A</v>
      </c>
    </row>
    <row r="410" spans="1:15" x14ac:dyDescent="0.25">
      <c r="A410" s="2" t="s">
        <v>592</v>
      </c>
      <c r="B410" s="2" t="s">
        <v>784</v>
      </c>
      <c r="C410" s="2" t="s">
        <v>656</v>
      </c>
      <c r="D410" s="2" t="s">
        <v>643</v>
      </c>
      <c r="E410" s="2" t="s">
        <v>602</v>
      </c>
      <c r="F410" s="2" t="s">
        <v>596</v>
      </c>
      <c r="G410" s="2" t="str">
        <f t="shared" si="41"/>
        <v>04.5.4.000</v>
      </c>
      <c r="H410" s="83" t="s">
        <v>866</v>
      </c>
      <c r="I410" s="83" t="str">
        <f t="shared" si="39"/>
        <v>0454000</v>
      </c>
      <c r="J410" s="2" t="s">
        <v>867</v>
      </c>
      <c r="K410" s="120" t="str">
        <f>IFERROR(VLOOKUP(H410,'Bridge matrix'!$A$3:$E$731,3,FALSE),"no")</f>
        <v>no</v>
      </c>
      <c r="L410" s="120" t="str">
        <f t="shared" si="37"/>
        <v>no</v>
      </c>
      <c r="M410" s="120" t="str">
        <f t="shared" si="38"/>
        <v xml:space="preserve">COMBUSTIBLES SÓLIDOS </v>
      </c>
      <c r="N410" s="120" t="str">
        <f t="shared" si="40"/>
        <v xml:space="preserve">COMBUSTIBLES SÓLIDOS </v>
      </c>
      <c r="O410" s="2" t="e">
        <f>VLOOKUP(N410,'Bridge matrix'!$D$3:$E$731,2,FALSE)</f>
        <v>#N/A</v>
      </c>
    </row>
    <row r="411" spans="1:15" x14ac:dyDescent="0.25">
      <c r="A411" s="2" t="s">
        <v>593</v>
      </c>
      <c r="B411" s="2" t="s">
        <v>784</v>
      </c>
      <c r="C411" s="2" t="s">
        <v>656</v>
      </c>
      <c r="D411" s="2" t="s">
        <v>643</v>
      </c>
      <c r="E411" s="2" t="s">
        <v>596</v>
      </c>
      <c r="F411" s="2" t="s">
        <v>835</v>
      </c>
      <c r="G411" s="2" t="str">
        <f t="shared" si="41"/>
        <v>04.5.4.001</v>
      </c>
      <c r="H411" s="83" t="s">
        <v>868</v>
      </c>
      <c r="I411" s="83" t="str">
        <f t="shared" si="39"/>
        <v>0454001</v>
      </c>
      <c r="J411" s="2" t="s">
        <v>869</v>
      </c>
      <c r="K411" s="120" t="str">
        <f>IFERROR(VLOOKUP(H411,'Bridge matrix'!$A$3:$E$731,3,FALSE),"no")</f>
        <v>no</v>
      </c>
      <c r="L411" s="120" t="str">
        <f t="shared" si="37"/>
        <v>no</v>
      </c>
      <c r="M411" s="120" t="str">
        <f t="shared" si="38"/>
        <v xml:space="preserve">COMBUSTIBLES SÓLIDOS </v>
      </c>
      <c r="N411" s="120" t="str">
        <f t="shared" si="40"/>
        <v xml:space="preserve">COMBUSTIBLES SÓLIDOS </v>
      </c>
      <c r="O411" s="2" t="e">
        <f>VLOOKUP(N411,'Bridge matrix'!$D$3:$E$731,2,FALSE)</f>
        <v>#N/A</v>
      </c>
    </row>
    <row r="412" spans="1:15" x14ac:dyDescent="0.25">
      <c r="A412" s="2" t="s">
        <v>593</v>
      </c>
      <c r="B412" s="2" t="s">
        <v>784</v>
      </c>
      <c r="C412" s="2" t="s">
        <v>656</v>
      </c>
      <c r="D412" s="2" t="s">
        <v>643</v>
      </c>
      <c r="E412" s="2" t="s">
        <v>596</v>
      </c>
      <c r="F412" s="2" t="s">
        <v>838</v>
      </c>
      <c r="G412" s="2" t="str">
        <f t="shared" si="41"/>
        <v>04.5.4.002</v>
      </c>
      <c r="H412" s="83" t="s">
        <v>870</v>
      </c>
      <c r="I412" s="83" t="str">
        <f t="shared" si="39"/>
        <v>0454002</v>
      </c>
      <c r="J412" s="2" t="s">
        <v>871</v>
      </c>
      <c r="K412" s="120" t="str">
        <f>IFERROR(VLOOKUP(H412,'Bridge matrix'!$A$3:$E$731,3,FALSE),"no")</f>
        <v>no</v>
      </c>
      <c r="L412" s="120" t="str">
        <f t="shared" si="37"/>
        <v>no</v>
      </c>
      <c r="M412" s="120" t="str">
        <f t="shared" si="38"/>
        <v xml:space="preserve">COMBUSTIBLES SÓLIDOS </v>
      </c>
      <c r="N412" s="120" t="str">
        <f t="shared" si="40"/>
        <v xml:space="preserve">COMBUSTIBLES SÓLIDOS </v>
      </c>
      <c r="O412" s="2" t="e">
        <f>VLOOKUP(N412,'Bridge matrix'!$D$3:$E$731,2,FALSE)</f>
        <v>#N/A</v>
      </c>
    </row>
    <row r="413" spans="1:15" x14ac:dyDescent="0.25">
      <c r="A413" s="2" t="s">
        <v>593</v>
      </c>
      <c r="B413" s="2" t="s">
        <v>784</v>
      </c>
      <c r="C413" s="2" t="s">
        <v>656</v>
      </c>
      <c r="D413" s="2" t="s">
        <v>643</v>
      </c>
      <c r="E413" s="2" t="s">
        <v>596</v>
      </c>
      <c r="F413" s="2" t="s">
        <v>849</v>
      </c>
      <c r="G413" s="2" t="str">
        <f t="shared" si="41"/>
        <v>04.5.4.003</v>
      </c>
      <c r="H413" s="83" t="s">
        <v>872</v>
      </c>
      <c r="I413" s="83" t="str">
        <f t="shared" si="39"/>
        <v>0454003</v>
      </c>
      <c r="J413" s="2" t="s">
        <v>873</v>
      </c>
      <c r="K413" s="120" t="str">
        <f>IFERROR(VLOOKUP(H413,'Bridge matrix'!$A$3:$E$731,3,FALSE),"no")</f>
        <v>no</v>
      </c>
      <c r="L413" s="120" t="str">
        <f t="shared" si="37"/>
        <v>no</v>
      </c>
      <c r="M413" s="120" t="str">
        <f t="shared" si="38"/>
        <v xml:space="preserve">COMBUSTIBLES SÓLIDOS </v>
      </c>
      <c r="N413" s="120" t="str">
        <f t="shared" si="40"/>
        <v xml:space="preserve">COMBUSTIBLES SÓLIDOS </v>
      </c>
      <c r="O413" s="2" t="e">
        <f>VLOOKUP(N413,'Bridge matrix'!$D$3:$E$731,2,FALSE)</f>
        <v>#N/A</v>
      </c>
    </row>
    <row r="414" spans="1:15" x14ac:dyDescent="0.25">
      <c r="A414" s="2" t="s">
        <v>593</v>
      </c>
      <c r="B414" s="2" t="s">
        <v>784</v>
      </c>
      <c r="C414" s="2" t="s">
        <v>656</v>
      </c>
      <c r="D414" s="2" t="s">
        <v>643</v>
      </c>
      <c r="E414" s="2" t="s">
        <v>596</v>
      </c>
      <c r="F414" s="2" t="s">
        <v>874</v>
      </c>
      <c r="G414" s="2" t="str">
        <f t="shared" si="41"/>
        <v>04.5.4.004</v>
      </c>
      <c r="H414" s="83" t="s">
        <v>875</v>
      </c>
      <c r="I414" s="83" t="str">
        <f t="shared" si="39"/>
        <v>0454004</v>
      </c>
      <c r="J414" s="2" t="s">
        <v>876</v>
      </c>
      <c r="K414" s="120" t="str">
        <f>IFERROR(VLOOKUP(H414,'Bridge matrix'!$A$3:$E$731,3,FALSE),"no")</f>
        <v>no</v>
      </c>
      <c r="L414" s="120" t="str">
        <f t="shared" si="37"/>
        <v>no</v>
      </c>
      <c r="M414" s="120" t="str">
        <f t="shared" si="38"/>
        <v xml:space="preserve">COMBUSTIBLES SÓLIDOS </v>
      </c>
      <c r="N414" s="120" t="str">
        <f t="shared" si="40"/>
        <v xml:space="preserve">COMBUSTIBLES SÓLIDOS </v>
      </c>
      <c r="O414" s="2" t="e">
        <f>VLOOKUP(N414,'Bridge matrix'!$D$3:$E$731,2,FALSE)</f>
        <v>#N/A</v>
      </c>
    </row>
    <row r="415" spans="1:15" x14ac:dyDescent="0.25">
      <c r="A415" s="2" t="s">
        <v>593</v>
      </c>
      <c r="B415" s="2" t="s">
        <v>784</v>
      </c>
      <c r="C415" s="2" t="s">
        <v>656</v>
      </c>
      <c r="D415" s="2" t="s">
        <v>643</v>
      </c>
      <c r="E415" s="2" t="s">
        <v>596</v>
      </c>
      <c r="F415" s="2" t="s">
        <v>877</v>
      </c>
      <c r="G415" s="2" t="str">
        <f t="shared" si="41"/>
        <v>04.5.4.005</v>
      </c>
      <c r="H415" s="83" t="s">
        <v>878</v>
      </c>
      <c r="I415" s="83" t="str">
        <f t="shared" si="39"/>
        <v>0454005</v>
      </c>
      <c r="J415" s="2" t="s">
        <v>879</v>
      </c>
      <c r="K415" s="120" t="str">
        <f>IFERROR(VLOOKUP(H415,'Bridge matrix'!$A$3:$E$731,3,FALSE),"no")</f>
        <v>no</v>
      </c>
      <c r="L415" s="120" t="str">
        <f t="shared" si="37"/>
        <v>no</v>
      </c>
      <c r="M415" s="120" t="str">
        <f t="shared" si="38"/>
        <v xml:space="preserve">COMBUSTIBLES SÓLIDOS </v>
      </c>
      <c r="N415" s="120" t="str">
        <f t="shared" si="40"/>
        <v xml:space="preserve">COMBUSTIBLES SÓLIDOS </v>
      </c>
      <c r="O415" s="2" t="e">
        <f>VLOOKUP(N415,'Bridge matrix'!$D$3:$E$731,2,FALSE)</f>
        <v>#N/A</v>
      </c>
    </row>
    <row r="416" spans="1:15" x14ac:dyDescent="0.25">
      <c r="A416" s="2" t="s">
        <v>593</v>
      </c>
      <c r="B416" s="2" t="s">
        <v>784</v>
      </c>
      <c r="C416" s="2" t="s">
        <v>656</v>
      </c>
      <c r="D416" s="2" t="s">
        <v>643</v>
      </c>
      <c r="E416" s="2" t="s">
        <v>596</v>
      </c>
      <c r="F416" s="89" t="s">
        <v>1247</v>
      </c>
      <c r="G416" s="2" t="str">
        <f t="shared" si="41"/>
        <v>04.5.4.099</v>
      </c>
      <c r="H416" s="83" t="s">
        <v>2128</v>
      </c>
      <c r="I416" s="83" t="str">
        <f t="shared" si="39"/>
        <v>0454099</v>
      </c>
      <c r="J416" s="2" t="s">
        <v>880</v>
      </c>
      <c r="K416" s="120" t="str">
        <f>IFERROR(VLOOKUP(H416,'Bridge matrix'!$A$3:$E$731,3,FALSE),"no")</f>
        <v>no</v>
      </c>
      <c r="L416" s="120" t="str">
        <f t="shared" si="37"/>
        <v>no</v>
      </c>
      <c r="M416" s="120" t="str">
        <f t="shared" si="38"/>
        <v xml:space="preserve">COMBUSTIBLES SÓLIDOS </v>
      </c>
      <c r="N416" s="120" t="str">
        <f t="shared" si="40"/>
        <v xml:space="preserve">COMBUSTIBLES SÓLIDOS </v>
      </c>
      <c r="O416" s="2" t="e">
        <f>VLOOKUP(N416,'Bridge matrix'!$D$3:$E$731,2,FALSE)</f>
        <v>#N/A</v>
      </c>
    </row>
    <row r="417" spans="1:15" x14ac:dyDescent="0.25">
      <c r="A417" s="2" t="s">
        <v>591</v>
      </c>
      <c r="B417" s="2" t="s">
        <v>784</v>
      </c>
      <c r="C417" s="2" t="s">
        <v>656</v>
      </c>
      <c r="D417" s="2" t="s">
        <v>656</v>
      </c>
      <c r="E417" s="2" t="s">
        <v>596</v>
      </c>
      <c r="F417" s="2" t="s">
        <v>596</v>
      </c>
      <c r="G417" s="2" t="str">
        <f t="shared" si="41"/>
        <v>04.5.5</v>
      </c>
      <c r="H417" s="83" t="s">
        <v>881</v>
      </c>
      <c r="I417" s="83" t="str">
        <f t="shared" si="39"/>
        <v>0455</v>
      </c>
      <c r="J417" s="2" t="s">
        <v>882</v>
      </c>
      <c r="K417" s="120" t="str">
        <f>IFERROR(VLOOKUP(H417,'Bridge matrix'!$A$3:$E$731,3,FALSE),"no")</f>
        <v xml:space="preserve">ENERGÍA CALÓRICA </v>
      </c>
      <c r="L417" s="120" t="str">
        <f t="shared" si="37"/>
        <v xml:space="preserve">ENERGÍA CALÓRICA </v>
      </c>
      <c r="M417" s="120" t="str">
        <f t="shared" si="38"/>
        <v xml:space="preserve">ENERGÍA CALÓRICA </v>
      </c>
      <c r="N417" s="120" t="str">
        <f t="shared" si="40"/>
        <v xml:space="preserve">ENERGÍA CALÓRICA </v>
      </c>
      <c r="O417" s="2" t="e">
        <f>VLOOKUP(N417,'Bridge matrix'!$D$3:$E$731,2,FALSE)</f>
        <v>#N/A</v>
      </c>
    </row>
    <row r="418" spans="1:15" x14ac:dyDescent="0.25">
      <c r="A418" s="2" t="s">
        <v>592</v>
      </c>
      <c r="B418" s="2" t="s">
        <v>784</v>
      </c>
      <c r="C418" s="2" t="s">
        <v>656</v>
      </c>
      <c r="D418" s="2" t="s">
        <v>656</v>
      </c>
      <c r="E418" s="2" t="s">
        <v>602</v>
      </c>
      <c r="F418" s="2" t="s">
        <v>596</v>
      </c>
      <c r="G418" s="2" t="str">
        <f t="shared" si="41"/>
        <v>04.5.5.000</v>
      </c>
      <c r="H418" s="83" t="s">
        <v>883</v>
      </c>
      <c r="I418" s="83" t="str">
        <f t="shared" si="39"/>
        <v>0455000</v>
      </c>
      <c r="J418" s="2" t="s">
        <v>884</v>
      </c>
      <c r="K418" s="120" t="str">
        <f>IFERROR(VLOOKUP(H418,'Bridge matrix'!$A$3:$E$731,3,FALSE),"no")</f>
        <v>no</v>
      </c>
      <c r="L418" s="120" t="str">
        <f t="shared" si="37"/>
        <v>no</v>
      </c>
      <c r="M418" s="120" t="str">
        <f t="shared" si="38"/>
        <v xml:space="preserve">ENERGÍA CALÓRICA </v>
      </c>
      <c r="N418" s="120" t="str">
        <f t="shared" si="40"/>
        <v xml:space="preserve">ENERGÍA CALÓRICA </v>
      </c>
      <c r="O418" s="2" t="e">
        <f>VLOOKUP(N418,'Bridge matrix'!$D$3:$E$731,2,FALSE)</f>
        <v>#N/A</v>
      </c>
    </row>
    <row r="419" spans="1:15" x14ac:dyDescent="0.25">
      <c r="A419" s="2" t="s">
        <v>593</v>
      </c>
      <c r="B419" s="2" t="s">
        <v>784</v>
      </c>
      <c r="C419" s="2" t="s">
        <v>656</v>
      </c>
      <c r="D419" s="2" t="s">
        <v>656</v>
      </c>
      <c r="E419" s="2" t="s">
        <v>596</v>
      </c>
      <c r="F419" s="2" t="s">
        <v>835</v>
      </c>
      <c r="G419" s="2" t="str">
        <f t="shared" si="41"/>
        <v>04.5.5.001</v>
      </c>
      <c r="H419" s="83" t="s">
        <v>885</v>
      </c>
      <c r="I419" s="83" t="str">
        <f t="shared" si="39"/>
        <v>0455001</v>
      </c>
      <c r="J419" s="2" t="s">
        <v>886</v>
      </c>
      <c r="K419" s="120" t="str">
        <f>IFERROR(VLOOKUP(H419,'Bridge matrix'!$A$3:$E$731,3,FALSE),"no")</f>
        <v>no</v>
      </c>
      <c r="L419" s="120" t="str">
        <f t="shared" si="37"/>
        <v>no</v>
      </c>
      <c r="M419" s="120" t="str">
        <f t="shared" si="38"/>
        <v xml:space="preserve">ENERGÍA CALÓRICA </v>
      </c>
      <c r="N419" s="120" t="str">
        <f t="shared" si="40"/>
        <v xml:space="preserve">ENERGÍA CALÓRICA </v>
      </c>
      <c r="O419" s="2" t="e">
        <f>VLOOKUP(N419,'Bridge matrix'!$D$3:$E$731,2,FALSE)</f>
        <v>#N/A</v>
      </c>
    </row>
    <row r="420" spans="1:15" x14ac:dyDescent="0.25">
      <c r="A420" s="2" t="s">
        <v>593</v>
      </c>
      <c r="B420" s="2" t="s">
        <v>784</v>
      </c>
      <c r="C420" s="2" t="s">
        <v>656</v>
      </c>
      <c r="D420" s="2" t="s">
        <v>656</v>
      </c>
      <c r="E420" s="2" t="s">
        <v>596</v>
      </c>
      <c r="F420" s="2" t="s">
        <v>838</v>
      </c>
      <c r="G420" s="2" t="str">
        <f t="shared" si="41"/>
        <v>04.5.5.002</v>
      </c>
      <c r="H420" s="83" t="s">
        <v>887</v>
      </c>
      <c r="I420" s="83" t="str">
        <f t="shared" si="39"/>
        <v>0455002</v>
      </c>
      <c r="J420" s="2" t="s">
        <v>888</v>
      </c>
      <c r="K420" s="120" t="str">
        <f>IFERROR(VLOOKUP(H420,'Bridge matrix'!$A$3:$E$731,3,FALSE),"no")</f>
        <v>no</v>
      </c>
      <c r="L420" s="120" t="str">
        <f t="shared" si="37"/>
        <v>no</v>
      </c>
      <c r="M420" s="120" t="str">
        <f t="shared" si="38"/>
        <v xml:space="preserve">ENERGÍA CALÓRICA </v>
      </c>
      <c r="N420" s="120" t="str">
        <f t="shared" si="40"/>
        <v xml:space="preserve">ENERGÍA CALÓRICA </v>
      </c>
      <c r="O420" s="2" t="e">
        <f>VLOOKUP(N420,'Bridge matrix'!$D$3:$E$731,2,FALSE)</f>
        <v>#N/A</v>
      </c>
    </row>
    <row r="421" spans="1:15" x14ac:dyDescent="0.25">
      <c r="A421" s="2" t="s">
        <v>593</v>
      </c>
      <c r="B421" s="2" t="s">
        <v>784</v>
      </c>
      <c r="C421" s="2" t="s">
        <v>656</v>
      </c>
      <c r="D421" s="2" t="s">
        <v>656</v>
      </c>
      <c r="E421" s="2" t="s">
        <v>596</v>
      </c>
      <c r="F421" s="2" t="s">
        <v>849</v>
      </c>
      <c r="G421" s="2" t="str">
        <f t="shared" si="41"/>
        <v>04.5.5.003</v>
      </c>
      <c r="H421" s="83" t="s">
        <v>889</v>
      </c>
      <c r="I421" s="83" t="str">
        <f t="shared" si="39"/>
        <v>0455003</v>
      </c>
      <c r="J421" s="2" t="s">
        <v>890</v>
      </c>
      <c r="K421" s="120" t="str">
        <f>IFERROR(VLOOKUP(H421,'Bridge matrix'!$A$3:$E$731,3,FALSE),"no")</f>
        <v>no</v>
      </c>
      <c r="L421" s="120" t="str">
        <f t="shared" si="37"/>
        <v>no</v>
      </c>
      <c r="M421" s="120" t="str">
        <f t="shared" si="38"/>
        <v xml:space="preserve">ENERGÍA CALÓRICA </v>
      </c>
      <c r="N421" s="120" t="str">
        <f t="shared" si="40"/>
        <v xml:space="preserve">ENERGÍA CALÓRICA </v>
      </c>
      <c r="O421" s="2" t="e">
        <f>VLOOKUP(N421,'Bridge matrix'!$D$3:$E$731,2,FALSE)</f>
        <v>#N/A</v>
      </c>
    </row>
    <row r="422" spans="1:15" x14ac:dyDescent="0.25">
      <c r="A422" s="2" t="s">
        <v>593</v>
      </c>
      <c r="B422" s="2" t="s">
        <v>784</v>
      </c>
      <c r="C422" s="2" t="s">
        <v>656</v>
      </c>
      <c r="D422" s="2" t="s">
        <v>656</v>
      </c>
      <c r="E422" s="2" t="s">
        <v>596</v>
      </c>
      <c r="F422" s="2" t="s">
        <v>874</v>
      </c>
      <c r="G422" s="2" t="str">
        <f t="shared" si="41"/>
        <v>04.5.5.004</v>
      </c>
      <c r="H422" s="83" t="s">
        <v>891</v>
      </c>
      <c r="I422" s="83" t="str">
        <f t="shared" si="39"/>
        <v>0455004</v>
      </c>
      <c r="J422" s="2" t="s">
        <v>892</v>
      </c>
      <c r="K422" s="120" t="str">
        <f>IFERROR(VLOOKUP(H422,'Bridge matrix'!$A$3:$E$731,3,FALSE),"no")</f>
        <v>no</v>
      </c>
      <c r="L422" s="120" t="str">
        <f t="shared" si="37"/>
        <v>no</v>
      </c>
      <c r="M422" s="120" t="str">
        <f t="shared" si="38"/>
        <v xml:space="preserve">ENERGÍA CALÓRICA </v>
      </c>
      <c r="N422" s="120" t="str">
        <f t="shared" si="40"/>
        <v xml:space="preserve">ENERGÍA CALÓRICA </v>
      </c>
      <c r="O422" s="2" t="e">
        <f>VLOOKUP(N422,'Bridge matrix'!$D$3:$E$731,2,FALSE)</f>
        <v>#N/A</v>
      </c>
    </row>
    <row r="423" spans="1:15" x14ac:dyDescent="0.25">
      <c r="A423" s="2" t="s">
        <v>589</v>
      </c>
      <c r="B423" s="2" t="s">
        <v>893</v>
      </c>
      <c r="C423" s="2" t="s">
        <v>596</v>
      </c>
      <c r="D423" s="2" t="s">
        <v>596</v>
      </c>
      <c r="E423" s="2" t="s">
        <v>596</v>
      </c>
      <c r="F423" s="2" t="s">
        <v>596</v>
      </c>
      <c r="G423" s="2" t="str">
        <f t="shared" si="41"/>
        <v>05</v>
      </c>
      <c r="H423" s="83" t="s">
        <v>893</v>
      </c>
      <c r="I423" s="83" t="str">
        <f t="shared" si="39"/>
        <v>05</v>
      </c>
      <c r="J423" s="2" t="s">
        <v>894</v>
      </c>
      <c r="K423" s="120" t="str">
        <f>IFERROR(VLOOKUP(H423,'Bridge matrix'!$A$3:$E$731,3,FALSE),"no")</f>
        <v>no</v>
      </c>
      <c r="L423" s="120" t="str">
        <f t="shared" si="37"/>
        <v>ll</v>
      </c>
      <c r="M423" s="120" t="str">
        <f t="shared" si="38"/>
        <v>ll</v>
      </c>
      <c r="N423" s="120" t="str">
        <f t="shared" si="40"/>
        <v>ll</v>
      </c>
      <c r="O423" s="2" t="str">
        <f>VLOOKUP(N423,'Bridge matrix'!$D$3:$E$731,2,FALSE)</f>
        <v>matched on SC/SSC level</v>
      </c>
    </row>
    <row r="424" spans="1:15" x14ac:dyDescent="0.25">
      <c r="A424" s="2" t="s">
        <v>590</v>
      </c>
      <c r="B424" s="2" t="s">
        <v>893</v>
      </c>
      <c r="C424" s="2" t="s">
        <v>598</v>
      </c>
      <c r="D424" s="2" t="s">
        <v>596</v>
      </c>
      <c r="E424" s="2" t="s">
        <v>596</v>
      </c>
      <c r="F424" s="2" t="s">
        <v>596</v>
      </c>
      <c r="G424" s="2" t="str">
        <f t="shared" si="41"/>
        <v>05.1</v>
      </c>
      <c r="H424" s="83" t="s">
        <v>895</v>
      </c>
      <c r="I424" s="83" t="str">
        <f t="shared" si="39"/>
        <v>051</v>
      </c>
      <c r="J424" s="2" t="s">
        <v>896</v>
      </c>
      <c r="K424" s="120" t="str">
        <f>IFERROR(VLOOKUP(H424,'Bridge matrix'!$A$3:$E$731,3,FALSE),"no")</f>
        <v>no</v>
      </c>
      <c r="L424" s="120" t="str">
        <f t="shared" si="37"/>
        <v>ll</v>
      </c>
      <c r="M424" s="120" t="str">
        <f t="shared" si="38"/>
        <v>ll</v>
      </c>
      <c r="N424" s="120" t="str">
        <f t="shared" si="40"/>
        <v>ll</v>
      </c>
      <c r="O424" s="2" t="str">
        <f>VLOOKUP(N424,'Bridge matrix'!$D$3:$E$731,2,FALSE)</f>
        <v>matched on SC/SSC level</v>
      </c>
    </row>
    <row r="425" spans="1:15" x14ac:dyDescent="0.25">
      <c r="A425" s="2" t="s">
        <v>591</v>
      </c>
      <c r="B425" s="2" t="s">
        <v>893</v>
      </c>
      <c r="C425" s="2" t="s">
        <v>598</v>
      </c>
      <c r="D425" s="2" t="s">
        <v>598</v>
      </c>
      <c r="E425" s="2" t="s">
        <v>596</v>
      </c>
      <c r="F425" s="2" t="s">
        <v>596</v>
      </c>
      <c r="G425" s="2" t="str">
        <f t="shared" si="41"/>
        <v>05.1.1</v>
      </c>
      <c r="H425" s="83" t="s">
        <v>897</v>
      </c>
      <c r="I425" s="83" t="str">
        <f t="shared" si="39"/>
        <v>0511</v>
      </c>
      <c r="J425" s="2" t="s">
        <v>898</v>
      </c>
      <c r="K425" s="120" t="str">
        <f>IFERROR(VLOOKUP(H425,'Bridge matrix'!$A$3:$E$731,3,FALSE),"no")</f>
        <v xml:space="preserve">MUEBLES Y ACCESORIOS </v>
      </c>
      <c r="L425" s="120" t="str">
        <f t="shared" si="37"/>
        <v xml:space="preserve">MUEBLES Y ACCESORIOS </v>
      </c>
      <c r="M425" s="120" t="str">
        <f t="shared" si="38"/>
        <v xml:space="preserve">MUEBLES Y ACCESORIOS </v>
      </c>
      <c r="N425" s="120" t="str">
        <f t="shared" si="40"/>
        <v xml:space="preserve">MUEBLES Y ACCESORIOS </v>
      </c>
      <c r="O425" s="2" t="e">
        <f>VLOOKUP(N425,'Bridge matrix'!$D$3:$E$731,2,FALSE)</f>
        <v>#N/A</v>
      </c>
    </row>
    <row r="426" spans="1:15" x14ac:dyDescent="0.25">
      <c r="A426" s="2" t="s">
        <v>592</v>
      </c>
      <c r="B426" s="2" t="s">
        <v>893</v>
      </c>
      <c r="C426" s="2" t="s">
        <v>598</v>
      </c>
      <c r="D426" s="2" t="s">
        <v>598</v>
      </c>
      <c r="E426" s="2" t="s">
        <v>602</v>
      </c>
      <c r="F426" s="2" t="s">
        <v>596</v>
      </c>
      <c r="G426" s="2" t="str">
        <f t="shared" si="41"/>
        <v>05.1.1.000</v>
      </c>
      <c r="H426" s="83" t="s">
        <v>899</v>
      </c>
      <c r="I426" s="83" t="str">
        <f t="shared" si="39"/>
        <v>0511000</v>
      </c>
      <c r="J426" s="2" t="s">
        <v>900</v>
      </c>
      <c r="K426" s="120" t="str">
        <f>IFERROR(VLOOKUP(H426,'Bridge matrix'!$A$3:$E$731,3,FALSE),"no")</f>
        <v>no</v>
      </c>
      <c r="L426" s="120" t="str">
        <f t="shared" si="37"/>
        <v>no</v>
      </c>
      <c r="M426" s="120" t="str">
        <f t="shared" si="38"/>
        <v xml:space="preserve">MUEBLES Y ACCESORIOS </v>
      </c>
      <c r="N426" s="120" t="str">
        <f t="shared" si="40"/>
        <v xml:space="preserve">MUEBLES Y ACCESORIOS </v>
      </c>
      <c r="O426" s="2" t="e">
        <f>VLOOKUP(N426,'Bridge matrix'!$D$3:$E$731,2,FALSE)</f>
        <v>#N/A</v>
      </c>
    </row>
    <row r="427" spans="1:15" x14ac:dyDescent="0.25">
      <c r="A427" s="2" t="s">
        <v>592</v>
      </c>
      <c r="B427" s="2" t="s">
        <v>893</v>
      </c>
      <c r="C427" s="2" t="s">
        <v>598</v>
      </c>
      <c r="D427" s="2" t="s">
        <v>598</v>
      </c>
      <c r="E427" s="2" t="s">
        <v>605</v>
      </c>
      <c r="F427" s="2" t="s">
        <v>596</v>
      </c>
      <c r="G427" s="2" t="str">
        <f t="shared" si="41"/>
        <v>05.1.1.100</v>
      </c>
      <c r="H427" s="83" t="s">
        <v>901</v>
      </c>
      <c r="I427" s="83" t="str">
        <f t="shared" si="39"/>
        <v>0511100</v>
      </c>
      <c r="J427" s="2" t="s">
        <v>902</v>
      </c>
      <c r="K427" s="120" t="str">
        <f>IFERROR(VLOOKUP(H427,'Bridge matrix'!$A$3:$E$731,3,FALSE),"no")</f>
        <v>no</v>
      </c>
      <c r="L427" s="120" t="str">
        <f t="shared" si="37"/>
        <v>no</v>
      </c>
      <c r="M427" s="120" t="str">
        <f t="shared" si="38"/>
        <v xml:space="preserve">MUEBLES Y ACCESORIOS </v>
      </c>
      <c r="N427" s="120" t="str">
        <f t="shared" si="40"/>
        <v xml:space="preserve">MUEBLES Y ACCESORIOS </v>
      </c>
      <c r="O427" s="2" t="e">
        <f>VLOOKUP(N427,'Bridge matrix'!$D$3:$E$731,2,FALSE)</f>
        <v>#N/A</v>
      </c>
    </row>
    <row r="428" spans="1:15" x14ac:dyDescent="0.25">
      <c r="A428" s="2" t="s">
        <v>592</v>
      </c>
      <c r="B428" s="2" t="s">
        <v>893</v>
      </c>
      <c r="C428" s="2" t="s">
        <v>598</v>
      </c>
      <c r="D428" s="2" t="s">
        <v>598</v>
      </c>
      <c r="E428" s="2" t="s">
        <v>608</v>
      </c>
      <c r="F428" s="2" t="s">
        <v>596</v>
      </c>
      <c r="G428" s="2" t="str">
        <f t="shared" si="41"/>
        <v>05.1.1.200</v>
      </c>
      <c r="H428" s="83" t="s">
        <v>903</v>
      </c>
      <c r="I428" s="83" t="str">
        <f t="shared" si="39"/>
        <v>0511200</v>
      </c>
      <c r="J428" s="2" t="s">
        <v>904</v>
      </c>
      <c r="K428" s="120" t="str">
        <f>IFERROR(VLOOKUP(H428,'Bridge matrix'!$A$3:$E$731,3,FALSE),"no")</f>
        <v>no</v>
      </c>
      <c r="L428" s="120" t="str">
        <f t="shared" si="37"/>
        <v>no</v>
      </c>
      <c r="M428" s="120" t="str">
        <f t="shared" si="38"/>
        <v xml:space="preserve">MUEBLES Y ACCESORIOS </v>
      </c>
      <c r="N428" s="120" t="str">
        <f t="shared" si="40"/>
        <v xml:space="preserve">MUEBLES Y ACCESORIOS </v>
      </c>
      <c r="O428" s="2" t="e">
        <f>VLOOKUP(N428,'Bridge matrix'!$D$3:$E$731,2,FALSE)</f>
        <v>#N/A</v>
      </c>
    </row>
    <row r="429" spans="1:15" x14ac:dyDescent="0.25">
      <c r="A429" s="2" t="s">
        <v>592</v>
      </c>
      <c r="B429" s="2" t="s">
        <v>893</v>
      </c>
      <c r="C429" s="2" t="s">
        <v>598</v>
      </c>
      <c r="D429" s="2" t="s">
        <v>598</v>
      </c>
      <c r="E429" s="2" t="s">
        <v>611</v>
      </c>
      <c r="F429" s="2" t="s">
        <v>596</v>
      </c>
      <c r="G429" s="2" t="str">
        <f t="shared" si="41"/>
        <v>05.1.1.300</v>
      </c>
      <c r="H429" s="83" t="s">
        <v>905</v>
      </c>
      <c r="I429" s="83" t="str">
        <f t="shared" si="39"/>
        <v>0511300</v>
      </c>
      <c r="J429" s="2" t="s">
        <v>906</v>
      </c>
      <c r="K429" s="120" t="str">
        <f>IFERROR(VLOOKUP(H429,'Bridge matrix'!$A$3:$E$731,3,FALSE),"no")</f>
        <v>no</v>
      </c>
      <c r="L429" s="120" t="str">
        <f t="shared" si="37"/>
        <v>no</v>
      </c>
      <c r="M429" s="120" t="str">
        <f t="shared" si="38"/>
        <v xml:space="preserve">MUEBLES Y ACCESORIOS </v>
      </c>
      <c r="N429" s="120" t="str">
        <f t="shared" si="40"/>
        <v xml:space="preserve">MUEBLES Y ACCESORIOS </v>
      </c>
      <c r="O429" s="2" t="e">
        <f>VLOOKUP(N429,'Bridge matrix'!$D$3:$E$731,2,FALSE)</f>
        <v>#N/A</v>
      </c>
    </row>
    <row r="430" spans="1:15" x14ac:dyDescent="0.25">
      <c r="A430" s="2" t="s">
        <v>592</v>
      </c>
      <c r="B430" s="2" t="s">
        <v>893</v>
      </c>
      <c r="C430" s="2" t="s">
        <v>598</v>
      </c>
      <c r="D430" s="2" t="s">
        <v>598</v>
      </c>
      <c r="E430" s="2" t="s">
        <v>614</v>
      </c>
      <c r="F430" s="2" t="s">
        <v>596</v>
      </c>
      <c r="G430" s="2" t="str">
        <f t="shared" si="41"/>
        <v>05.1.1.400</v>
      </c>
      <c r="H430" s="83" t="s">
        <v>907</v>
      </c>
      <c r="I430" s="83" t="str">
        <f t="shared" si="39"/>
        <v>0511400</v>
      </c>
      <c r="J430" s="2" t="s">
        <v>908</v>
      </c>
      <c r="K430" s="120" t="str">
        <f>IFERROR(VLOOKUP(H430,'Bridge matrix'!$A$3:$E$731,3,FALSE),"no")</f>
        <v>no</v>
      </c>
      <c r="L430" s="120" t="str">
        <f t="shared" si="37"/>
        <v>no</v>
      </c>
      <c r="M430" s="120" t="str">
        <f t="shared" si="38"/>
        <v xml:space="preserve">MUEBLES Y ACCESORIOS </v>
      </c>
      <c r="N430" s="120" t="str">
        <f t="shared" si="40"/>
        <v xml:space="preserve">MUEBLES Y ACCESORIOS </v>
      </c>
      <c r="O430" s="2" t="e">
        <f>VLOOKUP(N430,'Bridge matrix'!$D$3:$E$731,2,FALSE)</f>
        <v>#N/A</v>
      </c>
    </row>
    <row r="431" spans="1:15" x14ac:dyDescent="0.25">
      <c r="A431" s="2" t="s">
        <v>592</v>
      </c>
      <c r="B431" s="2" t="s">
        <v>893</v>
      </c>
      <c r="C431" s="2" t="s">
        <v>598</v>
      </c>
      <c r="D431" s="2" t="s">
        <v>598</v>
      </c>
      <c r="E431" s="2" t="s">
        <v>617</v>
      </c>
      <c r="F431" s="2" t="s">
        <v>596</v>
      </c>
      <c r="G431" s="2" t="str">
        <f t="shared" si="41"/>
        <v>05.1.1.500</v>
      </c>
      <c r="H431" s="83" t="s">
        <v>909</v>
      </c>
      <c r="I431" s="83" t="str">
        <f t="shared" si="39"/>
        <v>0511500</v>
      </c>
      <c r="J431" s="2" t="s">
        <v>910</v>
      </c>
      <c r="K431" s="120" t="str">
        <f>IFERROR(VLOOKUP(H431,'Bridge matrix'!$A$3:$E$731,3,FALSE),"no")</f>
        <v>no</v>
      </c>
      <c r="L431" s="120" t="str">
        <f t="shared" si="37"/>
        <v>no</v>
      </c>
      <c r="M431" s="120" t="str">
        <f t="shared" si="38"/>
        <v xml:space="preserve">MUEBLES Y ACCESORIOS </v>
      </c>
      <c r="N431" s="120" t="str">
        <f t="shared" si="40"/>
        <v xml:space="preserve">MUEBLES Y ACCESORIOS </v>
      </c>
      <c r="O431" s="2" t="e">
        <f>VLOOKUP(N431,'Bridge matrix'!$D$3:$E$731,2,FALSE)</f>
        <v>#N/A</v>
      </c>
    </row>
    <row r="432" spans="1:15" x14ac:dyDescent="0.25">
      <c r="A432" s="2" t="s">
        <v>592</v>
      </c>
      <c r="B432" s="2" t="s">
        <v>893</v>
      </c>
      <c r="C432" s="2" t="s">
        <v>598</v>
      </c>
      <c r="D432" s="2" t="s">
        <v>598</v>
      </c>
      <c r="E432" s="2" t="s">
        <v>911</v>
      </c>
      <c r="F432" s="2" t="s">
        <v>596</v>
      </c>
      <c r="G432" s="2" t="str">
        <f t="shared" si="41"/>
        <v>05.1.1.600</v>
      </c>
      <c r="H432" s="83" t="s">
        <v>912</v>
      </c>
      <c r="I432" s="83" t="str">
        <f t="shared" si="39"/>
        <v>0511600</v>
      </c>
      <c r="J432" s="2" t="s">
        <v>913</v>
      </c>
      <c r="K432" s="120" t="str">
        <f>IFERROR(VLOOKUP(H432,'Bridge matrix'!$A$3:$E$731,3,FALSE),"no")</f>
        <v>no</v>
      </c>
      <c r="L432" s="120" t="str">
        <f t="shared" si="37"/>
        <v>no</v>
      </c>
      <c r="M432" s="120" t="str">
        <f t="shared" si="38"/>
        <v xml:space="preserve">MUEBLES Y ACCESORIOS </v>
      </c>
      <c r="N432" s="120" t="str">
        <f t="shared" si="40"/>
        <v xml:space="preserve">MUEBLES Y ACCESORIOS </v>
      </c>
      <c r="O432" s="2" t="e">
        <f>VLOOKUP(N432,'Bridge matrix'!$D$3:$E$731,2,FALSE)</f>
        <v>#N/A</v>
      </c>
    </row>
    <row r="433" spans="1:15" x14ac:dyDescent="0.25">
      <c r="A433" s="2" t="s">
        <v>591</v>
      </c>
      <c r="B433" s="2" t="s">
        <v>893</v>
      </c>
      <c r="C433" s="2" t="s">
        <v>598</v>
      </c>
      <c r="D433" s="2" t="s">
        <v>619</v>
      </c>
      <c r="E433" s="2" t="s">
        <v>596</v>
      </c>
      <c r="F433" s="2" t="s">
        <v>596</v>
      </c>
      <c r="G433" s="2" t="str">
        <f t="shared" si="41"/>
        <v>05.1.2</v>
      </c>
      <c r="H433" s="83" t="s">
        <v>914</v>
      </c>
      <c r="I433" s="83" t="str">
        <f t="shared" si="39"/>
        <v>0512</v>
      </c>
      <c r="J433" s="2" t="s">
        <v>915</v>
      </c>
      <c r="K433" s="120" t="str">
        <f>IFERROR(VLOOKUP(H433,'Bridge matrix'!$A$3:$E$731,3,FALSE),"no")</f>
        <v xml:space="preserve">ALFOMBRAS Y OTROS MATERIALES PARA PISOS </v>
      </c>
      <c r="L433" s="120" t="str">
        <f t="shared" si="37"/>
        <v xml:space="preserve">ALFOMBRAS Y OTROS MATERIALES PARA PISOS </v>
      </c>
      <c r="M433" s="120" t="str">
        <f t="shared" si="38"/>
        <v xml:space="preserve">ALFOMBRAS Y OTROS MATERIALES PARA PISOS </v>
      </c>
      <c r="N433" s="120" t="str">
        <f t="shared" si="40"/>
        <v xml:space="preserve">ALFOMBRAS Y OTROS MATERIALES PARA PISOS </v>
      </c>
      <c r="O433" s="2" t="e">
        <f>VLOOKUP(N433,'Bridge matrix'!$D$3:$E$731,2,FALSE)</f>
        <v>#N/A</v>
      </c>
    </row>
    <row r="434" spans="1:15" x14ac:dyDescent="0.25">
      <c r="A434" s="2" t="s">
        <v>592</v>
      </c>
      <c r="B434" s="2" t="s">
        <v>893</v>
      </c>
      <c r="C434" s="2" t="s">
        <v>598</v>
      </c>
      <c r="D434" s="2" t="s">
        <v>619</v>
      </c>
      <c r="E434" s="2" t="s">
        <v>602</v>
      </c>
      <c r="F434" s="2" t="s">
        <v>596</v>
      </c>
      <c r="G434" s="2" t="str">
        <f t="shared" si="41"/>
        <v>05.1.2.000</v>
      </c>
      <c r="H434" s="83" t="s">
        <v>916</v>
      </c>
      <c r="I434" s="83" t="str">
        <f t="shared" si="39"/>
        <v>0512000</v>
      </c>
      <c r="J434" s="2" t="s">
        <v>917</v>
      </c>
      <c r="K434" s="120" t="str">
        <f>IFERROR(VLOOKUP(H434,'Bridge matrix'!$A$3:$E$731,3,FALSE),"no")</f>
        <v>no</v>
      </c>
      <c r="L434" s="120" t="str">
        <f t="shared" si="37"/>
        <v>no</v>
      </c>
      <c r="M434" s="120" t="str">
        <f t="shared" si="38"/>
        <v xml:space="preserve">ALFOMBRAS Y OTROS MATERIALES PARA PISOS </v>
      </c>
      <c r="N434" s="120" t="str">
        <f t="shared" si="40"/>
        <v xml:space="preserve">ALFOMBRAS Y OTROS MATERIALES PARA PISOS </v>
      </c>
      <c r="O434" s="2" t="e">
        <f>VLOOKUP(N434,'Bridge matrix'!$D$3:$E$731,2,FALSE)</f>
        <v>#N/A</v>
      </c>
    </row>
    <row r="435" spans="1:15" x14ac:dyDescent="0.25">
      <c r="A435" s="2" t="s">
        <v>591</v>
      </c>
      <c r="B435" s="2" t="s">
        <v>893</v>
      </c>
      <c r="C435" s="2" t="s">
        <v>598</v>
      </c>
      <c r="D435" s="2" t="s">
        <v>633</v>
      </c>
      <c r="E435" s="2" t="s">
        <v>596</v>
      </c>
      <c r="F435" s="2" t="s">
        <v>596</v>
      </c>
      <c r="G435" s="2" t="str">
        <f t="shared" si="41"/>
        <v>05.1.3</v>
      </c>
      <c r="H435" s="83" t="s">
        <v>918</v>
      </c>
      <c r="I435" s="83" t="str">
        <f t="shared" si="39"/>
        <v>0513</v>
      </c>
      <c r="J435" s="2" t="s">
        <v>919</v>
      </c>
      <c r="K435" s="120" t="str">
        <f>IFERROR(VLOOKUP(H435,'Bridge matrix'!$A$3:$E$731,3,FALSE),"no")</f>
        <v>REPARACIÓN DE MUEBLES, ACCESORIOS Y MATERIALES PARA PISOS</v>
      </c>
      <c r="L435" s="120" t="str">
        <f t="shared" si="37"/>
        <v>REPARACIÓN DE MUEBLES, ACCESORIOS Y MATERIALES PARA PISOS</v>
      </c>
      <c r="M435" s="120" t="str">
        <f t="shared" si="38"/>
        <v>REPARACIÓN DE MUEBLES, ACCESORIOS Y MATERIALES PARA PISOS</v>
      </c>
      <c r="N435" s="120" t="str">
        <f t="shared" si="40"/>
        <v>REPARACIÓN DE MUEBLES, ACCESORIOS Y MATERIALES PARA PISOS</v>
      </c>
      <c r="O435" s="2" t="e">
        <f>VLOOKUP(N435,'Bridge matrix'!$D$3:$E$731,2,FALSE)</f>
        <v>#N/A</v>
      </c>
    </row>
    <row r="436" spans="1:15" x14ac:dyDescent="0.25">
      <c r="A436" s="2" t="s">
        <v>592</v>
      </c>
      <c r="B436" s="2" t="s">
        <v>893</v>
      </c>
      <c r="C436" s="2" t="s">
        <v>598</v>
      </c>
      <c r="D436" s="2" t="s">
        <v>633</v>
      </c>
      <c r="E436" s="2" t="s">
        <v>602</v>
      </c>
      <c r="F436" s="2" t="s">
        <v>596</v>
      </c>
      <c r="G436" s="2" t="str">
        <f t="shared" si="41"/>
        <v>05.1.3.000</v>
      </c>
      <c r="H436" s="83" t="s">
        <v>920</v>
      </c>
      <c r="I436" s="83" t="str">
        <f t="shared" si="39"/>
        <v>0513000</v>
      </c>
      <c r="J436" s="2" t="s">
        <v>921</v>
      </c>
      <c r="K436" s="120" t="str">
        <f>IFERROR(VLOOKUP(H436,'Bridge matrix'!$A$3:$E$731,3,FALSE),"no")</f>
        <v>no</v>
      </c>
      <c r="L436" s="120" t="str">
        <f t="shared" si="37"/>
        <v>no</v>
      </c>
      <c r="M436" s="120" t="str">
        <f t="shared" si="38"/>
        <v>REPARACIÓN DE MUEBLES, ACCESORIOS Y MATERIALES PARA PISOS</v>
      </c>
      <c r="N436" s="120" t="str">
        <f t="shared" si="40"/>
        <v>REPARACIÓN DE MUEBLES, ACCESORIOS Y MATERIALES PARA PISOS</v>
      </c>
      <c r="O436" s="2" t="e">
        <f>VLOOKUP(N436,'Bridge matrix'!$D$3:$E$731,2,FALSE)</f>
        <v>#N/A</v>
      </c>
    </row>
    <row r="437" spans="1:15" ht="15" customHeight="1" x14ac:dyDescent="0.25">
      <c r="A437" s="2" t="s">
        <v>591</v>
      </c>
      <c r="B437" s="2" t="s">
        <v>893</v>
      </c>
      <c r="C437" s="2" t="s">
        <v>598</v>
      </c>
      <c r="D437" s="2" t="s">
        <v>643</v>
      </c>
      <c r="E437" s="2" t="s">
        <v>596</v>
      </c>
      <c r="F437" s="2" t="s">
        <v>596</v>
      </c>
      <c r="G437" s="2" t="str">
        <f t="shared" si="41"/>
        <v>05.1.4</v>
      </c>
      <c r="H437" s="83" t="s">
        <v>922</v>
      </c>
      <c r="I437" s="83" t="str">
        <f t="shared" si="39"/>
        <v>0514</v>
      </c>
      <c r="J437" s="118" t="s">
        <v>923</v>
      </c>
      <c r="K437" s="120" t="str">
        <f>IFERROR(VLOOKUP(H437,'Bridge matrix'!$A$3:$E$731,3,FALSE),"no")</f>
        <v>ELABORACIÓN O FABRICACIÓN DE MUEBLES Y ACCESORIOS BAJO PEDIDO</v>
      </c>
      <c r="L437" s="120" t="str">
        <f t="shared" si="37"/>
        <v>ELABORACIÓN O FABRICACIÓN DE MUEBLES Y ACCESORIOS BAJO PEDIDO</v>
      </c>
      <c r="M437" s="120" t="str">
        <f t="shared" si="38"/>
        <v>ELABORACIÓN O FABRICACIÓN DE MUEBLES Y ACCESORIOS BAJO PEDIDO</v>
      </c>
      <c r="N437" s="120" t="str">
        <f t="shared" si="40"/>
        <v>ELABORACIÓN O FABRICACIÓN DE MUEBLES Y ACCESORIOS BAJO PEDIDO</v>
      </c>
      <c r="O437" s="2" t="e">
        <f>VLOOKUP(N437,'Bridge matrix'!$D$3:$E$731,2,FALSE)</f>
        <v>#N/A</v>
      </c>
    </row>
    <row r="438" spans="1:15" x14ac:dyDescent="0.25">
      <c r="A438" s="2" t="s">
        <v>592</v>
      </c>
      <c r="B438" s="2" t="s">
        <v>893</v>
      </c>
      <c r="C438" s="2" t="s">
        <v>598</v>
      </c>
      <c r="D438" s="2" t="s">
        <v>643</v>
      </c>
      <c r="E438" s="2" t="s">
        <v>602</v>
      </c>
      <c r="F438" s="2" t="s">
        <v>596</v>
      </c>
      <c r="G438" s="2" t="str">
        <f t="shared" si="41"/>
        <v>05.1.4.000</v>
      </c>
      <c r="H438" s="83" t="s">
        <v>924</v>
      </c>
      <c r="I438" s="83" t="str">
        <f t="shared" si="39"/>
        <v>0514000</v>
      </c>
      <c r="J438" s="2" t="s">
        <v>925</v>
      </c>
      <c r="K438" s="120" t="str">
        <f>IFERROR(VLOOKUP(H438,'Bridge matrix'!$A$3:$E$731,3,FALSE),"no")</f>
        <v>no</v>
      </c>
      <c r="L438" s="120" t="str">
        <f t="shared" si="37"/>
        <v>no</v>
      </c>
      <c r="M438" s="120" t="str">
        <f t="shared" si="38"/>
        <v>ELABORACIÓN O FABRICACIÓN DE MUEBLES Y ACCESORIOS BAJO PEDIDO</v>
      </c>
      <c r="N438" s="120" t="str">
        <f t="shared" si="40"/>
        <v>ELABORACIÓN O FABRICACIÓN DE MUEBLES Y ACCESORIOS BAJO PEDIDO</v>
      </c>
      <c r="O438" s="2" t="e">
        <f>VLOOKUP(N438,'Bridge matrix'!$D$3:$E$731,2,FALSE)</f>
        <v>#N/A</v>
      </c>
    </row>
    <row r="439" spans="1:15" x14ac:dyDescent="0.25">
      <c r="A439" s="2" t="s">
        <v>590</v>
      </c>
      <c r="B439" s="2" t="s">
        <v>893</v>
      </c>
      <c r="C439" s="2" t="s">
        <v>619</v>
      </c>
      <c r="D439" s="2" t="s">
        <v>596</v>
      </c>
      <c r="E439" s="2" t="s">
        <v>596</v>
      </c>
      <c r="F439" s="2" t="s">
        <v>596</v>
      </c>
      <c r="G439" s="2" t="str">
        <f t="shared" si="41"/>
        <v>05.2</v>
      </c>
      <c r="H439" s="83" t="s">
        <v>926</v>
      </c>
      <c r="I439" s="83" t="str">
        <f t="shared" si="39"/>
        <v>052</v>
      </c>
      <c r="J439" s="2" t="s">
        <v>927</v>
      </c>
      <c r="K439" s="120" t="str">
        <f>IFERROR(VLOOKUP(H439,'Bridge matrix'!$A$3:$E$731,3,FALSE),"no")</f>
        <v>no</v>
      </c>
      <c r="L439" s="120" t="str">
        <f t="shared" si="37"/>
        <v>ll</v>
      </c>
      <c r="M439" s="120" t="str">
        <f t="shared" si="38"/>
        <v>ll</v>
      </c>
      <c r="N439" s="120" t="str">
        <f t="shared" si="40"/>
        <v>ll</v>
      </c>
      <c r="O439" s="2" t="str">
        <f>VLOOKUP(N439,'Bridge matrix'!$D$3:$E$731,2,FALSE)</f>
        <v>matched on SC/SSC level</v>
      </c>
    </row>
    <row r="440" spans="1:15" x14ac:dyDescent="0.25">
      <c r="A440" s="2" t="s">
        <v>591</v>
      </c>
      <c r="B440" s="2" t="s">
        <v>893</v>
      </c>
      <c r="C440" s="2" t="s">
        <v>619</v>
      </c>
      <c r="D440" s="2" t="s">
        <v>598</v>
      </c>
      <c r="E440" s="2" t="s">
        <v>596</v>
      </c>
      <c r="F440" s="2" t="s">
        <v>596</v>
      </c>
      <c r="G440" s="2" t="str">
        <f t="shared" si="41"/>
        <v>05.2.1</v>
      </c>
      <c r="H440" s="83" t="s">
        <v>928</v>
      </c>
      <c r="I440" s="83" t="str">
        <f t="shared" si="39"/>
        <v>0521</v>
      </c>
      <c r="J440" s="2" t="s">
        <v>927</v>
      </c>
      <c r="K440" s="120" t="str">
        <f>IFERROR(VLOOKUP(H440,'Bridge matrix'!$A$3:$E$731,3,FALSE),"no")</f>
        <v>PRODUCTOS TEXTILES PARA EL HOGAR</v>
      </c>
      <c r="L440" s="120" t="str">
        <f t="shared" si="37"/>
        <v>PRODUCTOS TEXTILES PARA EL HOGAR</v>
      </c>
      <c r="M440" s="120" t="str">
        <f t="shared" si="38"/>
        <v>PRODUCTOS TEXTILES PARA EL HOGAR</v>
      </c>
      <c r="N440" s="120" t="str">
        <f t="shared" si="40"/>
        <v>PRODUCTOS TEXTILES PARA EL HOGAR</v>
      </c>
      <c r="O440" s="2" t="e">
        <f>VLOOKUP(N440,'Bridge matrix'!$D$3:$E$731,2,FALSE)</f>
        <v>#N/A</v>
      </c>
    </row>
    <row r="441" spans="1:15" x14ac:dyDescent="0.25">
      <c r="A441" s="2" t="s">
        <v>592</v>
      </c>
      <c r="B441" s="2" t="s">
        <v>893</v>
      </c>
      <c r="C441" s="2" t="s">
        <v>619</v>
      </c>
      <c r="D441" s="2" t="s">
        <v>598</v>
      </c>
      <c r="E441" s="2" t="s">
        <v>602</v>
      </c>
      <c r="F441" s="2" t="s">
        <v>596</v>
      </c>
      <c r="G441" s="2" t="str">
        <f t="shared" si="41"/>
        <v>05.2.1.000</v>
      </c>
      <c r="H441" s="83" t="s">
        <v>929</v>
      </c>
      <c r="I441" s="83" t="str">
        <f t="shared" si="39"/>
        <v>0521000</v>
      </c>
      <c r="J441" s="2" t="s">
        <v>930</v>
      </c>
      <c r="K441" s="120" t="str">
        <f>IFERROR(VLOOKUP(H441,'Bridge matrix'!$A$3:$E$731,3,FALSE),"no")</f>
        <v>no</v>
      </c>
      <c r="L441" s="120" t="str">
        <f t="shared" si="37"/>
        <v>no</v>
      </c>
      <c r="M441" s="120" t="str">
        <f t="shared" si="38"/>
        <v>PRODUCTOS TEXTILES PARA EL HOGAR</v>
      </c>
      <c r="N441" s="120" t="str">
        <f t="shared" si="40"/>
        <v>PRODUCTOS TEXTILES PARA EL HOGAR</v>
      </c>
      <c r="O441" s="2" t="e">
        <f>VLOOKUP(N441,'Bridge matrix'!$D$3:$E$731,2,FALSE)</f>
        <v>#N/A</v>
      </c>
    </row>
    <row r="442" spans="1:15" x14ac:dyDescent="0.25">
      <c r="A442" s="2" t="s">
        <v>590</v>
      </c>
      <c r="B442" s="2" t="s">
        <v>893</v>
      </c>
      <c r="C442" s="2" t="s">
        <v>633</v>
      </c>
      <c r="E442" s="2" t="s">
        <v>596</v>
      </c>
      <c r="F442" s="2" t="s">
        <v>596</v>
      </c>
      <c r="G442" s="2" t="str">
        <f t="shared" si="41"/>
        <v>05.3</v>
      </c>
      <c r="H442" s="83" t="s">
        <v>2131</v>
      </c>
      <c r="I442" s="83" t="str">
        <f t="shared" si="39"/>
        <v>053</v>
      </c>
      <c r="J442" s="2" t="s">
        <v>931</v>
      </c>
      <c r="K442" s="120" t="str">
        <f>IFERROR(VLOOKUP(H442,'Bridge matrix'!$A$3:$E$731,3,FALSE),"no")</f>
        <v>no</v>
      </c>
      <c r="L442" s="120" t="str">
        <f t="shared" si="37"/>
        <v>ll</v>
      </c>
      <c r="M442" s="120" t="str">
        <f t="shared" si="38"/>
        <v>ll</v>
      </c>
      <c r="N442" s="120" t="str">
        <f t="shared" si="40"/>
        <v>ll</v>
      </c>
      <c r="O442" s="2" t="str">
        <f>VLOOKUP(N442,'Bridge matrix'!$D$3:$E$731,2,FALSE)</f>
        <v>matched on SC/SSC level</v>
      </c>
    </row>
    <row r="443" spans="1:15" x14ac:dyDescent="0.25">
      <c r="A443" s="2" t="s">
        <v>591</v>
      </c>
      <c r="B443" s="2" t="s">
        <v>893</v>
      </c>
      <c r="C443" s="2" t="s">
        <v>633</v>
      </c>
      <c r="D443" s="2" t="s">
        <v>598</v>
      </c>
      <c r="E443" s="2" t="s">
        <v>596</v>
      </c>
      <c r="F443" s="2" t="s">
        <v>596</v>
      </c>
      <c r="G443" s="2" t="str">
        <f t="shared" si="41"/>
        <v>05.3.1</v>
      </c>
      <c r="H443" s="83" t="s">
        <v>932</v>
      </c>
      <c r="I443" s="83" t="str">
        <f t="shared" si="39"/>
        <v>0531</v>
      </c>
      <c r="J443" s="2" t="s">
        <v>933</v>
      </c>
      <c r="K443" s="120" t="str">
        <f>IFERROR(VLOOKUP(H443,'Bridge matrix'!$A$3:$E$731,3,FALSE),"no")</f>
        <v>ARTEFACTOS PARA EL HOGAR GRANDES ELECTRICOS O NO</v>
      </c>
      <c r="L443" s="120" t="str">
        <f t="shared" si="37"/>
        <v>ARTEFACTOS PARA EL HOGAR GRANDES ELECTRICOS O NO</v>
      </c>
      <c r="M443" s="120" t="str">
        <f t="shared" si="38"/>
        <v>ARTEFACTOS PARA EL HOGAR GRANDES ELECTRICOS O NO</v>
      </c>
      <c r="N443" s="120" t="str">
        <f t="shared" si="40"/>
        <v>ARTEFACTOS PARA EL HOGAR GRANDES ELECTRICOS O NO</v>
      </c>
      <c r="O443" s="2" t="e">
        <f>VLOOKUP(N443,'Bridge matrix'!$D$3:$E$731,2,FALSE)</f>
        <v>#N/A</v>
      </c>
    </row>
    <row r="444" spans="1:15" x14ac:dyDescent="0.25">
      <c r="A444" s="2" t="s">
        <v>592</v>
      </c>
      <c r="B444" s="2" t="s">
        <v>893</v>
      </c>
      <c r="C444" s="2" t="s">
        <v>633</v>
      </c>
      <c r="D444" s="2" t="s">
        <v>598</v>
      </c>
      <c r="E444" s="2" t="s">
        <v>602</v>
      </c>
      <c r="F444" s="2" t="s">
        <v>596</v>
      </c>
      <c r="G444" s="2" t="str">
        <f t="shared" si="41"/>
        <v>05.3.1.000</v>
      </c>
      <c r="H444" s="83" t="s">
        <v>934</v>
      </c>
      <c r="I444" s="83" t="str">
        <f t="shared" si="39"/>
        <v>0531000</v>
      </c>
      <c r="J444" s="2" t="s">
        <v>935</v>
      </c>
      <c r="K444" s="120" t="str">
        <f>IFERROR(VLOOKUP(H444,'Bridge matrix'!$A$3:$E$731,3,FALSE),"no")</f>
        <v>no</v>
      </c>
      <c r="L444" s="120" t="str">
        <f t="shared" si="37"/>
        <v>no</v>
      </c>
      <c r="M444" s="120" t="str">
        <f t="shared" si="38"/>
        <v>ARTEFACTOS PARA EL HOGAR GRANDES ELECTRICOS O NO</v>
      </c>
      <c r="N444" s="120" t="str">
        <f t="shared" si="40"/>
        <v>ARTEFACTOS PARA EL HOGAR GRANDES ELECTRICOS O NO</v>
      </c>
      <c r="O444" s="2" t="e">
        <f>VLOOKUP(N444,'Bridge matrix'!$D$3:$E$731,2,FALSE)</f>
        <v>#N/A</v>
      </c>
    </row>
    <row r="445" spans="1:15" x14ac:dyDescent="0.25">
      <c r="A445" s="2" t="s">
        <v>591</v>
      </c>
      <c r="B445" s="2" t="s">
        <v>893</v>
      </c>
      <c r="C445" s="2" t="s">
        <v>633</v>
      </c>
      <c r="D445" s="2" t="s">
        <v>619</v>
      </c>
      <c r="E445" s="2" t="s">
        <v>596</v>
      </c>
      <c r="F445" s="2" t="s">
        <v>596</v>
      </c>
      <c r="G445" s="2" t="str">
        <f t="shared" si="41"/>
        <v>05.3.2</v>
      </c>
      <c r="H445" s="83" t="s">
        <v>936</v>
      </c>
      <c r="I445" s="83" t="str">
        <f t="shared" si="39"/>
        <v>0532</v>
      </c>
      <c r="J445" s="2" t="s">
        <v>937</v>
      </c>
      <c r="K445" s="120" t="str">
        <f>IFERROR(VLOOKUP(H445,'Bridge matrix'!$A$3:$E$731,3,FALSE),"no")</f>
        <v>ARTEFACTOS ELÉCTRICOS PEQUEÑOS PARA EL HOGAR</v>
      </c>
      <c r="L445" s="120" t="str">
        <f t="shared" si="37"/>
        <v>ARTEFACTOS ELÉCTRICOS PEQUEÑOS PARA EL HOGAR</v>
      </c>
      <c r="M445" s="120" t="str">
        <f t="shared" si="38"/>
        <v>ARTEFACTOS ELÉCTRICOS PEQUEÑOS PARA EL HOGAR</v>
      </c>
      <c r="N445" s="120" t="str">
        <f t="shared" si="40"/>
        <v>ARTEFACTOS ELÉCTRICOS PEQUEÑOS PARA EL HOGAR</v>
      </c>
      <c r="O445" s="2" t="e">
        <f>VLOOKUP(N445,'Bridge matrix'!$D$3:$E$731,2,FALSE)</f>
        <v>#N/A</v>
      </c>
    </row>
    <row r="446" spans="1:15" x14ac:dyDescent="0.25">
      <c r="A446" s="2" t="s">
        <v>592</v>
      </c>
      <c r="B446" s="2" t="s">
        <v>893</v>
      </c>
      <c r="C446" s="2" t="s">
        <v>633</v>
      </c>
      <c r="D446" s="2" t="s">
        <v>619</v>
      </c>
      <c r="E446" s="2" t="s">
        <v>602</v>
      </c>
      <c r="F446" s="2" t="s">
        <v>596</v>
      </c>
      <c r="G446" s="2" t="str">
        <f t="shared" si="41"/>
        <v>05.3.2.000</v>
      </c>
      <c r="H446" s="83" t="s">
        <v>938</v>
      </c>
      <c r="I446" s="83" t="str">
        <f t="shared" si="39"/>
        <v>0532000</v>
      </c>
      <c r="J446" s="3" t="s">
        <v>939</v>
      </c>
      <c r="K446" s="120" t="str">
        <f>IFERROR(VLOOKUP(H446,'Bridge matrix'!$A$3:$E$731,3,FALSE),"no")</f>
        <v>no</v>
      </c>
      <c r="L446" s="120" t="str">
        <f t="shared" si="37"/>
        <v>no</v>
      </c>
      <c r="M446" s="120" t="str">
        <f t="shared" si="38"/>
        <v>ARTEFACTOS ELÉCTRICOS PEQUEÑOS PARA EL HOGAR</v>
      </c>
      <c r="N446" s="120" t="str">
        <f t="shared" si="40"/>
        <v>ARTEFACTOS ELÉCTRICOS PEQUEÑOS PARA EL HOGAR</v>
      </c>
      <c r="O446" s="2" t="e">
        <f>VLOOKUP(N446,'Bridge matrix'!$D$3:$E$731,2,FALSE)</f>
        <v>#N/A</v>
      </c>
    </row>
    <row r="447" spans="1:15" x14ac:dyDescent="0.25">
      <c r="A447" s="2" t="s">
        <v>591</v>
      </c>
      <c r="B447" s="2" t="s">
        <v>893</v>
      </c>
      <c r="C447" s="2" t="s">
        <v>633</v>
      </c>
      <c r="D447" s="2" t="s">
        <v>633</v>
      </c>
      <c r="E447" s="2" t="s">
        <v>596</v>
      </c>
      <c r="F447" s="2" t="s">
        <v>596</v>
      </c>
      <c r="G447" s="2" t="str">
        <f t="shared" si="41"/>
        <v>05.3.3</v>
      </c>
      <c r="H447" s="83" t="s">
        <v>940</v>
      </c>
      <c r="I447" s="83" t="str">
        <f t="shared" si="39"/>
        <v>0533</v>
      </c>
      <c r="J447" s="2" t="s">
        <v>941</v>
      </c>
      <c r="K447" s="120" t="str">
        <f>IFERROR(VLOOKUP(H447,'Bridge matrix'!$A$3:$E$731,3,FALSE),"no")</f>
        <v xml:space="preserve">REPARACIÓN DE ARTEFACTOS PARA EL HOGAR </v>
      </c>
      <c r="L447" s="120" t="str">
        <f t="shared" si="37"/>
        <v xml:space="preserve">REPARACIÓN DE ARTEFACTOS PARA EL HOGAR </v>
      </c>
      <c r="M447" s="120" t="str">
        <f t="shared" si="38"/>
        <v xml:space="preserve">REPARACIÓN DE ARTEFACTOS PARA EL HOGAR </v>
      </c>
      <c r="N447" s="120" t="str">
        <f t="shared" si="40"/>
        <v xml:space="preserve">REPARACIÓN DE ARTEFACTOS PARA EL HOGAR </v>
      </c>
      <c r="O447" s="2" t="e">
        <f>VLOOKUP(N447,'Bridge matrix'!$D$3:$E$731,2,FALSE)</f>
        <v>#N/A</v>
      </c>
    </row>
    <row r="448" spans="1:15" x14ac:dyDescent="0.25">
      <c r="A448" s="2" t="s">
        <v>592</v>
      </c>
      <c r="B448" s="2" t="s">
        <v>893</v>
      </c>
      <c r="C448" s="2" t="s">
        <v>633</v>
      </c>
      <c r="D448" s="2" t="s">
        <v>633</v>
      </c>
      <c r="E448" s="2" t="s">
        <v>602</v>
      </c>
      <c r="F448" s="2" t="s">
        <v>596</v>
      </c>
      <c r="G448" s="2" t="str">
        <f t="shared" si="41"/>
        <v>05.3.3.000</v>
      </c>
      <c r="H448" s="83" t="s">
        <v>942</v>
      </c>
      <c r="I448" s="83" t="str">
        <f t="shared" si="39"/>
        <v>0533000</v>
      </c>
      <c r="J448" s="2" t="s">
        <v>943</v>
      </c>
      <c r="K448" s="120" t="str">
        <f>IFERROR(VLOOKUP(H448,'Bridge matrix'!$A$3:$E$731,3,FALSE),"no")</f>
        <v>no</v>
      </c>
      <c r="L448" s="120" t="str">
        <f t="shared" si="37"/>
        <v>no</v>
      </c>
      <c r="M448" s="120" t="str">
        <f t="shared" si="38"/>
        <v xml:space="preserve">REPARACIÓN DE ARTEFACTOS PARA EL HOGAR </v>
      </c>
      <c r="N448" s="120" t="str">
        <f t="shared" si="40"/>
        <v xml:space="preserve">REPARACIÓN DE ARTEFACTOS PARA EL HOGAR </v>
      </c>
      <c r="O448" s="2" t="e">
        <f>VLOOKUP(N448,'Bridge matrix'!$D$3:$E$731,2,FALSE)</f>
        <v>#N/A</v>
      </c>
    </row>
    <row r="449" spans="1:20" x14ac:dyDescent="0.25">
      <c r="A449" s="2" t="s">
        <v>590</v>
      </c>
      <c r="B449" s="2" t="s">
        <v>893</v>
      </c>
      <c r="C449" s="2" t="s">
        <v>643</v>
      </c>
      <c r="D449" s="2" t="s">
        <v>596</v>
      </c>
      <c r="E449" s="2" t="s">
        <v>596</v>
      </c>
      <c r="F449" s="2" t="s">
        <v>596</v>
      </c>
      <c r="G449" s="2" t="str">
        <f t="shared" si="41"/>
        <v>05.4</v>
      </c>
      <c r="H449" s="83" t="s">
        <v>944</v>
      </c>
      <c r="I449" s="83" t="str">
        <f t="shared" si="39"/>
        <v>054</v>
      </c>
      <c r="J449" s="2" t="s">
        <v>945</v>
      </c>
      <c r="K449" s="120" t="str">
        <f>IFERROR(VLOOKUP(H449,'Bridge matrix'!$A$3:$E$731,3,FALSE),"no")</f>
        <v>no</v>
      </c>
      <c r="L449" s="120" t="str">
        <f t="shared" si="37"/>
        <v>ll</v>
      </c>
      <c r="M449" s="120" t="str">
        <f t="shared" si="38"/>
        <v>ll</v>
      </c>
      <c r="N449" s="120" t="str">
        <f t="shared" si="40"/>
        <v>ll</v>
      </c>
      <c r="O449" s="2" t="str">
        <f>VLOOKUP(N449,'Bridge matrix'!$D$3:$E$731,2,FALSE)</f>
        <v>matched on SC/SSC level</v>
      </c>
    </row>
    <row r="450" spans="1:20" x14ac:dyDescent="0.25">
      <c r="A450" s="2" t="s">
        <v>591</v>
      </c>
      <c r="B450" s="2" t="s">
        <v>893</v>
      </c>
      <c r="C450" s="2" t="s">
        <v>643</v>
      </c>
      <c r="D450" s="2" t="s">
        <v>598</v>
      </c>
      <c r="E450" s="2" t="s">
        <v>596</v>
      </c>
      <c r="F450" s="2" t="s">
        <v>596</v>
      </c>
      <c r="G450" s="2" t="str">
        <f t="shared" si="41"/>
        <v>05.4.1</v>
      </c>
      <c r="H450" s="83" t="s">
        <v>946</v>
      </c>
      <c r="I450" s="83" t="str">
        <f t="shared" si="39"/>
        <v>0541</v>
      </c>
      <c r="J450" s="2" t="s">
        <v>945</v>
      </c>
      <c r="K450" s="120" t="str">
        <f>IFERROR(VLOOKUP(H450,'Bridge matrix'!$A$3:$E$731,3,FALSE),"no")</f>
        <v>ARTÍCULOS DE VIDRIO Y CRISTAL, VAJILLA Y  UTENSILIOS PARA EL HOGAR</v>
      </c>
      <c r="L450" s="120" t="str">
        <f t="shared" ref="L450:L513" si="42">IF(AND(H450=LEFT(H451,LEN(H450)),L451&lt;&gt;"no"),"ll",IF(K450="no","no",K450))</f>
        <v>ARTÍCULOS DE VIDRIO Y CRISTAL, VAJILLA Y  UTENSILIOS PARA EL HOGAR</v>
      </c>
      <c r="M450" s="120" t="str">
        <f t="shared" ref="M450:M513" si="43">IF(L450&lt;&gt;"no",L450,IF(VLOOKUP(LEFT(H450,6),$H$2:$K$714,3,FALSE)="ll","no",VLOOKUP(LEFT(H450,6),$H$2:$K$714,3,FALSE)))</f>
        <v>ARTÍCULOS DE VIDRIO Y CRISTAL, VAJILLA Y  UTENSILIOS PARA EL HOGAR</v>
      </c>
      <c r="N450" s="120" t="str">
        <f t="shared" si="40"/>
        <v>ARTÍCULOS DE VIDRIO Y CRISTAL, VAJILLA Y  UTENSILIOS PARA EL HOGAR</v>
      </c>
      <c r="O450" s="2" t="e">
        <f>VLOOKUP(N450,'Bridge matrix'!$D$3:$E$731,2,FALSE)</f>
        <v>#N/A</v>
      </c>
    </row>
    <row r="451" spans="1:20" x14ac:dyDescent="0.25">
      <c r="A451" s="2" t="s">
        <v>592</v>
      </c>
      <c r="B451" s="2" t="s">
        <v>893</v>
      </c>
      <c r="C451" s="2" t="s">
        <v>643</v>
      </c>
      <c r="D451" s="2" t="s">
        <v>598</v>
      </c>
      <c r="E451" s="2" t="s">
        <v>602</v>
      </c>
      <c r="F451" s="2" t="s">
        <v>596</v>
      </c>
      <c r="G451" s="2" t="str">
        <f t="shared" si="41"/>
        <v>05.4.1.000</v>
      </c>
      <c r="H451" s="83" t="s">
        <v>947</v>
      </c>
      <c r="I451" s="83" t="str">
        <f t="shared" ref="I451:I514" si="44">B451&amp;C451&amp;D451&amp;E451&amp;F451</f>
        <v>0541000</v>
      </c>
      <c r="J451" s="2" t="s">
        <v>948</v>
      </c>
      <c r="K451" s="120" t="str">
        <f>IFERROR(VLOOKUP(H451,'Bridge matrix'!$A$3:$E$731,3,FALSE),"no")</f>
        <v>no</v>
      </c>
      <c r="L451" s="120" t="str">
        <f t="shared" si="42"/>
        <v>no</v>
      </c>
      <c r="M451" s="120" t="str">
        <f t="shared" si="43"/>
        <v>ARTÍCULOS DE VIDRIO Y CRISTAL, VAJILLA Y  UTENSILIOS PARA EL HOGAR</v>
      </c>
      <c r="N451" s="120" t="str">
        <f t="shared" ref="N451:N514" si="45">M451</f>
        <v>ARTÍCULOS DE VIDRIO Y CRISTAL, VAJILLA Y  UTENSILIOS PARA EL HOGAR</v>
      </c>
      <c r="O451" s="2" t="e">
        <f>VLOOKUP(N451,'Bridge matrix'!$D$3:$E$731,2,FALSE)</f>
        <v>#N/A</v>
      </c>
    </row>
    <row r="452" spans="1:20" x14ac:dyDescent="0.25">
      <c r="A452" s="2" t="s">
        <v>592</v>
      </c>
      <c r="B452" s="2" t="s">
        <v>893</v>
      </c>
      <c r="C452" s="2" t="s">
        <v>643</v>
      </c>
      <c r="D452" s="2" t="s">
        <v>598</v>
      </c>
      <c r="E452" s="2" t="s">
        <v>605</v>
      </c>
      <c r="F452" s="2" t="s">
        <v>596</v>
      </c>
      <c r="G452" s="2" t="str">
        <f t="shared" si="41"/>
        <v>05.4.1.100</v>
      </c>
      <c r="H452" s="83" t="s">
        <v>949</v>
      </c>
      <c r="I452" s="83" t="str">
        <f t="shared" si="44"/>
        <v>0541100</v>
      </c>
      <c r="J452" s="2" t="s">
        <v>950</v>
      </c>
      <c r="K452" s="120" t="str">
        <f>IFERROR(VLOOKUP(H452,'Bridge matrix'!$A$3:$E$731,3,FALSE),"no")</f>
        <v>no</v>
      </c>
      <c r="L452" s="120" t="str">
        <f t="shared" si="42"/>
        <v>no</v>
      </c>
      <c r="M452" s="120" t="str">
        <f t="shared" si="43"/>
        <v>ARTÍCULOS DE VIDRIO Y CRISTAL, VAJILLA Y  UTENSILIOS PARA EL HOGAR</v>
      </c>
      <c r="N452" s="120" t="str">
        <f t="shared" si="45"/>
        <v>ARTÍCULOS DE VIDRIO Y CRISTAL, VAJILLA Y  UTENSILIOS PARA EL HOGAR</v>
      </c>
      <c r="O452" s="2" t="e">
        <f>VLOOKUP(N452,'Bridge matrix'!$D$3:$E$731,2,FALSE)</f>
        <v>#N/A</v>
      </c>
    </row>
    <row r="453" spans="1:20" x14ac:dyDescent="0.25">
      <c r="A453" s="2" t="s">
        <v>592</v>
      </c>
      <c r="B453" s="2" t="s">
        <v>893</v>
      </c>
      <c r="C453" s="2" t="s">
        <v>643</v>
      </c>
      <c r="D453" s="2" t="s">
        <v>598</v>
      </c>
      <c r="E453" s="2" t="s">
        <v>608</v>
      </c>
      <c r="F453" s="2" t="s">
        <v>596</v>
      </c>
      <c r="G453" s="2" t="str">
        <f t="shared" si="41"/>
        <v>05.4.1.200</v>
      </c>
      <c r="H453" s="83" t="s">
        <v>951</v>
      </c>
      <c r="I453" s="83" t="str">
        <f t="shared" si="44"/>
        <v>0541200</v>
      </c>
      <c r="J453" s="2" t="s">
        <v>952</v>
      </c>
      <c r="K453" s="120" t="str">
        <f>IFERROR(VLOOKUP(H453,'Bridge matrix'!$A$3:$E$731,3,FALSE),"no")</f>
        <v>no</v>
      </c>
      <c r="L453" s="120" t="str">
        <f t="shared" si="42"/>
        <v>no</v>
      </c>
      <c r="M453" s="120" t="str">
        <f t="shared" si="43"/>
        <v>ARTÍCULOS DE VIDRIO Y CRISTAL, VAJILLA Y  UTENSILIOS PARA EL HOGAR</v>
      </c>
      <c r="N453" s="120" t="str">
        <f t="shared" si="45"/>
        <v>ARTÍCULOS DE VIDRIO Y CRISTAL, VAJILLA Y  UTENSILIOS PARA EL HOGAR</v>
      </c>
      <c r="O453" s="2" t="e">
        <f>VLOOKUP(N453,'Bridge matrix'!$D$3:$E$731,2,FALSE)</f>
        <v>#N/A</v>
      </c>
    </row>
    <row r="454" spans="1:20" x14ac:dyDescent="0.25">
      <c r="A454" s="2" t="s">
        <v>590</v>
      </c>
      <c r="B454" s="2" t="s">
        <v>893</v>
      </c>
      <c r="C454" s="2" t="s">
        <v>656</v>
      </c>
      <c r="D454" s="2" t="s">
        <v>596</v>
      </c>
      <c r="E454" s="2" t="s">
        <v>596</v>
      </c>
      <c r="F454" s="2" t="s">
        <v>596</v>
      </c>
      <c r="G454" s="2" t="str">
        <f t="shared" si="41"/>
        <v>05.5</v>
      </c>
      <c r="H454" s="83" t="s">
        <v>953</v>
      </c>
      <c r="I454" s="83" t="str">
        <f t="shared" si="44"/>
        <v>055</v>
      </c>
      <c r="J454" s="2" t="s">
        <v>954</v>
      </c>
      <c r="K454" s="120" t="str">
        <f>IFERROR(VLOOKUP(H454,'Bridge matrix'!$A$3:$E$731,3,FALSE),"no")</f>
        <v>no</v>
      </c>
      <c r="L454" s="120" t="str">
        <f t="shared" si="42"/>
        <v>ll</v>
      </c>
      <c r="M454" s="120" t="str">
        <f t="shared" si="43"/>
        <v>ll</v>
      </c>
      <c r="N454" s="120" t="str">
        <f t="shared" si="45"/>
        <v>ll</v>
      </c>
      <c r="O454" s="2" t="str">
        <f>VLOOKUP(N454,'Bridge matrix'!$D$3:$E$731,2,FALSE)</f>
        <v>matched on SC/SSC level</v>
      </c>
    </row>
    <row r="455" spans="1:20" x14ac:dyDescent="0.25">
      <c r="A455" s="2" t="s">
        <v>591</v>
      </c>
      <c r="B455" s="2" t="s">
        <v>893</v>
      </c>
      <c r="C455" s="2" t="s">
        <v>656</v>
      </c>
      <c r="D455" s="2" t="s">
        <v>598</v>
      </c>
      <c r="E455" s="2" t="s">
        <v>596</v>
      </c>
      <c r="F455" s="2" t="s">
        <v>596</v>
      </c>
      <c r="G455" s="2" t="str">
        <f t="shared" si="41"/>
        <v>05.5.1</v>
      </c>
      <c r="H455" s="83" t="s">
        <v>955</v>
      </c>
      <c r="I455" s="83" t="str">
        <f t="shared" si="44"/>
        <v>0551</v>
      </c>
      <c r="J455" s="2" t="s">
        <v>956</v>
      </c>
      <c r="K455" s="120" t="str">
        <f>IFERROR(VLOOKUP(H455,'Bridge matrix'!$A$3:$E$731,3,FALSE),"no")</f>
        <v xml:space="preserve">HERRAMIENTAS Y EQUIPO GRANDES </v>
      </c>
      <c r="L455" s="120" t="str">
        <f t="shared" si="42"/>
        <v xml:space="preserve">HERRAMIENTAS Y EQUIPO GRANDES </v>
      </c>
      <c r="M455" s="120" t="str">
        <f t="shared" si="43"/>
        <v xml:space="preserve">HERRAMIENTAS Y EQUIPO GRANDES </v>
      </c>
      <c r="N455" s="120" t="str">
        <f t="shared" si="45"/>
        <v xml:space="preserve">HERRAMIENTAS Y EQUIPO GRANDES </v>
      </c>
      <c r="O455" s="2" t="e">
        <f>VLOOKUP(N455,'Bridge matrix'!$D$3:$E$731,2,FALSE)</f>
        <v>#N/A</v>
      </c>
    </row>
    <row r="456" spans="1:20" x14ac:dyDescent="0.25">
      <c r="A456" s="2" t="s">
        <v>592</v>
      </c>
      <c r="B456" s="2" t="s">
        <v>893</v>
      </c>
      <c r="C456" s="2" t="s">
        <v>656</v>
      </c>
      <c r="D456" s="2" t="s">
        <v>598</v>
      </c>
      <c r="E456" s="2" t="s">
        <v>602</v>
      </c>
      <c r="F456" s="2" t="s">
        <v>596</v>
      </c>
      <c r="G456" s="2" t="str">
        <f t="shared" si="41"/>
        <v>05.5.1.000</v>
      </c>
      <c r="H456" s="83" t="s">
        <v>957</v>
      </c>
      <c r="I456" s="83" t="str">
        <f t="shared" si="44"/>
        <v>0551000</v>
      </c>
      <c r="J456" s="2" t="s">
        <v>958</v>
      </c>
      <c r="K456" s="120" t="str">
        <f>IFERROR(VLOOKUP(H456,'Bridge matrix'!$A$3:$E$731,3,FALSE),"no")</f>
        <v>no</v>
      </c>
      <c r="L456" s="120" t="str">
        <f t="shared" si="42"/>
        <v>no</v>
      </c>
      <c r="M456" s="120" t="str">
        <f t="shared" si="43"/>
        <v xml:space="preserve">HERRAMIENTAS Y EQUIPO GRANDES </v>
      </c>
      <c r="N456" s="120" t="str">
        <f t="shared" si="45"/>
        <v xml:space="preserve">HERRAMIENTAS Y EQUIPO GRANDES </v>
      </c>
      <c r="O456" s="2" t="e">
        <f>VLOOKUP(N456,'Bridge matrix'!$D$3:$E$731,2,FALSE)</f>
        <v>#N/A</v>
      </c>
    </row>
    <row r="457" spans="1:20" x14ac:dyDescent="0.25">
      <c r="A457" s="2" t="s">
        <v>591</v>
      </c>
      <c r="B457" s="2" t="s">
        <v>893</v>
      </c>
      <c r="C457" s="2" t="s">
        <v>656</v>
      </c>
      <c r="D457" s="2" t="s">
        <v>619</v>
      </c>
      <c r="E457" s="2" t="s">
        <v>596</v>
      </c>
      <c r="F457" s="2" t="s">
        <v>596</v>
      </c>
      <c r="G457" s="2" t="str">
        <f t="shared" si="41"/>
        <v>05.5.2</v>
      </c>
      <c r="H457" s="83" t="s">
        <v>959</v>
      </c>
      <c r="I457" s="83" t="str">
        <f t="shared" si="44"/>
        <v>0552</v>
      </c>
      <c r="J457" s="2" t="s">
        <v>960</v>
      </c>
      <c r="K457" s="120" t="str">
        <f>IFERROR(VLOOKUP(H457,'Bridge matrix'!$A$3:$E$731,3,FALSE),"no")</f>
        <v xml:space="preserve">HERRAMIENTAS PEQUEÑAS Y ACCESORIOS DIVERSOS </v>
      </c>
      <c r="L457" s="120" t="str">
        <f t="shared" si="42"/>
        <v xml:space="preserve">HERRAMIENTAS PEQUEÑAS Y ACCESORIOS DIVERSOS </v>
      </c>
      <c r="M457" s="120" t="str">
        <f t="shared" si="43"/>
        <v xml:space="preserve">HERRAMIENTAS PEQUEÑAS Y ACCESORIOS DIVERSOS </v>
      </c>
      <c r="N457" s="120" t="str">
        <f t="shared" si="45"/>
        <v xml:space="preserve">HERRAMIENTAS PEQUEÑAS Y ACCESORIOS DIVERSOS </v>
      </c>
      <c r="O457" s="2" t="e">
        <f>VLOOKUP(N457,'Bridge matrix'!$D$3:$E$731,2,FALSE)</f>
        <v>#N/A</v>
      </c>
    </row>
    <row r="458" spans="1:20" x14ac:dyDescent="0.25">
      <c r="A458" s="2" t="s">
        <v>592</v>
      </c>
      <c r="B458" s="2" t="s">
        <v>893</v>
      </c>
      <c r="C458" s="2" t="s">
        <v>656</v>
      </c>
      <c r="D458" s="2" t="s">
        <v>619</v>
      </c>
      <c r="E458" s="2" t="s">
        <v>602</v>
      </c>
      <c r="F458" s="2" t="s">
        <v>596</v>
      </c>
      <c r="G458" s="2" t="str">
        <f t="shared" si="41"/>
        <v>05.5.2.000</v>
      </c>
      <c r="H458" s="83" t="s">
        <v>961</v>
      </c>
      <c r="I458" s="83" t="str">
        <f t="shared" si="44"/>
        <v>0552000</v>
      </c>
      <c r="J458" s="2" t="s">
        <v>962</v>
      </c>
      <c r="K458" s="120" t="str">
        <f>IFERROR(VLOOKUP(H458,'Bridge matrix'!$A$3:$E$731,3,FALSE),"no")</f>
        <v>no</v>
      </c>
      <c r="L458" s="120" t="str">
        <f t="shared" si="42"/>
        <v>no</v>
      </c>
      <c r="M458" s="120" t="str">
        <f t="shared" si="43"/>
        <v xml:space="preserve">HERRAMIENTAS PEQUEÑAS Y ACCESORIOS DIVERSOS </v>
      </c>
      <c r="N458" s="120" t="str">
        <f t="shared" si="45"/>
        <v xml:space="preserve">HERRAMIENTAS PEQUEÑAS Y ACCESORIOS DIVERSOS </v>
      </c>
      <c r="O458" s="2" t="e">
        <f>VLOOKUP(N458,'Bridge matrix'!$D$3:$E$731,2,FALSE)</f>
        <v>#N/A</v>
      </c>
    </row>
    <row r="459" spans="1:20" x14ac:dyDescent="0.25">
      <c r="A459" s="2" t="s">
        <v>590</v>
      </c>
      <c r="B459" s="2" t="s">
        <v>893</v>
      </c>
      <c r="C459" s="2" t="s">
        <v>663</v>
      </c>
      <c r="D459" s="2" t="s">
        <v>596</v>
      </c>
      <c r="E459" s="2" t="s">
        <v>596</v>
      </c>
      <c r="F459" s="2" t="s">
        <v>596</v>
      </c>
      <c r="G459" s="2" t="str">
        <f t="shared" si="41"/>
        <v>05.6</v>
      </c>
      <c r="H459" s="83" t="s">
        <v>963</v>
      </c>
      <c r="I459" s="83" t="str">
        <f t="shared" si="44"/>
        <v>056</v>
      </c>
      <c r="J459" s="2" t="s">
        <v>964</v>
      </c>
      <c r="K459" s="120" t="str">
        <f>IFERROR(VLOOKUP(H459,'Bridge matrix'!$A$3:$E$731,3,FALSE),"no")</f>
        <v>no</v>
      </c>
      <c r="L459" s="120" t="str">
        <f t="shared" si="42"/>
        <v>ll</v>
      </c>
      <c r="M459" s="120" t="str">
        <f t="shared" si="43"/>
        <v>ll</v>
      </c>
      <c r="N459" s="120" t="str">
        <f t="shared" si="45"/>
        <v>ll</v>
      </c>
      <c r="O459" s="2" t="str">
        <f>VLOOKUP(N459,'Bridge matrix'!$D$3:$E$731,2,FALSE)</f>
        <v>matched on SC/SSC level</v>
      </c>
    </row>
    <row r="460" spans="1:20" x14ac:dyDescent="0.25">
      <c r="A460" s="2" t="s">
        <v>591</v>
      </c>
      <c r="B460" s="2" t="s">
        <v>893</v>
      </c>
      <c r="C460" s="2" t="s">
        <v>663</v>
      </c>
      <c r="D460" s="2" t="s">
        <v>598</v>
      </c>
      <c r="E460" s="2" t="s">
        <v>596</v>
      </c>
      <c r="F460" s="2" t="s">
        <v>596</v>
      </c>
      <c r="G460" s="2" t="str">
        <f t="shared" si="41"/>
        <v>05.6.1</v>
      </c>
      <c r="H460" s="83" t="s">
        <v>965</v>
      </c>
      <c r="I460" s="83" t="str">
        <f t="shared" si="44"/>
        <v>0561</v>
      </c>
      <c r="J460" s="2" t="s">
        <v>966</v>
      </c>
      <c r="K460" s="120" t="str">
        <f>IFERROR(VLOOKUP(H460,'Bridge matrix'!$A$3:$E$731,3,FALSE),"no")</f>
        <v xml:space="preserve">BIENES PARA EL HOGAR NO DURADEROS </v>
      </c>
      <c r="L460" s="120" t="str">
        <f t="shared" si="42"/>
        <v>ll</v>
      </c>
      <c r="M460" s="120" t="str">
        <f t="shared" si="43"/>
        <v>ll</v>
      </c>
      <c r="N460" s="120" t="str">
        <f t="shared" si="45"/>
        <v>ll</v>
      </c>
      <c r="O460" s="2" t="str">
        <f>VLOOKUP(N460,'Bridge matrix'!$D$3:$E$731,2,FALSE)</f>
        <v>matched on SC/SSC level</v>
      </c>
    </row>
    <row r="461" spans="1:20" x14ac:dyDescent="0.25">
      <c r="A461" s="2" t="s">
        <v>592</v>
      </c>
      <c r="B461" s="2" t="s">
        <v>893</v>
      </c>
      <c r="C461" s="2" t="s">
        <v>663</v>
      </c>
      <c r="D461" s="2" t="s">
        <v>598</v>
      </c>
      <c r="E461" s="2" t="s">
        <v>602</v>
      </c>
      <c r="F461" s="2" t="s">
        <v>596</v>
      </c>
      <c r="G461" s="2" t="str">
        <f t="shared" si="41"/>
        <v>05.6.1.000</v>
      </c>
      <c r="H461" s="83" t="s">
        <v>967</v>
      </c>
      <c r="I461" s="83" t="str">
        <f t="shared" si="44"/>
        <v>0561000</v>
      </c>
      <c r="J461" s="2" t="s">
        <v>968</v>
      </c>
      <c r="K461" s="120" t="str">
        <f>IFERROR(VLOOKUP(H461,'Bridge matrix'!$A$3:$E$731,3,FALSE),"no")</f>
        <v>Productos de limpieza y mantenimiento</v>
      </c>
      <c r="L461" s="120" t="str">
        <f t="shared" si="42"/>
        <v>Productos de limpieza y mantenimiento</v>
      </c>
      <c r="M461" s="120" t="str">
        <f t="shared" si="43"/>
        <v>Productos de limpieza y mantenimiento</v>
      </c>
      <c r="N461" s="120" t="str">
        <f t="shared" si="45"/>
        <v>Productos de limpieza y mantenimiento</v>
      </c>
      <c r="O461" s="2" t="e">
        <f>VLOOKUP(N461,'Bridge matrix'!$D$3:$E$731,2,FALSE)</f>
        <v>#N/A</v>
      </c>
    </row>
    <row r="462" spans="1:20" x14ac:dyDescent="0.25">
      <c r="A462" s="2" t="s">
        <v>593</v>
      </c>
      <c r="B462" s="2" t="s">
        <v>893</v>
      </c>
      <c r="C462" s="2" t="s">
        <v>663</v>
      </c>
      <c r="D462" s="2" t="s">
        <v>598</v>
      </c>
      <c r="F462" s="2" t="s">
        <v>835</v>
      </c>
      <c r="G462" s="2" t="str">
        <f t="shared" si="41"/>
        <v>05.6.1.001</v>
      </c>
      <c r="H462" s="83" t="s">
        <v>2133</v>
      </c>
      <c r="I462" s="83" t="str">
        <f t="shared" si="44"/>
        <v>0561001</v>
      </c>
      <c r="J462" s="2" t="s">
        <v>2172</v>
      </c>
      <c r="K462" s="120" t="str">
        <f>IFERROR(VLOOKUP(H462,'Bridge matrix'!$A$3:$E$731,3,FALSE),"no")</f>
        <v>Aceite de máquina de cocer (aceite 3 en 1)</v>
      </c>
      <c r="L462" s="120" t="str">
        <f t="shared" si="42"/>
        <v>Aceite de máquina de cocer (aceite 3 en 1)</v>
      </c>
      <c r="M462" s="120" t="str">
        <f t="shared" si="43"/>
        <v>Aceite de máquina de cocer (aceite 3 en 1)</v>
      </c>
      <c r="N462" s="120" t="str">
        <f t="shared" si="45"/>
        <v>Aceite de máquina de cocer (aceite 3 en 1)</v>
      </c>
      <c r="O462" s="2" t="e">
        <f>VLOOKUP(N462,'Bridge matrix'!$D$3:$E$731,2,FALSE)</f>
        <v>#N/A</v>
      </c>
      <c r="Q462" s="18"/>
      <c r="R462" s="80"/>
      <c r="S462" s="80"/>
      <c r="T462" s="80"/>
    </row>
    <row r="463" spans="1:20" x14ac:dyDescent="0.25">
      <c r="A463" s="2" t="s">
        <v>593</v>
      </c>
      <c r="B463" s="2" t="s">
        <v>893</v>
      </c>
      <c r="C463" s="2" t="s">
        <v>663</v>
      </c>
      <c r="D463" s="2" t="s">
        <v>598</v>
      </c>
      <c r="F463" s="2" t="s">
        <v>838</v>
      </c>
      <c r="G463" s="2" t="str">
        <f t="shared" si="41"/>
        <v>05.6.1.002</v>
      </c>
      <c r="H463" s="83" t="s">
        <v>2134</v>
      </c>
      <c r="I463" s="83" t="str">
        <f t="shared" si="44"/>
        <v>0561002</v>
      </c>
      <c r="J463" s="2" t="s">
        <v>2173</v>
      </c>
      <c r="K463" s="120" t="str">
        <f>IFERROR(VLOOKUP(H463,'Bridge matrix'!$A$3:$E$731,3,FALSE),"no")</f>
        <v>Agua destilada</v>
      </c>
      <c r="L463" s="120" t="str">
        <f t="shared" si="42"/>
        <v>Agua destilada</v>
      </c>
      <c r="M463" s="120" t="str">
        <f t="shared" si="43"/>
        <v>Agua destilada</v>
      </c>
      <c r="N463" s="120" t="str">
        <f t="shared" si="45"/>
        <v>Agua destilada</v>
      </c>
      <c r="O463" s="2" t="e">
        <f>VLOOKUP(N463,'Bridge matrix'!$D$3:$E$731,2,FALSE)</f>
        <v>#N/A</v>
      </c>
      <c r="Q463" s="18"/>
      <c r="R463" s="80"/>
      <c r="S463" s="80"/>
      <c r="T463" s="80"/>
    </row>
    <row r="464" spans="1:20" x14ac:dyDescent="0.25">
      <c r="A464" s="2" t="s">
        <v>593</v>
      </c>
      <c r="B464" s="2" t="s">
        <v>893</v>
      </c>
      <c r="C464" s="2" t="s">
        <v>663</v>
      </c>
      <c r="D464" s="2" t="s">
        <v>598</v>
      </c>
      <c r="F464" s="2" t="s">
        <v>849</v>
      </c>
      <c r="G464" s="2" t="str">
        <f t="shared" si="41"/>
        <v>05.6.1.003</v>
      </c>
      <c r="H464" s="83" t="s">
        <v>2135</v>
      </c>
      <c r="I464" s="83" t="str">
        <f t="shared" si="44"/>
        <v>0561003</v>
      </c>
      <c r="J464" s="2" t="s">
        <v>2174</v>
      </c>
      <c r="K464" s="120" t="str">
        <f>IFERROR(VLOOKUP(H464,'Bridge matrix'!$A$3:$E$731,3,FALSE),"no")</f>
        <v>Almidón para tela</v>
      </c>
      <c r="L464" s="120" t="str">
        <f t="shared" si="42"/>
        <v>Almidón para tela</v>
      </c>
      <c r="M464" s="120" t="str">
        <f t="shared" si="43"/>
        <v>Almidón para tela</v>
      </c>
      <c r="N464" s="120" t="str">
        <f t="shared" si="45"/>
        <v>Almidón para tela</v>
      </c>
      <c r="O464" s="2" t="e">
        <f>VLOOKUP(N464,'Bridge matrix'!$D$3:$E$731,2,FALSE)</f>
        <v>#N/A</v>
      </c>
      <c r="Q464" s="18"/>
      <c r="R464" s="80"/>
      <c r="S464" s="80"/>
      <c r="T464" s="80"/>
    </row>
    <row r="465" spans="1:20" x14ac:dyDescent="0.25">
      <c r="A465" s="2" t="s">
        <v>593</v>
      </c>
      <c r="B465" s="2" t="s">
        <v>893</v>
      </c>
      <c r="C465" s="2" t="s">
        <v>663</v>
      </c>
      <c r="D465" s="2" t="s">
        <v>598</v>
      </c>
      <c r="F465" s="2" t="s">
        <v>874</v>
      </c>
      <c r="G465" s="2" t="str">
        <f t="shared" si="41"/>
        <v>05.6.1.004</v>
      </c>
      <c r="H465" s="83" t="s">
        <v>2136</v>
      </c>
      <c r="I465" s="83" t="str">
        <f t="shared" si="44"/>
        <v>0561004</v>
      </c>
      <c r="J465" s="2" t="s">
        <v>2175</v>
      </c>
      <c r="K465" s="120" t="str">
        <f>IFERROR(VLOOKUP(H465,'Bridge matrix'!$A$3:$E$731,3,FALSE),"no")</f>
        <v xml:space="preserve">Amoniaco (producto de limpieza) </v>
      </c>
      <c r="L465" s="120" t="str">
        <f t="shared" si="42"/>
        <v xml:space="preserve">Amoniaco (producto de limpieza) </v>
      </c>
      <c r="M465" s="120" t="str">
        <f t="shared" si="43"/>
        <v xml:space="preserve">Amoniaco (producto de limpieza) </v>
      </c>
      <c r="N465" s="120" t="str">
        <f t="shared" si="45"/>
        <v xml:space="preserve">Amoniaco (producto de limpieza) </v>
      </c>
      <c r="O465" s="2" t="e">
        <f>VLOOKUP(N465,'Bridge matrix'!$D$3:$E$731,2,FALSE)</f>
        <v>#N/A</v>
      </c>
      <c r="Q465" s="18"/>
      <c r="R465" s="80"/>
      <c r="S465" s="80"/>
      <c r="T465" s="80"/>
    </row>
    <row r="466" spans="1:20" x14ac:dyDescent="0.25">
      <c r="A466" s="2" t="s">
        <v>593</v>
      </c>
      <c r="B466" s="2" t="s">
        <v>893</v>
      </c>
      <c r="C466" s="2" t="s">
        <v>663</v>
      </c>
      <c r="D466" s="2" t="s">
        <v>598</v>
      </c>
      <c r="F466" s="2" t="s">
        <v>877</v>
      </c>
      <c r="G466" s="2" t="str">
        <f t="shared" si="41"/>
        <v>05.6.1.005</v>
      </c>
      <c r="H466" s="83" t="s">
        <v>2137</v>
      </c>
      <c r="I466" s="83" t="str">
        <f t="shared" si="44"/>
        <v>0561005</v>
      </c>
      <c r="J466" s="2" t="s">
        <v>2176</v>
      </c>
      <c r="K466" s="120" t="str">
        <f>IFERROR(VLOOKUP(H466,'Bridge matrix'!$A$3:$E$731,3,FALSE),"no")</f>
        <v>Anilinas</v>
      </c>
      <c r="L466" s="120" t="str">
        <f t="shared" si="42"/>
        <v>Anilinas</v>
      </c>
      <c r="M466" s="120" t="str">
        <f t="shared" si="43"/>
        <v>Anilinas</v>
      </c>
      <c r="N466" s="120" t="str">
        <f t="shared" si="45"/>
        <v>Anilinas</v>
      </c>
      <c r="O466" s="2" t="e">
        <f>VLOOKUP(N466,'Bridge matrix'!$D$3:$E$731,2,FALSE)</f>
        <v>#N/A</v>
      </c>
      <c r="Q466" s="18"/>
      <c r="R466" s="80"/>
      <c r="S466" s="80"/>
      <c r="T466" s="80"/>
    </row>
    <row r="467" spans="1:20" x14ac:dyDescent="0.25">
      <c r="A467" s="2" t="s">
        <v>593</v>
      </c>
      <c r="B467" s="2" t="s">
        <v>893</v>
      </c>
      <c r="C467" s="2" t="s">
        <v>663</v>
      </c>
      <c r="D467" s="2" t="s">
        <v>598</v>
      </c>
      <c r="F467" s="2" t="s">
        <v>1024</v>
      </c>
      <c r="G467" s="2" t="str">
        <f t="shared" si="41"/>
        <v>05.6.1.006</v>
      </c>
      <c r="H467" s="83" t="s">
        <v>2138</v>
      </c>
      <c r="I467" s="83" t="str">
        <f t="shared" si="44"/>
        <v>0561006</v>
      </c>
      <c r="J467" s="2" t="s">
        <v>2210</v>
      </c>
      <c r="K467" s="120" t="str">
        <f>IFERROR(VLOOKUP(H467,'Bridge matrix'!$A$3:$E$731,3,FALSE),"no")</f>
        <v>Azul para ropa</v>
      </c>
      <c r="L467" s="120" t="str">
        <f t="shared" si="42"/>
        <v>Azul para ropa</v>
      </c>
      <c r="M467" s="120" t="str">
        <f t="shared" si="43"/>
        <v>Azul para ropa</v>
      </c>
      <c r="N467" s="120" t="str">
        <f t="shared" si="45"/>
        <v>Azul para ropa</v>
      </c>
      <c r="O467" s="2" t="e">
        <f>VLOOKUP(N467,'Bridge matrix'!$D$3:$E$731,2,FALSE)</f>
        <v>#N/A</v>
      </c>
      <c r="Q467" s="18"/>
      <c r="R467" s="80"/>
      <c r="S467" s="80"/>
      <c r="T467" s="80"/>
    </row>
    <row r="468" spans="1:20" x14ac:dyDescent="0.25">
      <c r="A468" s="2" t="s">
        <v>593</v>
      </c>
      <c r="B468" s="2" t="s">
        <v>893</v>
      </c>
      <c r="C468" s="2" t="s">
        <v>663</v>
      </c>
      <c r="D468" s="2" t="s">
        <v>598</v>
      </c>
      <c r="F468" s="2" t="s">
        <v>1027</v>
      </c>
      <c r="G468" s="2" t="str">
        <f t="shared" si="41"/>
        <v>05.6.1.007</v>
      </c>
      <c r="H468" s="83" t="s">
        <v>2139</v>
      </c>
      <c r="I468" s="83" t="str">
        <f t="shared" si="44"/>
        <v>0561007</v>
      </c>
      <c r="J468" s="2" t="s">
        <v>2177</v>
      </c>
      <c r="K468" s="120" t="str">
        <f>IFERROR(VLOOKUP(H468,'Bridge matrix'!$A$3:$E$731,3,FALSE),"no")</f>
        <v>Betún en tubo o pasta</v>
      </c>
      <c r="L468" s="120" t="str">
        <f t="shared" si="42"/>
        <v>Betún en tubo o pasta</v>
      </c>
      <c r="M468" s="120" t="str">
        <f t="shared" si="43"/>
        <v>Betún en tubo o pasta</v>
      </c>
      <c r="N468" s="120" t="str">
        <f t="shared" si="45"/>
        <v>Betún en tubo o pasta</v>
      </c>
      <c r="O468" s="2" t="e">
        <f>VLOOKUP(N468,'Bridge matrix'!$D$3:$E$731,2,FALSE)</f>
        <v>#N/A</v>
      </c>
      <c r="Q468" s="18"/>
      <c r="R468" s="80"/>
      <c r="S468" s="80"/>
      <c r="T468" s="80"/>
    </row>
    <row r="469" spans="1:20" x14ac:dyDescent="0.25">
      <c r="A469" s="2" t="s">
        <v>593</v>
      </c>
      <c r="B469" s="2" t="s">
        <v>893</v>
      </c>
      <c r="C469" s="2" t="s">
        <v>663</v>
      </c>
      <c r="D469" s="2" t="s">
        <v>598</v>
      </c>
      <c r="F469" s="2" t="s">
        <v>1030</v>
      </c>
      <c r="G469" s="2" t="str">
        <f t="shared" si="41"/>
        <v>05.6.1.008</v>
      </c>
      <c r="H469" s="83" t="s">
        <v>2140</v>
      </c>
      <c r="I469" s="83" t="str">
        <f t="shared" si="44"/>
        <v>0561008</v>
      </c>
      <c r="J469" s="2" t="s">
        <v>2178</v>
      </c>
      <c r="K469" s="120" t="str">
        <f>IFERROR(VLOOKUP(H469,'Bridge matrix'!$A$3:$E$731,3,FALSE),"no")</f>
        <v>Betún liqui</v>
      </c>
      <c r="L469" s="120" t="str">
        <f t="shared" si="42"/>
        <v>Betún liqui</v>
      </c>
      <c r="M469" s="120" t="str">
        <f t="shared" si="43"/>
        <v>Betún liqui</v>
      </c>
      <c r="N469" s="120" t="str">
        <f t="shared" si="45"/>
        <v>Betún liqui</v>
      </c>
      <c r="O469" s="2" t="e">
        <f>VLOOKUP(N469,'Bridge matrix'!$D$3:$E$731,2,FALSE)</f>
        <v>#N/A</v>
      </c>
      <c r="Q469" s="18"/>
      <c r="R469" s="80"/>
      <c r="S469" s="80"/>
      <c r="T469" s="80"/>
    </row>
    <row r="470" spans="1:20" x14ac:dyDescent="0.25">
      <c r="A470" s="2" t="s">
        <v>593</v>
      </c>
      <c r="B470" s="2" t="s">
        <v>893</v>
      </c>
      <c r="C470" s="2" t="s">
        <v>663</v>
      </c>
      <c r="D470" s="2" t="s">
        <v>598</v>
      </c>
      <c r="F470" s="2" t="s">
        <v>1278</v>
      </c>
      <c r="G470" s="2" t="str">
        <f t="shared" si="41"/>
        <v>05.6.1.009</v>
      </c>
      <c r="H470" s="83" t="s">
        <v>2141</v>
      </c>
      <c r="I470" s="83" t="str">
        <f t="shared" si="44"/>
        <v>0561009</v>
      </c>
      <c r="J470" s="2" t="s">
        <v>2179</v>
      </c>
      <c r="K470" s="120" t="str">
        <f>IFERROR(VLOOKUP(H470,'Bridge matrix'!$A$3:$E$731,3,FALSE),"no")</f>
        <v>Betún sólido</v>
      </c>
      <c r="L470" s="120" t="str">
        <f t="shared" si="42"/>
        <v>Betún sólido</v>
      </c>
      <c r="M470" s="120" t="str">
        <f t="shared" si="43"/>
        <v>Betún sólido</v>
      </c>
      <c r="N470" s="120" t="str">
        <f t="shared" si="45"/>
        <v>Betún sólido</v>
      </c>
      <c r="O470" s="2" t="e">
        <f>VLOOKUP(N470,'Bridge matrix'!$D$3:$E$731,2,FALSE)</f>
        <v>#N/A</v>
      </c>
      <c r="Q470" s="18"/>
      <c r="R470" s="80"/>
      <c r="S470" s="80"/>
      <c r="T470" s="80"/>
    </row>
    <row r="471" spans="1:20" x14ac:dyDescent="0.25">
      <c r="A471" s="2" t="s">
        <v>593</v>
      </c>
      <c r="B471" s="2" t="s">
        <v>893</v>
      </c>
      <c r="C471" s="2" t="s">
        <v>663</v>
      </c>
      <c r="D471" s="2" t="s">
        <v>598</v>
      </c>
      <c r="F471" s="2" t="s">
        <v>1279</v>
      </c>
      <c r="G471" s="2" t="str">
        <f t="shared" si="41"/>
        <v>05.6.1.010</v>
      </c>
      <c r="H471" s="83" t="s">
        <v>2142</v>
      </c>
      <c r="I471" s="83" t="str">
        <f t="shared" si="44"/>
        <v>0561010</v>
      </c>
      <c r="J471" s="2" t="s">
        <v>2180</v>
      </c>
      <c r="K471" s="120" t="str">
        <f>IFERROR(VLOOKUP(H471,'Bridge matrix'!$A$3:$E$731,3,FALSE),"no")</f>
        <v xml:space="preserve">Cera líquida para pisos </v>
      </c>
      <c r="L471" s="120" t="str">
        <f t="shared" si="42"/>
        <v xml:space="preserve">Cera líquida para pisos </v>
      </c>
      <c r="M471" s="120" t="str">
        <f t="shared" si="43"/>
        <v xml:space="preserve">Cera líquida para pisos </v>
      </c>
      <c r="N471" s="120" t="str">
        <f t="shared" si="45"/>
        <v xml:space="preserve">Cera líquida para pisos </v>
      </c>
      <c r="O471" s="2" t="e">
        <f>VLOOKUP(N471,'Bridge matrix'!$D$3:$E$731,2,FALSE)</f>
        <v>#N/A</v>
      </c>
      <c r="Q471" s="18"/>
      <c r="R471" s="80"/>
      <c r="S471" s="80"/>
      <c r="T471" s="80"/>
    </row>
    <row r="472" spans="1:20" x14ac:dyDescent="0.25">
      <c r="A472" s="2" t="s">
        <v>593</v>
      </c>
      <c r="B472" s="2" t="s">
        <v>893</v>
      </c>
      <c r="C472" s="2" t="s">
        <v>663</v>
      </c>
      <c r="D472" s="2" t="s">
        <v>598</v>
      </c>
      <c r="F472" s="2" t="s">
        <v>1280</v>
      </c>
      <c r="G472" s="2" t="str">
        <f t="shared" si="41"/>
        <v>05.6.1.011</v>
      </c>
      <c r="H472" s="83" t="s">
        <v>2143</v>
      </c>
      <c r="I472" s="83" t="str">
        <f t="shared" si="44"/>
        <v>0561011</v>
      </c>
      <c r="J472" s="2" t="s">
        <v>2181</v>
      </c>
      <c r="K472" s="120" t="str">
        <f>IFERROR(VLOOKUP(H472,'Bridge matrix'!$A$3:$E$731,3,FALSE),"no")</f>
        <v>Cera sólida para pisos</v>
      </c>
      <c r="L472" s="120" t="str">
        <f t="shared" si="42"/>
        <v>Cera sólida para pisos</v>
      </c>
      <c r="M472" s="120" t="str">
        <f t="shared" si="43"/>
        <v>Cera sólida para pisos</v>
      </c>
      <c r="N472" s="120" t="str">
        <f t="shared" si="45"/>
        <v>Cera sólida para pisos</v>
      </c>
      <c r="O472" s="2" t="e">
        <f>VLOOKUP(N472,'Bridge matrix'!$D$3:$E$731,2,FALSE)</f>
        <v>#N/A</v>
      </c>
      <c r="Q472" s="18"/>
      <c r="R472" s="80"/>
      <c r="S472" s="80"/>
      <c r="T472" s="80"/>
    </row>
    <row r="473" spans="1:20" x14ac:dyDescent="0.25">
      <c r="A473" s="2" t="s">
        <v>593</v>
      </c>
      <c r="B473" s="2" t="s">
        <v>893</v>
      </c>
      <c r="C473" s="2" t="s">
        <v>663</v>
      </c>
      <c r="D473" s="2" t="s">
        <v>598</v>
      </c>
      <c r="F473" s="2" t="s">
        <v>1281</v>
      </c>
      <c r="G473" s="2" t="str">
        <f t="shared" si="41"/>
        <v>05.6.1.012</v>
      </c>
      <c r="H473" s="83" t="s">
        <v>2144</v>
      </c>
      <c r="I473" s="83" t="str">
        <f t="shared" si="44"/>
        <v>0561012</v>
      </c>
      <c r="J473" s="2" t="s">
        <v>2182</v>
      </c>
      <c r="K473" s="120" t="str">
        <f>IFERROR(VLOOKUP(H473,'Bridge matrix'!$A$3:$E$731,3,FALSE),"no")</f>
        <v>Cloro (Blanqueador de ropa, desinfectante puro)</v>
      </c>
      <c r="L473" s="120" t="str">
        <f t="shared" si="42"/>
        <v>Cloro (Blanqueador de ropa, desinfectante puro)</v>
      </c>
      <c r="M473" s="120" t="str">
        <f t="shared" si="43"/>
        <v>Cloro (Blanqueador de ropa, desinfectante puro)</v>
      </c>
      <c r="N473" s="120" t="str">
        <f t="shared" si="45"/>
        <v>Cloro (Blanqueador de ropa, desinfectante puro)</v>
      </c>
      <c r="O473" s="2" t="e">
        <f>VLOOKUP(N473,'Bridge matrix'!$D$3:$E$731,2,FALSE)</f>
        <v>#N/A</v>
      </c>
      <c r="Q473" s="18"/>
      <c r="R473" s="80"/>
      <c r="S473" s="80"/>
      <c r="T473" s="80"/>
    </row>
    <row r="474" spans="1:20" x14ac:dyDescent="0.25">
      <c r="A474" s="2" t="s">
        <v>593</v>
      </c>
      <c r="B474" s="2" t="s">
        <v>893</v>
      </c>
      <c r="C474" s="2" t="s">
        <v>663</v>
      </c>
      <c r="D474" s="2" t="s">
        <v>598</v>
      </c>
      <c r="F474" s="2" t="s">
        <v>1282</v>
      </c>
      <c r="G474" s="2" t="str">
        <f t="shared" si="41"/>
        <v>05.6.1.013</v>
      </c>
      <c r="H474" s="83" t="s">
        <v>2145</v>
      </c>
      <c r="I474" s="83" t="str">
        <f t="shared" si="44"/>
        <v>0561013</v>
      </c>
      <c r="J474" s="2" t="s">
        <v>2183</v>
      </c>
      <c r="K474" s="120" t="str">
        <f>IFERROR(VLOOKUP(H474,'Bridge matrix'!$A$3:$E$731,3,FALSE),"no")</f>
        <v xml:space="preserve">Desengrasantes o quita grasas </v>
      </c>
      <c r="L474" s="120" t="str">
        <f t="shared" si="42"/>
        <v xml:space="preserve">Desengrasantes o quita grasas </v>
      </c>
      <c r="M474" s="120" t="str">
        <f t="shared" si="43"/>
        <v xml:space="preserve">Desengrasantes o quita grasas </v>
      </c>
      <c r="N474" s="120" t="str">
        <f t="shared" si="45"/>
        <v xml:space="preserve">Desengrasantes o quita grasas </v>
      </c>
      <c r="O474" s="2" t="e">
        <f>VLOOKUP(N474,'Bridge matrix'!$D$3:$E$731,2,FALSE)</f>
        <v>#N/A</v>
      </c>
      <c r="Q474" s="18"/>
      <c r="R474" s="80"/>
      <c r="S474" s="80"/>
      <c r="T474" s="80"/>
    </row>
    <row r="475" spans="1:20" x14ac:dyDescent="0.25">
      <c r="A475" s="2" t="s">
        <v>593</v>
      </c>
      <c r="B475" s="2" t="s">
        <v>893</v>
      </c>
      <c r="C475" s="2" t="s">
        <v>663</v>
      </c>
      <c r="D475" s="2" t="s">
        <v>598</v>
      </c>
      <c r="F475" s="2" t="s">
        <v>1283</v>
      </c>
      <c r="G475" s="2" t="str">
        <f t="shared" si="41"/>
        <v>05.6.1.014</v>
      </c>
      <c r="H475" s="83" t="s">
        <v>2146</v>
      </c>
      <c r="I475" s="83" t="str">
        <f t="shared" si="44"/>
        <v>0561014</v>
      </c>
      <c r="J475" s="2" t="s">
        <v>2184</v>
      </c>
      <c r="K475" s="120" t="str">
        <f>IFERROR(VLOOKUP(H475,'Bridge matrix'!$A$3:$E$731,3,FALSE),"no")</f>
        <v xml:space="preserve">Desinfectante para uso domestico (Lavaklin, fresklin, Kalipto, etc.) </v>
      </c>
      <c r="L475" s="120" t="str">
        <f t="shared" si="42"/>
        <v xml:space="preserve">Desinfectante para uso domestico (Lavaklin, fresklin, Kalipto, etc.) </v>
      </c>
      <c r="M475" s="120" t="str">
        <f t="shared" si="43"/>
        <v xml:space="preserve">Desinfectante para uso domestico (Lavaklin, fresklin, Kalipto, etc.) </v>
      </c>
      <c r="N475" s="120" t="str">
        <f t="shared" si="45"/>
        <v xml:space="preserve">Desinfectante para uso domestico (Lavaklin, fresklin, Kalipto, etc.) </v>
      </c>
      <c r="O475" s="2" t="e">
        <f>VLOOKUP(N475,'Bridge matrix'!$D$3:$E$731,2,FALSE)</f>
        <v>#N/A</v>
      </c>
      <c r="Q475" s="18"/>
      <c r="R475" s="80"/>
      <c r="S475" s="80"/>
      <c r="T475" s="80"/>
    </row>
    <row r="476" spans="1:20" x14ac:dyDescent="0.25">
      <c r="A476" s="2" t="s">
        <v>593</v>
      </c>
      <c r="B476" s="2" t="s">
        <v>893</v>
      </c>
      <c r="C476" s="2" t="s">
        <v>663</v>
      </c>
      <c r="D476" s="2" t="s">
        <v>598</v>
      </c>
      <c r="F476" s="2" t="s">
        <v>1284</v>
      </c>
      <c r="G476" s="2" t="str">
        <f t="shared" si="41"/>
        <v>05.6.1.015</v>
      </c>
      <c r="H476" s="83" t="s">
        <v>2147</v>
      </c>
      <c r="I476" s="83" t="str">
        <f t="shared" si="44"/>
        <v>0561015</v>
      </c>
      <c r="J476" s="2" t="s">
        <v>2185</v>
      </c>
      <c r="K476" s="120" t="str">
        <f>IFERROR(VLOOKUP(H476,'Bridge matrix'!$A$3:$E$731,3,FALSE),"no")</f>
        <v>Desodorante ambientales (Líquidos o sólidos)</v>
      </c>
      <c r="L476" s="120" t="str">
        <f t="shared" si="42"/>
        <v>Desodorante ambientales (Líquidos o sólidos)</v>
      </c>
      <c r="M476" s="120" t="str">
        <f t="shared" si="43"/>
        <v>Desodorante ambientales (Líquidos o sólidos)</v>
      </c>
      <c r="N476" s="120" t="str">
        <f t="shared" si="45"/>
        <v>Desodorante ambientales (Líquidos o sólidos)</v>
      </c>
      <c r="O476" s="2" t="e">
        <f>VLOOKUP(N476,'Bridge matrix'!$D$3:$E$731,2,FALSE)</f>
        <v>#N/A</v>
      </c>
      <c r="Q476" s="18"/>
      <c r="R476" s="80"/>
      <c r="S476" s="80"/>
      <c r="T476" s="80"/>
    </row>
    <row r="477" spans="1:20" x14ac:dyDescent="0.25">
      <c r="A477" s="2" t="s">
        <v>593</v>
      </c>
      <c r="B477" s="2" t="s">
        <v>893</v>
      </c>
      <c r="C477" s="2" t="s">
        <v>663</v>
      </c>
      <c r="D477" s="2" t="s">
        <v>598</v>
      </c>
      <c r="F477" s="2" t="s">
        <v>1285</v>
      </c>
      <c r="G477" s="2" t="str">
        <f t="shared" si="41"/>
        <v>05.6.1.016</v>
      </c>
      <c r="H477" s="83" t="s">
        <v>2148</v>
      </c>
      <c r="I477" s="83" t="str">
        <f t="shared" si="44"/>
        <v>0561016</v>
      </c>
      <c r="J477" s="2" t="s">
        <v>2186</v>
      </c>
      <c r="K477" s="120" t="str">
        <f>IFERROR(VLOOKUP(H477,'Bridge matrix'!$A$3:$E$731,3,FALSE),"no")</f>
        <v>Destapadores de tuberías (sello rojo, asea, lejías, etc.)</v>
      </c>
      <c r="L477" s="120" t="str">
        <f t="shared" si="42"/>
        <v>Destapadores de tuberías (sello rojo, asea, lejías, etc.)</v>
      </c>
      <c r="M477" s="120" t="str">
        <f t="shared" si="43"/>
        <v>Destapadores de tuberías (sello rojo, asea, lejías, etc.)</v>
      </c>
      <c r="N477" s="120" t="str">
        <f t="shared" si="45"/>
        <v>Destapadores de tuberías (sello rojo, asea, lejías, etc.)</v>
      </c>
      <c r="O477" s="2" t="e">
        <f>VLOOKUP(N477,'Bridge matrix'!$D$3:$E$731,2,FALSE)</f>
        <v>#N/A</v>
      </c>
      <c r="Q477" s="18"/>
      <c r="R477" s="80"/>
      <c r="S477" s="80"/>
      <c r="T477" s="80"/>
    </row>
    <row r="478" spans="1:20" x14ac:dyDescent="0.25">
      <c r="A478" s="2" t="s">
        <v>593</v>
      </c>
      <c r="B478" s="2" t="s">
        <v>893</v>
      </c>
      <c r="C478" s="2" t="s">
        <v>663</v>
      </c>
      <c r="D478" s="2" t="s">
        <v>598</v>
      </c>
      <c r="F478" s="2" t="s">
        <v>1286</v>
      </c>
      <c r="G478" s="2" t="str">
        <f t="shared" si="41"/>
        <v>05.6.1.017</v>
      </c>
      <c r="H478" s="83" t="s">
        <v>2149</v>
      </c>
      <c r="I478" s="83" t="str">
        <f t="shared" si="44"/>
        <v>0561017</v>
      </c>
      <c r="J478" s="2" t="s">
        <v>2187</v>
      </c>
      <c r="K478" s="120" t="str">
        <f>IFERROR(VLOOKUP(H478,'Bridge matrix'!$A$3:$E$731,3,FALSE),"no")</f>
        <v>Detergente en polvo</v>
      </c>
      <c r="L478" s="120" t="str">
        <f t="shared" si="42"/>
        <v>Detergente en polvo</v>
      </c>
      <c r="M478" s="120" t="str">
        <f t="shared" si="43"/>
        <v>Detergente en polvo</v>
      </c>
      <c r="N478" s="120" t="str">
        <f t="shared" si="45"/>
        <v>Detergente en polvo</v>
      </c>
      <c r="O478" s="2" t="e">
        <f>VLOOKUP(N478,'Bridge matrix'!$D$3:$E$731,2,FALSE)</f>
        <v>#N/A</v>
      </c>
      <c r="Q478" s="18"/>
      <c r="R478" s="80"/>
      <c r="S478" s="80"/>
      <c r="T478" s="80"/>
    </row>
    <row r="479" spans="1:20" x14ac:dyDescent="0.25">
      <c r="A479" s="2" t="s">
        <v>593</v>
      </c>
      <c r="B479" s="2" t="s">
        <v>893</v>
      </c>
      <c r="C479" s="2" t="s">
        <v>663</v>
      </c>
      <c r="D479" s="2" t="s">
        <v>598</v>
      </c>
      <c r="F479" s="2" t="s">
        <v>1287</v>
      </c>
      <c r="G479" s="2" t="str">
        <f t="shared" si="41"/>
        <v>05.6.1.018</v>
      </c>
      <c r="H479" s="83" t="s">
        <v>2150</v>
      </c>
      <c r="I479" s="83" t="str">
        <f t="shared" si="44"/>
        <v>0561018</v>
      </c>
      <c r="J479" s="2" t="s">
        <v>2188</v>
      </c>
      <c r="K479" s="120" t="str">
        <f>IFERROR(VLOOKUP(H479,'Bridge matrix'!$A$3:$E$731,3,FALSE),"no")</f>
        <v xml:space="preserve">Detergente líquido </v>
      </c>
      <c r="L479" s="120" t="str">
        <f t="shared" si="42"/>
        <v xml:space="preserve">Detergente líquido </v>
      </c>
      <c r="M479" s="120" t="str">
        <f t="shared" si="43"/>
        <v xml:space="preserve">Detergente líquido </v>
      </c>
      <c r="N479" s="120" t="str">
        <f t="shared" si="45"/>
        <v xml:space="preserve">Detergente líquido </v>
      </c>
      <c r="O479" s="2" t="e">
        <f>VLOOKUP(N479,'Bridge matrix'!$D$3:$E$731,2,FALSE)</f>
        <v>#N/A</v>
      </c>
      <c r="Q479" s="18"/>
      <c r="R479" s="80"/>
      <c r="S479" s="80"/>
      <c r="T479" s="80"/>
    </row>
    <row r="480" spans="1:20" x14ac:dyDescent="0.25">
      <c r="A480" s="2" t="s">
        <v>593</v>
      </c>
      <c r="B480" s="2" t="s">
        <v>893</v>
      </c>
      <c r="C480" s="2" t="s">
        <v>663</v>
      </c>
      <c r="D480" s="2" t="s">
        <v>598</v>
      </c>
      <c r="F480" s="2" t="s">
        <v>1288</v>
      </c>
      <c r="G480" s="2" t="str">
        <f t="shared" si="41"/>
        <v>05.6.1.019</v>
      </c>
      <c r="H480" s="83" t="s">
        <v>2151</v>
      </c>
      <c r="I480" s="83" t="str">
        <f t="shared" si="44"/>
        <v>0561019</v>
      </c>
      <c r="J480" s="2" t="s">
        <v>2189</v>
      </c>
      <c r="K480" s="120" t="str">
        <f>IFERROR(VLOOKUP(H480,'Bridge matrix'!$A$3:$E$731,3,FALSE),"no")</f>
        <v xml:space="preserve">Fungicida líquido </v>
      </c>
      <c r="L480" s="120" t="str">
        <f t="shared" si="42"/>
        <v xml:space="preserve">Fungicida líquido </v>
      </c>
      <c r="M480" s="120" t="str">
        <f t="shared" si="43"/>
        <v xml:space="preserve">Fungicida líquido </v>
      </c>
      <c r="N480" s="120" t="str">
        <f t="shared" si="45"/>
        <v xml:space="preserve">Fungicida líquido </v>
      </c>
      <c r="O480" s="2" t="e">
        <f>VLOOKUP(N480,'Bridge matrix'!$D$3:$E$731,2,FALSE)</f>
        <v>#N/A</v>
      </c>
      <c r="Q480" s="18"/>
      <c r="R480" s="80"/>
      <c r="S480" s="80"/>
      <c r="T480" s="80"/>
    </row>
    <row r="481" spans="1:20" x14ac:dyDescent="0.25">
      <c r="A481" s="2" t="s">
        <v>593</v>
      </c>
      <c r="B481" s="2" t="s">
        <v>893</v>
      </c>
      <c r="C481" s="2" t="s">
        <v>663</v>
      </c>
      <c r="D481" s="2" t="s">
        <v>598</v>
      </c>
      <c r="F481" s="2" t="s">
        <v>1289</v>
      </c>
      <c r="G481" s="2" t="str">
        <f t="shared" si="41"/>
        <v>05.6.1.020</v>
      </c>
      <c r="H481" s="83" t="s">
        <v>2152</v>
      </c>
      <c r="I481" s="83" t="str">
        <f t="shared" si="44"/>
        <v>0561020</v>
      </c>
      <c r="J481" s="2" t="s">
        <v>2190</v>
      </c>
      <c r="K481" s="120" t="str">
        <f>IFERROR(VLOOKUP(H481,'Bridge matrix'!$A$3:$E$731,3,FALSE),"no")</f>
        <v>Fungicida sólido</v>
      </c>
      <c r="L481" s="120" t="str">
        <f t="shared" si="42"/>
        <v>Fungicida sólido</v>
      </c>
      <c r="M481" s="120" t="str">
        <f t="shared" si="43"/>
        <v>Fungicida sólido</v>
      </c>
      <c r="N481" s="120" t="str">
        <f t="shared" si="45"/>
        <v>Fungicida sólido</v>
      </c>
      <c r="O481" s="2" t="e">
        <f>VLOOKUP(N481,'Bridge matrix'!$D$3:$E$731,2,FALSE)</f>
        <v>#N/A</v>
      </c>
      <c r="Q481" s="18"/>
      <c r="R481" s="80"/>
      <c r="S481" s="80"/>
      <c r="T481" s="80"/>
    </row>
    <row r="482" spans="1:20" x14ac:dyDescent="0.25">
      <c r="A482" s="2" t="s">
        <v>593</v>
      </c>
      <c r="B482" s="2" t="s">
        <v>893</v>
      </c>
      <c r="C482" s="2" t="s">
        <v>663</v>
      </c>
      <c r="D482" s="2" t="s">
        <v>598</v>
      </c>
      <c r="F482" s="2" t="s">
        <v>1290</v>
      </c>
      <c r="G482" s="2" t="str">
        <f t="shared" si="41"/>
        <v>05.6.1.021</v>
      </c>
      <c r="H482" s="83" t="s">
        <v>2153</v>
      </c>
      <c r="I482" s="83" t="str">
        <f t="shared" si="44"/>
        <v>0561021</v>
      </c>
      <c r="J482" s="2" t="s">
        <v>2191</v>
      </c>
      <c r="K482" s="120" t="str">
        <f>IFERROR(VLOOKUP(H482,'Bridge matrix'!$A$3:$E$731,3,FALSE),"no")</f>
        <v xml:space="preserve">Insecticida </v>
      </c>
      <c r="L482" s="120" t="str">
        <f t="shared" si="42"/>
        <v xml:space="preserve">Insecticida </v>
      </c>
      <c r="M482" s="120" t="str">
        <f t="shared" si="43"/>
        <v xml:space="preserve">Insecticida </v>
      </c>
      <c r="N482" s="120" t="str">
        <f t="shared" si="45"/>
        <v xml:space="preserve">Insecticida </v>
      </c>
      <c r="O482" s="2" t="e">
        <f>VLOOKUP(N482,'Bridge matrix'!$D$3:$E$731,2,FALSE)</f>
        <v>#N/A</v>
      </c>
      <c r="Q482" s="18"/>
      <c r="R482" s="80"/>
      <c r="S482" s="80"/>
      <c r="T482" s="80"/>
    </row>
    <row r="483" spans="1:20" x14ac:dyDescent="0.25">
      <c r="A483" s="2" t="s">
        <v>593</v>
      </c>
      <c r="B483" s="2" t="s">
        <v>893</v>
      </c>
      <c r="C483" s="2" t="s">
        <v>663</v>
      </c>
      <c r="D483" s="2" t="s">
        <v>598</v>
      </c>
      <c r="F483" s="2" t="s">
        <v>1291</v>
      </c>
      <c r="G483" s="2" t="str">
        <f t="shared" si="41"/>
        <v>05.6.1.022</v>
      </c>
      <c r="H483" s="83" t="s">
        <v>2154</v>
      </c>
      <c r="I483" s="83" t="str">
        <f t="shared" si="44"/>
        <v>0561022</v>
      </c>
      <c r="J483" s="2" t="s">
        <v>2192</v>
      </c>
      <c r="K483" s="120" t="str">
        <f>IFERROR(VLOOKUP(H483,'Bridge matrix'!$A$3:$E$731,3,FALSE),"no")</f>
        <v>Jabón en barra para lavar ropa</v>
      </c>
      <c r="L483" s="120" t="str">
        <f t="shared" si="42"/>
        <v>Jabón en barra para lavar ropa</v>
      </c>
      <c r="M483" s="120" t="str">
        <f t="shared" si="43"/>
        <v>Jabón en barra para lavar ropa</v>
      </c>
      <c r="N483" s="120" t="str">
        <f t="shared" si="45"/>
        <v>Jabón en barra para lavar ropa</v>
      </c>
      <c r="O483" s="2" t="e">
        <f>VLOOKUP(N483,'Bridge matrix'!$D$3:$E$731,2,FALSE)</f>
        <v>#N/A</v>
      </c>
      <c r="Q483" s="18"/>
      <c r="R483" s="80"/>
      <c r="S483" s="80"/>
      <c r="T483" s="80"/>
    </row>
    <row r="484" spans="1:20" x14ac:dyDescent="0.25">
      <c r="A484" s="2" t="s">
        <v>593</v>
      </c>
      <c r="B484" s="2" t="s">
        <v>893</v>
      </c>
      <c r="C484" s="2" t="s">
        <v>663</v>
      </c>
      <c r="D484" s="2" t="s">
        <v>598</v>
      </c>
      <c r="F484" s="2" t="s">
        <v>1292</v>
      </c>
      <c r="G484" s="2" t="str">
        <f t="shared" si="41"/>
        <v>05.6.1.023</v>
      </c>
      <c r="H484" s="83" t="s">
        <v>2155</v>
      </c>
      <c r="I484" s="83" t="str">
        <f t="shared" si="44"/>
        <v>0561023</v>
      </c>
      <c r="J484" s="2" t="s">
        <v>2193</v>
      </c>
      <c r="K484" s="120" t="str">
        <f>IFERROR(VLOOKUP(H484,'Bridge matrix'!$A$3:$E$731,3,FALSE),"no")</f>
        <v>Jabón en barra para lavar vajilla</v>
      </c>
      <c r="L484" s="120" t="str">
        <f t="shared" si="42"/>
        <v>Jabón en barra para lavar vajilla</v>
      </c>
      <c r="M484" s="120" t="str">
        <f t="shared" si="43"/>
        <v>Jabón en barra para lavar vajilla</v>
      </c>
      <c r="N484" s="120" t="str">
        <f t="shared" si="45"/>
        <v>Jabón en barra para lavar vajilla</v>
      </c>
      <c r="O484" s="2" t="e">
        <f>VLOOKUP(N484,'Bridge matrix'!$D$3:$E$731,2,FALSE)</f>
        <v>#N/A</v>
      </c>
      <c r="Q484" s="18"/>
      <c r="R484" s="80"/>
      <c r="S484" s="80"/>
      <c r="T484" s="80"/>
    </row>
    <row r="485" spans="1:20" x14ac:dyDescent="0.25">
      <c r="A485" s="2" t="s">
        <v>593</v>
      </c>
      <c r="B485" s="2" t="s">
        <v>893</v>
      </c>
      <c r="C485" s="2" t="s">
        <v>663</v>
      </c>
      <c r="D485" s="2" t="s">
        <v>598</v>
      </c>
      <c r="F485" s="2" t="s">
        <v>1293</v>
      </c>
      <c r="G485" s="2" t="str">
        <f t="shared" si="41"/>
        <v>05.6.1.024</v>
      </c>
      <c r="H485" s="83" t="s">
        <v>2156</v>
      </c>
      <c r="I485" s="83" t="str">
        <f t="shared" si="44"/>
        <v>0561024</v>
      </c>
      <c r="J485" s="2" t="s">
        <v>2194</v>
      </c>
      <c r="K485" s="120" t="str">
        <f>IFERROR(VLOOKUP(H485,'Bridge matrix'!$A$3:$E$731,3,FALSE),"no")</f>
        <v>Jabón en crema para lavar vajilla</v>
      </c>
      <c r="L485" s="120" t="str">
        <f t="shared" si="42"/>
        <v>Jabón en crema para lavar vajilla</v>
      </c>
      <c r="M485" s="120" t="str">
        <f t="shared" si="43"/>
        <v>Jabón en crema para lavar vajilla</v>
      </c>
      <c r="N485" s="120" t="str">
        <f t="shared" si="45"/>
        <v>Jabón en crema para lavar vajilla</v>
      </c>
      <c r="O485" s="2" t="e">
        <f>VLOOKUP(N485,'Bridge matrix'!$D$3:$E$731,2,FALSE)</f>
        <v>#N/A</v>
      </c>
      <c r="Q485" s="18"/>
      <c r="R485" s="80"/>
      <c r="S485" s="80"/>
      <c r="T485" s="80"/>
    </row>
    <row r="486" spans="1:20" x14ac:dyDescent="0.25">
      <c r="A486" s="2" t="s">
        <v>593</v>
      </c>
      <c r="B486" s="2" t="s">
        <v>893</v>
      </c>
      <c r="C486" s="2" t="s">
        <v>663</v>
      </c>
      <c r="D486" s="2" t="s">
        <v>598</v>
      </c>
      <c r="F486" s="2" t="s">
        <v>1294</v>
      </c>
      <c r="G486" s="2" t="str">
        <f t="shared" si="41"/>
        <v>05.6.1.025</v>
      </c>
      <c r="H486" s="83" t="s">
        <v>2157</v>
      </c>
      <c r="I486" s="83" t="str">
        <f t="shared" si="44"/>
        <v>0561025</v>
      </c>
      <c r="J486" s="2" t="s">
        <v>2195</v>
      </c>
      <c r="K486" s="120" t="str">
        <f>IFERROR(VLOOKUP(H486,'Bridge matrix'!$A$3:$E$731,3,FALSE),"no")</f>
        <v xml:space="preserve">Jabón líquido para lavar ropa </v>
      </c>
      <c r="L486" s="120" t="str">
        <f t="shared" si="42"/>
        <v xml:space="preserve">Jabón líquido para lavar ropa </v>
      </c>
      <c r="M486" s="120" t="str">
        <f t="shared" si="43"/>
        <v xml:space="preserve">Jabón líquido para lavar ropa </v>
      </c>
      <c r="N486" s="120" t="str">
        <f t="shared" si="45"/>
        <v xml:space="preserve">Jabón líquido para lavar ropa </v>
      </c>
      <c r="O486" s="2" t="e">
        <f>VLOOKUP(N486,'Bridge matrix'!$D$3:$E$731,2,FALSE)</f>
        <v>#N/A</v>
      </c>
      <c r="Q486" s="18"/>
      <c r="R486" s="80"/>
      <c r="S486" s="80"/>
      <c r="T486" s="80"/>
    </row>
    <row r="487" spans="1:20" x14ac:dyDescent="0.25">
      <c r="A487" s="2" t="s">
        <v>593</v>
      </c>
      <c r="B487" s="2" t="s">
        <v>893</v>
      </c>
      <c r="C487" s="2" t="s">
        <v>663</v>
      </c>
      <c r="D487" s="2" t="s">
        <v>598</v>
      </c>
      <c r="F487" s="2" t="s">
        <v>1295</v>
      </c>
      <c r="G487" s="2" t="str">
        <f t="shared" si="41"/>
        <v>05.6.1.026</v>
      </c>
      <c r="H487" s="83" t="s">
        <v>2158</v>
      </c>
      <c r="I487" s="83" t="str">
        <f t="shared" si="44"/>
        <v>0561026</v>
      </c>
      <c r="J487" s="2" t="s">
        <v>2196</v>
      </c>
      <c r="K487" s="120" t="str">
        <f>IFERROR(VLOOKUP(H487,'Bridge matrix'!$A$3:$E$731,3,FALSE),"no")</f>
        <v xml:space="preserve">Jabón líquido para lavar vajilla </v>
      </c>
      <c r="L487" s="120" t="str">
        <f t="shared" si="42"/>
        <v xml:space="preserve">Jabón líquido para lavar vajilla </v>
      </c>
      <c r="M487" s="120" t="str">
        <f t="shared" si="43"/>
        <v xml:space="preserve">Jabón líquido para lavar vajilla </v>
      </c>
      <c r="N487" s="120" t="str">
        <f t="shared" si="45"/>
        <v xml:space="preserve">Jabón líquido para lavar vajilla </v>
      </c>
      <c r="O487" s="2" t="e">
        <f>VLOOKUP(N487,'Bridge matrix'!$D$3:$E$731,2,FALSE)</f>
        <v>#N/A</v>
      </c>
      <c r="Q487" s="18"/>
      <c r="R487" s="80"/>
      <c r="S487" s="80"/>
      <c r="T487" s="80"/>
    </row>
    <row r="488" spans="1:20" x14ac:dyDescent="0.25">
      <c r="A488" s="2" t="s">
        <v>593</v>
      </c>
      <c r="B488" s="2" t="s">
        <v>893</v>
      </c>
      <c r="C488" s="2" t="s">
        <v>663</v>
      </c>
      <c r="D488" s="2" t="s">
        <v>598</v>
      </c>
      <c r="F488" s="2" t="s">
        <v>1296</v>
      </c>
      <c r="G488" s="2" t="str">
        <f t="shared" si="41"/>
        <v>05.6.1.027</v>
      </c>
      <c r="H488" s="83" t="s">
        <v>2159</v>
      </c>
      <c r="I488" s="83" t="str">
        <f t="shared" si="44"/>
        <v>0561027</v>
      </c>
      <c r="J488" s="2" t="s">
        <v>2197</v>
      </c>
      <c r="K488" s="120" t="str">
        <f>IFERROR(VLOOKUP(H488,'Bridge matrix'!$A$3:$E$731,3,FALSE),"no")</f>
        <v xml:space="preserve">Líquido para limpiar vidrios </v>
      </c>
      <c r="L488" s="120" t="str">
        <f t="shared" si="42"/>
        <v xml:space="preserve">Líquido para limpiar vidrios </v>
      </c>
      <c r="M488" s="120" t="str">
        <f t="shared" si="43"/>
        <v xml:space="preserve">Líquido para limpiar vidrios </v>
      </c>
      <c r="N488" s="120" t="str">
        <f t="shared" si="45"/>
        <v xml:space="preserve">Líquido para limpiar vidrios </v>
      </c>
      <c r="O488" s="2" t="e">
        <f>VLOOKUP(N488,'Bridge matrix'!$D$3:$E$731,2,FALSE)</f>
        <v>#N/A</v>
      </c>
      <c r="Q488" s="18"/>
      <c r="R488" s="80"/>
      <c r="S488" s="80"/>
      <c r="T488" s="80"/>
    </row>
    <row r="489" spans="1:20" x14ac:dyDescent="0.25">
      <c r="A489" s="2" t="s">
        <v>593</v>
      </c>
      <c r="B489" s="2" t="s">
        <v>893</v>
      </c>
      <c r="C489" s="2" t="s">
        <v>663</v>
      </c>
      <c r="D489" s="2" t="s">
        <v>598</v>
      </c>
      <c r="F489" s="2" t="s">
        <v>1600</v>
      </c>
      <c r="G489" s="2" t="str">
        <f t="shared" si="41"/>
        <v>05.6.1.028</v>
      </c>
      <c r="H489" s="83" t="s">
        <v>2160</v>
      </c>
      <c r="I489" s="83" t="str">
        <f t="shared" si="44"/>
        <v>0561028</v>
      </c>
      <c r="J489" s="2" t="s">
        <v>2198</v>
      </c>
      <c r="K489" s="120" t="str">
        <f>IFERROR(VLOOKUP(H489,'Bridge matrix'!$A$3:$E$731,3,FALSE),"no")</f>
        <v>Naftalina</v>
      </c>
      <c r="L489" s="120" t="str">
        <f t="shared" si="42"/>
        <v>Naftalina</v>
      </c>
      <c r="M489" s="120" t="str">
        <f t="shared" si="43"/>
        <v>Naftalina</v>
      </c>
      <c r="N489" s="120" t="str">
        <f t="shared" si="45"/>
        <v>Naftalina</v>
      </c>
      <c r="O489" s="2" t="e">
        <f>VLOOKUP(N489,'Bridge matrix'!$D$3:$E$731,2,FALSE)</f>
        <v>#N/A</v>
      </c>
      <c r="Q489" s="18"/>
      <c r="R489" s="80"/>
      <c r="S489" s="80"/>
      <c r="T489" s="80"/>
    </row>
    <row r="490" spans="1:20" x14ac:dyDescent="0.25">
      <c r="A490" s="2" t="s">
        <v>593</v>
      </c>
      <c r="B490" s="2" t="s">
        <v>893</v>
      </c>
      <c r="C490" s="2" t="s">
        <v>663</v>
      </c>
      <c r="D490" s="2" t="s">
        <v>598</v>
      </c>
      <c r="F490" s="2" t="s">
        <v>1601</v>
      </c>
      <c r="G490" s="2" t="str">
        <f t="shared" si="41"/>
        <v>05.6.1.029</v>
      </c>
      <c r="H490" s="83" t="s">
        <v>2161</v>
      </c>
      <c r="I490" s="83" t="str">
        <f t="shared" si="44"/>
        <v>0561029</v>
      </c>
      <c r="J490" s="2" t="s">
        <v>2199</v>
      </c>
      <c r="K490" s="120" t="str">
        <f>IFERROR(VLOOKUP(H490,'Bridge matrix'!$A$3:$E$731,3,FALSE),"no")</f>
        <v>Pastilla tanque, (limpia y desinfecta el tanque del inodoro)</v>
      </c>
      <c r="L490" s="120" t="str">
        <f t="shared" si="42"/>
        <v>Pastilla tanque, (limpia y desinfecta el tanque del inodoro)</v>
      </c>
      <c r="M490" s="120" t="str">
        <f t="shared" si="43"/>
        <v>Pastilla tanque, (limpia y desinfecta el tanque del inodoro)</v>
      </c>
      <c r="N490" s="120" t="str">
        <f t="shared" si="45"/>
        <v>Pastilla tanque, (limpia y desinfecta el tanque del inodoro)</v>
      </c>
      <c r="O490" s="2" t="e">
        <f>VLOOKUP(N490,'Bridge matrix'!$D$3:$E$731,2,FALSE)</f>
        <v>#N/A</v>
      </c>
      <c r="Q490" s="18"/>
      <c r="R490" s="80"/>
      <c r="S490" s="80"/>
      <c r="T490" s="80"/>
    </row>
    <row r="491" spans="1:20" x14ac:dyDescent="0.25">
      <c r="A491" s="2" t="s">
        <v>593</v>
      </c>
      <c r="B491" s="2" t="s">
        <v>893</v>
      </c>
      <c r="C491" s="2" t="s">
        <v>663</v>
      </c>
      <c r="D491" s="2" t="s">
        <v>598</v>
      </c>
      <c r="F491" s="2" t="s">
        <v>1602</v>
      </c>
      <c r="G491" s="2" t="str">
        <f t="shared" si="41"/>
        <v>05.6.1.030</v>
      </c>
      <c r="H491" s="83" t="s">
        <v>2162</v>
      </c>
      <c r="I491" s="83" t="str">
        <f t="shared" si="44"/>
        <v>0561030</v>
      </c>
      <c r="J491" s="2" t="s">
        <v>2200</v>
      </c>
      <c r="K491" s="120" t="str">
        <f>IFERROR(VLOOKUP(H491,'Bridge matrix'!$A$3:$E$731,3,FALSE),"no")</f>
        <v xml:space="preserve">Productos para el mantenimiento y limpieza de la madera </v>
      </c>
      <c r="L491" s="120" t="str">
        <f t="shared" si="42"/>
        <v xml:space="preserve">Productos para el mantenimiento y limpieza de la madera </v>
      </c>
      <c r="M491" s="120" t="str">
        <f t="shared" si="43"/>
        <v xml:space="preserve">Productos para el mantenimiento y limpieza de la madera </v>
      </c>
      <c r="N491" s="120" t="str">
        <f t="shared" si="45"/>
        <v xml:space="preserve">Productos para el mantenimiento y limpieza de la madera </v>
      </c>
      <c r="O491" s="2" t="e">
        <f>VLOOKUP(N491,'Bridge matrix'!$D$3:$E$731,2,FALSE)</f>
        <v>#N/A</v>
      </c>
      <c r="Q491" s="18"/>
      <c r="R491" s="80"/>
      <c r="S491" s="80"/>
      <c r="T491" s="80"/>
    </row>
    <row r="492" spans="1:20" x14ac:dyDescent="0.25">
      <c r="A492" s="2" t="s">
        <v>593</v>
      </c>
      <c r="B492" s="2" t="s">
        <v>893</v>
      </c>
      <c r="C492" s="2" t="s">
        <v>663</v>
      </c>
      <c r="D492" s="2" t="s">
        <v>598</v>
      </c>
      <c r="F492" s="2" t="s">
        <v>1603</v>
      </c>
      <c r="G492" s="2" t="str">
        <f t="shared" si="41"/>
        <v>05.6.1.031</v>
      </c>
      <c r="H492" s="83" t="s">
        <v>2163</v>
      </c>
      <c r="I492" s="83" t="str">
        <f t="shared" si="44"/>
        <v>0561031</v>
      </c>
      <c r="J492" s="2" t="s">
        <v>2201</v>
      </c>
      <c r="K492" s="120" t="str">
        <f>IFERROR(VLOOKUP(H492,'Bridge matrix'!$A$3:$E$731,3,FALSE),"no")</f>
        <v>Productos para pulir y limpiar metales</v>
      </c>
      <c r="L492" s="120" t="str">
        <f t="shared" si="42"/>
        <v>Productos para pulir y limpiar metales</v>
      </c>
      <c r="M492" s="120" t="str">
        <f t="shared" si="43"/>
        <v>Productos para pulir y limpiar metales</v>
      </c>
      <c r="N492" s="120" t="str">
        <f t="shared" si="45"/>
        <v>Productos para pulir y limpiar metales</v>
      </c>
      <c r="O492" s="2" t="e">
        <f>VLOOKUP(N492,'Bridge matrix'!$D$3:$E$731,2,FALSE)</f>
        <v>#N/A</v>
      </c>
      <c r="Q492" s="18"/>
      <c r="R492" s="80"/>
      <c r="S492" s="80"/>
      <c r="T492" s="80"/>
    </row>
    <row r="493" spans="1:20" x14ac:dyDescent="0.25">
      <c r="A493" s="2" t="s">
        <v>593</v>
      </c>
      <c r="B493" s="2" t="s">
        <v>893</v>
      </c>
      <c r="C493" s="2" t="s">
        <v>663</v>
      </c>
      <c r="D493" s="2" t="s">
        <v>598</v>
      </c>
      <c r="F493" s="2" t="s">
        <v>1604</v>
      </c>
      <c r="G493" s="2" t="str">
        <f t="shared" si="41"/>
        <v>05.6.1.032</v>
      </c>
      <c r="H493" s="83" t="s">
        <v>2164</v>
      </c>
      <c r="I493" s="83" t="str">
        <f t="shared" si="44"/>
        <v>0561032</v>
      </c>
      <c r="J493" s="2" t="s">
        <v>2202</v>
      </c>
      <c r="K493" s="120" t="str">
        <f>IFERROR(VLOOKUP(H493,'Bridge matrix'!$A$3:$E$731,3,FALSE),"no")</f>
        <v xml:space="preserve">Productos químicos para la limpieza de alfombras </v>
      </c>
      <c r="L493" s="120" t="str">
        <f t="shared" si="42"/>
        <v xml:space="preserve">Productos químicos para la limpieza de alfombras </v>
      </c>
      <c r="M493" s="120" t="str">
        <f t="shared" si="43"/>
        <v xml:space="preserve">Productos químicos para la limpieza de alfombras </v>
      </c>
      <c r="N493" s="120" t="str">
        <f t="shared" si="45"/>
        <v xml:space="preserve">Productos químicos para la limpieza de alfombras </v>
      </c>
      <c r="O493" s="2" t="e">
        <f>VLOOKUP(N493,'Bridge matrix'!$D$3:$E$731,2,FALSE)</f>
        <v>#N/A</v>
      </c>
      <c r="Q493" s="18"/>
      <c r="R493" s="80"/>
      <c r="S493" s="80"/>
      <c r="T493" s="80"/>
    </row>
    <row r="494" spans="1:20" x14ac:dyDescent="0.25">
      <c r="A494" s="2" t="s">
        <v>593</v>
      </c>
      <c r="B494" s="2" t="s">
        <v>893</v>
      </c>
      <c r="C494" s="2" t="s">
        <v>663</v>
      </c>
      <c r="D494" s="2" t="s">
        <v>598</v>
      </c>
      <c r="F494" s="2" t="s">
        <v>1605</v>
      </c>
      <c r="G494" s="2" t="str">
        <f t="shared" si="41"/>
        <v>05.6.1.033</v>
      </c>
      <c r="H494" s="83" t="s">
        <v>2165</v>
      </c>
      <c r="I494" s="83" t="str">
        <f t="shared" si="44"/>
        <v>0561033</v>
      </c>
      <c r="J494" s="2" t="s">
        <v>2203</v>
      </c>
      <c r="K494" s="120" t="str">
        <f>IFERROR(VLOOKUP(H494,'Bridge matrix'!$A$3:$E$731,3,FALSE),"no")</f>
        <v xml:space="preserve">Quita manchas (alfombras, muebles…etc.) </v>
      </c>
      <c r="L494" s="120" t="str">
        <f t="shared" si="42"/>
        <v xml:space="preserve">Quita manchas (alfombras, muebles…etc.) </v>
      </c>
      <c r="M494" s="120" t="str">
        <f t="shared" si="43"/>
        <v xml:space="preserve">Quita manchas (alfombras, muebles…etc.) </v>
      </c>
      <c r="N494" s="120" t="str">
        <f t="shared" si="45"/>
        <v xml:space="preserve">Quita manchas (alfombras, muebles…etc.) </v>
      </c>
      <c r="O494" s="2" t="e">
        <f>VLOOKUP(N494,'Bridge matrix'!$D$3:$E$731,2,FALSE)</f>
        <v>#N/A</v>
      </c>
      <c r="Q494" s="18"/>
      <c r="R494" s="80"/>
      <c r="S494" s="80"/>
      <c r="T494" s="80"/>
    </row>
    <row r="495" spans="1:20" x14ac:dyDescent="0.25">
      <c r="A495" s="2" t="s">
        <v>593</v>
      </c>
      <c r="B495" s="2" t="s">
        <v>893</v>
      </c>
      <c r="C495" s="2" t="s">
        <v>663</v>
      </c>
      <c r="D495" s="2" t="s">
        <v>598</v>
      </c>
      <c r="F495" s="2" t="s">
        <v>1606</v>
      </c>
      <c r="G495" s="2" t="str">
        <f t="shared" si="41"/>
        <v>05.6.1.034</v>
      </c>
      <c r="H495" s="83" t="s">
        <v>2166</v>
      </c>
      <c r="I495" s="83" t="str">
        <f t="shared" si="44"/>
        <v>0561034</v>
      </c>
      <c r="J495" s="2" t="s">
        <v>2204</v>
      </c>
      <c r="K495" s="120" t="str">
        <f>IFERROR(VLOOKUP(H495,'Bridge matrix'!$A$3:$E$731,3,FALSE),"no")</f>
        <v>Sosa cáustica</v>
      </c>
      <c r="L495" s="120" t="str">
        <f t="shared" si="42"/>
        <v>Sosa cáustica</v>
      </c>
      <c r="M495" s="120" t="str">
        <f t="shared" si="43"/>
        <v>Sosa cáustica</v>
      </c>
      <c r="N495" s="120" t="str">
        <f t="shared" si="45"/>
        <v>Sosa cáustica</v>
      </c>
      <c r="O495" s="2" t="e">
        <f>VLOOKUP(N495,'Bridge matrix'!$D$3:$E$731,2,FALSE)</f>
        <v>#N/A</v>
      </c>
      <c r="Q495" s="18"/>
      <c r="R495" s="80"/>
      <c r="S495" s="80"/>
      <c r="T495" s="80"/>
    </row>
    <row r="496" spans="1:20" x14ac:dyDescent="0.25">
      <c r="A496" s="2" t="s">
        <v>593</v>
      </c>
      <c r="B496" s="2" t="s">
        <v>893</v>
      </c>
      <c r="C496" s="2" t="s">
        <v>663</v>
      </c>
      <c r="D496" s="2" t="s">
        <v>598</v>
      </c>
      <c r="F496" s="2" t="s">
        <v>1607</v>
      </c>
      <c r="G496" s="2" t="str">
        <f t="shared" si="41"/>
        <v>05.6.1.035</v>
      </c>
      <c r="H496" s="83" t="s">
        <v>2167</v>
      </c>
      <c r="I496" s="83" t="str">
        <f t="shared" si="44"/>
        <v>0561035</v>
      </c>
      <c r="J496" s="2" t="s">
        <v>2205</v>
      </c>
      <c r="K496" s="120" t="str">
        <f>IFERROR(VLOOKUP(H496,'Bridge matrix'!$A$3:$E$731,3,FALSE),"no")</f>
        <v xml:space="preserve">Suavizantes de ropa (acondicionador) </v>
      </c>
      <c r="L496" s="120" t="str">
        <f t="shared" si="42"/>
        <v xml:space="preserve">Suavizantes de ropa (acondicionador) </v>
      </c>
      <c r="M496" s="120" t="str">
        <f t="shared" si="43"/>
        <v xml:space="preserve">Suavizantes de ropa (acondicionador) </v>
      </c>
      <c r="N496" s="120" t="str">
        <f t="shared" si="45"/>
        <v xml:space="preserve">Suavizantes de ropa (acondicionador) </v>
      </c>
      <c r="O496" s="2" t="e">
        <f>VLOOKUP(N496,'Bridge matrix'!$D$3:$E$731,2,FALSE)</f>
        <v>#N/A</v>
      </c>
      <c r="Q496" s="18"/>
      <c r="R496" s="80"/>
      <c r="S496" s="80"/>
      <c r="T496" s="80"/>
    </row>
    <row r="497" spans="1:20" x14ac:dyDescent="0.25">
      <c r="A497" s="2" t="s">
        <v>593</v>
      </c>
      <c r="B497" s="2" t="s">
        <v>893</v>
      </c>
      <c r="C497" s="2" t="s">
        <v>663</v>
      </c>
      <c r="D497" s="2" t="s">
        <v>598</v>
      </c>
      <c r="F497" s="2" t="s">
        <v>1608</v>
      </c>
      <c r="G497" s="2" t="str">
        <f t="shared" si="41"/>
        <v>05.6.1.036</v>
      </c>
      <c r="H497" s="83" t="s">
        <v>2168</v>
      </c>
      <c r="I497" s="83" t="str">
        <f t="shared" si="44"/>
        <v>0561036</v>
      </c>
      <c r="J497" s="2" t="s">
        <v>2206</v>
      </c>
      <c r="K497" s="120" t="str">
        <f>IFERROR(VLOOKUP(H497,'Bridge matrix'!$A$3:$E$731,3,FALSE),"no")</f>
        <v>Tinta para ropa y otros tejidos</v>
      </c>
      <c r="L497" s="120" t="str">
        <f t="shared" si="42"/>
        <v>Tinta para ropa y otros tejidos</v>
      </c>
      <c r="M497" s="120" t="str">
        <f t="shared" si="43"/>
        <v>Tinta para ropa y otros tejidos</v>
      </c>
      <c r="N497" s="120" t="str">
        <f t="shared" si="45"/>
        <v>Tinta para ropa y otros tejidos</v>
      </c>
      <c r="O497" s="2" t="e">
        <f>VLOOKUP(N497,'Bridge matrix'!$D$3:$E$731,2,FALSE)</f>
        <v>#N/A</v>
      </c>
      <c r="Q497" s="18"/>
      <c r="R497" s="80"/>
      <c r="S497" s="80"/>
      <c r="T497" s="80"/>
    </row>
    <row r="498" spans="1:20" x14ac:dyDescent="0.25">
      <c r="A498" s="2" t="s">
        <v>593</v>
      </c>
      <c r="B498" s="2" t="s">
        <v>893</v>
      </c>
      <c r="C498" s="2" t="s">
        <v>663</v>
      </c>
      <c r="D498" s="2" t="s">
        <v>598</v>
      </c>
      <c r="F498" s="2" t="s">
        <v>1609</v>
      </c>
      <c r="G498" s="2" t="str">
        <f t="shared" si="41"/>
        <v>05.6.1.037</v>
      </c>
      <c r="H498" s="83" t="s">
        <v>2169</v>
      </c>
      <c r="I498" s="83" t="str">
        <f t="shared" si="44"/>
        <v>0561037</v>
      </c>
      <c r="J498" s="2" t="s">
        <v>2207</v>
      </c>
      <c r="K498" s="120" t="str">
        <f>IFERROR(VLOOKUP(H498,'Bridge matrix'!$A$3:$E$731,3,FALSE),"no")</f>
        <v>Veneno para ratas</v>
      </c>
      <c r="L498" s="120" t="str">
        <f t="shared" si="42"/>
        <v>Veneno para ratas</v>
      </c>
      <c r="M498" s="120" t="str">
        <f t="shared" si="43"/>
        <v>Veneno para ratas</v>
      </c>
      <c r="N498" s="120" t="str">
        <f t="shared" si="45"/>
        <v>Veneno para ratas</v>
      </c>
      <c r="O498" s="2" t="e">
        <f>VLOOKUP(N498,'Bridge matrix'!$D$3:$E$731,2,FALSE)</f>
        <v>#N/A</v>
      </c>
      <c r="Q498" s="18"/>
      <c r="R498" s="80"/>
      <c r="S498" s="80"/>
      <c r="T498" s="80"/>
    </row>
    <row r="499" spans="1:20" x14ac:dyDescent="0.25">
      <c r="A499" s="2" t="s">
        <v>593</v>
      </c>
      <c r="B499" s="2" t="s">
        <v>893</v>
      </c>
      <c r="C499" s="2" t="s">
        <v>663</v>
      </c>
      <c r="D499" s="2" t="s">
        <v>598</v>
      </c>
      <c r="F499" s="2" t="s">
        <v>1610</v>
      </c>
      <c r="G499" s="2" t="str">
        <f t="shared" si="41"/>
        <v>05.6.1.038</v>
      </c>
      <c r="H499" s="83" t="s">
        <v>2170</v>
      </c>
      <c r="I499" s="83" t="str">
        <f t="shared" si="44"/>
        <v>0561038</v>
      </c>
      <c r="J499" s="2" t="s">
        <v>2208</v>
      </c>
      <c r="K499" s="120" t="str">
        <f>IFERROR(VLOOKUP(H499,'Bridge matrix'!$A$3:$E$731,3,FALSE),"no")</f>
        <v>Otro tipo de desinfectantes (creso)</v>
      </c>
      <c r="L499" s="120" t="str">
        <f t="shared" si="42"/>
        <v>Otro tipo de desinfectantes (creso)</v>
      </c>
      <c r="M499" s="120" t="str">
        <f t="shared" si="43"/>
        <v>Otro tipo de desinfectantes (creso)</v>
      </c>
      <c r="N499" s="120" t="str">
        <f t="shared" si="45"/>
        <v>Otro tipo de desinfectantes (creso)</v>
      </c>
      <c r="O499" s="2" t="e">
        <f>VLOOKUP(N499,'Bridge matrix'!$D$3:$E$731,2,FALSE)</f>
        <v>#N/A</v>
      </c>
      <c r="Q499" s="18"/>
      <c r="R499" s="80"/>
      <c r="S499" s="80"/>
      <c r="T499" s="80"/>
    </row>
    <row r="500" spans="1:20" x14ac:dyDescent="0.25">
      <c r="A500" s="2" t="s">
        <v>593</v>
      </c>
      <c r="B500" s="2" t="s">
        <v>893</v>
      </c>
      <c r="C500" s="2" t="s">
        <v>663</v>
      </c>
      <c r="D500" s="2" t="s">
        <v>598</v>
      </c>
      <c r="F500" s="2" t="s">
        <v>1247</v>
      </c>
      <c r="G500" s="2" t="str">
        <f t="shared" si="41"/>
        <v>05.6.1.099</v>
      </c>
      <c r="H500" s="83" t="s">
        <v>2171</v>
      </c>
      <c r="I500" s="83" t="str">
        <f t="shared" si="44"/>
        <v>0561099</v>
      </c>
      <c r="J500" s="2" t="s">
        <v>2209</v>
      </c>
      <c r="K500" s="120" t="str">
        <f>IFERROR(VLOOKUP(H500,'Bridge matrix'!$A$3:$E$731,3,FALSE),"no")</f>
        <v>Otros productos de limpieza y mantenimiento</v>
      </c>
      <c r="L500" s="120" t="str">
        <f t="shared" si="42"/>
        <v>Otros productos de limpieza y mantenimiento</v>
      </c>
      <c r="M500" s="120" t="str">
        <f t="shared" si="43"/>
        <v>Otros productos de limpieza y mantenimiento</v>
      </c>
      <c r="N500" s="120" t="str">
        <f t="shared" si="45"/>
        <v>Otros productos de limpieza y mantenimiento</v>
      </c>
      <c r="O500" s="2" t="e">
        <f>VLOOKUP(N500,'Bridge matrix'!$D$3:$E$731,2,FALSE)</f>
        <v>#N/A</v>
      </c>
      <c r="Q500" s="18"/>
      <c r="R500" s="80"/>
      <c r="S500" s="80"/>
      <c r="T500" s="80"/>
    </row>
    <row r="501" spans="1:20" x14ac:dyDescent="0.25">
      <c r="A501" s="2" t="s">
        <v>592</v>
      </c>
      <c r="B501" s="2" t="s">
        <v>893</v>
      </c>
      <c r="C501" s="2" t="s">
        <v>663</v>
      </c>
      <c r="D501" s="2" t="s">
        <v>598</v>
      </c>
      <c r="E501" s="2" t="s">
        <v>605</v>
      </c>
      <c r="F501" s="2" t="s">
        <v>596</v>
      </c>
      <c r="G501" s="2" t="str">
        <f t="shared" si="41"/>
        <v>05.6.1.100</v>
      </c>
      <c r="H501" s="83" t="s">
        <v>969</v>
      </c>
      <c r="I501" s="83" t="str">
        <f t="shared" si="44"/>
        <v>0561100</v>
      </c>
      <c r="J501" s="2" t="s">
        <v>970</v>
      </c>
      <c r="K501" s="120" t="str">
        <f>IFERROR(VLOOKUP(H501,'Bridge matrix'!$A$3:$E$731,3,FALSE),"no")</f>
        <v>Otros productos no duraderos para el hogar</v>
      </c>
      <c r="L501" s="120" t="str">
        <f t="shared" si="42"/>
        <v>Otros productos no duraderos para el hogar</v>
      </c>
      <c r="M501" s="120" t="str">
        <f t="shared" si="43"/>
        <v>Otros productos no duraderos para el hogar</v>
      </c>
      <c r="N501" s="120" t="str">
        <f t="shared" si="45"/>
        <v>Otros productos no duraderos para el hogar</v>
      </c>
      <c r="O501" s="2" t="e">
        <f>VLOOKUP(N501,'Bridge matrix'!$D$3:$E$731,2,FALSE)</f>
        <v>#N/A</v>
      </c>
      <c r="Q501" s="18"/>
      <c r="R501" s="80"/>
      <c r="S501" s="80"/>
      <c r="T501" s="80"/>
    </row>
    <row r="502" spans="1:20" x14ac:dyDescent="0.25">
      <c r="A502" s="2" t="s">
        <v>593</v>
      </c>
      <c r="B502" s="2" t="s">
        <v>893</v>
      </c>
      <c r="C502" s="2" t="s">
        <v>663</v>
      </c>
      <c r="D502" s="2" t="s">
        <v>598</v>
      </c>
      <c r="F502" s="2" t="s">
        <v>1563</v>
      </c>
      <c r="G502" s="2" t="str">
        <f t="shared" si="41"/>
        <v>05.6.1.101</v>
      </c>
      <c r="H502" s="83" t="s">
        <v>2250</v>
      </c>
      <c r="I502" s="83" t="str">
        <f t="shared" si="44"/>
        <v>0561101</v>
      </c>
      <c r="J502" s="2" t="s">
        <v>2301</v>
      </c>
      <c r="K502" s="120" t="str">
        <f>IFERROR(VLOOKUP(H502,'Bridge matrix'!$A$3:$E$731,3,FALSE),"no")</f>
        <v>Adhesivos y cintas adhesivas de uso domestico</v>
      </c>
      <c r="L502" s="120" t="str">
        <f t="shared" si="42"/>
        <v>Adhesivos y cintas adhesivas de uso domestico</v>
      </c>
      <c r="M502" s="120" t="str">
        <f t="shared" si="43"/>
        <v>Adhesivos y cintas adhesivas de uso domestico</v>
      </c>
      <c r="N502" s="120" t="str">
        <f t="shared" si="45"/>
        <v>Adhesivos y cintas adhesivas de uso domestico</v>
      </c>
      <c r="O502" s="2" t="e">
        <f>VLOOKUP(N502,'Bridge matrix'!$D$3:$E$731,2,FALSE)</f>
        <v>#N/A</v>
      </c>
      <c r="Q502" s="18"/>
      <c r="R502" s="80"/>
      <c r="S502" s="80"/>
      <c r="T502" s="80"/>
    </row>
    <row r="503" spans="1:20" x14ac:dyDescent="0.25">
      <c r="A503" s="2" t="s">
        <v>593</v>
      </c>
      <c r="B503" s="2" t="s">
        <v>893</v>
      </c>
      <c r="C503" s="2" t="s">
        <v>663</v>
      </c>
      <c r="D503" s="2" t="s">
        <v>598</v>
      </c>
      <c r="F503" s="2" t="s">
        <v>1564</v>
      </c>
      <c r="G503" s="2" t="str">
        <f t="shared" si="41"/>
        <v>05.6.1.102</v>
      </c>
      <c r="H503" s="83" t="s">
        <v>2251</v>
      </c>
      <c r="I503" s="83" t="str">
        <f t="shared" si="44"/>
        <v>0561102</v>
      </c>
      <c r="J503" s="2" t="s">
        <v>2302</v>
      </c>
      <c r="K503" s="120" t="str">
        <f>IFERROR(VLOOKUP(H503,'Bridge matrix'!$A$3:$E$731,3,FALSE),"no")</f>
        <v>Agujas de coser</v>
      </c>
      <c r="L503" s="120" t="str">
        <f t="shared" si="42"/>
        <v>Agujas de coser</v>
      </c>
      <c r="M503" s="120" t="str">
        <f t="shared" si="43"/>
        <v>Agujas de coser</v>
      </c>
      <c r="N503" s="120" t="str">
        <f t="shared" si="45"/>
        <v>Agujas de coser</v>
      </c>
      <c r="O503" s="2" t="e">
        <f>VLOOKUP(N503,'Bridge matrix'!$D$3:$E$731,2,FALSE)</f>
        <v>#N/A</v>
      </c>
      <c r="Q503" s="18"/>
      <c r="R503" s="80"/>
      <c r="S503" s="80"/>
      <c r="T503" s="80"/>
    </row>
    <row r="504" spans="1:20" x14ac:dyDescent="0.25">
      <c r="A504" s="2" t="s">
        <v>593</v>
      </c>
      <c r="B504" s="2" t="s">
        <v>893</v>
      </c>
      <c r="C504" s="2" t="s">
        <v>663</v>
      </c>
      <c r="D504" s="2" t="s">
        <v>598</v>
      </c>
      <c r="F504" s="2" t="s">
        <v>1565</v>
      </c>
      <c r="G504" s="2" t="str">
        <f t="shared" si="41"/>
        <v>05.6.1.103</v>
      </c>
      <c r="H504" s="83" t="s">
        <v>2252</v>
      </c>
      <c r="I504" s="83" t="str">
        <f t="shared" si="44"/>
        <v>0561103</v>
      </c>
      <c r="J504" s="2" t="s">
        <v>2303</v>
      </c>
      <c r="K504" s="120" t="str">
        <f>IFERROR(VLOOKUP(H504,'Bridge matrix'!$A$3:$E$731,3,FALSE),"no")</f>
        <v>Agujas de tejer, crochet</v>
      </c>
      <c r="L504" s="120" t="str">
        <f t="shared" si="42"/>
        <v>Agujas de tejer, crochet</v>
      </c>
      <c r="M504" s="120" t="str">
        <f t="shared" si="43"/>
        <v>Agujas de tejer, crochet</v>
      </c>
      <c r="N504" s="120" t="str">
        <f t="shared" si="45"/>
        <v>Agujas de tejer, crochet</v>
      </c>
      <c r="O504" s="2" t="e">
        <f>VLOOKUP(N504,'Bridge matrix'!$D$3:$E$731,2,FALSE)</f>
        <v>#N/A</v>
      </c>
      <c r="Q504" s="18"/>
      <c r="R504" s="80"/>
      <c r="S504" s="80"/>
      <c r="T504" s="80"/>
    </row>
    <row r="505" spans="1:20" x14ac:dyDescent="0.25">
      <c r="A505" s="2" t="s">
        <v>593</v>
      </c>
      <c r="B505" s="2" t="s">
        <v>893</v>
      </c>
      <c r="C505" s="2" t="s">
        <v>663</v>
      </c>
      <c r="D505" s="2" t="s">
        <v>598</v>
      </c>
      <c r="F505" s="2" t="s">
        <v>1566</v>
      </c>
      <c r="G505" s="2" t="str">
        <f t="shared" si="41"/>
        <v>05.6.1.104</v>
      </c>
      <c r="H505" s="83" t="s">
        <v>2253</v>
      </c>
      <c r="I505" s="83" t="str">
        <f t="shared" si="44"/>
        <v>0561104</v>
      </c>
      <c r="J505" s="2" t="s">
        <v>2304</v>
      </c>
      <c r="K505" s="120" t="str">
        <f>IFERROR(VLOOKUP(H505,'Bridge matrix'!$A$3:$E$731,3,FALSE),"no")</f>
        <v>Alcoholes desnaturalizados</v>
      </c>
      <c r="L505" s="120" t="str">
        <f t="shared" si="42"/>
        <v>Alcoholes desnaturalizados</v>
      </c>
      <c r="M505" s="120" t="str">
        <f t="shared" si="43"/>
        <v>Alcoholes desnaturalizados</v>
      </c>
      <c r="N505" s="120" t="str">
        <f t="shared" si="45"/>
        <v>Alcoholes desnaturalizados</v>
      </c>
      <c r="O505" s="2" t="e">
        <f>VLOOKUP(N505,'Bridge matrix'!$D$3:$E$731,2,FALSE)</f>
        <v>#N/A</v>
      </c>
      <c r="Q505" s="18"/>
      <c r="R505" s="80"/>
      <c r="S505" s="80"/>
      <c r="T505" s="80"/>
    </row>
    <row r="506" spans="1:20" x14ac:dyDescent="0.25">
      <c r="A506" s="2" t="s">
        <v>593</v>
      </c>
      <c r="B506" s="2" t="s">
        <v>893</v>
      </c>
      <c r="C506" s="2" t="s">
        <v>663</v>
      </c>
      <c r="D506" s="2" t="s">
        <v>598</v>
      </c>
      <c r="F506" s="2" t="s">
        <v>1567</v>
      </c>
      <c r="G506" s="2" t="str">
        <f t="shared" si="41"/>
        <v>05.6.1.105</v>
      </c>
      <c r="H506" s="83" t="s">
        <v>2254</v>
      </c>
      <c r="I506" s="83" t="str">
        <f t="shared" si="44"/>
        <v>0561105</v>
      </c>
      <c r="J506" s="2" t="s">
        <v>2305</v>
      </c>
      <c r="K506" s="120" t="str">
        <f>IFERROR(VLOOKUP(H506,'Bridge matrix'!$A$3:$E$731,3,FALSE),"no")</f>
        <v>Alfileres</v>
      </c>
      <c r="L506" s="120" t="str">
        <f t="shared" si="42"/>
        <v>Alfileres</v>
      </c>
      <c r="M506" s="120" t="str">
        <f t="shared" si="43"/>
        <v>Alfileres</v>
      </c>
      <c r="N506" s="120" t="str">
        <f t="shared" si="45"/>
        <v>Alfileres</v>
      </c>
      <c r="O506" s="2" t="e">
        <f>VLOOKUP(N506,'Bridge matrix'!$D$3:$E$731,2,FALSE)</f>
        <v>#N/A</v>
      </c>
      <c r="Q506" s="18"/>
      <c r="R506" s="80"/>
      <c r="S506" s="80"/>
      <c r="T506" s="80"/>
    </row>
    <row r="507" spans="1:20" x14ac:dyDescent="0.25">
      <c r="A507" s="2" t="s">
        <v>593</v>
      </c>
      <c r="B507" s="2" t="s">
        <v>893</v>
      </c>
      <c r="C507" s="2" t="s">
        <v>663</v>
      </c>
      <c r="D507" s="2" t="s">
        <v>598</v>
      </c>
      <c r="F507" s="2" t="s">
        <v>1568</v>
      </c>
      <c r="G507" s="2" t="str">
        <f t="shared" si="41"/>
        <v>05.6.1.106</v>
      </c>
      <c r="H507" s="83" t="s">
        <v>2255</v>
      </c>
      <c r="I507" s="83" t="str">
        <f t="shared" si="44"/>
        <v>0561106</v>
      </c>
      <c r="J507" s="2" t="s">
        <v>2306</v>
      </c>
      <c r="K507" s="120" t="str">
        <f>IFERROR(VLOOKUP(H507,'Bridge matrix'!$A$3:$E$731,3,FALSE),"no")</f>
        <v>Bolsa para aspiradora</v>
      </c>
      <c r="L507" s="120" t="str">
        <f t="shared" si="42"/>
        <v>Bolsa para aspiradora</v>
      </c>
      <c r="M507" s="120" t="str">
        <f t="shared" si="43"/>
        <v>Bolsa para aspiradora</v>
      </c>
      <c r="N507" s="120" t="str">
        <f t="shared" si="45"/>
        <v>Bolsa para aspiradora</v>
      </c>
      <c r="O507" s="2" t="e">
        <f>VLOOKUP(N507,'Bridge matrix'!$D$3:$E$731,2,FALSE)</f>
        <v>#N/A</v>
      </c>
      <c r="Q507" s="18"/>
      <c r="R507" s="80"/>
      <c r="S507" s="80"/>
      <c r="T507" s="80"/>
    </row>
    <row r="508" spans="1:20" x14ac:dyDescent="0.25">
      <c r="A508" s="2" t="s">
        <v>593</v>
      </c>
      <c r="B508" s="2" t="s">
        <v>893</v>
      </c>
      <c r="C508" s="2" t="s">
        <v>663</v>
      </c>
      <c r="D508" s="2" t="s">
        <v>598</v>
      </c>
      <c r="F508" s="2" t="s">
        <v>1569</v>
      </c>
      <c r="G508" s="2" t="str">
        <f t="shared" si="41"/>
        <v>05.6.1.107</v>
      </c>
      <c r="H508" s="83" t="s">
        <v>2256</v>
      </c>
      <c r="I508" s="83" t="str">
        <f t="shared" si="44"/>
        <v>0561107</v>
      </c>
      <c r="J508" s="2" t="s">
        <v>2307</v>
      </c>
      <c r="K508" s="120" t="str">
        <f>IFERROR(VLOOKUP(H508,'Bridge matrix'!$A$3:$E$731,3,FALSE),"no")</f>
        <v>Cepillo para lavar botellas</v>
      </c>
      <c r="L508" s="120" t="str">
        <f t="shared" si="42"/>
        <v>Cepillo para lavar botellas</v>
      </c>
      <c r="M508" s="120" t="str">
        <f t="shared" si="43"/>
        <v>Cepillo para lavar botellas</v>
      </c>
      <c r="N508" s="120" t="str">
        <f t="shared" si="45"/>
        <v>Cepillo para lavar botellas</v>
      </c>
      <c r="O508" s="2" t="e">
        <f>VLOOKUP(N508,'Bridge matrix'!$D$3:$E$731,2,FALSE)</f>
        <v>#N/A</v>
      </c>
      <c r="Q508" s="18"/>
      <c r="R508" s="80"/>
      <c r="S508" s="80"/>
      <c r="T508" s="80"/>
    </row>
    <row r="509" spans="1:20" x14ac:dyDescent="0.25">
      <c r="A509" s="2" t="s">
        <v>593</v>
      </c>
      <c r="B509" s="2" t="s">
        <v>893</v>
      </c>
      <c r="C509" s="2" t="s">
        <v>663</v>
      </c>
      <c r="D509" s="2" t="s">
        <v>598</v>
      </c>
      <c r="F509" s="2" t="s">
        <v>1570</v>
      </c>
      <c r="G509" s="2" t="str">
        <f t="shared" si="41"/>
        <v>05.6.1.108</v>
      </c>
      <c r="H509" s="83" t="s">
        <v>2257</v>
      </c>
      <c r="I509" s="83" t="str">
        <f t="shared" si="44"/>
        <v>0561108</v>
      </c>
      <c r="J509" s="2" t="s">
        <v>2308</v>
      </c>
      <c r="K509" s="120" t="str">
        <f>IFERROR(VLOOKUP(H509,'Bridge matrix'!$A$3:$E$731,3,FALSE),"no")</f>
        <v>Cepillo para limpiar la ropa</v>
      </c>
      <c r="L509" s="120" t="str">
        <f t="shared" si="42"/>
        <v>Cepillo para limpiar la ropa</v>
      </c>
      <c r="M509" s="120" t="str">
        <f t="shared" si="43"/>
        <v>Cepillo para limpiar la ropa</v>
      </c>
      <c r="N509" s="120" t="str">
        <f t="shared" si="45"/>
        <v>Cepillo para limpiar la ropa</v>
      </c>
      <c r="O509" s="2" t="e">
        <f>VLOOKUP(N509,'Bridge matrix'!$D$3:$E$731,2,FALSE)</f>
        <v>#N/A</v>
      </c>
      <c r="Q509" s="18"/>
      <c r="R509" s="80"/>
      <c r="S509" s="80"/>
      <c r="T509" s="80"/>
    </row>
    <row r="510" spans="1:20" x14ac:dyDescent="0.25">
      <c r="A510" s="2" t="s">
        <v>593</v>
      </c>
      <c r="B510" s="2" t="s">
        <v>893</v>
      </c>
      <c r="C510" s="2" t="s">
        <v>663</v>
      </c>
      <c r="D510" s="2" t="s">
        <v>598</v>
      </c>
      <c r="F510" s="2" t="s">
        <v>1571</v>
      </c>
      <c r="G510" s="2" t="str">
        <f t="shared" si="41"/>
        <v>05.6.1.109</v>
      </c>
      <c r="H510" s="83" t="s">
        <v>2258</v>
      </c>
      <c r="I510" s="83" t="str">
        <f t="shared" si="44"/>
        <v>0561109</v>
      </c>
      <c r="J510" s="2" t="s">
        <v>2309</v>
      </c>
      <c r="K510" s="120" t="str">
        <f>IFERROR(VLOOKUP(H510,'Bridge matrix'!$A$3:$E$731,3,FALSE),"no")</f>
        <v>Cepillo para restregar la ropa</v>
      </c>
      <c r="L510" s="120" t="str">
        <f t="shared" si="42"/>
        <v>Cepillo para restregar la ropa</v>
      </c>
      <c r="M510" s="120" t="str">
        <f t="shared" si="43"/>
        <v>Cepillo para restregar la ropa</v>
      </c>
      <c r="N510" s="120" t="str">
        <f t="shared" si="45"/>
        <v>Cepillo para restregar la ropa</v>
      </c>
      <c r="O510" s="2" t="e">
        <f>VLOOKUP(N510,'Bridge matrix'!$D$3:$E$731,2,FALSE)</f>
        <v>#N/A</v>
      </c>
      <c r="Q510" s="18"/>
      <c r="R510" s="80"/>
      <c r="S510" s="80"/>
      <c r="T510" s="80"/>
    </row>
    <row r="511" spans="1:20" x14ac:dyDescent="0.25">
      <c r="A511" s="2" t="s">
        <v>593</v>
      </c>
      <c r="B511" s="2" t="s">
        <v>893</v>
      </c>
      <c r="C511" s="2" t="s">
        <v>663</v>
      </c>
      <c r="D511" s="2" t="s">
        <v>598</v>
      </c>
      <c r="F511" s="2" t="s">
        <v>1572</v>
      </c>
      <c r="G511" s="2" t="str">
        <f t="shared" si="41"/>
        <v>05.6.1.110</v>
      </c>
      <c r="H511" s="83" t="s">
        <v>2259</v>
      </c>
      <c r="I511" s="83" t="str">
        <f t="shared" si="44"/>
        <v>0561110</v>
      </c>
      <c r="J511" s="2" t="s">
        <v>2310</v>
      </c>
      <c r="K511" s="120" t="str">
        <f>IFERROR(VLOOKUP(H511,'Bridge matrix'!$A$3:$E$731,3,FALSE),"no")</f>
        <v>Clavos, tornillos</v>
      </c>
      <c r="L511" s="120" t="str">
        <f t="shared" si="42"/>
        <v>Clavos, tornillos</v>
      </c>
      <c r="M511" s="120" t="str">
        <f t="shared" si="43"/>
        <v>Clavos, tornillos</v>
      </c>
      <c r="N511" s="120" t="str">
        <f t="shared" si="45"/>
        <v>Clavos, tornillos</v>
      </c>
      <c r="O511" s="2" t="e">
        <f>VLOOKUP(N511,'Bridge matrix'!$D$3:$E$731,2,FALSE)</f>
        <v>#N/A</v>
      </c>
      <c r="Q511" s="18"/>
      <c r="R511" s="80"/>
      <c r="S511" s="80"/>
      <c r="T511" s="80"/>
    </row>
    <row r="512" spans="1:20" x14ac:dyDescent="0.25">
      <c r="A512" s="2" t="s">
        <v>593</v>
      </c>
      <c r="B512" s="2" t="s">
        <v>893</v>
      </c>
      <c r="C512" s="2" t="s">
        <v>663</v>
      </c>
      <c r="D512" s="2" t="s">
        <v>598</v>
      </c>
      <c r="F512" s="2" t="s">
        <v>1573</v>
      </c>
      <c r="G512" s="2" t="str">
        <f t="shared" si="41"/>
        <v>05.6.1.111</v>
      </c>
      <c r="H512" s="83" t="s">
        <v>2260</v>
      </c>
      <c r="I512" s="83" t="str">
        <f t="shared" si="44"/>
        <v>0561111</v>
      </c>
      <c r="J512" s="2" t="s">
        <v>2311</v>
      </c>
      <c r="K512" s="120" t="str">
        <f>IFERROR(VLOOKUP(H512,'Bridge matrix'!$A$3:$E$731,3,FALSE),"no")</f>
        <v>Colgadores</v>
      </c>
      <c r="L512" s="120" t="str">
        <f t="shared" si="42"/>
        <v>Colgadores</v>
      </c>
      <c r="M512" s="120" t="str">
        <f t="shared" si="43"/>
        <v>Colgadores</v>
      </c>
      <c r="N512" s="120" t="str">
        <f t="shared" si="45"/>
        <v>Colgadores</v>
      </c>
      <c r="O512" s="2" t="e">
        <f>VLOOKUP(N512,'Bridge matrix'!$D$3:$E$731,2,FALSE)</f>
        <v>#N/A</v>
      </c>
      <c r="Q512" s="18"/>
      <c r="R512" s="80"/>
      <c r="S512" s="80"/>
      <c r="T512" s="80"/>
    </row>
    <row r="513" spans="1:20" x14ac:dyDescent="0.25">
      <c r="A513" s="2" t="s">
        <v>593</v>
      </c>
      <c r="B513" s="2" t="s">
        <v>893</v>
      </c>
      <c r="C513" s="2" t="s">
        <v>663</v>
      </c>
      <c r="D513" s="2" t="s">
        <v>598</v>
      </c>
      <c r="F513" s="2" t="s">
        <v>2211</v>
      </c>
      <c r="G513" s="2" t="str">
        <f t="shared" si="41"/>
        <v>05.6.1.112</v>
      </c>
      <c r="H513" s="83" t="s">
        <v>2261</v>
      </c>
      <c r="I513" s="83" t="str">
        <f t="shared" si="44"/>
        <v>0561112</v>
      </c>
      <c r="J513" s="2" t="s">
        <v>2312</v>
      </c>
      <c r="K513" s="120" t="str">
        <f>IFERROR(VLOOKUP(H513,'Bridge matrix'!$A$3:$E$731,3,FALSE),"no")</f>
        <v>Cuerdas y cordeles</v>
      </c>
      <c r="L513" s="120" t="str">
        <f t="shared" si="42"/>
        <v>Cuerdas y cordeles</v>
      </c>
      <c r="M513" s="120" t="str">
        <f t="shared" si="43"/>
        <v>Cuerdas y cordeles</v>
      </c>
      <c r="N513" s="120" t="str">
        <f t="shared" si="45"/>
        <v>Cuerdas y cordeles</v>
      </c>
      <c r="O513" s="2" t="e">
        <f>VLOOKUP(N513,'Bridge matrix'!$D$3:$E$731,2,FALSE)</f>
        <v>#N/A</v>
      </c>
      <c r="Q513" s="18"/>
      <c r="R513" s="80"/>
      <c r="S513" s="80"/>
      <c r="T513" s="80"/>
    </row>
    <row r="514" spans="1:20" x14ac:dyDescent="0.25">
      <c r="A514" s="2" t="s">
        <v>593</v>
      </c>
      <c r="B514" s="2" t="s">
        <v>893</v>
      </c>
      <c r="C514" s="2" t="s">
        <v>663</v>
      </c>
      <c r="D514" s="2" t="s">
        <v>598</v>
      </c>
      <c r="F514" s="2" t="s">
        <v>2212</v>
      </c>
      <c r="G514" s="2" t="str">
        <f t="shared" si="41"/>
        <v>05.6.1.113</v>
      </c>
      <c r="H514" s="83" t="s">
        <v>2262</v>
      </c>
      <c r="I514" s="83" t="str">
        <f t="shared" si="44"/>
        <v>0561113</v>
      </c>
      <c r="J514" s="2" t="s">
        <v>2313</v>
      </c>
      <c r="K514" s="120" t="str">
        <f>IFERROR(VLOOKUP(H514,'Bridge matrix'!$A$3:$E$731,3,FALSE),"no")</f>
        <v>Dedal</v>
      </c>
      <c r="L514" s="120" t="str">
        <f t="shared" ref="L514:L577" si="46">IF(AND(H514=LEFT(H515,LEN(H514)),L515&lt;&gt;"no"),"ll",IF(K514="no","no",K514))</f>
        <v>Dedal</v>
      </c>
      <c r="M514" s="120" t="str">
        <f t="shared" ref="M514:M577" si="47">IF(L514&lt;&gt;"no",L514,IF(VLOOKUP(LEFT(H514,6),$H$2:$K$714,3,FALSE)="ll","no",VLOOKUP(LEFT(H514,6),$H$2:$K$714,3,FALSE)))</f>
        <v>Dedal</v>
      </c>
      <c r="N514" s="120" t="str">
        <f t="shared" si="45"/>
        <v>Dedal</v>
      </c>
      <c r="O514" s="2" t="e">
        <f>VLOOKUP(N514,'Bridge matrix'!$D$3:$E$731,2,FALSE)</f>
        <v>#N/A</v>
      </c>
      <c r="Q514" s="18"/>
      <c r="R514" s="80"/>
      <c r="S514" s="80"/>
      <c r="T514" s="80"/>
    </row>
    <row r="515" spans="1:20" x14ac:dyDescent="0.25">
      <c r="A515" s="2" t="s">
        <v>593</v>
      </c>
      <c r="B515" s="2" t="s">
        <v>893</v>
      </c>
      <c r="C515" s="2" t="s">
        <v>663</v>
      </c>
      <c r="D515" s="2" t="s">
        <v>598</v>
      </c>
      <c r="F515" s="2" t="s">
        <v>2213</v>
      </c>
      <c r="G515" s="2" t="str">
        <f t="shared" si="41"/>
        <v>05.6.1.114</v>
      </c>
      <c r="H515" s="83" t="s">
        <v>2263</v>
      </c>
      <c r="I515" s="83" t="str">
        <f t="shared" ref="I515:I578" si="48">B515&amp;C515&amp;D515&amp;E515&amp;F515</f>
        <v>0561114</v>
      </c>
      <c r="J515" s="2" t="s">
        <v>2314</v>
      </c>
      <c r="K515" s="120" t="str">
        <f>IFERROR(VLOOKUP(H515,'Bridge matrix'!$A$3:$E$731,3,FALSE),"no")</f>
        <v>Escoba</v>
      </c>
      <c r="L515" s="120" t="str">
        <f t="shared" si="46"/>
        <v>Escoba</v>
      </c>
      <c r="M515" s="120" t="str">
        <f t="shared" si="47"/>
        <v>Escoba</v>
      </c>
      <c r="N515" s="120" t="str">
        <f t="shared" ref="N515:N578" si="49">M515</f>
        <v>Escoba</v>
      </c>
      <c r="O515" s="2" t="e">
        <f>VLOOKUP(N515,'Bridge matrix'!$D$3:$E$731,2,FALSE)</f>
        <v>#N/A</v>
      </c>
      <c r="Q515" s="18"/>
      <c r="R515" s="80"/>
      <c r="S515" s="80"/>
      <c r="T515" s="80"/>
    </row>
    <row r="516" spans="1:20" x14ac:dyDescent="0.25">
      <c r="A516" s="2" t="s">
        <v>593</v>
      </c>
      <c r="B516" s="2" t="s">
        <v>893</v>
      </c>
      <c r="C516" s="2" t="s">
        <v>663</v>
      </c>
      <c r="D516" s="2" t="s">
        <v>598</v>
      </c>
      <c r="F516" s="2" t="s">
        <v>2214</v>
      </c>
      <c r="G516" s="2" t="str">
        <f t="shared" si="41"/>
        <v>05.6.1.115</v>
      </c>
      <c r="H516" s="83" t="s">
        <v>2264</v>
      </c>
      <c r="I516" s="83" t="str">
        <f t="shared" si="48"/>
        <v>0561115</v>
      </c>
      <c r="J516" s="2" t="s">
        <v>2315</v>
      </c>
      <c r="K516" s="120" t="str">
        <f>IFERROR(VLOOKUP(H516,'Bridge matrix'!$A$3:$E$731,3,FALSE),"no")</f>
        <v>Esponjas para el hogar (excepto del baño)</v>
      </c>
      <c r="L516" s="120" t="str">
        <f t="shared" si="46"/>
        <v>Esponjas para el hogar (excepto del baño)</v>
      </c>
      <c r="M516" s="120" t="str">
        <f t="shared" si="47"/>
        <v>Esponjas para el hogar (excepto del baño)</v>
      </c>
      <c r="N516" s="120" t="str">
        <f t="shared" si="49"/>
        <v>Esponjas para el hogar (excepto del baño)</v>
      </c>
      <c r="O516" s="2" t="e">
        <f>VLOOKUP(N516,'Bridge matrix'!$D$3:$E$731,2,FALSE)</f>
        <v>#N/A</v>
      </c>
      <c r="Q516" s="18"/>
      <c r="R516" s="80"/>
      <c r="S516" s="80"/>
      <c r="T516" s="80"/>
    </row>
    <row r="517" spans="1:20" x14ac:dyDescent="0.25">
      <c r="A517" s="2" t="s">
        <v>593</v>
      </c>
      <c r="B517" s="2" t="s">
        <v>893</v>
      </c>
      <c r="C517" s="2" t="s">
        <v>663</v>
      </c>
      <c r="D517" s="2" t="s">
        <v>598</v>
      </c>
      <c r="F517" s="2" t="s">
        <v>2215</v>
      </c>
      <c r="G517" s="2" t="str">
        <f t="shared" si="41"/>
        <v>05.6.1.116</v>
      </c>
      <c r="H517" s="83" t="s">
        <v>2265</v>
      </c>
      <c r="I517" s="83" t="str">
        <f t="shared" si="48"/>
        <v>0561116</v>
      </c>
      <c r="J517" s="2" t="s">
        <v>2316</v>
      </c>
      <c r="K517" s="120" t="str">
        <f>IFERROR(VLOOKUP(H517,'Bridge matrix'!$A$3:$E$731,3,FALSE),"no")</f>
        <v>Estropajos de fibra o acero (rasqueteador de pisos)</v>
      </c>
      <c r="L517" s="120" t="str">
        <f t="shared" si="46"/>
        <v>Estropajos de fibra o acero (rasqueteador de pisos)</v>
      </c>
      <c r="M517" s="120" t="str">
        <f t="shared" si="47"/>
        <v>Estropajos de fibra o acero (rasqueteador de pisos)</v>
      </c>
      <c r="N517" s="120" t="str">
        <f t="shared" si="49"/>
        <v>Estropajos de fibra o acero (rasqueteador de pisos)</v>
      </c>
      <c r="O517" s="2" t="e">
        <f>VLOOKUP(N517,'Bridge matrix'!$D$3:$E$731,2,FALSE)</f>
        <v>#N/A</v>
      </c>
      <c r="Q517" s="18"/>
      <c r="R517" s="80"/>
      <c r="S517" s="80"/>
      <c r="T517" s="80"/>
    </row>
    <row r="518" spans="1:20" x14ac:dyDescent="0.25">
      <c r="A518" s="2" t="s">
        <v>593</v>
      </c>
      <c r="B518" s="2" t="s">
        <v>893</v>
      </c>
      <c r="C518" s="2" t="s">
        <v>663</v>
      </c>
      <c r="D518" s="2" t="s">
        <v>598</v>
      </c>
      <c r="F518" s="2" t="s">
        <v>2216</v>
      </c>
      <c r="G518" s="2" t="str">
        <f t="shared" si="41"/>
        <v>05.6.1.117</v>
      </c>
      <c r="H518" s="83" t="s">
        <v>2266</v>
      </c>
      <c r="I518" s="83" t="str">
        <f t="shared" si="48"/>
        <v>0561117</v>
      </c>
      <c r="J518" s="2" t="s">
        <v>2317</v>
      </c>
      <c r="K518" s="120" t="str">
        <f>IFERROR(VLOOKUP(H518,'Bridge matrix'!$A$3:$E$731,3,FALSE),"no")</f>
        <v>Estropajos de fibra o acero de cocina color verde con esponja</v>
      </c>
      <c r="L518" s="120" t="str">
        <f t="shared" si="46"/>
        <v>Estropajos de fibra o acero de cocina color verde con esponja</v>
      </c>
      <c r="M518" s="120" t="str">
        <f t="shared" si="47"/>
        <v>Estropajos de fibra o acero de cocina color verde con esponja</v>
      </c>
      <c r="N518" s="120" t="str">
        <f t="shared" si="49"/>
        <v>Estropajos de fibra o acero de cocina color verde con esponja</v>
      </c>
      <c r="O518" s="2" t="e">
        <f>VLOOKUP(N518,'Bridge matrix'!$D$3:$E$731,2,FALSE)</f>
        <v>#N/A</v>
      </c>
      <c r="Q518" s="18"/>
      <c r="R518" s="80"/>
      <c r="S518" s="80"/>
      <c r="T518" s="80"/>
    </row>
    <row r="519" spans="1:20" x14ac:dyDescent="0.25">
      <c r="A519" s="2" t="s">
        <v>593</v>
      </c>
      <c r="B519" s="2" t="s">
        <v>893</v>
      </c>
      <c r="C519" s="2" t="s">
        <v>663</v>
      </c>
      <c r="D519" s="2" t="s">
        <v>598</v>
      </c>
      <c r="F519" s="2" t="s">
        <v>2217</v>
      </c>
      <c r="G519" s="2" t="str">
        <f t="shared" si="41"/>
        <v>05.6.1.118</v>
      </c>
      <c r="H519" s="83" t="s">
        <v>2267</v>
      </c>
      <c r="I519" s="83" t="str">
        <f t="shared" si="48"/>
        <v>0561118</v>
      </c>
      <c r="J519" s="2" t="s">
        <v>2318</v>
      </c>
      <c r="K519" s="120" t="str">
        <f>IFERROR(VLOOKUP(H519,'Bridge matrix'!$A$3:$E$731,3,FALSE),"no")</f>
        <v>Estropajos de fibra o acero de cocina color verde cortado</v>
      </c>
      <c r="L519" s="120" t="str">
        <f t="shared" si="46"/>
        <v>Estropajos de fibra o acero de cocina color verde cortado</v>
      </c>
      <c r="M519" s="120" t="str">
        <f t="shared" si="47"/>
        <v>Estropajos de fibra o acero de cocina color verde cortado</v>
      </c>
      <c r="N519" s="120" t="str">
        <f t="shared" si="49"/>
        <v>Estropajos de fibra o acero de cocina color verde cortado</v>
      </c>
      <c r="O519" s="2" t="e">
        <f>VLOOKUP(N519,'Bridge matrix'!$D$3:$E$731,2,FALSE)</f>
        <v>#N/A</v>
      </c>
      <c r="Q519" s="18"/>
      <c r="R519" s="80"/>
      <c r="S519" s="80"/>
      <c r="T519" s="80"/>
    </row>
    <row r="520" spans="1:20" x14ac:dyDescent="0.25">
      <c r="A520" s="2" t="s">
        <v>593</v>
      </c>
      <c r="B520" s="2" t="s">
        <v>893</v>
      </c>
      <c r="C520" s="2" t="s">
        <v>663</v>
      </c>
      <c r="D520" s="2" t="s">
        <v>598</v>
      </c>
      <c r="F520" s="2" t="s">
        <v>2218</v>
      </c>
      <c r="G520" s="2" t="str">
        <f t="shared" si="41"/>
        <v>05.6.1.119</v>
      </c>
      <c r="H520" s="83" t="s">
        <v>2268</v>
      </c>
      <c r="I520" s="83" t="str">
        <f t="shared" si="48"/>
        <v>0561119</v>
      </c>
      <c r="J520" s="2" t="s">
        <v>2319</v>
      </c>
      <c r="K520" s="120" t="str">
        <f>IFERROR(VLOOKUP(H520,'Bridge matrix'!$A$3:$E$731,3,FALSE),"no")</f>
        <v>Extintores de incendios para los hogares</v>
      </c>
      <c r="L520" s="120" t="str">
        <f t="shared" si="46"/>
        <v>Extintores de incendios para los hogares</v>
      </c>
      <c r="M520" s="120" t="str">
        <f t="shared" si="47"/>
        <v>Extintores de incendios para los hogares</v>
      </c>
      <c r="N520" s="120" t="str">
        <f t="shared" si="49"/>
        <v>Extintores de incendios para los hogares</v>
      </c>
      <c r="O520" s="2" t="e">
        <f>VLOOKUP(N520,'Bridge matrix'!$D$3:$E$731,2,FALSE)</f>
        <v>#N/A</v>
      </c>
      <c r="Q520" s="18"/>
      <c r="R520" s="80"/>
      <c r="S520" s="80"/>
      <c r="T520" s="80"/>
    </row>
    <row r="521" spans="1:20" x14ac:dyDescent="0.25">
      <c r="A521" s="2" t="s">
        <v>593</v>
      </c>
      <c r="B521" s="2" t="s">
        <v>893</v>
      </c>
      <c r="C521" s="2" t="s">
        <v>663</v>
      </c>
      <c r="D521" s="2" t="s">
        <v>598</v>
      </c>
      <c r="F521" s="2" t="s">
        <v>2219</v>
      </c>
      <c r="G521" s="2" t="str">
        <f t="shared" si="41"/>
        <v>05.6.1.120</v>
      </c>
      <c r="H521" s="83" t="s">
        <v>2269</v>
      </c>
      <c r="I521" s="83" t="str">
        <f t="shared" si="48"/>
        <v>0561120</v>
      </c>
      <c r="J521" s="2" t="s">
        <v>2320</v>
      </c>
      <c r="K521" s="120" t="str">
        <f>IFERROR(VLOOKUP(H521,'Bridge matrix'!$A$3:$E$731,3,FALSE),"no")</f>
        <v>Filtros de papel</v>
      </c>
      <c r="L521" s="120" t="str">
        <f t="shared" si="46"/>
        <v>Filtros de papel</v>
      </c>
      <c r="M521" s="120" t="str">
        <f t="shared" si="47"/>
        <v>Filtros de papel</v>
      </c>
      <c r="N521" s="120" t="str">
        <f t="shared" si="49"/>
        <v>Filtros de papel</v>
      </c>
      <c r="O521" s="2" t="e">
        <f>VLOOKUP(N521,'Bridge matrix'!$D$3:$E$731,2,FALSE)</f>
        <v>#N/A</v>
      </c>
      <c r="Q521" s="18"/>
      <c r="R521" s="80"/>
      <c r="S521" s="80"/>
      <c r="T521" s="80"/>
    </row>
    <row r="522" spans="1:20" x14ac:dyDescent="0.25">
      <c r="A522" s="2" t="s">
        <v>593</v>
      </c>
      <c r="B522" s="2" t="s">
        <v>893</v>
      </c>
      <c r="C522" s="2" t="s">
        <v>663</v>
      </c>
      <c r="D522" s="2" t="s">
        <v>598</v>
      </c>
      <c r="F522" s="2" t="s">
        <v>2220</v>
      </c>
      <c r="G522" s="2" t="str">
        <f t="shared" si="41"/>
        <v>05.6.1.121</v>
      </c>
      <c r="H522" s="83" t="s">
        <v>2270</v>
      </c>
      <c r="I522" s="83" t="str">
        <f t="shared" si="48"/>
        <v>0561121</v>
      </c>
      <c r="J522" s="2" t="s">
        <v>2321</v>
      </c>
      <c r="K522" s="120" t="str">
        <f>IFERROR(VLOOKUP(H522,'Bridge matrix'!$A$3:$E$731,3,FALSE),"no")</f>
        <v>Fósforos</v>
      </c>
      <c r="L522" s="120" t="str">
        <f t="shared" si="46"/>
        <v>Fósforos</v>
      </c>
      <c r="M522" s="120" t="str">
        <f t="shared" si="47"/>
        <v>Fósforos</v>
      </c>
      <c r="N522" s="120" t="str">
        <f t="shared" si="49"/>
        <v>Fósforos</v>
      </c>
      <c r="O522" s="2" t="e">
        <f>VLOOKUP(N522,'Bridge matrix'!$D$3:$E$731,2,FALSE)</f>
        <v>#N/A</v>
      </c>
      <c r="Q522" s="18"/>
      <c r="R522" s="80"/>
      <c r="S522" s="80"/>
      <c r="T522" s="80"/>
    </row>
    <row r="523" spans="1:20" x14ac:dyDescent="0.25">
      <c r="A523" s="2" t="s">
        <v>593</v>
      </c>
      <c r="B523" s="2" t="s">
        <v>893</v>
      </c>
      <c r="C523" s="2" t="s">
        <v>663</v>
      </c>
      <c r="D523" s="2" t="s">
        <v>598</v>
      </c>
      <c r="F523" s="2" t="s">
        <v>2221</v>
      </c>
      <c r="G523" s="2" t="str">
        <f t="shared" si="41"/>
        <v>05.6.1.122</v>
      </c>
      <c r="H523" s="83" t="s">
        <v>2271</v>
      </c>
      <c r="I523" s="83" t="str">
        <f t="shared" si="48"/>
        <v>0561122</v>
      </c>
      <c r="J523" s="2" t="s">
        <v>2322</v>
      </c>
      <c r="K523" s="120" t="str">
        <f>IFERROR(VLOOKUP(H523,'Bridge matrix'!$A$3:$E$731,3,FALSE),"no")</f>
        <v>Fundas para la basura</v>
      </c>
      <c r="L523" s="120" t="str">
        <f t="shared" si="46"/>
        <v>Fundas para la basura</v>
      </c>
      <c r="M523" s="120" t="str">
        <f t="shared" si="47"/>
        <v>Fundas para la basura</v>
      </c>
      <c r="N523" s="120" t="str">
        <f t="shared" si="49"/>
        <v>Fundas para la basura</v>
      </c>
      <c r="O523" s="2" t="e">
        <f>VLOOKUP(N523,'Bridge matrix'!$D$3:$E$731,2,FALSE)</f>
        <v>#N/A</v>
      </c>
      <c r="Q523" s="18"/>
      <c r="R523" s="80"/>
      <c r="S523" s="80"/>
      <c r="T523" s="80"/>
    </row>
    <row r="524" spans="1:20" x14ac:dyDescent="0.25">
      <c r="A524" s="2" t="s">
        <v>593</v>
      </c>
      <c r="B524" s="2" t="s">
        <v>893</v>
      </c>
      <c r="C524" s="2" t="s">
        <v>663</v>
      </c>
      <c r="D524" s="2" t="s">
        <v>598</v>
      </c>
      <c r="F524" s="2" t="s">
        <v>2222</v>
      </c>
      <c r="G524" s="2" t="str">
        <f t="shared" si="41"/>
        <v>05.6.1.123</v>
      </c>
      <c r="H524" s="83" t="s">
        <v>2272</v>
      </c>
      <c r="I524" s="83" t="str">
        <f t="shared" si="48"/>
        <v>0561123</v>
      </c>
      <c r="J524" s="2" t="s">
        <v>2323</v>
      </c>
      <c r="K524" s="120" t="str">
        <f>IFERROR(VLOOKUP(H524,'Bridge matrix'!$A$3:$E$731,3,FALSE),"no")</f>
        <v>Gamuzas quita polvo</v>
      </c>
      <c r="L524" s="120" t="str">
        <f t="shared" si="46"/>
        <v>Gamuzas quita polvo</v>
      </c>
      <c r="M524" s="120" t="str">
        <f t="shared" si="47"/>
        <v>Gamuzas quita polvo</v>
      </c>
      <c r="N524" s="120" t="str">
        <f t="shared" si="49"/>
        <v>Gamuzas quita polvo</v>
      </c>
      <c r="O524" s="2" t="e">
        <f>VLOOKUP(N524,'Bridge matrix'!$D$3:$E$731,2,FALSE)</f>
        <v>#N/A</v>
      </c>
      <c r="Q524" s="18"/>
      <c r="R524" s="80"/>
      <c r="S524" s="80"/>
      <c r="T524" s="80"/>
    </row>
    <row r="525" spans="1:20" x14ac:dyDescent="0.25">
      <c r="A525" s="2" t="s">
        <v>593</v>
      </c>
      <c r="B525" s="2" t="s">
        <v>893</v>
      </c>
      <c r="C525" s="2" t="s">
        <v>663</v>
      </c>
      <c r="D525" s="2" t="s">
        <v>598</v>
      </c>
      <c r="F525" s="2" t="s">
        <v>2223</v>
      </c>
      <c r="G525" s="2" t="str">
        <f t="shared" si="41"/>
        <v>05.6.1.124</v>
      </c>
      <c r="H525" s="83" t="s">
        <v>2273</v>
      </c>
      <c r="I525" s="83" t="str">
        <f t="shared" si="48"/>
        <v>0561124</v>
      </c>
      <c r="J525" s="2" t="s">
        <v>2324</v>
      </c>
      <c r="K525" s="120" t="str">
        <f>IFERROR(VLOOKUP(H525,'Bridge matrix'!$A$3:$E$731,3,FALSE),"no")</f>
        <v>Guantes de goma para uso doméstico</v>
      </c>
      <c r="L525" s="120" t="str">
        <f t="shared" si="46"/>
        <v>Guantes de goma para uso doméstico</v>
      </c>
      <c r="M525" s="120" t="str">
        <f t="shared" si="47"/>
        <v>Guantes de goma para uso doméstico</v>
      </c>
      <c r="N525" s="120" t="str">
        <f t="shared" si="49"/>
        <v>Guantes de goma para uso doméstico</v>
      </c>
      <c r="O525" s="2" t="e">
        <f>VLOOKUP(N525,'Bridge matrix'!$D$3:$E$731,2,FALSE)</f>
        <v>#N/A</v>
      </c>
      <c r="Q525" s="18"/>
      <c r="R525" s="80"/>
      <c r="S525" s="80"/>
      <c r="T525" s="80"/>
    </row>
    <row r="526" spans="1:20" x14ac:dyDescent="0.25">
      <c r="A526" s="2" t="s">
        <v>593</v>
      </c>
      <c r="B526" s="2" t="s">
        <v>893</v>
      </c>
      <c r="C526" s="2" t="s">
        <v>663</v>
      </c>
      <c r="D526" s="2" t="s">
        <v>598</v>
      </c>
      <c r="F526" s="2" t="s">
        <v>2224</v>
      </c>
      <c r="G526" s="2" t="str">
        <f t="shared" si="41"/>
        <v>05.6.1.125</v>
      </c>
      <c r="H526" s="83" t="s">
        <v>2274</v>
      </c>
      <c r="I526" s="83" t="str">
        <f t="shared" si="48"/>
        <v>0561125</v>
      </c>
      <c r="J526" s="2" t="s">
        <v>2325</v>
      </c>
      <c r="K526" s="120" t="str">
        <f>IFERROR(VLOOKUP(H526,'Bridge matrix'!$A$3:$E$731,3,FALSE),"no")</f>
        <v>Imperdibles</v>
      </c>
      <c r="L526" s="120" t="str">
        <f t="shared" si="46"/>
        <v>Imperdibles</v>
      </c>
      <c r="M526" s="120" t="str">
        <f t="shared" si="47"/>
        <v>Imperdibles</v>
      </c>
      <c r="N526" s="120" t="str">
        <f t="shared" si="49"/>
        <v>Imperdibles</v>
      </c>
      <c r="O526" s="2" t="e">
        <f>VLOOKUP(N526,'Bridge matrix'!$D$3:$E$731,2,FALSE)</f>
        <v>#N/A</v>
      </c>
      <c r="Q526" s="18"/>
      <c r="R526" s="80"/>
      <c r="S526" s="80"/>
      <c r="T526" s="80"/>
    </row>
    <row r="527" spans="1:20" x14ac:dyDescent="0.25">
      <c r="A527" s="2" t="s">
        <v>593</v>
      </c>
      <c r="B527" s="2" t="s">
        <v>893</v>
      </c>
      <c r="C527" s="2" t="s">
        <v>663</v>
      </c>
      <c r="D527" s="2" t="s">
        <v>598</v>
      </c>
      <c r="F527" s="2" t="s">
        <v>2225</v>
      </c>
      <c r="G527" s="2" t="str">
        <f t="shared" si="41"/>
        <v>05.6.1.126</v>
      </c>
      <c r="H527" s="83" t="s">
        <v>2275</v>
      </c>
      <c r="I527" s="83" t="str">
        <f t="shared" si="48"/>
        <v>0561126</v>
      </c>
      <c r="J527" s="2" t="s">
        <v>2326</v>
      </c>
      <c r="K527" s="120" t="str">
        <f>IFERROR(VLOOKUP(H527,'Bridge matrix'!$A$3:$E$731,3,FALSE),"no")</f>
        <v>Mantel de plástico</v>
      </c>
      <c r="L527" s="120" t="str">
        <f t="shared" si="46"/>
        <v>Mantel de plástico</v>
      </c>
      <c r="M527" s="120" t="str">
        <f t="shared" si="47"/>
        <v>Mantel de plástico</v>
      </c>
      <c r="N527" s="120" t="str">
        <f t="shared" si="49"/>
        <v>Mantel de plástico</v>
      </c>
      <c r="O527" s="2" t="e">
        <f>VLOOKUP(N527,'Bridge matrix'!$D$3:$E$731,2,FALSE)</f>
        <v>#N/A</v>
      </c>
      <c r="Q527" s="18"/>
      <c r="R527" s="80"/>
      <c r="S527" s="80"/>
      <c r="T527" s="80"/>
    </row>
    <row r="528" spans="1:20" x14ac:dyDescent="0.25">
      <c r="A528" s="2" t="s">
        <v>593</v>
      </c>
      <c r="B528" s="2" t="s">
        <v>893</v>
      </c>
      <c r="C528" s="2" t="s">
        <v>663</v>
      </c>
      <c r="D528" s="2" t="s">
        <v>598</v>
      </c>
      <c r="F528" s="2" t="s">
        <v>2226</v>
      </c>
      <c r="G528" s="2" t="str">
        <f t="shared" si="41"/>
        <v>05.6.1.127</v>
      </c>
      <c r="H528" s="83" t="s">
        <v>2276</v>
      </c>
      <c r="I528" s="83" t="str">
        <f t="shared" si="48"/>
        <v>0561127</v>
      </c>
      <c r="J528" s="2" t="s">
        <v>2327</v>
      </c>
      <c r="K528" s="120" t="str">
        <f>IFERROR(VLOOKUP(H528,'Bridge matrix'!$A$3:$E$731,3,FALSE),"no")</f>
        <v>Mechas para lámparas</v>
      </c>
      <c r="L528" s="120" t="str">
        <f t="shared" si="46"/>
        <v>Mechas para lámparas</v>
      </c>
      <c r="M528" s="120" t="str">
        <f t="shared" si="47"/>
        <v>Mechas para lámparas</v>
      </c>
      <c r="N528" s="120" t="str">
        <f t="shared" si="49"/>
        <v>Mechas para lámparas</v>
      </c>
      <c r="O528" s="2" t="e">
        <f>VLOOKUP(N528,'Bridge matrix'!$D$3:$E$731,2,FALSE)</f>
        <v>#N/A</v>
      </c>
      <c r="Q528" s="18"/>
      <c r="R528" s="80"/>
      <c r="S528" s="80"/>
      <c r="T528" s="80"/>
    </row>
    <row r="529" spans="1:20" x14ac:dyDescent="0.25">
      <c r="A529" s="2" t="s">
        <v>593</v>
      </c>
      <c r="B529" s="2" t="s">
        <v>893</v>
      </c>
      <c r="C529" s="2" t="s">
        <v>663</v>
      </c>
      <c r="D529" s="2" t="s">
        <v>598</v>
      </c>
      <c r="F529" s="2" t="s">
        <v>2227</v>
      </c>
      <c r="G529" s="2" t="str">
        <f t="shared" si="41"/>
        <v>05.6.1.128</v>
      </c>
      <c r="H529" s="83" t="s">
        <v>2277</v>
      </c>
      <c r="I529" s="83" t="str">
        <f t="shared" si="48"/>
        <v>0561128</v>
      </c>
      <c r="J529" s="2" t="s">
        <v>2328</v>
      </c>
      <c r="K529" s="120" t="str">
        <f>IFERROR(VLOOKUP(H529,'Bridge matrix'!$A$3:$E$731,3,FALSE),"no")</f>
        <v>Pala, recogedor de basura de metal</v>
      </c>
      <c r="L529" s="120" t="str">
        <f t="shared" si="46"/>
        <v>Pala, recogedor de basura de metal</v>
      </c>
      <c r="M529" s="120" t="str">
        <f t="shared" si="47"/>
        <v>Pala, recogedor de basura de metal</v>
      </c>
      <c r="N529" s="120" t="str">
        <f t="shared" si="49"/>
        <v>Pala, recogedor de basura de metal</v>
      </c>
      <c r="O529" s="2" t="e">
        <f>VLOOKUP(N529,'Bridge matrix'!$D$3:$E$731,2,FALSE)</f>
        <v>#N/A</v>
      </c>
      <c r="Q529" s="18"/>
      <c r="R529" s="80"/>
      <c r="S529" s="80"/>
      <c r="T529" s="80"/>
    </row>
    <row r="530" spans="1:20" x14ac:dyDescent="0.25">
      <c r="A530" s="2" t="s">
        <v>593</v>
      </c>
      <c r="B530" s="2" t="s">
        <v>893</v>
      </c>
      <c r="C530" s="2" t="s">
        <v>663</v>
      </c>
      <c r="D530" s="2" t="s">
        <v>598</v>
      </c>
      <c r="F530" s="2" t="s">
        <v>2228</v>
      </c>
      <c r="G530" s="2" t="str">
        <f t="shared" si="41"/>
        <v>05.6.1.129</v>
      </c>
      <c r="H530" s="83" t="s">
        <v>2278</v>
      </c>
      <c r="I530" s="83" t="str">
        <f t="shared" si="48"/>
        <v>0561129</v>
      </c>
      <c r="J530" s="2" t="s">
        <v>2329</v>
      </c>
      <c r="K530" s="120" t="str">
        <f>IFERROR(VLOOKUP(H530,'Bridge matrix'!$A$3:$E$731,3,FALSE),"no")</f>
        <v>Pala, recogedor de basura plástico</v>
      </c>
      <c r="L530" s="120" t="str">
        <f t="shared" si="46"/>
        <v>Pala, recogedor de basura plástico</v>
      </c>
      <c r="M530" s="120" t="str">
        <f t="shared" si="47"/>
        <v>Pala, recogedor de basura plástico</v>
      </c>
      <c r="N530" s="120" t="str">
        <f t="shared" si="49"/>
        <v>Pala, recogedor de basura plástico</v>
      </c>
      <c r="O530" s="2" t="e">
        <f>VLOOKUP(N530,'Bridge matrix'!$D$3:$E$731,2,FALSE)</f>
        <v>#N/A</v>
      </c>
      <c r="Q530" s="18"/>
      <c r="R530" s="80"/>
      <c r="S530" s="80"/>
      <c r="T530" s="80"/>
    </row>
    <row r="531" spans="1:20" x14ac:dyDescent="0.25">
      <c r="A531" s="2" t="s">
        <v>593</v>
      </c>
      <c r="B531" s="2" t="s">
        <v>893</v>
      </c>
      <c r="C531" s="2" t="s">
        <v>663</v>
      </c>
      <c r="D531" s="2" t="s">
        <v>598</v>
      </c>
      <c r="F531" s="2" t="s">
        <v>2229</v>
      </c>
      <c r="G531" s="2" t="str">
        <f t="shared" si="41"/>
        <v>05.6.1.130</v>
      </c>
      <c r="H531" s="83" t="s">
        <v>2279</v>
      </c>
      <c r="I531" s="83" t="str">
        <f t="shared" si="48"/>
        <v>0561130</v>
      </c>
      <c r="J531" s="2" t="s">
        <v>2330</v>
      </c>
      <c r="K531" s="120" t="str">
        <f>IFERROR(VLOOKUP(H531,'Bridge matrix'!$A$3:$E$731,3,FALSE),"no")</f>
        <v>Palillos para dientes</v>
      </c>
      <c r="L531" s="120" t="str">
        <f t="shared" si="46"/>
        <v>Palillos para dientes</v>
      </c>
      <c r="M531" s="120" t="str">
        <f t="shared" si="47"/>
        <v>Palillos para dientes</v>
      </c>
      <c r="N531" s="120" t="str">
        <f t="shared" si="49"/>
        <v>Palillos para dientes</v>
      </c>
      <c r="O531" s="2" t="e">
        <f>VLOOKUP(N531,'Bridge matrix'!$D$3:$E$731,2,FALSE)</f>
        <v>#N/A</v>
      </c>
      <c r="Q531" s="18"/>
      <c r="R531" s="80"/>
      <c r="S531" s="80"/>
      <c r="T531" s="80"/>
    </row>
    <row r="532" spans="1:20" x14ac:dyDescent="0.25">
      <c r="A532" s="2" t="s">
        <v>593</v>
      </c>
      <c r="B532" s="2" t="s">
        <v>893</v>
      </c>
      <c r="C532" s="2" t="s">
        <v>663</v>
      </c>
      <c r="D532" s="2" t="s">
        <v>598</v>
      </c>
      <c r="F532" s="2" t="s">
        <v>2230</v>
      </c>
      <c r="G532" s="2" t="str">
        <f t="shared" si="41"/>
        <v>05.6.1.131</v>
      </c>
      <c r="H532" s="83" t="s">
        <v>2280</v>
      </c>
      <c r="I532" s="83" t="str">
        <f t="shared" si="48"/>
        <v>0561131</v>
      </c>
      <c r="J532" s="2" t="s">
        <v>2331</v>
      </c>
      <c r="K532" s="120" t="str">
        <f>IFERROR(VLOOKUP(H532,'Bridge matrix'!$A$3:$E$731,3,FALSE),"no")</f>
        <v>Palillos para pinchos</v>
      </c>
      <c r="L532" s="120" t="str">
        <f t="shared" si="46"/>
        <v>Palillos para pinchos</v>
      </c>
      <c r="M532" s="120" t="str">
        <f t="shared" si="47"/>
        <v>Palillos para pinchos</v>
      </c>
      <c r="N532" s="120" t="str">
        <f t="shared" si="49"/>
        <v>Palillos para pinchos</v>
      </c>
      <c r="O532" s="2" t="e">
        <f>VLOOKUP(N532,'Bridge matrix'!$D$3:$E$731,2,FALSE)</f>
        <v>#N/A</v>
      </c>
      <c r="Q532" s="18"/>
      <c r="R532" s="80"/>
      <c r="S532" s="80"/>
      <c r="T532" s="80"/>
    </row>
    <row r="533" spans="1:20" x14ac:dyDescent="0.25">
      <c r="A533" s="2" t="s">
        <v>593</v>
      </c>
      <c r="B533" s="2" t="s">
        <v>893</v>
      </c>
      <c r="C533" s="2" t="s">
        <v>663</v>
      </c>
      <c r="D533" s="2" t="s">
        <v>598</v>
      </c>
      <c r="F533" s="2" t="s">
        <v>2231</v>
      </c>
      <c r="G533" s="2" t="str">
        <f t="shared" si="41"/>
        <v>05.6.1.132</v>
      </c>
      <c r="H533" s="83" t="s">
        <v>2281</v>
      </c>
      <c r="I533" s="83" t="str">
        <f t="shared" si="48"/>
        <v>0561132</v>
      </c>
      <c r="J533" s="2" t="s">
        <v>2332</v>
      </c>
      <c r="K533" s="120" t="str">
        <f>IFERROR(VLOOKUP(H533,'Bridge matrix'!$A$3:$E$731,3,FALSE),"no")</f>
        <v>Paños o limpiones de cocina</v>
      </c>
      <c r="L533" s="120" t="str">
        <f t="shared" si="46"/>
        <v>Paños o limpiones de cocina</v>
      </c>
      <c r="M533" s="120" t="str">
        <f t="shared" si="47"/>
        <v>Paños o limpiones de cocina</v>
      </c>
      <c r="N533" s="120" t="str">
        <f t="shared" si="49"/>
        <v>Paños o limpiones de cocina</v>
      </c>
      <c r="O533" s="2" t="e">
        <f>VLOOKUP(N533,'Bridge matrix'!$D$3:$E$731,2,FALSE)</f>
        <v>#N/A</v>
      </c>
      <c r="Q533" s="18"/>
      <c r="R533" s="80"/>
      <c r="S533" s="80"/>
      <c r="T533" s="80"/>
    </row>
    <row r="534" spans="1:20" x14ac:dyDescent="0.25">
      <c r="A534" s="2" t="s">
        <v>593</v>
      </c>
      <c r="B534" s="2" t="s">
        <v>893</v>
      </c>
      <c r="C534" s="2" t="s">
        <v>663</v>
      </c>
      <c r="D534" s="2" t="s">
        <v>598</v>
      </c>
      <c r="F534" s="2" t="s">
        <v>2232</v>
      </c>
      <c r="G534" s="2" t="str">
        <f t="shared" si="41"/>
        <v>05.6.1.133</v>
      </c>
      <c r="H534" s="83" t="s">
        <v>2282</v>
      </c>
      <c r="I534" s="83" t="str">
        <f t="shared" si="48"/>
        <v>0561133</v>
      </c>
      <c r="J534" s="2" t="s">
        <v>2333</v>
      </c>
      <c r="K534" s="120" t="str">
        <f>IFERROR(VLOOKUP(H534,'Bridge matrix'!$A$3:$E$731,3,FALSE),"no")</f>
        <v>Papel absorbente</v>
      </c>
      <c r="L534" s="120" t="str">
        <f t="shared" si="46"/>
        <v>Papel absorbente</v>
      </c>
      <c r="M534" s="120" t="str">
        <f t="shared" si="47"/>
        <v>Papel absorbente</v>
      </c>
      <c r="N534" s="120" t="str">
        <f t="shared" si="49"/>
        <v>Papel absorbente</v>
      </c>
      <c r="O534" s="2" t="e">
        <f>VLOOKUP(N534,'Bridge matrix'!$D$3:$E$731,2,FALSE)</f>
        <v>#N/A</v>
      </c>
      <c r="Q534" s="18"/>
      <c r="R534" s="80"/>
      <c r="S534" s="80"/>
      <c r="T534" s="80"/>
    </row>
    <row r="535" spans="1:20" x14ac:dyDescent="0.25">
      <c r="A535" s="2" t="s">
        <v>593</v>
      </c>
      <c r="B535" s="2" t="s">
        <v>893</v>
      </c>
      <c r="C535" s="2" t="s">
        <v>663</v>
      </c>
      <c r="D535" s="2" t="s">
        <v>598</v>
      </c>
      <c r="F535" s="2" t="s">
        <v>2233</v>
      </c>
      <c r="G535" s="2" t="str">
        <f t="shared" si="41"/>
        <v>05.6.1.134</v>
      </c>
      <c r="H535" s="83" t="s">
        <v>2283</v>
      </c>
      <c r="I535" s="83" t="str">
        <f t="shared" si="48"/>
        <v>0561134</v>
      </c>
      <c r="J535" s="2" t="s">
        <v>2334</v>
      </c>
      <c r="K535" s="120" t="str">
        <f>IFERROR(VLOOKUP(H535,'Bridge matrix'!$A$3:$E$731,3,FALSE),"no")</f>
        <v>Papel aluminio y revestimientos</v>
      </c>
      <c r="L535" s="120" t="str">
        <f t="shared" si="46"/>
        <v>Papel aluminio y revestimientos</v>
      </c>
      <c r="M535" s="120" t="str">
        <f t="shared" si="47"/>
        <v>Papel aluminio y revestimientos</v>
      </c>
      <c r="N535" s="120" t="str">
        <f t="shared" si="49"/>
        <v>Papel aluminio y revestimientos</v>
      </c>
      <c r="O535" s="2" t="e">
        <f>VLOOKUP(N535,'Bridge matrix'!$D$3:$E$731,2,FALSE)</f>
        <v>#N/A</v>
      </c>
      <c r="Q535" s="18"/>
      <c r="R535" s="80"/>
      <c r="S535" s="80"/>
      <c r="T535" s="80"/>
    </row>
    <row r="536" spans="1:20" x14ac:dyDescent="0.25">
      <c r="A536" s="2" t="s">
        <v>593</v>
      </c>
      <c r="B536" s="2" t="s">
        <v>893</v>
      </c>
      <c r="C536" s="2" t="s">
        <v>663</v>
      </c>
      <c r="D536" s="2" t="s">
        <v>598</v>
      </c>
      <c r="F536" s="2" t="s">
        <v>2234</v>
      </c>
      <c r="G536" s="2" t="str">
        <f t="shared" si="41"/>
        <v>05.6.1.135</v>
      </c>
      <c r="H536" s="83" t="s">
        <v>2284</v>
      </c>
      <c r="I536" s="83" t="str">
        <f t="shared" si="48"/>
        <v>0561135</v>
      </c>
      <c r="J536" s="2" t="s">
        <v>2335</v>
      </c>
      <c r="K536" s="120" t="str">
        <f>IFERROR(VLOOKUP(H536,'Bridge matrix'!$A$3:$E$731,3,FALSE),"no")</f>
        <v>Papel encerado</v>
      </c>
      <c r="L536" s="120" t="str">
        <f t="shared" si="46"/>
        <v>Papel encerado</v>
      </c>
      <c r="M536" s="120" t="str">
        <f t="shared" si="47"/>
        <v>Papel encerado</v>
      </c>
      <c r="N536" s="120" t="str">
        <f t="shared" si="49"/>
        <v>Papel encerado</v>
      </c>
      <c r="O536" s="2" t="e">
        <f>VLOOKUP(N536,'Bridge matrix'!$D$3:$E$731,2,FALSE)</f>
        <v>#N/A</v>
      </c>
      <c r="Q536" s="18"/>
      <c r="R536" s="80"/>
      <c r="S536" s="80"/>
      <c r="T536" s="80"/>
    </row>
    <row r="537" spans="1:20" x14ac:dyDescent="0.25">
      <c r="A537" s="2" t="s">
        <v>593</v>
      </c>
      <c r="B537" s="2" t="s">
        <v>893</v>
      </c>
      <c r="C537" s="2" t="s">
        <v>663</v>
      </c>
      <c r="D537" s="2" t="s">
        <v>598</v>
      </c>
      <c r="F537" s="2" t="s">
        <v>2235</v>
      </c>
      <c r="G537" s="2" t="str">
        <f t="shared" si="41"/>
        <v>05.6.1.136</v>
      </c>
      <c r="H537" s="83" t="s">
        <v>2285</v>
      </c>
      <c r="I537" s="83" t="str">
        <f t="shared" si="48"/>
        <v>0561136</v>
      </c>
      <c r="J537" s="2" t="s">
        <v>2336</v>
      </c>
      <c r="K537" s="120" t="str">
        <f>IFERROR(VLOOKUP(H537,'Bridge matrix'!$A$3:$E$731,3,FALSE),"no")</f>
        <v>Perchas</v>
      </c>
      <c r="L537" s="120" t="str">
        <f t="shared" si="46"/>
        <v>Perchas</v>
      </c>
      <c r="M537" s="120" t="str">
        <f t="shared" si="47"/>
        <v>Perchas</v>
      </c>
      <c r="N537" s="120" t="str">
        <f t="shared" si="49"/>
        <v>Perchas</v>
      </c>
      <c r="O537" s="2" t="e">
        <f>VLOOKUP(N537,'Bridge matrix'!$D$3:$E$731,2,FALSE)</f>
        <v>#N/A</v>
      </c>
      <c r="Q537" s="18"/>
      <c r="R537" s="80"/>
      <c r="S537" s="80"/>
      <c r="T537" s="80"/>
    </row>
    <row r="538" spans="1:20" x14ac:dyDescent="0.25">
      <c r="A538" s="2" t="s">
        <v>593</v>
      </c>
      <c r="B538" s="2" t="s">
        <v>893</v>
      </c>
      <c r="C538" s="2" t="s">
        <v>663</v>
      </c>
      <c r="D538" s="2" t="s">
        <v>598</v>
      </c>
      <c r="F538" s="2" t="s">
        <v>2236</v>
      </c>
      <c r="G538" s="2" t="str">
        <f t="shared" si="41"/>
        <v>05.6.1.137</v>
      </c>
      <c r="H538" s="83" t="s">
        <v>2286</v>
      </c>
      <c r="I538" s="83" t="str">
        <f t="shared" si="48"/>
        <v>0561137</v>
      </c>
      <c r="J538" s="2" t="s">
        <v>2337</v>
      </c>
      <c r="K538" s="120" t="str">
        <f>IFERROR(VLOOKUP(H538,'Bridge matrix'!$A$3:$E$731,3,FALSE),"no")</f>
        <v>Perchas adhesivas</v>
      </c>
      <c r="L538" s="120" t="str">
        <f t="shared" si="46"/>
        <v>Perchas adhesivas</v>
      </c>
      <c r="M538" s="120" t="str">
        <f t="shared" si="47"/>
        <v>Perchas adhesivas</v>
      </c>
      <c r="N538" s="120" t="str">
        <f t="shared" si="49"/>
        <v>Perchas adhesivas</v>
      </c>
      <c r="O538" s="2" t="e">
        <f>VLOOKUP(N538,'Bridge matrix'!$D$3:$E$731,2,FALSE)</f>
        <v>#N/A</v>
      </c>
      <c r="Q538" s="18"/>
      <c r="R538" s="80"/>
      <c r="S538" s="80"/>
      <c r="T538" s="80"/>
    </row>
    <row r="539" spans="1:20" x14ac:dyDescent="0.25">
      <c r="A539" s="2" t="s">
        <v>593</v>
      </c>
      <c r="B539" s="2" t="s">
        <v>893</v>
      </c>
      <c r="C539" s="2" t="s">
        <v>663</v>
      </c>
      <c r="D539" s="2" t="s">
        <v>598</v>
      </c>
      <c r="F539" s="2" t="s">
        <v>2237</v>
      </c>
      <c r="G539" s="2" t="str">
        <f t="shared" si="41"/>
        <v>05.6.1.138</v>
      </c>
      <c r="H539" s="83" t="s">
        <v>2287</v>
      </c>
      <c r="I539" s="83" t="str">
        <f t="shared" si="48"/>
        <v>0561138</v>
      </c>
      <c r="J539" s="2" t="s">
        <v>2338</v>
      </c>
      <c r="K539" s="120" t="str">
        <f>IFERROR(VLOOKUP(H539,'Bridge matrix'!$A$3:$E$731,3,FALSE),"no")</f>
        <v>Pinzas para ropa</v>
      </c>
      <c r="L539" s="120" t="str">
        <f t="shared" si="46"/>
        <v>Pinzas para ropa</v>
      </c>
      <c r="M539" s="120" t="str">
        <f t="shared" si="47"/>
        <v>Pinzas para ropa</v>
      </c>
      <c r="N539" s="120" t="str">
        <f t="shared" si="49"/>
        <v>Pinzas para ropa</v>
      </c>
      <c r="O539" s="2" t="e">
        <f>VLOOKUP(N539,'Bridge matrix'!$D$3:$E$731,2,FALSE)</f>
        <v>#N/A</v>
      </c>
      <c r="Q539" s="18"/>
      <c r="R539" s="80"/>
      <c r="S539" s="80"/>
      <c r="T539" s="80"/>
    </row>
    <row r="540" spans="1:20" x14ac:dyDescent="0.25">
      <c r="A540" s="2" t="s">
        <v>593</v>
      </c>
      <c r="B540" s="2" t="s">
        <v>893</v>
      </c>
      <c r="C540" s="2" t="s">
        <v>663</v>
      </c>
      <c r="D540" s="2" t="s">
        <v>598</v>
      </c>
      <c r="F540" s="2" t="s">
        <v>2238</v>
      </c>
      <c r="G540" s="2" t="str">
        <f t="shared" si="41"/>
        <v>05.6.1.139</v>
      </c>
      <c r="H540" s="83" t="s">
        <v>2288</v>
      </c>
      <c r="I540" s="83" t="str">
        <f t="shared" si="48"/>
        <v>0561139</v>
      </c>
      <c r="J540" s="2" t="s">
        <v>2339</v>
      </c>
      <c r="K540" s="120" t="str">
        <f>IFERROR(VLOOKUP(H540,'Bridge matrix'!$A$3:$E$731,3,FALSE),"no")</f>
        <v>Plumeros</v>
      </c>
      <c r="L540" s="120" t="str">
        <f t="shared" si="46"/>
        <v>Plumeros</v>
      </c>
      <c r="M540" s="120" t="str">
        <f t="shared" si="47"/>
        <v>Plumeros</v>
      </c>
      <c r="N540" s="120" t="str">
        <f t="shared" si="49"/>
        <v>Plumeros</v>
      </c>
      <c r="O540" s="2" t="e">
        <f>VLOOKUP(N540,'Bridge matrix'!$D$3:$E$731,2,FALSE)</f>
        <v>#N/A</v>
      </c>
      <c r="Q540" s="18"/>
      <c r="R540" s="80"/>
      <c r="S540" s="80"/>
      <c r="T540" s="80"/>
    </row>
    <row r="541" spans="1:20" x14ac:dyDescent="0.25">
      <c r="A541" s="2" t="s">
        <v>593</v>
      </c>
      <c r="B541" s="2" t="s">
        <v>893</v>
      </c>
      <c r="C541" s="2" t="s">
        <v>663</v>
      </c>
      <c r="D541" s="2" t="s">
        <v>598</v>
      </c>
      <c r="F541" s="2" t="s">
        <v>2239</v>
      </c>
      <c r="G541" s="2" t="str">
        <f t="shared" si="41"/>
        <v>05.6.1.140</v>
      </c>
      <c r="H541" s="83" t="s">
        <v>2289</v>
      </c>
      <c r="I541" s="83" t="str">
        <f t="shared" si="48"/>
        <v>0561140</v>
      </c>
      <c r="J541" s="2" t="s">
        <v>2340</v>
      </c>
      <c r="K541" s="120" t="str">
        <f>IFERROR(VLOOKUP(H541,'Bridge matrix'!$A$3:$E$731,3,FALSE),"no")</f>
        <v>Servilletas de papel</v>
      </c>
      <c r="L541" s="120" t="str">
        <f t="shared" si="46"/>
        <v>Servilletas de papel</v>
      </c>
      <c r="M541" s="120" t="str">
        <f t="shared" si="47"/>
        <v>Servilletas de papel</v>
      </c>
      <c r="N541" s="120" t="str">
        <f t="shared" si="49"/>
        <v>Servilletas de papel</v>
      </c>
      <c r="O541" s="2" t="e">
        <f>VLOOKUP(N541,'Bridge matrix'!$D$3:$E$731,2,FALSE)</f>
        <v>#N/A</v>
      </c>
      <c r="Q541" s="18"/>
      <c r="R541" s="80"/>
      <c r="S541" s="80"/>
      <c r="T541" s="80"/>
    </row>
    <row r="542" spans="1:20" x14ac:dyDescent="0.25">
      <c r="A542" s="2" t="s">
        <v>593</v>
      </c>
      <c r="B542" s="2" t="s">
        <v>893</v>
      </c>
      <c r="C542" s="2" t="s">
        <v>663</v>
      </c>
      <c r="D542" s="2" t="s">
        <v>598</v>
      </c>
      <c r="F542" s="2" t="s">
        <v>2240</v>
      </c>
      <c r="G542" s="2" t="str">
        <f t="shared" si="41"/>
        <v>05.6.1.141</v>
      </c>
      <c r="H542" s="83" t="s">
        <v>2290</v>
      </c>
      <c r="I542" s="83" t="str">
        <f t="shared" si="48"/>
        <v>0561141</v>
      </c>
      <c r="J542" s="2" t="s">
        <v>2395</v>
      </c>
      <c r="K542" s="120" t="str">
        <f>IFERROR(VLOOKUP(H542,'Bridge matrix'!$A$3:$E$731,3,FALSE),"no")</f>
        <v>Tachuelas, arandelas, remaches para el hogar</v>
      </c>
      <c r="L542" s="120" t="str">
        <f t="shared" si="46"/>
        <v>Tachuelas, arandelas, remaches para el hogar</v>
      </c>
      <c r="M542" s="120" t="str">
        <f t="shared" si="47"/>
        <v>Tachuelas, arandelas, remaches para el hogar</v>
      </c>
      <c r="N542" s="120" t="str">
        <f t="shared" si="49"/>
        <v>Tachuelas, arandelas, remaches para el hogar</v>
      </c>
      <c r="O542" s="2" t="e">
        <f>VLOOKUP(N542,'Bridge matrix'!$D$3:$E$731,2,FALSE)</f>
        <v>#N/A</v>
      </c>
      <c r="Q542" s="18"/>
      <c r="R542" s="80"/>
      <c r="S542" s="80"/>
      <c r="T542" s="80"/>
    </row>
    <row r="543" spans="1:20" x14ac:dyDescent="0.25">
      <c r="A543" s="2" t="s">
        <v>593</v>
      </c>
      <c r="B543" s="2" t="s">
        <v>893</v>
      </c>
      <c r="C543" s="2" t="s">
        <v>663</v>
      </c>
      <c r="D543" s="2" t="s">
        <v>598</v>
      </c>
      <c r="F543" s="2" t="s">
        <v>2241</v>
      </c>
      <c r="G543" s="2" t="str">
        <f t="shared" si="41"/>
        <v>05.6.1.142</v>
      </c>
      <c r="H543" s="83" t="s">
        <v>2291</v>
      </c>
      <c r="I543" s="83" t="str">
        <f t="shared" si="48"/>
        <v>0561142</v>
      </c>
      <c r="J543" s="2" t="s">
        <v>2341</v>
      </c>
      <c r="K543" s="120" t="str">
        <f>IFERROR(VLOOKUP(H543,'Bridge matrix'!$A$3:$E$731,3,FALSE),"no")</f>
        <v>Tazas y platos desechables</v>
      </c>
      <c r="L543" s="120" t="str">
        <f t="shared" si="46"/>
        <v>Tazas y platos desechables</v>
      </c>
      <c r="M543" s="120" t="str">
        <f t="shared" si="47"/>
        <v>Tazas y platos desechables</v>
      </c>
      <c r="N543" s="120" t="str">
        <f t="shared" si="49"/>
        <v>Tazas y platos desechables</v>
      </c>
      <c r="O543" s="2" t="e">
        <f>VLOOKUP(N543,'Bridge matrix'!$D$3:$E$731,2,FALSE)</f>
        <v>#N/A</v>
      </c>
      <c r="Q543" s="18"/>
      <c r="R543" s="80"/>
      <c r="S543" s="80"/>
      <c r="T543" s="80"/>
    </row>
    <row r="544" spans="1:20" x14ac:dyDescent="0.25">
      <c r="A544" s="2" t="s">
        <v>593</v>
      </c>
      <c r="B544" s="2" t="s">
        <v>893</v>
      </c>
      <c r="C544" s="2" t="s">
        <v>663</v>
      </c>
      <c r="D544" s="2" t="s">
        <v>598</v>
      </c>
      <c r="F544" s="2" t="s">
        <v>2242</v>
      </c>
      <c r="G544" s="2" t="str">
        <f t="shared" si="41"/>
        <v>05.6.1.143</v>
      </c>
      <c r="H544" s="83" t="s">
        <v>2292</v>
      </c>
      <c r="I544" s="83" t="str">
        <f t="shared" si="48"/>
        <v>0561143</v>
      </c>
      <c r="J544" s="2" t="s">
        <v>2342</v>
      </c>
      <c r="K544" s="120" t="str">
        <f>IFERROR(VLOOKUP(H544,'Bridge matrix'!$A$3:$E$731,3,FALSE),"no")</f>
        <v>Tijeras de costura</v>
      </c>
      <c r="L544" s="120" t="str">
        <f t="shared" si="46"/>
        <v>Tijeras de costura</v>
      </c>
      <c r="M544" s="120" t="str">
        <f t="shared" si="47"/>
        <v>Tijeras de costura</v>
      </c>
      <c r="N544" s="120" t="str">
        <f t="shared" si="49"/>
        <v>Tijeras de costura</v>
      </c>
      <c r="O544" s="2" t="e">
        <f>VLOOKUP(N544,'Bridge matrix'!$D$3:$E$731,2,FALSE)</f>
        <v>#N/A</v>
      </c>
      <c r="Q544" s="18"/>
      <c r="R544" s="80"/>
      <c r="S544" s="80"/>
      <c r="T544" s="80"/>
    </row>
    <row r="545" spans="1:20" x14ac:dyDescent="0.25">
      <c r="A545" s="2" t="s">
        <v>593</v>
      </c>
      <c r="B545" s="2" t="s">
        <v>893</v>
      </c>
      <c r="C545" s="2" t="s">
        <v>663</v>
      </c>
      <c r="D545" s="2" t="s">
        <v>598</v>
      </c>
      <c r="F545" s="2" t="s">
        <v>2243</v>
      </c>
      <c r="G545" s="2" t="str">
        <f t="shared" si="41"/>
        <v>05.6.1.144</v>
      </c>
      <c r="H545" s="83" t="s">
        <v>2293</v>
      </c>
      <c r="I545" s="83" t="str">
        <f t="shared" si="48"/>
        <v>0561144</v>
      </c>
      <c r="J545" s="2" t="s">
        <v>2343</v>
      </c>
      <c r="K545" s="120" t="str">
        <f>IFERROR(VLOOKUP(H545,'Bridge matrix'!$A$3:$E$731,3,FALSE),"no")</f>
        <v>Toallas de papel</v>
      </c>
      <c r="L545" s="120" t="str">
        <f t="shared" si="46"/>
        <v>Toallas de papel</v>
      </c>
      <c r="M545" s="120" t="str">
        <f t="shared" si="47"/>
        <v>Toallas de papel</v>
      </c>
      <c r="N545" s="120" t="str">
        <f t="shared" si="49"/>
        <v>Toallas de papel</v>
      </c>
      <c r="O545" s="2" t="e">
        <f>VLOOKUP(N545,'Bridge matrix'!$D$3:$E$731,2,FALSE)</f>
        <v>#N/A</v>
      </c>
      <c r="Q545" s="18"/>
      <c r="R545" s="80"/>
      <c r="S545" s="80"/>
      <c r="T545" s="80"/>
    </row>
    <row r="546" spans="1:20" x14ac:dyDescent="0.25">
      <c r="A546" s="2" t="s">
        <v>593</v>
      </c>
      <c r="B546" s="2" t="s">
        <v>893</v>
      </c>
      <c r="C546" s="2" t="s">
        <v>663</v>
      </c>
      <c r="D546" s="2" t="s">
        <v>598</v>
      </c>
      <c r="F546" s="2" t="s">
        <v>2244</v>
      </c>
      <c r="G546" s="2" t="str">
        <f t="shared" si="41"/>
        <v>05.6.1.145</v>
      </c>
      <c r="H546" s="83" t="s">
        <v>2294</v>
      </c>
      <c r="I546" s="83" t="str">
        <f t="shared" si="48"/>
        <v>0561145</v>
      </c>
      <c r="J546" s="2" t="s">
        <v>2344</v>
      </c>
      <c r="K546" s="120" t="str">
        <f>IFERROR(VLOOKUP(H546,'Bridge matrix'!$A$3:$E$731,3,FALSE),"no")</f>
        <v>Trampa para ratones</v>
      </c>
      <c r="L546" s="120" t="str">
        <f t="shared" si="46"/>
        <v>Trampa para ratones</v>
      </c>
      <c r="M546" s="120" t="str">
        <f t="shared" si="47"/>
        <v>Trampa para ratones</v>
      </c>
      <c r="N546" s="120" t="str">
        <f t="shared" si="49"/>
        <v>Trampa para ratones</v>
      </c>
      <c r="O546" s="2" t="e">
        <f>VLOOKUP(N546,'Bridge matrix'!$D$3:$E$731,2,FALSE)</f>
        <v>#N/A</v>
      </c>
      <c r="Q546" s="18"/>
      <c r="R546" s="80"/>
      <c r="S546" s="80"/>
      <c r="T546" s="80"/>
    </row>
    <row r="547" spans="1:20" x14ac:dyDescent="0.25">
      <c r="A547" s="2" t="s">
        <v>593</v>
      </c>
      <c r="B547" s="2" t="s">
        <v>893</v>
      </c>
      <c r="C547" s="2" t="s">
        <v>663</v>
      </c>
      <c r="D547" s="2" t="s">
        <v>598</v>
      </c>
      <c r="F547" s="2" t="s">
        <v>2245</v>
      </c>
      <c r="G547" s="2" t="str">
        <f t="shared" si="41"/>
        <v>05.6.1.146</v>
      </c>
      <c r="H547" s="83" t="s">
        <v>2295</v>
      </c>
      <c r="I547" s="83" t="str">
        <f t="shared" si="48"/>
        <v>0561146</v>
      </c>
      <c r="J547" s="2" t="s">
        <v>2345</v>
      </c>
      <c r="K547" s="120" t="str">
        <f>IFERROR(VLOOKUP(H547,'Bridge matrix'!$A$3:$E$731,3,FALSE),"no")</f>
        <v>Trapeador</v>
      </c>
      <c r="L547" s="120" t="str">
        <f t="shared" si="46"/>
        <v>Trapeador</v>
      </c>
      <c r="M547" s="120" t="str">
        <f t="shared" si="47"/>
        <v>Trapeador</v>
      </c>
      <c r="N547" s="120" t="str">
        <f t="shared" si="49"/>
        <v>Trapeador</v>
      </c>
      <c r="O547" s="2" t="e">
        <f>VLOOKUP(N547,'Bridge matrix'!$D$3:$E$731,2,FALSE)</f>
        <v>#N/A</v>
      </c>
      <c r="Q547" s="18"/>
      <c r="R547" s="80"/>
      <c r="S547" s="80"/>
      <c r="T547" s="80"/>
    </row>
    <row r="548" spans="1:20" x14ac:dyDescent="0.25">
      <c r="A548" s="2" t="s">
        <v>593</v>
      </c>
      <c r="B548" s="2" t="s">
        <v>893</v>
      </c>
      <c r="C548" s="2" t="s">
        <v>663</v>
      </c>
      <c r="D548" s="2" t="s">
        <v>598</v>
      </c>
      <c r="F548" s="2" t="s">
        <v>2246</v>
      </c>
      <c r="G548" s="2" t="str">
        <f t="shared" si="41"/>
        <v>05.6.1.147</v>
      </c>
      <c r="H548" s="83" t="s">
        <v>2296</v>
      </c>
      <c r="I548" s="83" t="str">
        <f t="shared" si="48"/>
        <v>0561147</v>
      </c>
      <c r="J548" s="2" t="s">
        <v>2346</v>
      </c>
      <c r="K548" s="120" t="str">
        <f>IFERROR(VLOOKUP(H548,'Bridge matrix'!$A$3:$E$731,3,FALSE),"no")</f>
        <v>Trapos de piso</v>
      </c>
      <c r="L548" s="120" t="str">
        <f t="shared" si="46"/>
        <v>Trapos de piso</v>
      </c>
      <c r="M548" s="120" t="str">
        <f t="shared" si="47"/>
        <v>Trapos de piso</v>
      </c>
      <c r="N548" s="120" t="str">
        <f t="shared" si="49"/>
        <v>Trapos de piso</v>
      </c>
      <c r="O548" s="2" t="e">
        <f>VLOOKUP(N548,'Bridge matrix'!$D$3:$E$731,2,FALSE)</f>
        <v>#N/A</v>
      </c>
      <c r="Q548" s="18"/>
      <c r="R548" s="80"/>
      <c r="S548" s="80"/>
      <c r="T548" s="80"/>
    </row>
    <row r="549" spans="1:20" x14ac:dyDescent="0.25">
      <c r="A549" s="2" t="s">
        <v>593</v>
      </c>
      <c r="B549" s="2" t="s">
        <v>893</v>
      </c>
      <c r="C549" s="2" t="s">
        <v>663</v>
      </c>
      <c r="D549" s="2" t="s">
        <v>598</v>
      </c>
      <c r="F549" s="2" t="s">
        <v>2247</v>
      </c>
      <c r="G549" s="2" t="str">
        <f t="shared" si="41"/>
        <v>05.6.1.148</v>
      </c>
      <c r="H549" s="83" t="s">
        <v>2297</v>
      </c>
      <c r="I549" s="83" t="str">
        <f t="shared" si="48"/>
        <v>0561148</v>
      </c>
      <c r="J549" s="2" t="s">
        <v>2347</v>
      </c>
      <c r="K549" s="120" t="str">
        <f>IFERROR(VLOOKUP(H549,'Bridge matrix'!$A$3:$E$731,3,FALSE),"no")</f>
        <v>Tuercas y pernos para el hogar</v>
      </c>
      <c r="L549" s="120" t="str">
        <f t="shared" si="46"/>
        <v>Tuercas y pernos para el hogar</v>
      </c>
      <c r="M549" s="120" t="str">
        <f t="shared" si="47"/>
        <v>Tuercas y pernos para el hogar</v>
      </c>
      <c r="N549" s="120" t="str">
        <f t="shared" si="49"/>
        <v>Tuercas y pernos para el hogar</v>
      </c>
      <c r="O549" s="2" t="e">
        <f>VLOOKUP(N549,'Bridge matrix'!$D$3:$E$731,2,FALSE)</f>
        <v>#N/A</v>
      </c>
      <c r="Q549" s="18"/>
      <c r="R549" s="80"/>
      <c r="S549" s="80"/>
      <c r="T549" s="80"/>
    </row>
    <row r="550" spans="1:20" x14ac:dyDescent="0.25">
      <c r="A550" s="2" t="s">
        <v>593</v>
      </c>
      <c r="B550" s="2" t="s">
        <v>893</v>
      </c>
      <c r="C550" s="2" t="s">
        <v>663</v>
      </c>
      <c r="D550" s="2" t="s">
        <v>598</v>
      </c>
      <c r="F550" s="2" t="s">
        <v>2248</v>
      </c>
      <c r="G550" s="2" t="str">
        <f t="shared" si="41"/>
        <v>05.6.1.149</v>
      </c>
      <c r="H550" s="83" t="s">
        <v>2298</v>
      </c>
      <c r="I550" s="83" t="str">
        <f t="shared" si="48"/>
        <v>0561149</v>
      </c>
      <c r="J550" s="2" t="s">
        <v>2348</v>
      </c>
      <c r="K550" s="120" t="str">
        <f>IFERROR(VLOOKUP(H550,'Bridge matrix'!$A$3:$E$731,3,FALSE),"no")</f>
        <v>Vajilla descartable</v>
      </c>
      <c r="L550" s="120" t="str">
        <f t="shared" si="46"/>
        <v>Vajilla descartable</v>
      </c>
      <c r="M550" s="120" t="str">
        <f t="shared" si="47"/>
        <v>Vajilla descartable</v>
      </c>
      <c r="N550" s="120" t="str">
        <f t="shared" si="49"/>
        <v>Vajilla descartable</v>
      </c>
      <c r="O550" s="2" t="e">
        <f>VLOOKUP(N550,'Bridge matrix'!$D$3:$E$731,2,FALSE)</f>
        <v>#N/A</v>
      </c>
      <c r="Q550" s="18"/>
      <c r="R550" s="80"/>
      <c r="S550" s="80"/>
      <c r="T550" s="80"/>
    </row>
    <row r="551" spans="1:20" x14ac:dyDescent="0.25">
      <c r="A551" s="2" t="s">
        <v>593</v>
      </c>
      <c r="B551" s="2" t="s">
        <v>893</v>
      </c>
      <c r="C551" s="2" t="s">
        <v>663</v>
      </c>
      <c r="D551" s="2" t="s">
        <v>598</v>
      </c>
      <c r="F551" s="2" t="s">
        <v>2249</v>
      </c>
      <c r="G551" s="2" t="str">
        <f t="shared" si="41"/>
        <v>05.6.1.150</v>
      </c>
      <c r="H551" s="83" t="s">
        <v>2299</v>
      </c>
      <c r="I551" s="83" t="str">
        <f t="shared" si="48"/>
        <v>0561150</v>
      </c>
      <c r="J551" s="2" t="s">
        <v>2349</v>
      </c>
      <c r="K551" s="120" t="str">
        <f>IFERROR(VLOOKUP(H551,'Bridge matrix'!$A$3:$E$731,3,FALSE),"no")</f>
        <v>Velas</v>
      </c>
      <c r="L551" s="120" t="str">
        <f t="shared" si="46"/>
        <v>Velas</v>
      </c>
      <c r="M551" s="120" t="str">
        <f t="shared" si="47"/>
        <v>Velas</v>
      </c>
      <c r="N551" s="120" t="str">
        <f t="shared" si="49"/>
        <v>Velas</v>
      </c>
      <c r="O551" s="2" t="e">
        <f>VLOOKUP(N551,'Bridge matrix'!$D$3:$E$731,2,FALSE)</f>
        <v>#N/A</v>
      </c>
      <c r="Q551" s="18"/>
      <c r="R551" s="80"/>
      <c r="S551" s="80"/>
      <c r="T551" s="80"/>
    </row>
    <row r="552" spans="1:20" x14ac:dyDescent="0.25">
      <c r="A552" s="2" t="s">
        <v>593</v>
      </c>
      <c r="B552" s="2" t="s">
        <v>893</v>
      </c>
      <c r="C552" s="2" t="s">
        <v>663</v>
      </c>
      <c r="D552" s="2" t="s">
        <v>598</v>
      </c>
      <c r="F552" s="2" t="s">
        <v>1574</v>
      </c>
      <c r="G552" s="2" t="str">
        <f t="shared" si="41"/>
        <v>05.6.1.199</v>
      </c>
      <c r="H552" s="83" t="s">
        <v>2300</v>
      </c>
      <c r="I552" s="83" t="str">
        <f t="shared" si="48"/>
        <v>0561199</v>
      </c>
      <c r="J552" s="2" t="s">
        <v>2396</v>
      </c>
      <c r="K552" s="120" t="str">
        <f>IFERROR(VLOOKUP(H552,'Bridge matrix'!$A$3:$E$731,3,FALSE),"no")</f>
        <v>Otros bienes del hogar no duraderos</v>
      </c>
      <c r="L552" s="120" t="str">
        <f t="shared" si="46"/>
        <v>Otros bienes del hogar no duraderos</v>
      </c>
      <c r="M552" s="120" t="str">
        <f t="shared" si="47"/>
        <v>Otros bienes del hogar no duraderos</v>
      </c>
      <c r="N552" s="120" t="str">
        <f t="shared" si="49"/>
        <v>Otros bienes del hogar no duraderos</v>
      </c>
      <c r="O552" s="2" t="e">
        <f>VLOOKUP(N552,'Bridge matrix'!$D$3:$E$731,2,FALSE)</f>
        <v>#N/A</v>
      </c>
      <c r="Q552" s="18"/>
      <c r="R552" s="80"/>
      <c r="S552" s="80"/>
      <c r="T552" s="80"/>
    </row>
    <row r="553" spans="1:20" x14ac:dyDescent="0.25">
      <c r="A553" s="2" t="s">
        <v>591</v>
      </c>
      <c r="B553" s="2" t="s">
        <v>893</v>
      </c>
      <c r="C553" s="2" t="s">
        <v>663</v>
      </c>
      <c r="D553" s="2" t="s">
        <v>619</v>
      </c>
      <c r="E553" s="2" t="s">
        <v>596</v>
      </c>
      <c r="F553" s="2" t="s">
        <v>596</v>
      </c>
      <c r="G553" s="2" t="str">
        <f t="shared" si="41"/>
        <v>05.6.2</v>
      </c>
      <c r="H553" s="83" t="s">
        <v>971</v>
      </c>
      <c r="I553" s="83" t="str">
        <f t="shared" si="48"/>
        <v>0562</v>
      </c>
      <c r="J553" s="2" t="s">
        <v>972</v>
      </c>
      <c r="K553" s="120" t="str">
        <f>IFERROR(VLOOKUP(H553,'Bridge matrix'!$A$3:$E$731,3,FALSE),"no")</f>
        <v xml:space="preserve">SERVICIOS DOMÉSTICOS Y PARA EL HOGAR </v>
      </c>
      <c r="L553" s="120" t="str">
        <f t="shared" si="46"/>
        <v xml:space="preserve">SERVICIOS DOMÉSTICOS Y PARA EL HOGAR </v>
      </c>
      <c r="M553" s="120" t="str">
        <f t="shared" si="47"/>
        <v xml:space="preserve">SERVICIOS DOMÉSTICOS Y PARA EL HOGAR </v>
      </c>
      <c r="N553" s="120" t="str">
        <f t="shared" si="49"/>
        <v xml:space="preserve">SERVICIOS DOMÉSTICOS Y PARA EL HOGAR </v>
      </c>
      <c r="O553" s="2" t="e">
        <f>VLOOKUP(N553,'Bridge matrix'!$D$3:$E$731,2,FALSE)</f>
        <v>#N/A</v>
      </c>
    </row>
    <row r="554" spans="1:20" x14ac:dyDescent="0.25">
      <c r="A554" s="2" t="s">
        <v>592</v>
      </c>
      <c r="B554" s="2" t="s">
        <v>893</v>
      </c>
      <c r="C554" s="2" t="s">
        <v>663</v>
      </c>
      <c r="D554" s="2" t="s">
        <v>619</v>
      </c>
      <c r="E554" s="2" t="s">
        <v>602</v>
      </c>
      <c r="F554" s="2" t="s">
        <v>596</v>
      </c>
      <c r="G554" s="2" t="str">
        <f t="shared" si="41"/>
        <v>05.6.2.000</v>
      </c>
      <c r="H554" s="83" t="s">
        <v>973</v>
      </c>
      <c r="I554" s="83" t="str">
        <f t="shared" si="48"/>
        <v>0562000</v>
      </c>
      <c r="J554" s="2" t="s">
        <v>974</v>
      </c>
      <c r="K554" s="120" t="str">
        <f>IFERROR(VLOOKUP(H554,'Bridge matrix'!$A$3:$E$731,3,FALSE),"no")</f>
        <v>no</v>
      </c>
      <c r="L554" s="120" t="str">
        <f t="shared" si="46"/>
        <v>no</v>
      </c>
      <c r="M554" s="120" t="str">
        <f t="shared" si="47"/>
        <v xml:space="preserve">SERVICIOS DOMÉSTICOS Y PARA EL HOGAR </v>
      </c>
      <c r="N554" s="120" t="str">
        <f t="shared" si="49"/>
        <v xml:space="preserve">SERVICIOS DOMÉSTICOS Y PARA EL HOGAR </v>
      </c>
      <c r="O554" s="2" t="e">
        <f>VLOOKUP(N554,'Bridge matrix'!$D$3:$E$731,2,FALSE)</f>
        <v>#N/A</v>
      </c>
    </row>
    <row r="555" spans="1:20" x14ac:dyDescent="0.25">
      <c r="A555" s="2" t="s">
        <v>592</v>
      </c>
      <c r="B555" s="2" t="s">
        <v>893</v>
      </c>
      <c r="C555" s="2" t="s">
        <v>663</v>
      </c>
      <c r="D555" s="2" t="s">
        <v>619</v>
      </c>
      <c r="E555" s="2" t="s">
        <v>605</v>
      </c>
      <c r="F555" s="2" t="s">
        <v>596</v>
      </c>
      <c r="G555" s="2" t="str">
        <f t="shared" si="41"/>
        <v>05.6.2.100</v>
      </c>
      <c r="H555" s="83" t="s">
        <v>975</v>
      </c>
      <c r="I555" s="83" t="str">
        <f t="shared" si="48"/>
        <v>0562100</v>
      </c>
      <c r="J555" s="2" t="s">
        <v>976</v>
      </c>
      <c r="K555" s="120" t="str">
        <f>IFERROR(VLOOKUP(H555,'Bridge matrix'!$A$3:$E$731,3,FALSE),"no")</f>
        <v>no</v>
      </c>
      <c r="L555" s="120" t="str">
        <f t="shared" si="46"/>
        <v>no</v>
      </c>
      <c r="M555" s="120" t="str">
        <f t="shared" si="47"/>
        <v xml:space="preserve">SERVICIOS DOMÉSTICOS Y PARA EL HOGAR </v>
      </c>
      <c r="N555" s="120" t="str">
        <f t="shared" si="49"/>
        <v xml:space="preserve">SERVICIOS DOMÉSTICOS Y PARA EL HOGAR </v>
      </c>
      <c r="O555" s="2" t="e">
        <f>VLOOKUP(N555,'Bridge matrix'!$D$3:$E$731,2,FALSE)</f>
        <v>#N/A</v>
      </c>
    </row>
    <row r="556" spans="1:20" x14ac:dyDescent="0.25">
      <c r="A556" s="2" t="s">
        <v>592</v>
      </c>
      <c r="B556" s="2" t="s">
        <v>893</v>
      </c>
      <c r="C556" s="2" t="s">
        <v>663</v>
      </c>
      <c r="D556" s="2" t="s">
        <v>619</v>
      </c>
      <c r="E556" s="2" t="s">
        <v>608</v>
      </c>
      <c r="F556" s="2" t="s">
        <v>596</v>
      </c>
      <c r="G556" s="2" t="str">
        <f t="shared" si="41"/>
        <v>05.6.2.200</v>
      </c>
      <c r="H556" s="83" t="s">
        <v>977</v>
      </c>
      <c r="I556" s="83" t="str">
        <f t="shared" si="48"/>
        <v>0562200</v>
      </c>
      <c r="J556" s="2" t="s">
        <v>978</v>
      </c>
      <c r="K556" s="120" t="str">
        <f>IFERROR(VLOOKUP(H556,'Bridge matrix'!$A$3:$E$731,3,FALSE),"no")</f>
        <v>no</v>
      </c>
      <c r="L556" s="120" t="str">
        <f t="shared" si="46"/>
        <v>no</v>
      </c>
      <c r="M556" s="120" t="str">
        <f t="shared" si="47"/>
        <v xml:space="preserve">SERVICIOS DOMÉSTICOS Y PARA EL HOGAR </v>
      </c>
      <c r="N556" s="120" t="str">
        <f t="shared" si="49"/>
        <v xml:space="preserve">SERVICIOS DOMÉSTICOS Y PARA EL HOGAR </v>
      </c>
      <c r="O556" s="2" t="e">
        <f>VLOOKUP(N556,'Bridge matrix'!$D$3:$E$731,2,FALSE)</f>
        <v>#N/A</v>
      </c>
    </row>
    <row r="557" spans="1:20" x14ac:dyDescent="0.25">
      <c r="A557" s="2" t="s">
        <v>589</v>
      </c>
      <c r="B557" s="2" t="s">
        <v>979</v>
      </c>
      <c r="C557" s="2" t="s">
        <v>596</v>
      </c>
      <c r="D557" s="2" t="s">
        <v>596</v>
      </c>
      <c r="E557" s="2" t="s">
        <v>596</v>
      </c>
      <c r="F557" s="2" t="s">
        <v>596</v>
      </c>
      <c r="G557" s="2" t="str">
        <f t="shared" si="41"/>
        <v>06</v>
      </c>
      <c r="H557" s="83" t="s">
        <v>979</v>
      </c>
      <c r="I557" s="83" t="str">
        <f t="shared" si="48"/>
        <v>06</v>
      </c>
      <c r="J557" s="2" t="s">
        <v>980</v>
      </c>
      <c r="K557" s="120" t="str">
        <f>IFERROR(VLOOKUP(H557,'Bridge matrix'!$A$3:$E$731,3,FALSE),"no")</f>
        <v>no</v>
      </c>
      <c r="L557" s="120" t="str">
        <f t="shared" si="46"/>
        <v>ll</v>
      </c>
      <c r="M557" s="120" t="str">
        <f t="shared" si="47"/>
        <v>ll</v>
      </c>
      <c r="N557" s="120" t="str">
        <f t="shared" si="49"/>
        <v>ll</v>
      </c>
      <c r="O557" s="2" t="str">
        <f>VLOOKUP(N557,'Bridge matrix'!$D$3:$E$731,2,FALSE)</f>
        <v>matched on SC/SSC level</v>
      </c>
    </row>
    <row r="558" spans="1:20" x14ac:dyDescent="0.25">
      <c r="A558" s="2" t="s">
        <v>590</v>
      </c>
      <c r="B558" s="2" t="s">
        <v>979</v>
      </c>
      <c r="C558" s="2" t="s">
        <v>598</v>
      </c>
      <c r="D558" s="2" t="s">
        <v>596</v>
      </c>
      <c r="E558" s="2" t="s">
        <v>596</v>
      </c>
      <c r="F558" s="2" t="s">
        <v>596</v>
      </c>
      <c r="G558" s="2" t="str">
        <f t="shared" si="41"/>
        <v>06.1</v>
      </c>
      <c r="H558" s="83" t="s">
        <v>981</v>
      </c>
      <c r="I558" s="83" t="str">
        <f t="shared" si="48"/>
        <v>061</v>
      </c>
      <c r="J558" s="2" t="s">
        <v>982</v>
      </c>
      <c r="K558" s="120" t="str">
        <f>IFERROR(VLOOKUP(H558,'Bridge matrix'!$A$3:$E$731,3,FALSE),"no")</f>
        <v>no</v>
      </c>
      <c r="L558" s="120" t="str">
        <f t="shared" si="46"/>
        <v>ll</v>
      </c>
      <c r="M558" s="120" t="str">
        <f t="shared" si="47"/>
        <v>ll</v>
      </c>
      <c r="N558" s="120" t="str">
        <f t="shared" si="49"/>
        <v>ll</v>
      </c>
      <c r="O558" s="2" t="str">
        <f>VLOOKUP(N558,'Bridge matrix'!$D$3:$E$731,2,FALSE)</f>
        <v>matched on SC/SSC level</v>
      </c>
    </row>
    <row r="559" spans="1:20" x14ac:dyDescent="0.25">
      <c r="A559" s="2" t="s">
        <v>591</v>
      </c>
      <c r="B559" s="2" t="s">
        <v>979</v>
      </c>
      <c r="C559" s="2" t="s">
        <v>598</v>
      </c>
      <c r="D559" s="2" t="s">
        <v>598</v>
      </c>
      <c r="E559" s="2" t="s">
        <v>596</v>
      </c>
      <c r="F559" s="2" t="s">
        <v>596</v>
      </c>
      <c r="G559" s="2" t="str">
        <f t="shared" si="41"/>
        <v>06.1.1</v>
      </c>
      <c r="H559" s="83" t="s">
        <v>983</v>
      </c>
      <c r="I559" s="83" t="str">
        <f t="shared" si="48"/>
        <v>0611</v>
      </c>
      <c r="J559" s="2" t="s">
        <v>984</v>
      </c>
      <c r="K559" s="120" t="str">
        <f>IFERROR(VLOOKUP(H559,'Bridge matrix'!$A$3:$E$731,3,FALSE),"no")</f>
        <v xml:space="preserve">PRODUCTOS FARMACÉUTICOS </v>
      </c>
      <c r="L559" s="120" t="str">
        <f t="shared" si="46"/>
        <v xml:space="preserve">PRODUCTOS FARMACÉUTICOS </v>
      </c>
      <c r="M559" s="120" t="str">
        <f t="shared" si="47"/>
        <v xml:space="preserve">PRODUCTOS FARMACÉUTICOS </v>
      </c>
      <c r="N559" s="120" t="str">
        <f t="shared" si="49"/>
        <v xml:space="preserve">PRODUCTOS FARMACÉUTICOS </v>
      </c>
      <c r="O559" s="2" t="e">
        <f>VLOOKUP(N559,'Bridge matrix'!$D$3:$E$731,2,FALSE)</f>
        <v>#N/A</v>
      </c>
    </row>
    <row r="560" spans="1:20" x14ac:dyDescent="0.25">
      <c r="A560" s="2" t="s">
        <v>592</v>
      </c>
      <c r="B560" s="2" t="s">
        <v>979</v>
      </c>
      <c r="C560" s="2" t="s">
        <v>598</v>
      </c>
      <c r="D560" s="2" t="s">
        <v>598</v>
      </c>
      <c r="E560" s="2" t="s">
        <v>602</v>
      </c>
      <c r="F560" s="2" t="s">
        <v>596</v>
      </c>
      <c r="G560" s="2" t="str">
        <f t="shared" si="41"/>
        <v>06.1.1.000</v>
      </c>
      <c r="H560" s="83" t="s">
        <v>985</v>
      </c>
      <c r="I560" s="83" t="str">
        <f t="shared" si="48"/>
        <v>0611000</v>
      </c>
      <c r="J560" s="2" t="s">
        <v>986</v>
      </c>
      <c r="K560" s="120" t="str">
        <f>IFERROR(VLOOKUP(H560,'Bridge matrix'!$A$3:$E$731,3,FALSE),"no")</f>
        <v>no</v>
      </c>
      <c r="L560" s="120" t="str">
        <f t="shared" si="46"/>
        <v>no</v>
      </c>
      <c r="M560" s="120" t="str">
        <f t="shared" si="47"/>
        <v xml:space="preserve">PRODUCTOS FARMACÉUTICOS </v>
      </c>
      <c r="N560" s="120" t="str">
        <f t="shared" si="49"/>
        <v xml:space="preserve">PRODUCTOS FARMACÉUTICOS </v>
      </c>
      <c r="O560" s="2" t="e">
        <f>VLOOKUP(N560,'Bridge matrix'!$D$3:$E$731,2,FALSE)</f>
        <v>#N/A</v>
      </c>
    </row>
    <row r="561" spans="1:15" x14ac:dyDescent="0.25">
      <c r="A561" s="2" t="s">
        <v>591</v>
      </c>
      <c r="B561" s="2" t="s">
        <v>979</v>
      </c>
      <c r="C561" s="2" t="s">
        <v>598</v>
      </c>
      <c r="D561" s="2" t="s">
        <v>619</v>
      </c>
      <c r="E561" s="2" t="s">
        <v>596</v>
      </c>
      <c r="F561" s="2" t="s">
        <v>596</v>
      </c>
      <c r="G561" s="2" t="str">
        <f t="shared" si="41"/>
        <v>06.1.2</v>
      </c>
      <c r="H561" s="83" t="s">
        <v>987</v>
      </c>
      <c r="I561" s="83" t="str">
        <f t="shared" si="48"/>
        <v>0612</v>
      </c>
      <c r="J561" s="2" t="s">
        <v>988</v>
      </c>
      <c r="K561" s="120" t="str">
        <f>IFERROR(VLOOKUP(H561,'Bridge matrix'!$A$3:$E$731,3,FALSE),"no")</f>
        <v xml:space="preserve">OTROS PRODUCTOS MÉDICOS </v>
      </c>
      <c r="L561" s="120" t="str">
        <f t="shared" si="46"/>
        <v xml:space="preserve">OTROS PRODUCTOS MÉDICOS </v>
      </c>
      <c r="M561" s="120" t="str">
        <f t="shared" si="47"/>
        <v xml:space="preserve">OTROS PRODUCTOS MÉDICOS </v>
      </c>
      <c r="N561" s="120" t="str">
        <f t="shared" si="49"/>
        <v xml:space="preserve">OTROS PRODUCTOS MÉDICOS </v>
      </c>
      <c r="O561" s="2" t="e">
        <f>VLOOKUP(N561,'Bridge matrix'!$D$3:$E$731,2,FALSE)</f>
        <v>#N/A</v>
      </c>
    </row>
    <row r="562" spans="1:15" x14ac:dyDescent="0.25">
      <c r="A562" s="2" t="s">
        <v>592</v>
      </c>
      <c r="B562" s="2" t="s">
        <v>979</v>
      </c>
      <c r="C562" s="2" t="s">
        <v>598</v>
      </c>
      <c r="D562" s="2" t="s">
        <v>619</v>
      </c>
      <c r="E562" s="2" t="s">
        <v>602</v>
      </c>
      <c r="F562" s="2" t="s">
        <v>596</v>
      </c>
      <c r="G562" s="2" t="str">
        <f t="shared" ref="G562:G639" si="50">B562&amp;IF(C562="","","."&amp;C562)&amp;IF(D562="","","."&amp;D562)&amp;IF(E562="","","."&amp;E562)&amp;IF(F562="","","."&amp;F562)</f>
        <v>06.1.2.000</v>
      </c>
      <c r="H562" s="83" t="s">
        <v>989</v>
      </c>
      <c r="I562" s="83" t="str">
        <f t="shared" si="48"/>
        <v>0612000</v>
      </c>
      <c r="J562" s="2" t="s">
        <v>990</v>
      </c>
      <c r="K562" s="120" t="str">
        <f>IFERROR(VLOOKUP(H562,'Bridge matrix'!$A$3:$E$731,3,FALSE),"no")</f>
        <v>no</v>
      </c>
      <c r="L562" s="120" t="str">
        <f t="shared" si="46"/>
        <v>no</v>
      </c>
      <c r="M562" s="120" t="str">
        <f t="shared" si="47"/>
        <v xml:space="preserve">OTROS PRODUCTOS MÉDICOS </v>
      </c>
      <c r="N562" s="120" t="str">
        <f t="shared" si="49"/>
        <v xml:space="preserve">OTROS PRODUCTOS MÉDICOS </v>
      </c>
      <c r="O562" s="2" t="e">
        <f>VLOOKUP(N562,'Bridge matrix'!$D$3:$E$731,2,FALSE)</f>
        <v>#N/A</v>
      </c>
    </row>
    <row r="563" spans="1:15" x14ac:dyDescent="0.25">
      <c r="A563" s="2" t="s">
        <v>591</v>
      </c>
      <c r="B563" s="2" t="s">
        <v>979</v>
      </c>
      <c r="C563" s="2" t="s">
        <v>598</v>
      </c>
      <c r="D563" s="2" t="s">
        <v>633</v>
      </c>
      <c r="E563" s="2" t="s">
        <v>596</v>
      </c>
      <c r="F563" s="2" t="s">
        <v>596</v>
      </c>
      <c r="G563" s="2" t="str">
        <f t="shared" si="50"/>
        <v>06.1.3</v>
      </c>
      <c r="H563" s="83" t="s">
        <v>991</v>
      </c>
      <c r="I563" s="83" t="str">
        <f t="shared" si="48"/>
        <v>0613</v>
      </c>
      <c r="J563" s="2" t="s">
        <v>992</v>
      </c>
      <c r="K563" s="120" t="str">
        <f>IFERROR(VLOOKUP(H563,'Bridge matrix'!$A$3:$E$731,3,FALSE),"no")</f>
        <v xml:space="preserve">ARTEFACTOS Y EQUIPO TERAPÉUTICOS </v>
      </c>
      <c r="L563" s="120" t="str">
        <f t="shared" si="46"/>
        <v xml:space="preserve">ARTEFACTOS Y EQUIPO TERAPÉUTICOS </v>
      </c>
      <c r="M563" s="120" t="str">
        <f t="shared" si="47"/>
        <v xml:space="preserve">ARTEFACTOS Y EQUIPO TERAPÉUTICOS </v>
      </c>
      <c r="N563" s="120" t="str">
        <f t="shared" si="49"/>
        <v xml:space="preserve">ARTEFACTOS Y EQUIPO TERAPÉUTICOS </v>
      </c>
      <c r="O563" s="2" t="e">
        <f>VLOOKUP(N563,'Bridge matrix'!$D$3:$E$731,2,FALSE)</f>
        <v>#N/A</v>
      </c>
    </row>
    <row r="564" spans="1:15" x14ac:dyDescent="0.25">
      <c r="A564" s="2" t="s">
        <v>592</v>
      </c>
      <c r="B564" s="2" t="s">
        <v>979</v>
      </c>
      <c r="C564" s="2" t="s">
        <v>598</v>
      </c>
      <c r="D564" s="2" t="s">
        <v>633</v>
      </c>
      <c r="E564" s="2" t="s">
        <v>602</v>
      </c>
      <c r="F564" s="2" t="s">
        <v>596</v>
      </c>
      <c r="G564" s="2" t="str">
        <f t="shared" si="50"/>
        <v>06.1.3.000</v>
      </c>
      <c r="H564" s="83" t="s">
        <v>993</v>
      </c>
      <c r="I564" s="83" t="str">
        <f t="shared" si="48"/>
        <v>0613000</v>
      </c>
      <c r="J564" s="2" t="s">
        <v>994</v>
      </c>
      <c r="K564" s="120" t="str">
        <f>IFERROR(VLOOKUP(H564,'Bridge matrix'!$A$3:$E$731,3,FALSE),"no")</f>
        <v>no</v>
      </c>
      <c r="L564" s="120" t="str">
        <f t="shared" si="46"/>
        <v>no</v>
      </c>
      <c r="M564" s="120" t="str">
        <f t="shared" si="47"/>
        <v xml:space="preserve">ARTEFACTOS Y EQUIPO TERAPÉUTICOS </v>
      </c>
      <c r="N564" s="120" t="str">
        <f t="shared" si="49"/>
        <v xml:space="preserve">ARTEFACTOS Y EQUIPO TERAPÉUTICOS </v>
      </c>
      <c r="O564" s="2" t="e">
        <f>VLOOKUP(N564,'Bridge matrix'!$D$3:$E$731,2,FALSE)</f>
        <v>#N/A</v>
      </c>
    </row>
    <row r="565" spans="1:15" x14ac:dyDescent="0.25">
      <c r="A565" s="2" t="s">
        <v>590</v>
      </c>
      <c r="B565" s="2" t="s">
        <v>979</v>
      </c>
      <c r="C565" s="2" t="s">
        <v>619</v>
      </c>
      <c r="D565" s="2" t="s">
        <v>596</v>
      </c>
      <c r="E565" s="2" t="s">
        <v>596</v>
      </c>
      <c r="F565" s="2" t="s">
        <v>596</v>
      </c>
      <c r="G565" s="2" t="str">
        <f t="shared" si="50"/>
        <v>06.2</v>
      </c>
      <c r="H565" s="83" t="s">
        <v>995</v>
      </c>
      <c r="I565" s="83" t="str">
        <f t="shared" si="48"/>
        <v>062</v>
      </c>
      <c r="J565" s="2" t="s">
        <v>996</v>
      </c>
      <c r="K565" s="120" t="str">
        <f>IFERROR(VLOOKUP(H565,'Bridge matrix'!$A$3:$E$731,3,FALSE),"no")</f>
        <v>no</v>
      </c>
      <c r="L565" s="120" t="str">
        <f t="shared" si="46"/>
        <v>ll</v>
      </c>
      <c r="M565" s="120" t="str">
        <f t="shared" si="47"/>
        <v>ll</v>
      </c>
      <c r="N565" s="120" t="str">
        <f t="shared" si="49"/>
        <v>ll</v>
      </c>
      <c r="O565" s="2" t="str">
        <f>VLOOKUP(N565,'Bridge matrix'!$D$3:$E$731,2,FALSE)</f>
        <v>matched on SC/SSC level</v>
      </c>
    </row>
    <row r="566" spans="1:15" x14ac:dyDescent="0.25">
      <c r="A566" s="2" t="s">
        <v>591</v>
      </c>
      <c r="B566" s="2" t="s">
        <v>979</v>
      </c>
      <c r="C566" s="2" t="s">
        <v>619</v>
      </c>
      <c r="D566" s="2" t="s">
        <v>598</v>
      </c>
      <c r="E566" s="2" t="s">
        <v>596</v>
      </c>
      <c r="F566" s="2" t="s">
        <v>596</v>
      </c>
      <c r="G566" s="2" t="str">
        <f t="shared" si="50"/>
        <v>06.2.1</v>
      </c>
      <c r="H566" s="83" t="s">
        <v>997</v>
      </c>
      <c r="I566" s="83" t="str">
        <f t="shared" si="48"/>
        <v>0621</v>
      </c>
      <c r="J566" s="2" t="s">
        <v>998</v>
      </c>
      <c r="K566" s="120" t="str">
        <f>IFERROR(VLOOKUP(H566,'Bridge matrix'!$A$3:$E$731,3,FALSE),"no")</f>
        <v xml:space="preserve">SERVICIOS MÉDICOS </v>
      </c>
      <c r="L566" s="120" t="str">
        <f t="shared" si="46"/>
        <v xml:space="preserve">SERVICIOS MÉDICOS </v>
      </c>
      <c r="M566" s="120" t="str">
        <f t="shared" si="47"/>
        <v xml:space="preserve">SERVICIOS MÉDICOS </v>
      </c>
      <c r="N566" s="120" t="str">
        <f t="shared" si="49"/>
        <v xml:space="preserve">SERVICIOS MÉDICOS </v>
      </c>
      <c r="O566" s="2" t="e">
        <f>VLOOKUP(N566,'Bridge matrix'!$D$3:$E$731,2,FALSE)</f>
        <v>#N/A</v>
      </c>
    </row>
    <row r="567" spans="1:15" x14ac:dyDescent="0.25">
      <c r="A567" s="2" t="s">
        <v>591</v>
      </c>
      <c r="B567" s="2" t="s">
        <v>979</v>
      </c>
      <c r="C567" s="2" t="s">
        <v>619</v>
      </c>
      <c r="D567" s="2" t="s">
        <v>619</v>
      </c>
      <c r="E567" s="2" t="s">
        <v>596</v>
      </c>
      <c r="F567" s="2" t="s">
        <v>596</v>
      </c>
      <c r="G567" s="2" t="str">
        <f t="shared" si="50"/>
        <v>06.2.2</v>
      </c>
      <c r="H567" s="83" t="s">
        <v>999</v>
      </c>
      <c r="I567" s="83" t="str">
        <f t="shared" si="48"/>
        <v>0622</v>
      </c>
      <c r="J567" s="2" t="s">
        <v>1000</v>
      </c>
      <c r="K567" s="120" t="str">
        <f>IFERROR(VLOOKUP(H567,'Bridge matrix'!$A$3:$E$731,3,FALSE),"no")</f>
        <v xml:space="preserve">SERVICIOS DENTALES </v>
      </c>
      <c r="L567" s="120" t="str">
        <f t="shared" si="46"/>
        <v xml:space="preserve">SERVICIOS DENTALES </v>
      </c>
      <c r="M567" s="120" t="str">
        <f t="shared" si="47"/>
        <v xml:space="preserve">SERVICIOS DENTALES </v>
      </c>
      <c r="N567" s="120" t="str">
        <f t="shared" si="49"/>
        <v xml:space="preserve">SERVICIOS DENTALES </v>
      </c>
      <c r="O567" s="2" t="e">
        <f>VLOOKUP(N567,'Bridge matrix'!$D$3:$E$731,2,FALSE)</f>
        <v>#N/A</v>
      </c>
    </row>
    <row r="568" spans="1:15" x14ac:dyDescent="0.25">
      <c r="A568" s="2" t="s">
        <v>591</v>
      </c>
      <c r="B568" s="2" t="s">
        <v>979</v>
      </c>
      <c r="C568" s="2" t="s">
        <v>619</v>
      </c>
      <c r="D568" s="2" t="s">
        <v>633</v>
      </c>
      <c r="E568" s="2" t="s">
        <v>596</v>
      </c>
      <c r="F568" s="2" t="s">
        <v>596</v>
      </c>
      <c r="G568" s="2" t="str">
        <f t="shared" si="50"/>
        <v>06.2.3</v>
      </c>
      <c r="H568" s="83" t="s">
        <v>1001</v>
      </c>
      <c r="I568" s="83" t="str">
        <f t="shared" si="48"/>
        <v>0623</v>
      </c>
      <c r="J568" s="2" t="s">
        <v>1002</v>
      </c>
      <c r="K568" s="120" t="str">
        <f>IFERROR(VLOOKUP(H568,'Bridge matrix'!$A$3:$E$731,3,FALSE),"no")</f>
        <v xml:space="preserve">SERVICIOS PARAMÉDICOS </v>
      </c>
      <c r="L568" s="120" t="str">
        <f t="shared" si="46"/>
        <v xml:space="preserve">SERVICIOS PARAMÉDICOS </v>
      </c>
      <c r="M568" s="120" t="str">
        <f t="shared" si="47"/>
        <v xml:space="preserve">SERVICIOS PARAMÉDICOS </v>
      </c>
      <c r="N568" s="120" t="str">
        <f t="shared" si="49"/>
        <v xml:space="preserve">SERVICIOS PARAMÉDICOS </v>
      </c>
      <c r="O568" s="2" t="e">
        <f>VLOOKUP(N568,'Bridge matrix'!$D$3:$E$731,2,FALSE)</f>
        <v>#N/A</v>
      </c>
    </row>
    <row r="569" spans="1:15" x14ac:dyDescent="0.25">
      <c r="A569" s="2" t="s">
        <v>590</v>
      </c>
      <c r="B569" s="2" t="s">
        <v>979</v>
      </c>
      <c r="C569" s="2" t="s">
        <v>633</v>
      </c>
      <c r="D569" s="2" t="s">
        <v>596</v>
      </c>
      <c r="E569" s="2" t="s">
        <v>596</v>
      </c>
      <c r="F569" s="2" t="s">
        <v>596</v>
      </c>
      <c r="G569" s="2" t="str">
        <f t="shared" si="50"/>
        <v>06.3</v>
      </c>
      <c r="H569" s="83" t="s">
        <v>1003</v>
      </c>
      <c r="I569" s="83" t="str">
        <f t="shared" si="48"/>
        <v>063</v>
      </c>
      <c r="J569" s="2" t="s">
        <v>1004</v>
      </c>
      <c r="K569" s="120" t="str">
        <f>IFERROR(VLOOKUP(H569,'Bridge matrix'!$A$3:$E$731,3,FALSE),"no")</f>
        <v>no</v>
      </c>
      <c r="L569" s="120" t="str">
        <f t="shared" si="46"/>
        <v>ll</v>
      </c>
      <c r="M569" s="120" t="str">
        <f t="shared" si="47"/>
        <v>ll</v>
      </c>
      <c r="N569" s="120" t="str">
        <f t="shared" si="49"/>
        <v>ll</v>
      </c>
      <c r="O569" s="2" t="str">
        <f>VLOOKUP(N569,'Bridge matrix'!$D$3:$E$731,2,FALSE)</f>
        <v>matched on SC/SSC level</v>
      </c>
    </row>
    <row r="570" spans="1:15" x14ac:dyDescent="0.25">
      <c r="A570" s="2" t="s">
        <v>591</v>
      </c>
      <c r="B570" s="2" t="s">
        <v>979</v>
      </c>
      <c r="C570" s="2" t="s">
        <v>633</v>
      </c>
      <c r="D570" s="2" t="s">
        <v>598</v>
      </c>
      <c r="E570" s="2" t="s">
        <v>596</v>
      </c>
      <c r="F570" s="2" t="s">
        <v>596</v>
      </c>
      <c r="G570" s="2" t="str">
        <f t="shared" si="50"/>
        <v>06.3.1</v>
      </c>
      <c r="H570" s="83" t="s">
        <v>1005</v>
      </c>
      <c r="I570" s="83" t="str">
        <f t="shared" si="48"/>
        <v>0631</v>
      </c>
      <c r="J570" s="2" t="s">
        <v>1006</v>
      </c>
      <c r="K570" s="120" t="str">
        <f>IFERROR(VLOOKUP(H570,'Bridge matrix'!$A$3:$E$731,3,FALSE),"no")</f>
        <v xml:space="preserve">SERVICIOS DE HOSPITAL </v>
      </c>
      <c r="L570" s="120" t="str">
        <f t="shared" si="46"/>
        <v xml:space="preserve">SERVICIOS DE HOSPITAL </v>
      </c>
      <c r="M570" s="120" t="str">
        <f t="shared" si="47"/>
        <v xml:space="preserve">SERVICIOS DE HOSPITAL </v>
      </c>
      <c r="N570" s="120" t="str">
        <f t="shared" si="49"/>
        <v xml:space="preserve">SERVICIOS DE HOSPITAL </v>
      </c>
      <c r="O570" s="2" t="e">
        <f>VLOOKUP(N570,'Bridge matrix'!$D$3:$E$731,2,FALSE)</f>
        <v>#N/A</v>
      </c>
    </row>
    <row r="571" spans="1:15" x14ac:dyDescent="0.25">
      <c r="A571" s="2" t="s">
        <v>589</v>
      </c>
      <c r="B571" s="2" t="s">
        <v>1007</v>
      </c>
      <c r="C571" s="2" t="s">
        <v>596</v>
      </c>
      <c r="D571" s="2" t="s">
        <v>596</v>
      </c>
      <c r="E571" s="2" t="s">
        <v>596</v>
      </c>
      <c r="F571" s="2" t="s">
        <v>596</v>
      </c>
      <c r="G571" s="2" t="str">
        <f t="shared" si="50"/>
        <v>07</v>
      </c>
      <c r="H571" s="83" t="s">
        <v>1007</v>
      </c>
      <c r="I571" s="83" t="str">
        <f t="shared" si="48"/>
        <v>07</v>
      </c>
      <c r="J571" s="2" t="s">
        <v>1008</v>
      </c>
      <c r="K571" s="120" t="str">
        <f>IFERROR(VLOOKUP(H571,'Bridge matrix'!$A$3:$E$731,3,FALSE),"no")</f>
        <v>no</v>
      </c>
      <c r="L571" s="120" t="str">
        <f t="shared" si="46"/>
        <v>ll</v>
      </c>
      <c r="M571" s="120" t="str">
        <f t="shared" si="47"/>
        <v>ll</v>
      </c>
      <c r="N571" s="120" t="str">
        <f t="shared" si="49"/>
        <v>ll</v>
      </c>
      <c r="O571" s="2" t="str">
        <f>VLOOKUP(N571,'Bridge matrix'!$D$3:$E$731,2,FALSE)</f>
        <v>matched on SC/SSC level</v>
      </c>
    </row>
    <row r="572" spans="1:15" x14ac:dyDescent="0.25">
      <c r="A572" s="2" t="s">
        <v>590</v>
      </c>
      <c r="B572" s="2" t="s">
        <v>1007</v>
      </c>
      <c r="C572" s="2" t="s">
        <v>598</v>
      </c>
      <c r="D572" s="2" t="s">
        <v>596</v>
      </c>
      <c r="E572" s="2" t="s">
        <v>596</v>
      </c>
      <c r="F572" s="2" t="s">
        <v>596</v>
      </c>
      <c r="G572" s="2" t="str">
        <f t="shared" si="50"/>
        <v>07.1</v>
      </c>
      <c r="H572" s="83" t="s">
        <v>1009</v>
      </c>
      <c r="I572" s="83" t="str">
        <f t="shared" si="48"/>
        <v>071</v>
      </c>
      <c r="J572" s="2" t="s">
        <v>1010</v>
      </c>
      <c r="K572" s="120" t="str">
        <f>IFERROR(VLOOKUP(H572,'Bridge matrix'!$A$3:$E$731,3,FALSE),"no")</f>
        <v>no</v>
      </c>
      <c r="L572" s="120" t="str">
        <f t="shared" si="46"/>
        <v>ll</v>
      </c>
      <c r="M572" s="120" t="str">
        <f t="shared" si="47"/>
        <v>ll</v>
      </c>
      <c r="N572" s="120" t="str">
        <f t="shared" si="49"/>
        <v>ll</v>
      </c>
      <c r="O572" s="2" t="str">
        <f>VLOOKUP(N572,'Bridge matrix'!$D$3:$E$731,2,FALSE)</f>
        <v>matched on SC/SSC level</v>
      </c>
    </row>
    <row r="573" spans="1:15" x14ac:dyDescent="0.25">
      <c r="A573" s="2" t="s">
        <v>591</v>
      </c>
      <c r="B573" s="2" t="s">
        <v>1007</v>
      </c>
      <c r="C573" s="2" t="s">
        <v>598</v>
      </c>
      <c r="D573" s="2" t="s">
        <v>598</v>
      </c>
      <c r="E573" s="2" t="s">
        <v>596</v>
      </c>
      <c r="F573" s="2" t="s">
        <v>596</v>
      </c>
      <c r="G573" s="2" t="str">
        <f t="shared" si="50"/>
        <v>07.1.1</v>
      </c>
      <c r="H573" s="83" t="s">
        <v>1011</v>
      </c>
      <c r="I573" s="83" t="str">
        <f t="shared" si="48"/>
        <v>0711</v>
      </c>
      <c r="J573" s="2" t="s">
        <v>1012</v>
      </c>
      <c r="K573" s="120" t="str">
        <f>IFERROR(VLOOKUP(H573,'Bridge matrix'!$A$3:$E$731,3,FALSE),"no")</f>
        <v xml:space="preserve">VEHÍCULOS A MOTOR </v>
      </c>
      <c r="L573" s="120" t="str">
        <f t="shared" si="46"/>
        <v xml:space="preserve">VEHÍCULOS A MOTOR </v>
      </c>
      <c r="M573" s="120" t="str">
        <f t="shared" si="47"/>
        <v xml:space="preserve">VEHÍCULOS A MOTOR </v>
      </c>
      <c r="N573" s="120" t="str">
        <f t="shared" si="49"/>
        <v xml:space="preserve">VEHÍCULOS A MOTOR </v>
      </c>
      <c r="O573" s="2" t="e">
        <f>VLOOKUP(N573,'Bridge matrix'!$D$3:$E$731,2,FALSE)</f>
        <v>#N/A</v>
      </c>
    </row>
    <row r="574" spans="1:15" x14ac:dyDescent="0.25">
      <c r="A574" s="2" t="s">
        <v>592</v>
      </c>
      <c r="B574" s="2" t="s">
        <v>1007</v>
      </c>
      <c r="C574" s="2" t="s">
        <v>598</v>
      </c>
      <c r="D574" s="2" t="s">
        <v>598</v>
      </c>
      <c r="E574" s="2" t="s">
        <v>602</v>
      </c>
      <c r="F574" s="2" t="s">
        <v>596</v>
      </c>
      <c r="G574" s="2" t="str">
        <f t="shared" si="50"/>
        <v>07.1.1.000</v>
      </c>
      <c r="H574" s="83" t="s">
        <v>1013</v>
      </c>
      <c r="I574" s="83" t="str">
        <f t="shared" si="48"/>
        <v>0711000</v>
      </c>
      <c r="J574" s="2" t="s">
        <v>2353</v>
      </c>
      <c r="K574" s="120" t="str">
        <f>IFERROR(VLOOKUP(H574,'Bridge matrix'!$A$3:$E$731,3,FALSE),"no")</f>
        <v>no</v>
      </c>
      <c r="L574" s="120" t="str">
        <f t="shared" si="46"/>
        <v>no</v>
      </c>
      <c r="M574" s="120" t="str">
        <f t="shared" si="47"/>
        <v xml:space="preserve">VEHÍCULOS A MOTOR </v>
      </c>
      <c r="N574" s="120" t="str">
        <f t="shared" si="49"/>
        <v xml:space="preserve">VEHÍCULOS A MOTOR </v>
      </c>
      <c r="O574" s="2" t="e">
        <f>VLOOKUP(N574,'Bridge matrix'!$D$3:$E$731,2,FALSE)</f>
        <v>#N/A</v>
      </c>
    </row>
    <row r="575" spans="1:15" x14ac:dyDescent="0.25">
      <c r="A575" s="2" t="s">
        <v>593</v>
      </c>
      <c r="B575" s="2" t="s">
        <v>1007</v>
      </c>
      <c r="C575" s="2" t="s">
        <v>598</v>
      </c>
      <c r="D575" s="2" t="s">
        <v>598</v>
      </c>
      <c r="E575" s="2" t="s">
        <v>596</v>
      </c>
      <c r="F575" s="2" t="s">
        <v>835</v>
      </c>
      <c r="G575" s="2" t="str">
        <f t="shared" si="50"/>
        <v>07.1.1.001</v>
      </c>
      <c r="H575" s="83" t="s">
        <v>1014</v>
      </c>
      <c r="I575" s="83" t="str">
        <f t="shared" si="48"/>
        <v>0711001</v>
      </c>
      <c r="J575" s="2" t="s">
        <v>1015</v>
      </c>
      <c r="K575" s="120" t="str">
        <f>IFERROR(VLOOKUP(H575,'Bridge matrix'!$A$3:$E$731,3,FALSE),"no")</f>
        <v>no</v>
      </c>
      <c r="L575" s="120" t="str">
        <f t="shared" si="46"/>
        <v>no</v>
      </c>
      <c r="M575" s="120" t="str">
        <f t="shared" si="47"/>
        <v xml:space="preserve">VEHÍCULOS A MOTOR </v>
      </c>
      <c r="N575" s="120" t="str">
        <f t="shared" si="49"/>
        <v xml:space="preserve">VEHÍCULOS A MOTOR </v>
      </c>
      <c r="O575" s="2" t="e">
        <f>VLOOKUP(N575,'Bridge matrix'!$D$3:$E$731,2,FALSE)</f>
        <v>#N/A</v>
      </c>
    </row>
    <row r="576" spans="1:15" x14ac:dyDescent="0.25">
      <c r="A576" s="2" t="s">
        <v>593</v>
      </c>
      <c r="B576" s="2" t="s">
        <v>1007</v>
      </c>
      <c r="C576" s="2" t="s">
        <v>598</v>
      </c>
      <c r="D576" s="2" t="s">
        <v>598</v>
      </c>
      <c r="E576" s="2" t="s">
        <v>596</v>
      </c>
      <c r="F576" s="2" t="s">
        <v>838</v>
      </c>
      <c r="G576" s="2" t="str">
        <f t="shared" si="50"/>
        <v>07.1.1.002</v>
      </c>
      <c r="H576" s="83" t="s">
        <v>1016</v>
      </c>
      <c r="I576" s="83" t="str">
        <f t="shared" si="48"/>
        <v>0711002</v>
      </c>
      <c r="J576" s="2" t="s">
        <v>1017</v>
      </c>
      <c r="K576" s="120" t="str">
        <f>IFERROR(VLOOKUP(H576,'Bridge matrix'!$A$3:$E$731,3,FALSE),"no")</f>
        <v>no</v>
      </c>
      <c r="L576" s="120" t="str">
        <f t="shared" si="46"/>
        <v>no</v>
      </c>
      <c r="M576" s="120" t="str">
        <f t="shared" si="47"/>
        <v xml:space="preserve">VEHÍCULOS A MOTOR </v>
      </c>
      <c r="N576" s="120" t="str">
        <f t="shared" si="49"/>
        <v xml:space="preserve">VEHÍCULOS A MOTOR </v>
      </c>
      <c r="O576" s="2" t="e">
        <f>VLOOKUP(N576,'Bridge matrix'!$D$3:$E$731,2,FALSE)</f>
        <v>#N/A</v>
      </c>
    </row>
    <row r="577" spans="1:15" x14ac:dyDescent="0.25">
      <c r="A577" s="2" t="s">
        <v>593</v>
      </c>
      <c r="B577" s="2" t="s">
        <v>1007</v>
      </c>
      <c r="C577" s="2" t="s">
        <v>598</v>
      </c>
      <c r="D577" s="2" t="s">
        <v>598</v>
      </c>
      <c r="E577" s="2" t="s">
        <v>596</v>
      </c>
      <c r="F577" s="2" t="s">
        <v>849</v>
      </c>
      <c r="G577" s="2" t="str">
        <f t="shared" si="50"/>
        <v>07.1.1.003</v>
      </c>
      <c r="H577" s="83" t="s">
        <v>1018</v>
      </c>
      <c r="I577" s="83" t="str">
        <f t="shared" si="48"/>
        <v>0711003</v>
      </c>
      <c r="J577" s="2" t="s">
        <v>1019</v>
      </c>
      <c r="K577" s="120" t="str">
        <f>IFERROR(VLOOKUP(H577,'Bridge matrix'!$A$3:$E$731,3,FALSE),"no")</f>
        <v>no</v>
      </c>
      <c r="L577" s="120" t="str">
        <f t="shared" si="46"/>
        <v>no</v>
      </c>
      <c r="M577" s="120" t="str">
        <f t="shared" si="47"/>
        <v xml:space="preserve">VEHÍCULOS A MOTOR </v>
      </c>
      <c r="N577" s="120" t="str">
        <f t="shared" si="49"/>
        <v xml:space="preserve">VEHÍCULOS A MOTOR </v>
      </c>
      <c r="O577" s="2" t="e">
        <f>VLOOKUP(N577,'Bridge matrix'!$D$3:$E$731,2,FALSE)</f>
        <v>#N/A</v>
      </c>
    </row>
    <row r="578" spans="1:15" x14ac:dyDescent="0.25">
      <c r="A578" s="2" t="s">
        <v>593</v>
      </c>
      <c r="B578" s="2" t="s">
        <v>1007</v>
      </c>
      <c r="C578" s="2" t="s">
        <v>598</v>
      </c>
      <c r="D578" s="2" t="s">
        <v>598</v>
      </c>
      <c r="E578" s="2" t="s">
        <v>596</v>
      </c>
      <c r="F578" s="2" t="s">
        <v>874</v>
      </c>
      <c r="G578" s="2" t="str">
        <f t="shared" si="50"/>
        <v>07.1.1.004</v>
      </c>
      <c r="H578" s="83" t="s">
        <v>1020</v>
      </c>
      <c r="I578" s="83" t="str">
        <f t="shared" si="48"/>
        <v>0711004</v>
      </c>
      <c r="J578" s="2" t="s">
        <v>1021</v>
      </c>
      <c r="K578" s="120" t="str">
        <f>IFERROR(VLOOKUP(H578,'Bridge matrix'!$A$3:$E$731,3,FALSE),"no")</f>
        <v>no</v>
      </c>
      <c r="L578" s="120" t="str">
        <f t="shared" ref="L578:L655" si="51">IF(AND(H578=LEFT(H579,LEN(H578)),L579&lt;&gt;"no"),"ll",IF(K578="no","no",K578))</f>
        <v>no</v>
      </c>
      <c r="M578" s="120" t="str">
        <f t="shared" ref="M578:M604" si="52">IF(L578&lt;&gt;"no",L578,IF(VLOOKUP(LEFT(H578,6),$H$2:$K$714,3,FALSE)="ll","no",VLOOKUP(LEFT(H578,6),$H$2:$K$714,3,FALSE)))</f>
        <v xml:space="preserve">VEHÍCULOS A MOTOR </v>
      </c>
      <c r="N578" s="120" t="str">
        <f t="shared" si="49"/>
        <v xml:space="preserve">VEHÍCULOS A MOTOR </v>
      </c>
      <c r="O578" s="2" t="e">
        <f>VLOOKUP(N578,'Bridge matrix'!$D$3:$E$731,2,FALSE)</f>
        <v>#N/A</v>
      </c>
    </row>
    <row r="579" spans="1:15" x14ac:dyDescent="0.25">
      <c r="A579" s="2" t="s">
        <v>593</v>
      </c>
      <c r="B579" s="2" t="s">
        <v>1007</v>
      </c>
      <c r="C579" s="2" t="s">
        <v>598</v>
      </c>
      <c r="D579" s="2" t="s">
        <v>598</v>
      </c>
      <c r="E579" s="2" t="s">
        <v>596</v>
      </c>
      <c r="F579" s="2" t="s">
        <v>877</v>
      </c>
      <c r="G579" s="2" t="str">
        <f t="shared" si="50"/>
        <v>07.1.1.005</v>
      </c>
      <c r="H579" s="83" t="s">
        <v>1022</v>
      </c>
      <c r="I579" s="83" t="str">
        <f t="shared" ref="I579:I656" si="53">B579&amp;C579&amp;D579&amp;E579&amp;F579</f>
        <v>0711005</v>
      </c>
      <c r="J579" s="2" t="s">
        <v>1023</v>
      </c>
      <c r="K579" s="120" t="str">
        <f>IFERROR(VLOOKUP(H579,'Bridge matrix'!$A$3:$E$731,3,FALSE),"no")</f>
        <v>no</v>
      </c>
      <c r="L579" s="120" t="str">
        <f t="shared" si="51"/>
        <v>no</v>
      </c>
      <c r="M579" s="120" t="str">
        <f t="shared" si="52"/>
        <v xml:space="preserve">VEHÍCULOS A MOTOR </v>
      </c>
      <c r="N579" s="120" t="str">
        <f t="shared" ref="N579:N656" si="54">M579</f>
        <v xml:space="preserve">VEHÍCULOS A MOTOR </v>
      </c>
      <c r="O579" s="2" t="e">
        <f>VLOOKUP(N579,'Bridge matrix'!$D$3:$E$731,2,FALSE)</f>
        <v>#N/A</v>
      </c>
    </row>
    <row r="580" spans="1:15" x14ac:dyDescent="0.25">
      <c r="A580" s="2" t="s">
        <v>593</v>
      </c>
      <c r="B580" s="2" t="s">
        <v>1007</v>
      </c>
      <c r="C580" s="2" t="s">
        <v>598</v>
      </c>
      <c r="D580" s="2" t="s">
        <v>598</v>
      </c>
      <c r="E580" s="2" t="s">
        <v>596</v>
      </c>
      <c r="F580" s="2" t="s">
        <v>1024</v>
      </c>
      <c r="G580" s="2" t="str">
        <f t="shared" si="50"/>
        <v>07.1.1.006</v>
      </c>
      <c r="H580" s="83" t="s">
        <v>1025</v>
      </c>
      <c r="I580" s="83" t="str">
        <f t="shared" si="53"/>
        <v>0711006</v>
      </c>
      <c r="J580" s="2" t="s">
        <v>1026</v>
      </c>
      <c r="K580" s="120" t="str">
        <f>IFERROR(VLOOKUP(H580,'Bridge matrix'!$A$3:$E$731,3,FALSE),"no")</f>
        <v>no</v>
      </c>
      <c r="L580" s="120" t="str">
        <f t="shared" si="51"/>
        <v>no</v>
      </c>
      <c r="M580" s="120" t="str">
        <f t="shared" si="52"/>
        <v xml:space="preserve">VEHÍCULOS A MOTOR </v>
      </c>
      <c r="N580" s="120" t="str">
        <f t="shared" si="54"/>
        <v xml:space="preserve">VEHÍCULOS A MOTOR </v>
      </c>
      <c r="O580" s="2" t="e">
        <f>VLOOKUP(N580,'Bridge matrix'!$D$3:$E$731,2,FALSE)</f>
        <v>#N/A</v>
      </c>
    </row>
    <row r="581" spans="1:15" x14ac:dyDescent="0.25">
      <c r="A581" s="2" t="s">
        <v>593</v>
      </c>
      <c r="B581" s="2" t="s">
        <v>1007</v>
      </c>
      <c r="C581" s="2" t="s">
        <v>598</v>
      </c>
      <c r="D581" s="2" t="s">
        <v>598</v>
      </c>
      <c r="E581" s="2" t="s">
        <v>596</v>
      </c>
      <c r="F581" s="2" t="s">
        <v>1027</v>
      </c>
      <c r="G581" s="2" t="str">
        <f t="shared" si="50"/>
        <v>07.1.1.007</v>
      </c>
      <c r="H581" s="83" t="s">
        <v>1028</v>
      </c>
      <c r="I581" s="83" t="str">
        <f t="shared" si="53"/>
        <v>0711007</v>
      </c>
      <c r="J581" s="2" t="s">
        <v>1029</v>
      </c>
      <c r="K581" s="120" t="str">
        <f>IFERROR(VLOOKUP(H581,'Bridge matrix'!$A$3:$E$731,3,FALSE),"no")</f>
        <v>no</v>
      </c>
      <c r="L581" s="120" t="str">
        <f t="shared" si="51"/>
        <v>no</v>
      </c>
      <c r="M581" s="120" t="str">
        <f t="shared" si="52"/>
        <v xml:space="preserve">VEHÍCULOS A MOTOR </v>
      </c>
      <c r="N581" s="120" t="str">
        <f t="shared" si="54"/>
        <v xml:space="preserve">VEHÍCULOS A MOTOR </v>
      </c>
      <c r="O581" s="2" t="e">
        <f>VLOOKUP(N581,'Bridge matrix'!$D$3:$E$731,2,FALSE)</f>
        <v>#N/A</v>
      </c>
    </row>
    <row r="582" spans="1:15" x14ac:dyDescent="0.25">
      <c r="A582" s="2" t="s">
        <v>593</v>
      </c>
      <c r="B582" s="2" t="s">
        <v>1007</v>
      </c>
      <c r="C582" s="2" t="s">
        <v>598</v>
      </c>
      <c r="D582" s="2" t="s">
        <v>598</v>
      </c>
      <c r="E582" s="2" t="s">
        <v>596</v>
      </c>
      <c r="F582" s="2" t="s">
        <v>1030</v>
      </c>
      <c r="G582" s="2" t="str">
        <f t="shared" si="50"/>
        <v>07.1.1.008</v>
      </c>
      <c r="H582" s="83" t="s">
        <v>1031</v>
      </c>
      <c r="I582" s="83" t="str">
        <f t="shared" si="53"/>
        <v>0711008</v>
      </c>
      <c r="J582" s="2" t="s">
        <v>1032</v>
      </c>
      <c r="K582" s="120" t="str">
        <f>IFERROR(VLOOKUP(H582,'Bridge matrix'!$A$3:$E$731,3,FALSE),"no")</f>
        <v>no</v>
      </c>
      <c r="L582" s="120" t="str">
        <f t="shared" si="51"/>
        <v>no</v>
      </c>
      <c r="M582" s="120" t="str">
        <f t="shared" si="52"/>
        <v xml:space="preserve">VEHÍCULOS A MOTOR </v>
      </c>
      <c r="N582" s="120" t="str">
        <f t="shared" si="54"/>
        <v xml:space="preserve">VEHÍCULOS A MOTOR </v>
      </c>
      <c r="O582" s="2" t="e">
        <f>VLOOKUP(N582,'Bridge matrix'!$D$3:$E$731,2,FALSE)</f>
        <v>#N/A</v>
      </c>
    </row>
    <row r="583" spans="1:15" x14ac:dyDescent="0.25">
      <c r="A583" s="2" t="s">
        <v>593</v>
      </c>
      <c r="B583" s="2" t="s">
        <v>1007</v>
      </c>
      <c r="C583" s="2" t="s">
        <v>598</v>
      </c>
      <c r="D583" s="2" t="s">
        <v>598</v>
      </c>
      <c r="E583" s="2" t="s">
        <v>596</v>
      </c>
      <c r="F583" s="2" t="s">
        <v>1247</v>
      </c>
      <c r="G583" s="2" t="str">
        <f t="shared" si="50"/>
        <v>07.1.1.099</v>
      </c>
      <c r="H583" s="83" t="s">
        <v>2354</v>
      </c>
      <c r="I583" s="83" t="str">
        <f t="shared" si="53"/>
        <v>0711099</v>
      </c>
      <c r="J583" s="2" t="s">
        <v>1033</v>
      </c>
      <c r="K583" s="120" t="str">
        <f>IFERROR(VLOOKUP(H583,'Bridge matrix'!$A$3:$E$731,3,FALSE),"no")</f>
        <v>no</v>
      </c>
      <c r="L583" s="120" t="str">
        <f t="shared" si="51"/>
        <v>no</v>
      </c>
      <c r="M583" s="120" t="str">
        <f t="shared" si="52"/>
        <v xml:space="preserve">VEHÍCULOS A MOTOR </v>
      </c>
      <c r="N583" s="120" t="str">
        <f t="shared" si="54"/>
        <v xml:space="preserve">VEHÍCULOS A MOTOR </v>
      </c>
      <c r="O583" s="2" t="e">
        <f>VLOOKUP(N583,'Bridge matrix'!$D$3:$E$731,2,FALSE)</f>
        <v>#N/A</v>
      </c>
    </row>
    <row r="584" spans="1:15" x14ac:dyDescent="0.25">
      <c r="A584" s="2" t="s">
        <v>591</v>
      </c>
      <c r="B584" s="2" t="s">
        <v>1007</v>
      </c>
      <c r="C584" s="2" t="s">
        <v>598</v>
      </c>
      <c r="D584" s="2" t="s">
        <v>619</v>
      </c>
      <c r="E584" s="2" t="s">
        <v>596</v>
      </c>
      <c r="F584" s="2" t="s">
        <v>596</v>
      </c>
      <c r="G584" s="2" t="str">
        <f t="shared" si="50"/>
        <v>07.1.2</v>
      </c>
      <c r="H584" s="83" t="s">
        <v>1034</v>
      </c>
      <c r="I584" s="83" t="str">
        <f t="shared" si="53"/>
        <v>0712</v>
      </c>
      <c r="J584" s="2" t="s">
        <v>1035</v>
      </c>
      <c r="K584" s="120" t="str">
        <f>IFERROR(VLOOKUP(H584,'Bridge matrix'!$A$3:$E$731,3,FALSE),"no")</f>
        <v xml:space="preserve">MOTOCICLETAS </v>
      </c>
      <c r="L584" s="120" t="str">
        <f t="shared" si="51"/>
        <v xml:space="preserve">MOTOCICLETAS </v>
      </c>
      <c r="M584" s="120" t="str">
        <f t="shared" si="52"/>
        <v xml:space="preserve">MOTOCICLETAS </v>
      </c>
      <c r="N584" s="120" t="str">
        <f t="shared" si="54"/>
        <v xml:space="preserve">MOTOCICLETAS </v>
      </c>
      <c r="O584" s="2" t="e">
        <f>VLOOKUP(N584,'Bridge matrix'!$D$3:$E$731,2,FALSE)</f>
        <v>#N/A</v>
      </c>
    </row>
    <row r="585" spans="1:15" x14ac:dyDescent="0.25">
      <c r="A585" s="2" t="s">
        <v>591</v>
      </c>
      <c r="B585" s="2" t="s">
        <v>1007</v>
      </c>
      <c r="C585" s="2" t="s">
        <v>598</v>
      </c>
      <c r="D585" s="2" t="s">
        <v>633</v>
      </c>
      <c r="E585" s="2" t="s">
        <v>596</v>
      </c>
      <c r="F585" s="2" t="s">
        <v>596</v>
      </c>
      <c r="G585" s="2" t="str">
        <f t="shared" si="50"/>
        <v>07.1.3</v>
      </c>
      <c r="H585" s="83" t="s">
        <v>1036</v>
      </c>
      <c r="I585" s="83" t="str">
        <f t="shared" si="53"/>
        <v>0713</v>
      </c>
      <c r="J585" s="2" t="s">
        <v>1037</v>
      </c>
      <c r="K585" s="120" t="str">
        <f>IFERROR(VLOOKUP(H585,'Bridge matrix'!$A$3:$E$731,3,FALSE),"no")</f>
        <v xml:space="preserve">BICICLETAS </v>
      </c>
      <c r="L585" s="120" t="str">
        <f t="shared" si="51"/>
        <v xml:space="preserve">BICICLETAS </v>
      </c>
      <c r="M585" s="120" t="str">
        <f t="shared" si="52"/>
        <v xml:space="preserve">BICICLETAS </v>
      </c>
      <c r="N585" s="120" t="str">
        <f t="shared" si="54"/>
        <v xml:space="preserve">BICICLETAS </v>
      </c>
      <c r="O585" s="2" t="e">
        <f>VLOOKUP(N585,'Bridge matrix'!$D$3:$E$731,2,FALSE)</f>
        <v>#N/A</v>
      </c>
    </row>
    <row r="586" spans="1:15" x14ac:dyDescent="0.25">
      <c r="A586" s="2" t="s">
        <v>591</v>
      </c>
      <c r="B586" s="2" t="s">
        <v>1007</v>
      </c>
      <c r="C586" s="2" t="s">
        <v>598</v>
      </c>
      <c r="D586" s="2" t="s">
        <v>643</v>
      </c>
      <c r="E586" s="2" t="s">
        <v>596</v>
      </c>
      <c r="F586" s="2" t="s">
        <v>596</v>
      </c>
      <c r="G586" s="2" t="str">
        <f t="shared" si="50"/>
        <v>07.1.4</v>
      </c>
      <c r="H586" s="83" t="s">
        <v>1038</v>
      </c>
      <c r="I586" s="83" t="str">
        <f t="shared" si="53"/>
        <v>0714</v>
      </c>
      <c r="J586" s="2" t="s">
        <v>1039</v>
      </c>
      <c r="K586" s="120" t="str">
        <f>IFERROR(VLOOKUP(H586,'Bridge matrix'!$A$3:$E$731,3,FALSE),"no")</f>
        <v xml:space="preserve">VEHÍCULOS DE TRACCIÓN ANIMAL </v>
      </c>
      <c r="L586" s="120" t="str">
        <f t="shared" si="51"/>
        <v xml:space="preserve">VEHÍCULOS DE TRACCIÓN ANIMAL </v>
      </c>
      <c r="M586" s="120" t="str">
        <f t="shared" si="52"/>
        <v xml:space="preserve">VEHÍCULOS DE TRACCIÓN ANIMAL </v>
      </c>
      <c r="N586" s="120" t="str">
        <f t="shared" si="54"/>
        <v xml:space="preserve">VEHÍCULOS DE TRACCIÓN ANIMAL </v>
      </c>
      <c r="O586" s="2" t="e">
        <f>VLOOKUP(N586,'Bridge matrix'!$D$3:$E$731,2,FALSE)</f>
        <v>#N/A</v>
      </c>
    </row>
    <row r="587" spans="1:15" x14ac:dyDescent="0.25">
      <c r="A587" s="2" t="s">
        <v>590</v>
      </c>
      <c r="B587" s="2" t="s">
        <v>1007</v>
      </c>
      <c r="C587" s="2" t="s">
        <v>619</v>
      </c>
      <c r="D587" s="2" t="s">
        <v>596</v>
      </c>
      <c r="E587" s="2" t="s">
        <v>596</v>
      </c>
      <c r="F587" s="2" t="s">
        <v>596</v>
      </c>
      <c r="G587" s="2" t="str">
        <f t="shared" si="50"/>
        <v>07.2</v>
      </c>
      <c r="H587" s="83" t="s">
        <v>1040</v>
      </c>
      <c r="I587" s="83" t="str">
        <f t="shared" si="53"/>
        <v>072</v>
      </c>
      <c r="J587" s="3" t="s">
        <v>1041</v>
      </c>
      <c r="K587" s="120" t="str">
        <f>IFERROR(VLOOKUP(H587,'Bridge matrix'!$A$3:$E$731,3,FALSE),"no")</f>
        <v>no</v>
      </c>
      <c r="L587" s="120" t="str">
        <f t="shared" si="51"/>
        <v>ll</v>
      </c>
      <c r="M587" s="120" t="str">
        <f t="shared" si="52"/>
        <v>ll</v>
      </c>
      <c r="N587" s="120" t="str">
        <f t="shared" si="54"/>
        <v>ll</v>
      </c>
      <c r="O587" s="2" t="str">
        <f>VLOOKUP(N587,'Bridge matrix'!$D$3:$E$731,2,FALSE)</f>
        <v>matched on SC/SSC level</v>
      </c>
    </row>
    <row r="588" spans="1:15" x14ac:dyDescent="0.25">
      <c r="A588" s="2" t="s">
        <v>591</v>
      </c>
      <c r="B588" s="2" t="s">
        <v>1007</v>
      </c>
      <c r="C588" s="2" t="s">
        <v>619</v>
      </c>
      <c r="D588" s="2" t="s">
        <v>598</v>
      </c>
      <c r="E588" s="2" t="s">
        <v>596</v>
      </c>
      <c r="F588" s="2" t="s">
        <v>596</v>
      </c>
      <c r="G588" s="2" t="str">
        <f t="shared" si="50"/>
        <v>07.2.1</v>
      </c>
      <c r="H588" s="83" t="s">
        <v>1042</v>
      </c>
      <c r="I588" s="83" t="str">
        <f t="shared" si="53"/>
        <v>0721</v>
      </c>
      <c r="J588" s="2" t="s">
        <v>1043</v>
      </c>
      <c r="K588" s="120" t="str">
        <f>IFERROR(VLOOKUP(H588,'Bridge matrix'!$A$3:$E$731,3,FALSE),"no")</f>
        <v xml:space="preserve">PIEZAS, REPUESTOS Y ACCESORIOS PARA EQUIPO DE TRANSPORTE PERSONAL </v>
      </c>
      <c r="L588" s="120" t="str">
        <f t="shared" si="51"/>
        <v xml:space="preserve">PIEZAS, REPUESTOS Y ACCESORIOS PARA EQUIPO DE TRANSPORTE PERSONAL </v>
      </c>
      <c r="M588" s="120" t="str">
        <f t="shared" si="52"/>
        <v xml:space="preserve">PIEZAS, REPUESTOS Y ACCESORIOS PARA EQUIPO DE TRANSPORTE PERSONAL </v>
      </c>
      <c r="N588" s="120" t="str">
        <f t="shared" si="54"/>
        <v xml:space="preserve">PIEZAS, REPUESTOS Y ACCESORIOS PARA EQUIPO DE TRANSPORTE PERSONAL </v>
      </c>
      <c r="O588" s="2" t="e">
        <f>VLOOKUP(N588,'Bridge matrix'!$D$3:$E$731,2,FALSE)</f>
        <v>#N/A</v>
      </c>
    </row>
    <row r="589" spans="1:15" x14ac:dyDescent="0.25">
      <c r="A589" s="2" t="s">
        <v>592</v>
      </c>
      <c r="B589" s="2" t="s">
        <v>1007</v>
      </c>
      <c r="C589" s="2" t="s">
        <v>619</v>
      </c>
      <c r="D589" s="2" t="s">
        <v>598</v>
      </c>
      <c r="E589" s="2" t="s">
        <v>602</v>
      </c>
      <c r="F589" s="2" t="s">
        <v>596</v>
      </c>
      <c r="G589" s="2" t="str">
        <f t="shared" si="50"/>
        <v>07.2.1.000</v>
      </c>
      <c r="H589" s="83" t="s">
        <v>1044</v>
      </c>
      <c r="I589" s="83" t="str">
        <f t="shared" si="53"/>
        <v>0721000</v>
      </c>
      <c r="J589" s="2" t="s">
        <v>1045</v>
      </c>
      <c r="K589" s="120" t="str">
        <f>IFERROR(VLOOKUP(H589,'Bridge matrix'!$A$3:$E$731,3,FALSE),"no")</f>
        <v>no</v>
      </c>
      <c r="L589" s="120" t="str">
        <f t="shared" si="51"/>
        <v>no</v>
      </c>
      <c r="M589" s="120" t="str">
        <f t="shared" si="52"/>
        <v xml:space="preserve">PIEZAS, REPUESTOS Y ACCESORIOS PARA EQUIPO DE TRANSPORTE PERSONAL </v>
      </c>
      <c r="N589" s="120" t="str">
        <f t="shared" si="54"/>
        <v xml:space="preserve">PIEZAS, REPUESTOS Y ACCESORIOS PARA EQUIPO DE TRANSPORTE PERSONAL </v>
      </c>
      <c r="O589" s="2" t="e">
        <f>VLOOKUP(N589,'Bridge matrix'!$D$3:$E$731,2,FALSE)</f>
        <v>#N/A</v>
      </c>
    </row>
    <row r="590" spans="1:15" x14ac:dyDescent="0.25">
      <c r="A590" s="2" t="s">
        <v>591</v>
      </c>
      <c r="B590" s="2" t="s">
        <v>1007</v>
      </c>
      <c r="C590" s="2" t="s">
        <v>619</v>
      </c>
      <c r="D590" s="2" t="s">
        <v>619</v>
      </c>
      <c r="E590" s="2" t="s">
        <v>596</v>
      </c>
      <c r="F590" s="2" t="s">
        <v>596</v>
      </c>
      <c r="G590" s="2" t="str">
        <f t="shared" si="50"/>
        <v>07.2.2</v>
      </c>
      <c r="H590" s="83" t="s">
        <v>1046</v>
      </c>
      <c r="I590" s="83" t="str">
        <f t="shared" si="53"/>
        <v>0722</v>
      </c>
      <c r="J590" s="2" t="s">
        <v>1047</v>
      </c>
      <c r="K590" s="120" t="str">
        <f>IFERROR(VLOOKUP(H590,'Bridge matrix'!$A$3:$E$731,3,FALSE),"no")</f>
        <v xml:space="preserve">COMBUSTIBLE Y LUBRICANTES PARA EQUIPO DE TRANSPORTE PERSONAL </v>
      </c>
      <c r="L590" s="120" t="str">
        <f t="shared" si="51"/>
        <v>ll</v>
      </c>
      <c r="M590" s="120" t="str">
        <f t="shared" si="52"/>
        <v>ll</v>
      </c>
      <c r="N590" s="120" t="str">
        <f t="shared" si="54"/>
        <v>ll</v>
      </c>
      <c r="O590" s="2" t="str">
        <f>VLOOKUP(N590,'Bridge matrix'!$D$3:$E$731,2,FALSE)</f>
        <v>matched on SC/SSC level</v>
      </c>
    </row>
    <row r="591" spans="1:15" x14ac:dyDescent="0.25">
      <c r="A591" s="2" t="s">
        <v>592</v>
      </c>
      <c r="B591" s="2" t="s">
        <v>1007</v>
      </c>
      <c r="C591" s="2" t="s">
        <v>619</v>
      </c>
      <c r="D591" s="2" t="s">
        <v>619</v>
      </c>
      <c r="E591" s="2" t="s">
        <v>602</v>
      </c>
      <c r="F591" s="2" t="s">
        <v>596</v>
      </c>
      <c r="G591" s="2" t="str">
        <f t="shared" si="50"/>
        <v>07.2.2.000</v>
      </c>
      <c r="H591" s="83" t="s">
        <v>1048</v>
      </c>
      <c r="I591" s="83" t="str">
        <f t="shared" si="53"/>
        <v>0722000</v>
      </c>
      <c r="J591" s="2" t="s">
        <v>2356</v>
      </c>
      <c r="K591" s="120" t="str">
        <f>IFERROR(VLOOKUP(H591,'Bridge matrix'!$A$3:$E$731,3,FALSE),"no")</f>
        <v>Combustibles para equipo de transporte personal</v>
      </c>
      <c r="L591" s="120" t="str">
        <f t="shared" si="51"/>
        <v>Combustibles para equipo de transporte personal</v>
      </c>
      <c r="M591" s="120" t="str">
        <f t="shared" si="52"/>
        <v>Combustibles para equipo de transporte personal</v>
      </c>
      <c r="N591" s="120" t="str">
        <f t="shared" si="54"/>
        <v>Combustibles para equipo de transporte personal</v>
      </c>
      <c r="O591" s="2" t="e">
        <f>VLOOKUP(N591,'Bridge matrix'!$D$3:$E$731,2,FALSE)</f>
        <v>#N/A</v>
      </c>
    </row>
    <row r="592" spans="1:15" x14ac:dyDescent="0.25">
      <c r="A592" s="2" t="s">
        <v>593</v>
      </c>
      <c r="B592" s="2" t="s">
        <v>1007</v>
      </c>
      <c r="C592" s="2" t="s">
        <v>619</v>
      </c>
      <c r="D592" s="2" t="s">
        <v>619</v>
      </c>
      <c r="E592" s="2" t="s">
        <v>596</v>
      </c>
      <c r="F592" s="2" t="s">
        <v>835</v>
      </c>
      <c r="G592" s="2" t="str">
        <f t="shared" si="50"/>
        <v>07.2.2.001</v>
      </c>
      <c r="H592" s="83" t="s">
        <v>1049</v>
      </c>
      <c r="I592" s="83" t="str">
        <f t="shared" si="53"/>
        <v>0722001</v>
      </c>
      <c r="J592" s="2" t="s">
        <v>858</v>
      </c>
      <c r="K592" s="120" t="str">
        <f>IFERROR(VLOOKUP(H592,'Bridge matrix'!$A$3:$E$731,3,FALSE),"no")</f>
        <v>Diesel</v>
      </c>
      <c r="L592" s="120" t="str">
        <f t="shared" si="51"/>
        <v>Diesel</v>
      </c>
      <c r="M592" s="120" t="str">
        <f t="shared" si="52"/>
        <v>Diesel</v>
      </c>
      <c r="N592" s="120" t="str">
        <f t="shared" si="54"/>
        <v>Diesel</v>
      </c>
      <c r="O592" s="2" t="e">
        <f>VLOOKUP(N592,'Bridge matrix'!$D$3:$E$731,2,FALSE)</f>
        <v>#N/A</v>
      </c>
    </row>
    <row r="593" spans="1:21" x14ac:dyDescent="0.25">
      <c r="A593" s="2" t="s">
        <v>593</v>
      </c>
      <c r="B593" s="2" t="s">
        <v>1007</v>
      </c>
      <c r="C593" s="2" t="s">
        <v>619</v>
      </c>
      <c r="D593" s="2" t="s">
        <v>619</v>
      </c>
      <c r="E593" s="2" t="s">
        <v>596</v>
      </c>
      <c r="F593" s="2" t="s">
        <v>838</v>
      </c>
      <c r="G593" s="2" t="str">
        <f t="shared" si="50"/>
        <v>07.2.2.002</v>
      </c>
      <c r="H593" s="83" t="s">
        <v>1050</v>
      </c>
      <c r="I593" s="83" t="str">
        <f t="shared" si="53"/>
        <v>0722002</v>
      </c>
      <c r="J593" s="2" t="s">
        <v>1051</v>
      </c>
      <c r="K593" s="120" t="str">
        <f>IFERROR(VLOOKUP(H593,'Bridge matrix'!$A$3:$E$731,3,FALSE),"no")</f>
        <v>Gas licuado</v>
      </c>
      <c r="L593" s="120" t="str">
        <f t="shared" si="51"/>
        <v>Gas licuado</v>
      </c>
      <c r="M593" s="120" t="str">
        <f t="shared" si="52"/>
        <v>Gas licuado</v>
      </c>
      <c r="N593" s="120" t="str">
        <f t="shared" si="54"/>
        <v>Gas licuado</v>
      </c>
      <c r="O593" s="2" t="e">
        <f>VLOOKUP(N593,'Bridge matrix'!$D$3:$E$731,2,FALSE)</f>
        <v>#N/A</v>
      </c>
    </row>
    <row r="594" spans="1:21" x14ac:dyDescent="0.25">
      <c r="A594" s="2" t="s">
        <v>593</v>
      </c>
      <c r="B594" s="2" t="s">
        <v>1007</v>
      </c>
      <c r="C594" s="2" t="s">
        <v>619</v>
      </c>
      <c r="D594" s="2" t="s">
        <v>619</v>
      </c>
      <c r="E594" s="2" t="s">
        <v>596</v>
      </c>
      <c r="F594" s="2" t="s">
        <v>849</v>
      </c>
      <c r="G594" s="2" t="str">
        <f t="shared" si="50"/>
        <v>07.2.2.003</v>
      </c>
      <c r="H594" s="83" t="s">
        <v>1052</v>
      </c>
      <c r="I594" s="83" t="str">
        <f t="shared" si="53"/>
        <v>0722003</v>
      </c>
      <c r="J594" s="2" t="s">
        <v>1053</v>
      </c>
      <c r="K594" s="120" t="str">
        <f>IFERROR(VLOOKUP(H594,'Bridge matrix'!$A$3:$E$731,3,FALSE),"no")</f>
        <v>Gasolina ecopaís</v>
      </c>
      <c r="L594" s="120" t="str">
        <f t="shared" si="51"/>
        <v>Gasolina ecopaís</v>
      </c>
      <c r="M594" s="120" t="str">
        <f t="shared" si="52"/>
        <v>Gasolina ecopaís</v>
      </c>
      <c r="N594" s="120" t="str">
        <f t="shared" si="54"/>
        <v>Gasolina ecopaís</v>
      </c>
      <c r="O594" s="2" t="e">
        <f>VLOOKUP(N594,'Bridge matrix'!$D$3:$E$731,2,FALSE)</f>
        <v>#N/A</v>
      </c>
    </row>
    <row r="595" spans="1:21" x14ac:dyDescent="0.25">
      <c r="A595" s="2" t="s">
        <v>593</v>
      </c>
      <c r="B595" s="2" t="s">
        <v>1007</v>
      </c>
      <c r="C595" s="2" t="s">
        <v>619</v>
      </c>
      <c r="D595" s="2" t="s">
        <v>619</v>
      </c>
      <c r="E595" s="2" t="s">
        <v>596</v>
      </c>
      <c r="F595" s="2" t="s">
        <v>874</v>
      </c>
      <c r="G595" s="2" t="str">
        <f t="shared" si="50"/>
        <v>07.2.2.004</v>
      </c>
      <c r="H595" s="83" t="s">
        <v>1054</v>
      </c>
      <c r="I595" s="83" t="str">
        <f t="shared" si="53"/>
        <v>0722004</v>
      </c>
      <c r="J595" s="2" t="s">
        <v>1055</v>
      </c>
      <c r="K595" s="120" t="str">
        <f>IFERROR(VLOOKUP(H595,'Bridge matrix'!$A$3:$E$731,3,FALSE),"no")</f>
        <v>Gasolina extra</v>
      </c>
      <c r="L595" s="120" t="str">
        <f t="shared" si="51"/>
        <v>Gasolina extra</v>
      </c>
      <c r="M595" s="120" t="str">
        <f t="shared" si="52"/>
        <v>Gasolina extra</v>
      </c>
      <c r="N595" s="120" t="str">
        <f t="shared" si="54"/>
        <v>Gasolina extra</v>
      </c>
      <c r="O595" s="2" t="e">
        <f>VLOOKUP(N595,'Bridge matrix'!$D$3:$E$731,2,FALSE)</f>
        <v>#N/A</v>
      </c>
    </row>
    <row r="596" spans="1:21" x14ac:dyDescent="0.25">
      <c r="A596" s="2" t="s">
        <v>593</v>
      </c>
      <c r="B596" s="2" t="s">
        <v>1007</v>
      </c>
      <c r="C596" s="2" t="s">
        <v>619</v>
      </c>
      <c r="D596" s="2" t="s">
        <v>619</v>
      </c>
      <c r="E596" s="2" t="s">
        <v>596</v>
      </c>
      <c r="F596" s="2" t="s">
        <v>877</v>
      </c>
      <c r="G596" s="2" t="str">
        <f t="shared" si="50"/>
        <v>07.2.2.005</v>
      </c>
      <c r="H596" s="83" t="s">
        <v>1056</v>
      </c>
      <c r="I596" s="83" t="str">
        <f t="shared" si="53"/>
        <v>0722005</v>
      </c>
      <c r="J596" s="2" t="s">
        <v>1057</v>
      </c>
      <c r="K596" s="120" t="str">
        <f>IFERROR(VLOOKUP(H596,'Bridge matrix'!$A$3:$E$731,3,FALSE),"no")</f>
        <v>Gasolina súper</v>
      </c>
      <c r="L596" s="120" t="str">
        <f t="shared" si="51"/>
        <v>Gasolina súper</v>
      </c>
      <c r="M596" s="120" t="str">
        <f t="shared" si="52"/>
        <v>Gasolina súper</v>
      </c>
      <c r="N596" s="120" t="str">
        <f t="shared" si="54"/>
        <v>Gasolina súper</v>
      </c>
      <c r="O596" s="2" t="e">
        <f>VLOOKUP(N596,'Bridge matrix'!$D$3:$E$731,2,FALSE)</f>
        <v>#N/A</v>
      </c>
    </row>
    <row r="597" spans="1:21" x14ac:dyDescent="0.25">
      <c r="A597" s="2" t="s">
        <v>592</v>
      </c>
      <c r="B597" s="2" t="s">
        <v>1007</v>
      </c>
      <c r="C597" s="2" t="s">
        <v>619</v>
      </c>
      <c r="D597" s="2" t="s">
        <v>619</v>
      </c>
      <c r="E597" s="2" t="s">
        <v>605</v>
      </c>
      <c r="F597" s="2" t="s">
        <v>596</v>
      </c>
      <c r="G597" s="2" t="str">
        <f t="shared" si="50"/>
        <v>07.2.2.100</v>
      </c>
      <c r="H597" s="83" t="s">
        <v>1058</v>
      </c>
      <c r="I597" s="83" t="str">
        <f t="shared" si="53"/>
        <v>0722100</v>
      </c>
      <c r="J597" s="2" t="s">
        <v>1059</v>
      </c>
      <c r="K597" s="120" t="str">
        <f>IFERROR(VLOOKUP(H597,'Bridge matrix'!$A$3:$E$731,3,FALSE),"no")</f>
        <v>Lubricantes para equipo de transporte personal</v>
      </c>
      <c r="L597" s="120" t="str">
        <f t="shared" si="51"/>
        <v>Lubricantes para equipo de transporte personal</v>
      </c>
      <c r="M597" s="120" t="str">
        <f t="shared" si="52"/>
        <v>Lubricantes para equipo de transporte personal</v>
      </c>
      <c r="N597" s="120" t="str">
        <f t="shared" si="54"/>
        <v>Lubricantes para equipo de transporte personal</v>
      </c>
      <c r="O597" s="2" t="e">
        <f>VLOOKUP(N597,'Bridge matrix'!$D$3:$E$731,2,FALSE)</f>
        <v>#N/A</v>
      </c>
    </row>
    <row r="598" spans="1:21" x14ac:dyDescent="0.25">
      <c r="A598" s="2" t="s">
        <v>591</v>
      </c>
      <c r="B598" s="2" t="s">
        <v>1007</v>
      </c>
      <c r="C598" s="2" t="s">
        <v>619</v>
      </c>
      <c r="D598" s="2" t="s">
        <v>633</v>
      </c>
      <c r="E598" s="2" t="s">
        <v>596</v>
      </c>
      <c r="F598" s="2" t="s">
        <v>596</v>
      </c>
      <c r="G598" s="2" t="str">
        <f t="shared" si="50"/>
        <v>07.2.3</v>
      </c>
      <c r="H598" s="83" t="s">
        <v>1060</v>
      </c>
      <c r="I598" s="83" t="str">
        <f t="shared" si="53"/>
        <v>0723</v>
      </c>
      <c r="J598" s="2" t="s">
        <v>1061</v>
      </c>
      <c r="K598" s="120" t="str">
        <f>IFERROR(VLOOKUP(H598,'Bridge matrix'!$A$3:$E$731,3,FALSE),"no")</f>
        <v xml:space="preserve">CONSERVACIÓN Y REPARACIÓN DE EQUIPO DE TRANSPORTE PERSONAL </v>
      </c>
      <c r="L598" s="120" t="str">
        <f t="shared" si="51"/>
        <v xml:space="preserve">CONSERVACIÓN Y REPARACIÓN DE EQUIPO DE TRANSPORTE PERSONAL </v>
      </c>
      <c r="M598" s="120" t="str">
        <f t="shared" si="52"/>
        <v xml:space="preserve">CONSERVACIÓN Y REPARACIÓN DE EQUIPO DE TRANSPORTE PERSONAL </v>
      </c>
      <c r="N598" s="120" t="str">
        <f t="shared" si="54"/>
        <v xml:space="preserve">CONSERVACIÓN Y REPARACIÓN DE EQUIPO DE TRANSPORTE PERSONAL </v>
      </c>
      <c r="O598" s="2" t="e">
        <f>VLOOKUP(N598,'Bridge matrix'!$D$3:$E$731,2,FALSE)</f>
        <v>#N/A</v>
      </c>
    </row>
    <row r="599" spans="1:21" x14ac:dyDescent="0.25">
      <c r="A599" s="2" t="s">
        <v>592</v>
      </c>
      <c r="B599" s="2" t="s">
        <v>1007</v>
      </c>
      <c r="C599" s="2" t="s">
        <v>619</v>
      </c>
      <c r="D599" s="2" t="s">
        <v>633</v>
      </c>
      <c r="E599" s="2" t="s">
        <v>602</v>
      </c>
      <c r="F599" s="2" t="s">
        <v>596</v>
      </c>
      <c r="G599" s="2" t="str">
        <f t="shared" si="50"/>
        <v>07.2.3.000</v>
      </c>
      <c r="H599" s="83" t="s">
        <v>1062</v>
      </c>
      <c r="I599" s="83" t="str">
        <f t="shared" si="53"/>
        <v>0723000</v>
      </c>
      <c r="J599" s="2" t="s">
        <v>1063</v>
      </c>
      <c r="K599" s="120" t="str">
        <f>IFERROR(VLOOKUP(H599,'Bridge matrix'!$A$3:$E$731,3,FALSE),"no")</f>
        <v>no</v>
      </c>
      <c r="L599" s="120" t="str">
        <f t="shared" si="51"/>
        <v>no</v>
      </c>
      <c r="M599" s="120" t="str">
        <f t="shared" si="52"/>
        <v xml:space="preserve">CONSERVACIÓN Y REPARACIÓN DE EQUIPO DE TRANSPORTE PERSONAL </v>
      </c>
      <c r="N599" s="120" t="str">
        <f t="shared" si="54"/>
        <v xml:space="preserve">CONSERVACIÓN Y REPARACIÓN DE EQUIPO DE TRANSPORTE PERSONAL </v>
      </c>
      <c r="O599" s="2" t="e">
        <f>VLOOKUP(N599,'Bridge matrix'!$D$3:$E$731,2,FALSE)</f>
        <v>#N/A</v>
      </c>
    </row>
    <row r="600" spans="1:21" x14ac:dyDescent="0.25">
      <c r="A600" s="2" t="s">
        <v>591</v>
      </c>
      <c r="B600" s="2" t="s">
        <v>1007</v>
      </c>
      <c r="C600" s="2" t="s">
        <v>619</v>
      </c>
      <c r="D600" s="2" t="s">
        <v>643</v>
      </c>
      <c r="E600" s="2" t="s">
        <v>596</v>
      </c>
      <c r="F600" s="2" t="s">
        <v>596</v>
      </c>
      <c r="G600" s="2" t="str">
        <f t="shared" si="50"/>
        <v>07.2.4</v>
      </c>
      <c r="H600" s="83" t="s">
        <v>1064</v>
      </c>
      <c r="I600" s="83" t="str">
        <f t="shared" si="53"/>
        <v>0724</v>
      </c>
      <c r="J600" s="118" t="s">
        <v>1065</v>
      </c>
      <c r="K600" s="120" t="str">
        <f>IFERROR(VLOOKUP(H600,'Bridge matrix'!$A$3:$E$731,3,FALSE),"no")</f>
        <v xml:space="preserve">OTROS SERVICIOS RELATIVOS AL EQUIPO DE TRANSPORTE PERSONAL </v>
      </c>
      <c r="L600" s="120" t="str">
        <f t="shared" si="51"/>
        <v xml:space="preserve">OTROS SERVICIOS RELATIVOS AL EQUIPO DE TRANSPORTE PERSONAL </v>
      </c>
      <c r="M600" s="120" t="str">
        <f t="shared" si="52"/>
        <v xml:space="preserve">OTROS SERVICIOS RELATIVOS AL EQUIPO DE TRANSPORTE PERSONAL </v>
      </c>
      <c r="N600" s="120" t="str">
        <f t="shared" si="54"/>
        <v xml:space="preserve">OTROS SERVICIOS RELATIVOS AL EQUIPO DE TRANSPORTE PERSONAL </v>
      </c>
      <c r="O600" s="2" t="e">
        <f>VLOOKUP(N600,'Bridge matrix'!$D$3:$E$731,2,FALSE)</f>
        <v>#N/A</v>
      </c>
    </row>
    <row r="601" spans="1:21" x14ac:dyDescent="0.25">
      <c r="A601" s="2" t="s">
        <v>591</v>
      </c>
      <c r="B601" s="2" t="s">
        <v>1007</v>
      </c>
      <c r="C601" s="2" t="s">
        <v>619</v>
      </c>
      <c r="D601" s="2" t="s">
        <v>656</v>
      </c>
      <c r="E601" s="2" t="s">
        <v>596</v>
      </c>
      <c r="F601" s="2" t="s">
        <v>596</v>
      </c>
      <c r="G601" s="2" t="str">
        <f t="shared" si="50"/>
        <v>07.2.5</v>
      </c>
      <c r="H601" s="83" t="s">
        <v>1066</v>
      </c>
      <c r="I601" s="83" t="str">
        <f t="shared" si="53"/>
        <v>0725</v>
      </c>
      <c r="J601" s="2" t="s">
        <v>1067</v>
      </c>
      <c r="K601" s="120" t="str">
        <f>IFERROR(VLOOKUP(H601,'Bridge matrix'!$A$3:$E$731,3,FALSE),"no")</f>
        <v xml:space="preserve">SERVICIOS DE ESTACIONAMIENTO Y PEAJE </v>
      </c>
      <c r="L601" s="120" t="str">
        <f t="shared" si="51"/>
        <v xml:space="preserve">SERVICIOS DE ESTACIONAMIENTO Y PEAJE </v>
      </c>
      <c r="M601" s="120" t="str">
        <f t="shared" si="52"/>
        <v xml:space="preserve">SERVICIOS DE ESTACIONAMIENTO Y PEAJE </v>
      </c>
      <c r="N601" s="120" t="str">
        <f t="shared" si="54"/>
        <v xml:space="preserve">SERVICIOS DE ESTACIONAMIENTO Y PEAJE </v>
      </c>
      <c r="O601" s="2" t="e">
        <f>VLOOKUP(N601,'Bridge matrix'!$D$3:$E$731,2,FALSE)</f>
        <v>#N/A</v>
      </c>
    </row>
    <row r="602" spans="1:21" x14ac:dyDescent="0.25">
      <c r="A602" s="2" t="s">
        <v>590</v>
      </c>
      <c r="B602" s="2" t="s">
        <v>1007</v>
      </c>
      <c r="C602" s="2" t="s">
        <v>633</v>
      </c>
      <c r="D602" s="2" t="s">
        <v>596</v>
      </c>
      <c r="E602" s="2" t="s">
        <v>596</v>
      </c>
      <c r="F602" s="2" t="s">
        <v>596</v>
      </c>
      <c r="G602" s="2" t="str">
        <f t="shared" si="50"/>
        <v>07.3</v>
      </c>
      <c r="H602" s="83" t="s">
        <v>2394</v>
      </c>
      <c r="I602" s="83" t="str">
        <f t="shared" si="53"/>
        <v>073</v>
      </c>
      <c r="J602" s="2" t="s">
        <v>1068</v>
      </c>
      <c r="K602" s="120" t="str">
        <f>IFERROR(VLOOKUP(H602,'Bridge matrix'!$A$3:$E$731,3,FALSE),"no")</f>
        <v>no</v>
      </c>
      <c r="L602" s="120" t="str">
        <f t="shared" si="51"/>
        <v>ll</v>
      </c>
      <c r="M602" s="120" t="str">
        <f t="shared" si="52"/>
        <v>ll</v>
      </c>
      <c r="N602" s="120" t="str">
        <f t="shared" si="54"/>
        <v>ll</v>
      </c>
      <c r="O602" s="2" t="str">
        <f>VLOOKUP(N602,'Bridge matrix'!$D$3:$E$731,2,FALSE)</f>
        <v>matched on SC/SSC level</v>
      </c>
    </row>
    <row r="603" spans="1:21" x14ac:dyDescent="0.25">
      <c r="A603" s="2" t="s">
        <v>591</v>
      </c>
      <c r="B603" s="2" t="s">
        <v>1007</v>
      </c>
      <c r="C603" s="2" t="s">
        <v>633</v>
      </c>
      <c r="D603" s="2" t="s">
        <v>598</v>
      </c>
      <c r="E603" s="2" t="s">
        <v>596</v>
      </c>
      <c r="F603" s="2" t="s">
        <v>596</v>
      </c>
      <c r="G603" s="2" t="str">
        <f t="shared" si="50"/>
        <v>07.3.1</v>
      </c>
      <c r="H603" s="83" t="s">
        <v>1069</v>
      </c>
      <c r="I603" s="83" t="str">
        <f t="shared" si="53"/>
        <v>0731</v>
      </c>
      <c r="J603" s="2" t="s">
        <v>1070</v>
      </c>
      <c r="K603" s="120" t="str">
        <f>IFERROR(VLOOKUP(H603,'Bridge matrix'!$A$3:$E$731,3,FALSE),"no")</f>
        <v xml:space="preserve">TRANSPORTE DE PASAJEROS POR FERROCARRIL </v>
      </c>
      <c r="L603" s="120" t="str">
        <f t="shared" si="51"/>
        <v xml:space="preserve">TRANSPORTE DE PASAJEROS POR FERROCARRIL </v>
      </c>
      <c r="M603" s="120" t="str">
        <f t="shared" si="52"/>
        <v xml:space="preserve">TRANSPORTE DE PASAJEROS POR FERROCARRIL </v>
      </c>
      <c r="N603" s="120" t="str">
        <f t="shared" si="54"/>
        <v xml:space="preserve">TRANSPORTE DE PASAJEROS POR FERROCARRIL </v>
      </c>
      <c r="O603" s="2" t="e">
        <f>VLOOKUP(N603,'Bridge matrix'!$D$3:$E$731,2,FALSE)</f>
        <v>#N/A</v>
      </c>
    </row>
    <row r="604" spans="1:21" x14ac:dyDescent="0.25">
      <c r="A604" s="2" t="s">
        <v>591</v>
      </c>
      <c r="B604" s="2" t="s">
        <v>1007</v>
      </c>
      <c r="C604" s="2" t="s">
        <v>633</v>
      </c>
      <c r="D604" s="2" t="s">
        <v>619</v>
      </c>
      <c r="E604" s="2" t="s">
        <v>596</v>
      </c>
      <c r="F604" s="2" t="s">
        <v>596</v>
      </c>
      <c r="G604" s="2" t="str">
        <f t="shared" si="50"/>
        <v>07.3.2</v>
      </c>
      <c r="H604" s="83" t="s">
        <v>1071</v>
      </c>
      <c r="I604" s="83" t="str">
        <f t="shared" si="53"/>
        <v>0732</v>
      </c>
      <c r="J604" s="2" t="s">
        <v>1072</v>
      </c>
      <c r="K604" s="120" t="str">
        <f>IFERROR(VLOOKUP(H604,'Bridge matrix'!$A$3:$E$731,3,FALSE),"no")</f>
        <v xml:space="preserve">TRANSPORTE DE PASAJEROS POR CARRETERA </v>
      </c>
      <c r="L604" s="120" t="str">
        <f>IF(AND(H604=LEFT(H619,LEN(H604)),L619&lt;&gt;"no"),"ll",IF(K604="no","no",K604))</f>
        <v xml:space="preserve">TRANSPORTE DE PASAJEROS POR CARRETERA </v>
      </c>
      <c r="M604" s="120" t="str">
        <f t="shared" si="52"/>
        <v xml:space="preserve">TRANSPORTE DE PASAJEROS POR CARRETERA </v>
      </c>
      <c r="N604" s="120" t="str">
        <f t="shared" si="54"/>
        <v xml:space="preserve">TRANSPORTE DE PASAJEROS POR CARRETERA </v>
      </c>
      <c r="O604" s="2" t="e">
        <f>VLOOKUP(N604,'Bridge matrix'!$D$3:$E$731,2,FALSE)</f>
        <v>#N/A</v>
      </c>
    </row>
    <row r="605" spans="1:21" x14ac:dyDescent="0.25">
      <c r="A605" s="2" t="s">
        <v>592</v>
      </c>
      <c r="B605" s="2">
        <v>7</v>
      </c>
      <c r="C605" s="2">
        <v>3</v>
      </c>
      <c r="D605" s="2">
        <v>2</v>
      </c>
      <c r="E605" s="2" t="s">
        <v>602</v>
      </c>
      <c r="G605" s="2" t="str">
        <f t="shared" si="50"/>
        <v>7.3.2.000</v>
      </c>
      <c r="H605" s="2" t="s">
        <v>2512</v>
      </c>
      <c r="I605" s="83" t="str">
        <f t="shared" si="53"/>
        <v>732000</v>
      </c>
      <c r="J605" s="2" t="s">
        <v>2485</v>
      </c>
    </row>
    <row r="606" spans="1:21" x14ac:dyDescent="0.25">
      <c r="A606" s="2" t="s">
        <v>593</v>
      </c>
      <c r="B606" s="2">
        <v>7</v>
      </c>
      <c r="C606" s="2">
        <v>3</v>
      </c>
      <c r="D606" s="2">
        <v>2</v>
      </c>
      <c r="F606" s="2" t="s">
        <v>835</v>
      </c>
      <c r="G606" s="2" t="str">
        <f t="shared" si="50"/>
        <v>7.3.2.001</v>
      </c>
      <c r="H606" s="83" t="s">
        <v>2499</v>
      </c>
      <c r="I606" s="83" t="str">
        <f t="shared" si="53"/>
        <v>732001</v>
      </c>
      <c r="J606" s="2" t="s">
        <v>2486</v>
      </c>
      <c r="R606" s="18"/>
      <c r="S606" s="80"/>
      <c r="T606" s="80"/>
      <c r="U606" s="80"/>
    </row>
    <row r="607" spans="1:21" x14ac:dyDescent="0.25">
      <c r="A607" s="2" t="s">
        <v>593</v>
      </c>
      <c r="B607" s="2">
        <v>7</v>
      </c>
      <c r="C607" s="2">
        <v>3</v>
      </c>
      <c r="D607" s="2">
        <v>2</v>
      </c>
      <c r="F607" s="2" t="s">
        <v>838</v>
      </c>
      <c r="G607" s="2" t="str">
        <f t="shared" si="50"/>
        <v>7.3.2.002</v>
      </c>
      <c r="H607" s="83" t="s">
        <v>2500</v>
      </c>
      <c r="I607" s="83" t="str">
        <f t="shared" si="53"/>
        <v>732002</v>
      </c>
      <c r="J607" s="2" t="s">
        <v>2487</v>
      </c>
      <c r="R607" s="18"/>
      <c r="S607" s="80"/>
      <c r="T607" s="80"/>
      <c r="U607" s="80"/>
    </row>
    <row r="608" spans="1:21" x14ac:dyDescent="0.25">
      <c r="A608" s="2" t="s">
        <v>593</v>
      </c>
      <c r="B608" s="2">
        <v>7</v>
      </c>
      <c r="C608" s="2">
        <v>3</v>
      </c>
      <c r="D608" s="2">
        <v>2</v>
      </c>
      <c r="F608" s="2" t="s">
        <v>849</v>
      </c>
      <c r="G608" s="2" t="str">
        <f t="shared" si="50"/>
        <v>7.3.2.003</v>
      </c>
      <c r="H608" s="83" t="s">
        <v>2501</v>
      </c>
      <c r="I608" s="83" t="str">
        <f t="shared" si="53"/>
        <v>732003</v>
      </c>
      <c r="J608" s="2" t="s">
        <v>2498</v>
      </c>
      <c r="R608" s="18"/>
      <c r="S608" s="80"/>
      <c r="T608" s="80"/>
      <c r="U608" s="80"/>
    </row>
    <row r="609" spans="1:21" x14ac:dyDescent="0.25">
      <c r="A609" s="2" t="s">
        <v>593</v>
      </c>
      <c r="B609" s="2">
        <v>7</v>
      </c>
      <c r="C609" s="2">
        <v>3</v>
      </c>
      <c r="D609" s="2">
        <v>2</v>
      </c>
      <c r="F609" s="2" t="s">
        <v>874</v>
      </c>
      <c r="G609" s="2" t="str">
        <f t="shared" si="50"/>
        <v>7.3.2.004</v>
      </c>
      <c r="H609" s="83" t="s">
        <v>2502</v>
      </c>
      <c r="I609" s="83" t="str">
        <f t="shared" si="53"/>
        <v>732004</v>
      </c>
      <c r="J609" s="2" t="s">
        <v>2488</v>
      </c>
      <c r="R609" s="18"/>
      <c r="S609" s="80"/>
      <c r="T609" s="80"/>
      <c r="U609" s="80"/>
    </row>
    <row r="610" spans="1:21" x14ac:dyDescent="0.25">
      <c r="A610" s="2" t="s">
        <v>593</v>
      </c>
      <c r="B610" s="2">
        <v>7</v>
      </c>
      <c r="C610" s="2">
        <v>3</v>
      </c>
      <c r="D610" s="2">
        <v>2</v>
      </c>
      <c r="F610" s="2" t="s">
        <v>877</v>
      </c>
      <c r="G610" s="2" t="str">
        <f t="shared" si="50"/>
        <v>7.3.2.005</v>
      </c>
      <c r="H610" s="83" t="s">
        <v>2503</v>
      </c>
      <c r="I610" s="83" t="str">
        <f t="shared" si="53"/>
        <v>732005</v>
      </c>
      <c r="J610" s="2" t="s">
        <v>2489</v>
      </c>
      <c r="R610" s="18"/>
      <c r="S610" s="80"/>
      <c r="T610" s="80"/>
      <c r="U610" s="80"/>
    </row>
    <row r="611" spans="1:21" x14ac:dyDescent="0.25">
      <c r="A611" s="2" t="s">
        <v>593</v>
      </c>
      <c r="B611" s="2">
        <v>7</v>
      </c>
      <c r="C611" s="2">
        <v>3</v>
      </c>
      <c r="D611" s="2">
        <v>2</v>
      </c>
      <c r="F611" s="2" t="s">
        <v>1024</v>
      </c>
      <c r="G611" s="2" t="str">
        <f t="shared" si="50"/>
        <v>7.3.2.006</v>
      </c>
      <c r="H611" s="83" t="s">
        <v>2504</v>
      </c>
      <c r="I611" s="83" t="str">
        <f t="shared" si="53"/>
        <v>732006</v>
      </c>
      <c r="J611" s="2" t="s">
        <v>2490</v>
      </c>
      <c r="R611" s="18"/>
      <c r="S611" s="80"/>
      <c r="T611" s="80"/>
      <c r="U611" s="80"/>
    </row>
    <row r="612" spans="1:21" x14ac:dyDescent="0.25">
      <c r="A612" s="2" t="s">
        <v>593</v>
      </c>
      <c r="B612" s="2">
        <v>7</v>
      </c>
      <c r="C612" s="2">
        <v>3</v>
      </c>
      <c r="D612" s="2">
        <v>2</v>
      </c>
      <c r="F612" s="2" t="s">
        <v>1027</v>
      </c>
      <c r="G612" s="2" t="str">
        <f t="shared" si="50"/>
        <v>7.3.2.007</v>
      </c>
      <c r="H612" s="83" t="s">
        <v>2505</v>
      </c>
      <c r="I612" s="83" t="str">
        <f t="shared" si="53"/>
        <v>732007</v>
      </c>
      <c r="J612" s="2" t="s">
        <v>2491</v>
      </c>
      <c r="R612" s="18"/>
      <c r="S612" s="80"/>
      <c r="T612" s="80"/>
      <c r="U612" s="80"/>
    </row>
    <row r="613" spans="1:21" x14ac:dyDescent="0.25">
      <c r="A613" s="2" t="s">
        <v>593</v>
      </c>
      <c r="B613" s="2">
        <v>7</v>
      </c>
      <c r="C613" s="2">
        <v>3</v>
      </c>
      <c r="D613" s="2">
        <v>2</v>
      </c>
      <c r="F613" s="2" t="s">
        <v>1030</v>
      </c>
      <c r="G613" s="2" t="str">
        <f t="shared" si="50"/>
        <v>7.3.2.008</v>
      </c>
      <c r="H613" s="83" t="s">
        <v>2506</v>
      </c>
      <c r="I613" s="83" t="str">
        <f t="shared" si="53"/>
        <v>732008</v>
      </c>
      <c r="J613" s="2" t="s">
        <v>2492</v>
      </c>
      <c r="R613" s="18"/>
      <c r="S613" s="80"/>
      <c r="T613" s="80"/>
      <c r="U613" s="80"/>
    </row>
    <row r="614" spans="1:21" x14ac:dyDescent="0.25">
      <c r="A614" s="2" t="s">
        <v>593</v>
      </c>
      <c r="B614" s="2">
        <v>7</v>
      </c>
      <c r="C614" s="2">
        <v>3</v>
      </c>
      <c r="D614" s="2">
        <v>2</v>
      </c>
      <c r="F614" s="2" t="s">
        <v>1278</v>
      </c>
      <c r="G614" s="2" t="str">
        <f t="shared" si="50"/>
        <v>7.3.2.009</v>
      </c>
      <c r="H614" s="83" t="s">
        <v>2507</v>
      </c>
      <c r="I614" s="83" t="str">
        <f t="shared" si="53"/>
        <v>732009</v>
      </c>
      <c r="J614" s="2" t="s">
        <v>2493</v>
      </c>
      <c r="R614" s="18"/>
      <c r="S614" s="80"/>
      <c r="T614" s="80"/>
      <c r="U614" s="80"/>
    </row>
    <row r="615" spans="1:21" x14ac:dyDescent="0.25">
      <c r="A615" s="2" t="s">
        <v>593</v>
      </c>
      <c r="B615" s="2">
        <v>7</v>
      </c>
      <c r="C615" s="2">
        <v>3</v>
      </c>
      <c r="D615" s="2">
        <v>2</v>
      </c>
      <c r="F615" s="2" t="s">
        <v>1279</v>
      </c>
      <c r="G615" s="2" t="str">
        <f t="shared" si="50"/>
        <v>7.3.2.010</v>
      </c>
      <c r="H615" s="83" t="s">
        <v>2508</v>
      </c>
      <c r="I615" s="83" t="str">
        <f t="shared" si="53"/>
        <v>732010</v>
      </c>
      <c r="J615" s="2" t="s">
        <v>2494</v>
      </c>
      <c r="R615" s="18"/>
      <c r="S615" s="80"/>
      <c r="T615" s="80"/>
      <c r="U615" s="80"/>
    </row>
    <row r="616" spans="1:21" x14ac:dyDescent="0.25">
      <c r="A616" s="2" t="s">
        <v>593</v>
      </c>
      <c r="B616" s="2">
        <v>7</v>
      </c>
      <c r="C616" s="2">
        <v>3</v>
      </c>
      <c r="D616" s="2">
        <v>2</v>
      </c>
      <c r="F616" s="2" t="s">
        <v>1280</v>
      </c>
      <c r="G616" s="2" t="str">
        <f t="shared" si="50"/>
        <v>7.3.2.011</v>
      </c>
      <c r="H616" s="83" t="s">
        <v>2509</v>
      </c>
      <c r="I616" s="83" t="str">
        <f t="shared" si="53"/>
        <v>732011</v>
      </c>
      <c r="J616" s="2" t="s">
        <v>2495</v>
      </c>
      <c r="R616" s="18"/>
      <c r="S616" s="80"/>
      <c r="T616" s="80"/>
      <c r="U616" s="80"/>
    </row>
    <row r="617" spans="1:21" x14ac:dyDescent="0.25">
      <c r="A617" s="2" t="s">
        <v>593</v>
      </c>
      <c r="B617" s="2">
        <v>7</v>
      </c>
      <c r="C617" s="2">
        <v>3</v>
      </c>
      <c r="D617" s="2">
        <v>2</v>
      </c>
      <c r="F617" s="2" t="s">
        <v>1281</v>
      </c>
      <c r="G617" s="2" t="str">
        <f t="shared" si="50"/>
        <v>7.3.2.012</v>
      </c>
      <c r="H617" s="83" t="s">
        <v>2510</v>
      </c>
      <c r="I617" s="83" t="str">
        <f t="shared" si="53"/>
        <v>732012</v>
      </c>
      <c r="J617" s="2" t="s">
        <v>2496</v>
      </c>
      <c r="R617" s="18"/>
      <c r="S617" s="80"/>
      <c r="T617" s="80"/>
      <c r="U617" s="80"/>
    </row>
    <row r="618" spans="1:21" x14ac:dyDescent="0.25">
      <c r="A618" s="2" t="s">
        <v>593</v>
      </c>
      <c r="B618" s="2">
        <v>7</v>
      </c>
      <c r="C618" s="2">
        <v>3</v>
      </c>
      <c r="D618" s="2">
        <v>2</v>
      </c>
      <c r="F618" s="2" t="s">
        <v>1247</v>
      </c>
      <c r="G618" s="2" t="str">
        <f t="shared" si="50"/>
        <v>7.3.2.099</v>
      </c>
      <c r="H618" s="83" t="s">
        <v>2511</v>
      </c>
      <c r="I618" s="83" t="str">
        <f t="shared" si="53"/>
        <v>732099</v>
      </c>
      <c r="J618" s="2" t="s">
        <v>2497</v>
      </c>
      <c r="R618" s="18"/>
      <c r="S618" s="80"/>
      <c r="T618" s="80"/>
      <c r="U618" s="80"/>
    </row>
    <row r="619" spans="1:21" x14ac:dyDescent="0.25">
      <c r="A619" s="2" t="s">
        <v>591</v>
      </c>
      <c r="B619" s="2" t="s">
        <v>1007</v>
      </c>
      <c r="C619" s="2" t="s">
        <v>633</v>
      </c>
      <c r="D619" s="2" t="s">
        <v>633</v>
      </c>
      <c r="E619" s="2" t="s">
        <v>596</v>
      </c>
      <c r="F619" s="2" t="s">
        <v>596</v>
      </c>
      <c r="G619" s="2" t="str">
        <f t="shared" si="50"/>
        <v>07.3.3</v>
      </c>
      <c r="H619" s="83" t="s">
        <v>1073</v>
      </c>
      <c r="I619" s="83" t="str">
        <f t="shared" si="53"/>
        <v>0733</v>
      </c>
      <c r="J619" s="2" t="s">
        <v>1074</v>
      </c>
      <c r="K619" s="120" t="str">
        <f>IFERROR(VLOOKUP(H619,'Bridge matrix'!$A$3:$E$731,3,FALSE),"no")</f>
        <v xml:space="preserve">TRANSPORTE DE PASAJEROS POR AIRE </v>
      </c>
      <c r="L619" s="120" t="str">
        <f t="shared" si="51"/>
        <v xml:space="preserve">TRANSPORTE DE PASAJEROS POR AIRE </v>
      </c>
      <c r="M619" s="120" t="str">
        <f t="shared" ref="M619:M650" si="55">IF(L619&lt;&gt;"no",L619,IF(VLOOKUP(LEFT(H619,6),$H$2:$K$714,3,FALSE)="ll","no",VLOOKUP(LEFT(H619,6),$H$2:$K$714,3,FALSE)))</f>
        <v xml:space="preserve">TRANSPORTE DE PASAJEROS POR AIRE </v>
      </c>
      <c r="N619" s="120" t="str">
        <f t="shared" si="54"/>
        <v xml:space="preserve">TRANSPORTE DE PASAJEROS POR AIRE </v>
      </c>
      <c r="O619" s="2" t="e">
        <f>VLOOKUP(N619,'Bridge matrix'!$D$3:$E$731,2,FALSE)</f>
        <v>#N/A</v>
      </c>
    </row>
    <row r="620" spans="1:21" x14ac:dyDescent="0.25">
      <c r="A620" s="2" t="s">
        <v>591</v>
      </c>
      <c r="B620" s="2" t="s">
        <v>1007</v>
      </c>
      <c r="C620" s="2" t="s">
        <v>633</v>
      </c>
      <c r="D620" s="2" t="s">
        <v>643</v>
      </c>
      <c r="E620" s="2" t="s">
        <v>596</v>
      </c>
      <c r="F620" s="2" t="s">
        <v>596</v>
      </c>
      <c r="G620" s="2" t="str">
        <f t="shared" si="50"/>
        <v>07.3.4</v>
      </c>
      <c r="H620" s="83" t="s">
        <v>1075</v>
      </c>
      <c r="I620" s="83" t="str">
        <f t="shared" si="53"/>
        <v>0734</v>
      </c>
      <c r="J620" s="2" t="s">
        <v>1076</v>
      </c>
      <c r="K620" s="120" t="str">
        <f>IFERROR(VLOOKUP(H620,'Bridge matrix'!$A$3:$E$731,3,FALSE),"no")</f>
        <v>TRANSPORTE DE PASAJEROS POR MAR Y CURSOS DE AGUA INTERIORES</v>
      </c>
      <c r="L620" s="120" t="str">
        <f t="shared" si="51"/>
        <v>TRANSPORTE DE PASAJEROS POR MAR Y CURSOS DE AGUA INTERIORES</v>
      </c>
      <c r="M620" s="120" t="str">
        <f t="shared" si="55"/>
        <v>TRANSPORTE DE PASAJEROS POR MAR Y CURSOS DE AGUA INTERIORES</v>
      </c>
      <c r="N620" s="120" t="str">
        <f t="shared" si="54"/>
        <v>TRANSPORTE DE PASAJEROS POR MAR Y CURSOS DE AGUA INTERIORES</v>
      </c>
      <c r="O620" s="2" t="e">
        <f>VLOOKUP(N620,'Bridge matrix'!$D$3:$E$731,2,FALSE)</f>
        <v>#N/A</v>
      </c>
    </row>
    <row r="621" spans="1:21" x14ac:dyDescent="0.25">
      <c r="A621" s="2" t="s">
        <v>591</v>
      </c>
      <c r="B621" s="2" t="s">
        <v>1007</v>
      </c>
      <c r="C621" s="2" t="s">
        <v>633</v>
      </c>
      <c r="D621" s="2" t="s">
        <v>656</v>
      </c>
      <c r="E621" s="2" t="s">
        <v>596</v>
      </c>
      <c r="F621" s="2" t="s">
        <v>596</v>
      </c>
      <c r="G621" s="2" t="str">
        <f t="shared" si="50"/>
        <v>07.3.5</v>
      </c>
      <c r="H621" s="83" t="s">
        <v>1077</v>
      </c>
      <c r="I621" s="83" t="str">
        <f t="shared" si="53"/>
        <v>0735</v>
      </c>
      <c r="J621" s="2" t="s">
        <v>1078</v>
      </c>
      <c r="K621" s="120" t="str">
        <f>IFERROR(VLOOKUP(H621,'Bridge matrix'!$A$3:$E$731,3,FALSE),"no")</f>
        <v xml:space="preserve">TRANSPORTE COMBINADO DE PASAJEROS </v>
      </c>
      <c r="L621" s="120" t="str">
        <f t="shared" si="51"/>
        <v xml:space="preserve">TRANSPORTE COMBINADO DE PASAJEROS </v>
      </c>
      <c r="M621" s="120" t="str">
        <f t="shared" si="55"/>
        <v xml:space="preserve">TRANSPORTE COMBINADO DE PASAJEROS </v>
      </c>
      <c r="N621" s="120" t="str">
        <f t="shared" si="54"/>
        <v xml:space="preserve">TRANSPORTE COMBINADO DE PASAJEROS </v>
      </c>
      <c r="O621" s="2" t="e">
        <f>VLOOKUP(N621,'Bridge matrix'!$D$3:$E$731,2,FALSE)</f>
        <v>#N/A</v>
      </c>
    </row>
    <row r="622" spans="1:21" x14ac:dyDescent="0.25">
      <c r="A622" s="2" t="s">
        <v>591</v>
      </c>
      <c r="B622" s="2" t="s">
        <v>1007</v>
      </c>
      <c r="C622" s="2" t="s">
        <v>633</v>
      </c>
      <c r="D622" s="2" t="s">
        <v>663</v>
      </c>
      <c r="E622" s="2" t="s">
        <v>596</v>
      </c>
      <c r="F622" s="2" t="s">
        <v>596</v>
      </c>
      <c r="G622" s="2" t="str">
        <f t="shared" si="50"/>
        <v>07.3.6</v>
      </c>
      <c r="H622" s="83" t="s">
        <v>1079</v>
      </c>
      <c r="I622" s="83" t="str">
        <f t="shared" si="53"/>
        <v>0736</v>
      </c>
      <c r="J622" s="2" t="s">
        <v>1080</v>
      </c>
      <c r="K622" s="120" t="str">
        <f>IFERROR(VLOOKUP(H622,'Bridge matrix'!$A$3:$E$731,3,FALSE),"no")</f>
        <v xml:space="preserve">OTROS SERVICIOS DE TRANSPORTE ADQUIRIDOS </v>
      </c>
      <c r="L622" s="120" t="str">
        <f t="shared" si="51"/>
        <v xml:space="preserve">OTROS SERVICIOS DE TRANSPORTE ADQUIRIDOS </v>
      </c>
      <c r="M622" s="120" t="str">
        <f t="shared" si="55"/>
        <v xml:space="preserve">OTROS SERVICIOS DE TRANSPORTE ADQUIRIDOS </v>
      </c>
      <c r="N622" s="120" t="str">
        <f t="shared" si="54"/>
        <v xml:space="preserve">OTROS SERVICIOS DE TRANSPORTE ADQUIRIDOS </v>
      </c>
      <c r="O622" s="2" t="e">
        <f>VLOOKUP(N622,'Bridge matrix'!$D$3:$E$731,2,FALSE)</f>
        <v>#N/A</v>
      </c>
    </row>
    <row r="623" spans="1:21" x14ac:dyDescent="0.25">
      <c r="A623" s="2" t="s">
        <v>589</v>
      </c>
      <c r="B623" s="2" t="s">
        <v>1081</v>
      </c>
      <c r="C623" s="2" t="s">
        <v>596</v>
      </c>
      <c r="D623" s="2" t="s">
        <v>596</v>
      </c>
      <c r="E623" s="2" t="s">
        <v>596</v>
      </c>
      <c r="F623" s="2" t="s">
        <v>596</v>
      </c>
      <c r="G623" s="2" t="str">
        <f t="shared" si="50"/>
        <v>08</v>
      </c>
      <c r="H623" s="83" t="s">
        <v>1081</v>
      </c>
      <c r="I623" s="83" t="str">
        <f t="shared" si="53"/>
        <v>08</v>
      </c>
      <c r="J623" s="2" t="s">
        <v>1082</v>
      </c>
      <c r="K623" s="120" t="str">
        <f>IFERROR(VLOOKUP(H623,'Bridge matrix'!$A$3:$E$731,3,FALSE),"no")</f>
        <v>no</v>
      </c>
      <c r="L623" s="120" t="str">
        <f t="shared" si="51"/>
        <v>ll</v>
      </c>
      <c r="M623" s="120" t="str">
        <f t="shared" si="55"/>
        <v>ll</v>
      </c>
      <c r="N623" s="120" t="str">
        <f t="shared" si="54"/>
        <v>ll</v>
      </c>
      <c r="O623" s="2" t="str">
        <f>VLOOKUP(N623,'Bridge matrix'!$D$3:$E$731,2,FALSE)</f>
        <v>matched on SC/SSC level</v>
      </c>
    </row>
    <row r="624" spans="1:21" x14ac:dyDescent="0.25">
      <c r="A624" s="2" t="s">
        <v>590</v>
      </c>
      <c r="B624" s="2" t="s">
        <v>1081</v>
      </c>
      <c r="C624" s="2" t="s">
        <v>598</v>
      </c>
      <c r="D624" s="2" t="s">
        <v>596</v>
      </c>
      <c r="E624" s="2" t="s">
        <v>596</v>
      </c>
      <c r="F624" s="2" t="s">
        <v>596</v>
      </c>
      <c r="G624" s="2" t="str">
        <f t="shared" si="50"/>
        <v>08.1</v>
      </c>
      <c r="H624" s="83" t="s">
        <v>1083</v>
      </c>
      <c r="I624" s="83" t="str">
        <f t="shared" si="53"/>
        <v>081</v>
      </c>
      <c r="J624" s="2" t="s">
        <v>1084</v>
      </c>
      <c r="K624" s="120" t="str">
        <f>IFERROR(VLOOKUP(H624,'Bridge matrix'!$A$3:$E$731,3,FALSE),"no")</f>
        <v>no</v>
      </c>
      <c r="L624" s="120" t="str">
        <f t="shared" si="51"/>
        <v>ll</v>
      </c>
      <c r="M624" s="120" t="str">
        <f t="shared" si="55"/>
        <v>ll</v>
      </c>
      <c r="N624" s="120" t="str">
        <f t="shared" si="54"/>
        <v>ll</v>
      </c>
      <c r="O624" s="2" t="str">
        <f>VLOOKUP(N624,'Bridge matrix'!$D$3:$E$731,2,FALSE)</f>
        <v>matched on SC/SSC level</v>
      </c>
    </row>
    <row r="625" spans="1:15" x14ac:dyDescent="0.25">
      <c r="A625" s="2" t="s">
        <v>591</v>
      </c>
      <c r="B625" s="2" t="s">
        <v>1081</v>
      </c>
      <c r="C625" s="2" t="s">
        <v>598</v>
      </c>
      <c r="D625" s="2" t="s">
        <v>598</v>
      </c>
      <c r="E625" s="2" t="s">
        <v>596</v>
      </c>
      <c r="F625" s="2" t="s">
        <v>596</v>
      </c>
      <c r="G625" s="2" t="str">
        <f t="shared" si="50"/>
        <v>08.1.1</v>
      </c>
      <c r="H625" s="83" t="s">
        <v>1085</v>
      </c>
      <c r="I625" s="83" t="str">
        <f t="shared" si="53"/>
        <v>0811</v>
      </c>
      <c r="J625" s="2" t="s">
        <v>1086</v>
      </c>
      <c r="K625" s="120" t="str">
        <f>IFERROR(VLOOKUP(H625,'Bridge matrix'!$A$3:$E$731,3,FALSE),"no")</f>
        <v xml:space="preserve">SERVICIOS POSTALES </v>
      </c>
      <c r="L625" s="120" t="str">
        <f t="shared" si="51"/>
        <v xml:space="preserve">SERVICIOS POSTALES </v>
      </c>
      <c r="M625" s="120" t="str">
        <f t="shared" si="55"/>
        <v xml:space="preserve">SERVICIOS POSTALES </v>
      </c>
      <c r="N625" s="120" t="str">
        <f t="shared" si="54"/>
        <v xml:space="preserve">SERVICIOS POSTALES </v>
      </c>
      <c r="O625" s="2" t="e">
        <f>VLOOKUP(N625,'Bridge matrix'!$D$3:$E$731,2,FALSE)</f>
        <v>#N/A</v>
      </c>
    </row>
    <row r="626" spans="1:15" x14ac:dyDescent="0.25">
      <c r="A626" s="2" t="s">
        <v>590</v>
      </c>
      <c r="B626" s="2" t="s">
        <v>1081</v>
      </c>
      <c r="C626" s="2" t="s">
        <v>619</v>
      </c>
      <c r="D626" s="2" t="s">
        <v>596</v>
      </c>
      <c r="E626" s="2" t="s">
        <v>596</v>
      </c>
      <c r="F626" s="2" t="s">
        <v>596</v>
      </c>
      <c r="G626" s="2" t="str">
        <f t="shared" si="50"/>
        <v>08.2</v>
      </c>
      <c r="H626" s="83" t="s">
        <v>1087</v>
      </c>
      <c r="I626" s="83" t="str">
        <f t="shared" si="53"/>
        <v>082</v>
      </c>
      <c r="J626" s="2" t="s">
        <v>1088</v>
      </c>
      <c r="K626" s="120" t="str">
        <f>IFERROR(VLOOKUP(H626,'Bridge matrix'!$A$3:$E$731,3,FALSE),"no")</f>
        <v>no</v>
      </c>
      <c r="L626" s="120" t="str">
        <f t="shared" si="51"/>
        <v>ll</v>
      </c>
      <c r="M626" s="120" t="str">
        <f t="shared" si="55"/>
        <v>ll</v>
      </c>
      <c r="N626" s="120" t="str">
        <f t="shared" si="54"/>
        <v>ll</v>
      </c>
      <c r="O626" s="2" t="str">
        <f>VLOOKUP(N626,'Bridge matrix'!$D$3:$E$731,2,FALSE)</f>
        <v>matched on SC/SSC level</v>
      </c>
    </row>
    <row r="627" spans="1:15" x14ac:dyDescent="0.25">
      <c r="A627" s="2" t="s">
        <v>591</v>
      </c>
      <c r="B627" s="2" t="s">
        <v>1081</v>
      </c>
      <c r="C627" s="2" t="s">
        <v>619</v>
      </c>
      <c r="D627" s="2" t="s">
        <v>598</v>
      </c>
      <c r="E627" s="2" t="s">
        <v>596</v>
      </c>
      <c r="F627" s="2" t="s">
        <v>596</v>
      </c>
      <c r="G627" s="2" t="str">
        <f t="shared" si="50"/>
        <v>08.2.1</v>
      </c>
      <c r="H627" s="83" t="s">
        <v>1089</v>
      </c>
      <c r="I627" s="83" t="str">
        <f t="shared" si="53"/>
        <v>0821</v>
      </c>
      <c r="J627" s="2" t="s">
        <v>1088</v>
      </c>
      <c r="K627" s="120" t="str">
        <f>IFERROR(VLOOKUP(H627,'Bridge matrix'!$A$3:$E$731,3,FALSE),"no")</f>
        <v>EQUIPO TELEFÓNICO Y DE FACSÍMILE</v>
      </c>
      <c r="L627" s="120" t="str">
        <f t="shared" si="51"/>
        <v>EQUIPO TELEFÓNICO Y DE FACSÍMILE</v>
      </c>
      <c r="M627" s="120" t="str">
        <f t="shared" si="55"/>
        <v>EQUIPO TELEFÓNICO Y DE FACSÍMILE</v>
      </c>
      <c r="N627" s="120" t="str">
        <f t="shared" si="54"/>
        <v>EQUIPO TELEFÓNICO Y DE FACSÍMILE</v>
      </c>
      <c r="O627" s="2" t="e">
        <f>VLOOKUP(N627,'Bridge matrix'!$D$3:$E$731,2,FALSE)</f>
        <v>#N/A</v>
      </c>
    </row>
    <row r="628" spans="1:15" x14ac:dyDescent="0.25">
      <c r="A628" s="2" t="s">
        <v>590</v>
      </c>
      <c r="B628" s="2" t="s">
        <v>1081</v>
      </c>
      <c r="C628" s="2" t="s">
        <v>633</v>
      </c>
      <c r="D628" s="2" t="s">
        <v>596</v>
      </c>
      <c r="E628" s="2" t="s">
        <v>596</v>
      </c>
      <c r="F628" s="2" t="s">
        <v>596</v>
      </c>
      <c r="G628" s="2" t="str">
        <f t="shared" si="50"/>
        <v>08.3</v>
      </c>
      <c r="H628" s="83" t="s">
        <v>1090</v>
      </c>
      <c r="I628" s="83" t="str">
        <f t="shared" si="53"/>
        <v>083</v>
      </c>
      <c r="J628" s="2" t="s">
        <v>1091</v>
      </c>
      <c r="K628" s="120" t="str">
        <f>IFERROR(VLOOKUP(H628,'Bridge matrix'!$A$3:$E$731,3,FALSE),"no")</f>
        <v>no</v>
      </c>
      <c r="L628" s="120" t="str">
        <f t="shared" si="51"/>
        <v>ll</v>
      </c>
      <c r="M628" s="120" t="str">
        <f t="shared" si="55"/>
        <v>ll</v>
      </c>
      <c r="N628" s="120" t="str">
        <f t="shared" si="54"/>
        <v>ll</v>
      </c>
      <c r="O628" s="2" t="str">
        <f>VLOOKUP(N628,'Bridge matrix'!$D$3:$E$731,2,FALSE)</f>
        <v>matched on SC/SSC level</v>
      </c>
    </row>
    <row r="629" spans="1:15" x14ac:dyDescent="0.25">
      <c r="A629" s="2" t="s">
        <v>591</v>
      </c>
      <c r="B629" s="2" t="s">
        <v>1081</v>
      </c>
      <c r="C629" s="2" t="s">
        <v>633</v>
      </c>
      <c r="D629" s="2" t="s">
        <v>598</v>
      </c>
      <c r="E629" s="2" t="s">
        <v>596</v>
      </c>
      <c r="F629" s="2" t="s">
        <v>596</v>
      </c>
      <c r="G629" s="2" t="str">
        <f t="shared" si="50"/>
        <v>08.3.1</v>
      </c>
      <c r="H629" s="83" t="s">
        <v>1092</v>
      </c>
      <c r="I629" s="83" t="str">
        <f t="shared" si="53"/>
        <v>0831</v>
      </c>
      <c r="J629" s="2" t="s">
        <v>1091</v>
      </c>
      <c r="K629" s="120" t="str">
        <f>IFERROR(VLOOKUP(H629,'Bridge matrix'!$A$3:$E$731,3,FALSE),"no")</f>
        <v>SERVICIOS TELEFÓNICOS Y DE FACSÍMILE</v>
      </c>
      <c r="L629" s="120" t="str">
        <f t="shared" si="51"/>
        <v>SERVICIOS TELEFÓNICOS Y DE FACSÍMILE</v>
      </c>
      <c r="M629" s="120" t="str">
        <f t="shared" si="55"/>
        <v>SERVICIOS TELEFÓNICOS Y DE FACSÍMILE</v>
      </c>
      <c r="N629" s="120" t="str">
        <f t="shared" si="54"/>
        <v>SERVICIOS TELEFÓNICOS Y DE FACSÍMILE</v>
      </c>
      <c r="O629" s="2" t="e">
        <f>VLOOKUP(N629,'Bridge matrix'!$D$3:$E$731,2,FALSE)</f>
        <v>#N/A</v>
      </c>
    </row>
    <row r="630" spans="1:15" x14ac:dyDescent="0.25">
      <c r="A630" s="2" t="s">
        <v>589</v>
      </c>
      <c r="B630" s="2" t="s">
        <v>1093</v>
      </c>
      <c r="C630" s="2" t="s">
        <v>596</v>
      </c>
      <c r="D630" s="2" t="s">
        <v>596</v>
      </c>
      <c r="E630" s="2" t="s">
        <v>596</v>
      </c>
      <c r="F630" s="2" t="s">
        <v>596</v>
      </c>
      <c r="G630" s="2" t="str">
        <f t="shared" si="50"/>
        <v>09</v>
      </c>
      <c r="H630" s="83" t="s">
        <v>1093</v>
      </c>
      <c r="I630" s="83" t="str">
        <f t="shared" si="53"/>
        <v>09</v>
      </c>
      <c r="J630" s="2" t="s">
        <v>1094</v>
      </c>
      <c r="K630" s="120" t="str">
        <f>IFERROR(VLOOKUP(H630,'Bridge matrix'!$A$3:$E$731,3,FALSE),"no")</f>
        <v>no</v>
      </c>
      <c r="L630" s="120" t="str">
        <f t="shared" si="51"/>
        <v>ll</v>
      </c>
      <c r="M630" s="120" t="str">
        <f t="shared" si="55"/>
        <v>ll</v>
      </c>
      <c r="N630" s="120" t="str">
        <f t="shared" si="54"/>
        <v>ll</v>
      </c>
      <c r="O630" s="2" t="str">
        <f>VLOOKUP(N630,'Bridge matrix'!$D$3:$E$731,2,FALSE)</f>
        <v>matched on SC/SSC level</v>
      </c>
    </row>
    <row r="631" spans="1:15" x14ac:dyDescent="0.25">
      <c r="A631" s="2" t="s">
        <v>590</v>
      </c>
      <c r="B631" s="2" t="s">
        <v>1093</v>
      </c>
      <c r="C631" s="2" t="s">
        <v>598</v>
      </c>
      <c r="D631" s="2" t="s">
        <v>596</v>
      </c>
      <c r="E631" s="2" t="s">
        <v>596</v>
      </c>
      <c r="F631" s="2" t="s">
        <v>596</v>
      </c>
      <c r="G631" s="2" t="str">
        <f t="shared" si="50"/>
        <v>09.1</v>
      </c>
      <c r="H631" s="83" t="s">
        <v>1095</v>
      </c>
      <c r="I631" s="83" t="str">
        <f t="shared" si="53"/>
        <v>091</v>
      </c>
      <c r="J631" s="2" t="s">
        <v>1096</v>
      </c>
      <c r="K631" s="120" t="str">
        <f>IFERROR(VLOOKUP(H631,'Bridge matrix'!$A$3:$E$731,3,FALSE),"no")</f>
        <v>no</v>
      </c>
      <c r="L631" s="120" t="str">
        <f t="shared" si="51"/>
        <v>ll</v>
      </c>
      <c r="M631" s="120" t="str">
        <f t="shared" si="55"/>
        <v>ll</v>
      </c>
      <c r="N631" s="120" t="str">
        <f t="shared" si="54"/>
        <v>ll</v>
      </c>
      <c r="O631" s="2" t="str">
        <f>VLOOKUP(N631,'Bridge matrix'!$D$3:$E$731,2,FALSE)</f>
        <v>matched on SC/SSC level</v>
      </c>
    </row>
    <row r="632" spans="1:15" x14ac:dyDescent="0.25">
      <c r="A632" s="2" t="s">
        <v>591</v>
      </c>
      <c r="B632" s="2" t="s">
        <v>1093</v>
      </c>
      <c r="C632" s="2" t="s">
        <v>598</v>
      </c>
      <c r="D632" s="2" t="s">
        <v>598</v>
      </c>
      <c r="E632" s="2" t="s">
        <v>596</v>
      </c>
      <c r="F632" s="2" t="s">
        <v>596</v>
      </c>
      <c r="G632" s="2" t="str">
        <f t="shared" si="50"/>
        <v>09.1.1</v>
      </c>
      <c r="H632" s="83" t="s">
        <v>1097</v>
      </c>
      <c r="I632" s="83" t="str">
        <f t="shared" si="53"/>
        <v>0911</v>
      </c>
      <c r="J632" s="2" t="s">
        <v>1098</v>
      </c>
      <c r="K632" s="120" t="str">
        <f>IFERROR(VLOOKUP(H632,'Bridge matrix'!$A$3:$E$731,3,FALSE),"no")</f>
        <v xml:space="preserve">EQUIPO PARA LA RECEPCIÓN, GRABACIÓN Y REPRODUCCIÓN DE SONIDOS E IMÁGENES </v>
      </c>
      <c r="L632" s="120" t="str">
        <f t="shared" si="51"/>
        <v xml:space="preserve">EQUIPO PARA LA RECEPCIÓN, GRABACIÓN Y REPRODUCCIÓN DE SONIDOS E IMÁGENES </v>
      </c>
      <c r="M632" s="120" t="str">
        <f t="shared" si="55"/>
        <v xml:space="preserve">EQUIPO PARA LA RECEPCIÓN, GRABACIÓN Y REPRODUCCIÓN DE SONIDOS E IMÁGENES </v>
      </c>
      <c r="N632" s="120" t="str">
        <f t="shared" si="54"/>
        <v xml:space="preserve">EQUIPO PARA LA RECEPCIÓN, GRABACIÓN Y REPRODUCCIÓN DE SONIDOS E IMÁGENES </v>
      </c>
      <c r="O632" s="2" t="e">
        <f>VLOOKUP(N632,'Bridge matrix'!$D$3:$E$731,2,FALSE)</f>
        <v>#N/A</v>
      </c>
    </row>
    <row r="633" spans="1:15" x14ac:dyDescent="0.25">
      <c r="A633" s="2" t="s">
        <v>591</v>
      </c>
      <c r="B633" s="2" t="s">
        <v>1093</v>
      </c>
      <c r="C633" s="2" t="s">
        <v>598</v>
      </c>
      <c r="D633" s="2" t="s">
        <v>619</v>
      </c>
      <c r="E633" s="2" t="s">
        <v>596</v>
      </c>
      <c r="F633" s="2" t="s">
        <v>596</v>
      </c>
      <c r="G633" s="2" t="str">
        <f t="shared" si="50"/>
        <v>09.1.2</v>
      </c>
      <c r="H633" s="83" t="s">
        <v>1099</v>
      </c>
      <c r="I633" s="83" t="str">
        <f t="shared" si="53"/>
        <v>0912</v>
      </c>
      <c r="J633" s="2" t="s">
        <v>1100</v>
      </c>
      <c r="K633" s="120" t="str">
        <f>IFERROR(VLOOKUP(H633,'Bridge matrix'!$A$3:$E$731,3,FALSE),"no")</f>
        <v xml:space="preserve">EQUIPO FOTOGRÁFICO Y CINEMATOGRÁFICO E INSTRUMENTOS ÓPTICOS </v>
      </c>
      <c r="L633" s="120" t="str">
        <f t="shared" si="51"/>
        <v xml:space="preserve">EQUIPO FOTOGRÁFICO Y CINEMATOGRÁFICO E INSTRUMENTOS ÓPTICOS </v>
      </c>
      <c r="M633" s="120" t="str">
        <f t="shared" si="55"/>
        <v xml:space="preserve">EQUIPO FOTOGRÁFICO Y CINEMATOGRÁFICO E INSTRUMENTOS ÓPTICOS </v>
      </c>
      <c r="N633" s="120" t="str">
        <f t="shared" si="54"/>
        <v xml:space="preserve">EQUIPO FOTOGRÁFICO Y CINEMATOGRÁFICO E INSTRUMENTOS ÓPTICOS </v>
      </c>
      <c r="O633" s="2" t="e">
        <f>VLOOKUP(N633,'Bridge matrix'!$D$3:$E$731,2,FALSE)</f>
        <v>#N/A</v>
      </c>
    </row>
    <row r="634" spans="1:15" x14ac:dyDescent="0.25">
      <c r="A634" s="2" t="s">
        <v>591</v>
      </c>
      <c r="B634" s="2" t="s">
        <v>1093</v>
      </c>
      <c r="C634" s="2" t="s">
        <v>598</v>
      </c>
      <c r="D634" s="2" t="s">
        <v>633</v>
      </c>
      <c r="E634" s="2" t="s">
        <v>596</v>
      </c>
      <c r="F634" s="2" t="s">
        <v>596</v>
      </c>
      <c r="G634" s="2" t="str">
        <f t="shared" si="50"/>
        <v>09.1.3</v>
      </c>
      <c r="H634" s="83" t="s">
        <v>1101</v>
      </c>
      <c r="I634" s="83" t="str">
        <f t="shared" si="53"/>
        <v>0913</v>
      </c>
      <c r="J634" s="2" t="s">
        <v>1102</v>
      </c>
      <c r="K634" s="120" t="str">
        <f>IFERROR(VLOOKUP(H634,'Bridge matrix'!$A$3:$E$731,3,FALSE),"no")</f>
        <v>EQUIPO DE PROCESAMIENTO E INFORMACIÓN</v>
      </c>
      <c r="L634" s="120" t="str">
        <f t="shared" si="51"/>
        <v>EQUIPO DE PROCESAMIENTO E INFORMACIÓN</v>
      </c>
      <c r="M634" s="120" t="str">
        <f t="shared" si="55"/>
        <v>EQUIPO DE PROCESAMIENTO E INFORMACIÓN</v>
      </c>
      <c r="N634" s="120" t="str">
        <f t="shared" si="54"/>
        <v>EQUIPO DE PROCESAMIENTO E INFORMACIÓN</v>
      </c>
      <c r="O634" s="2" t="e">
        <f>VLOOKUP(N634,'Bridge matrix'!$D$3:$E$731,2,FALSE)</f>
        <v>#N/A</v>
      </c>
    </row>
    <row r="635" spans="1:15" x14ac:dyDescent="0.25">
      <c r="A635" s="2" t="s">
        <v>591</v>
      </c>
      <c r="B635" s="2" t="s">
        <v>1093</v>
      </c>
      <c r="C635" s="2" t="s">
        <v>598</v>
      </c>
      <c r="D635" s="2" t="s">
        <v>643</v>
      </c>
      <c r="E635" s="2" t="s">
        <v>596</v>
      </c>
      <c r="F635" s="2" t="s">
        <v>596</v>
      </c>
      <c r="G635" s="2" t="str">
        <f t="shared" si="50"/>
        <v>09.1.4</v>
      </c>
      <c r="H635" s="83" t="s">
        <v>1103</v>
      </c>
      <c r="I635" s="83" t="str">
        <f t="shared" si="53"/>
        <v>0914</v>
      </c>
      <c r="J635" s="2" t="s">
        <v>1104</v>
      </c>
      <c r="K635" s="120" t="str">
        <f>IFERROR(VLOOKUP(H635,'Bridge matrix'!$A$3:$E$731,3,FALSE),"no")</f>
        <v xml:space="preserve">MEDIOS PARA GRABACIÓN </v>
      </c>
      <c r="L635" s="120" t="str">
        <f t="shared" si="51"/>
        <v xml:space="preserve">MEDIOS PARA GRABACIÓN </v>
      </c>
      <c r="M635" s="120" t="str">
        <f t="shared" si="55"/>
        <v xml:space="preserve">MEDIOS PARA GRABACIÓN </v>
      </c>
      <c r="N635" s="120" t="str">
        <f t="shared" si="54"/>
        <v xml:space="preserve">MEDIOS PARA GRABACIÓN </v>
      </c>
      <c r="O635" s="2" t="e">
        <f>VLOOKUP(N635,'Bridge matrix'!$D$3:$E$731,2,FALSE)</f>
        <v>#N/A</v>
      </c>
    </row>
    <row r="636" spans="1:15" x14ac:dyDescent="0.25">
      <c r="A636" s="2" t="s">
        <v>591</v>
      </c>
      <c r="B636" s="2" t="s">
        <v>1093</v>
      </c>
      <c r="C636" s="2" t="s">
        <v>598</v>
      </c>
      <c r="D636" s="2" t="s">
        <v>656</v>
      </c>
      <c r="E636" s="2" t="s">
        <v>596</v>
      </c>
      <c r="F636" s="2" t="s">
        <v>596</v>
      </c>
      <c r="G636" s="2" t="str">
        <f t="shared" si="50"/>
        <v>09.1.5</v>
      </c>
      <c r="H636" s="83" t="s">
        <v>1105</v>
      </c>
      <c r="I636" s="83" t="str">
        <f t="shared" si="53"/>
        <v>0915</v>
      </c>
      <c r="J636" s="2" t="s">
        <v>1106</v>
      </c>
      <c r="K636" s="120" t="str">
        <f>IFERROR(VLOOKUP(H636,'Bridge matrix'!$A$3:$E$731,3,FALSE),"no")</f>
        <v xml:space="preserve">REPARACIÓN DE EQUIPO AUDIOVISUAL, FOTOGRÁFICO Y DE PROCESAMIENTO DE INFORMACIÓN </v>
      </c>
      <c r="L636" s="120" t="str">
        <f t="shared" si="51"/>
        <v xml:space="preserve">REPARACIÓN DE EQUIPO AUDIOVISUAL, FOTOGRÁFICO Y DE PROCESAMIENTO DE INFORMACIÓN </v>
      </c>
      <c r="M636" s="120" t="str">
        <f t="shared" si="55"/>
        <v xml:space="preserve">REPARACIÓN DE EQUIPO AUDIOVISUAL, FOTOGRÁFICO Y DE PROCESAMIENTO DE INFORMACIÓN </v>
      </c>
      <c r="N636" s="120" t="str">
        <f t="shared" si="54"/>
        <v xml:space="preserve">REPARACIÓN DE EQUIPO AUDIOVISUAL, FOTOGRÁFICO Y DE PROCESAMIENTO DE INFORMACIÓN </v>
      </c>
      <c r="O636" s="2" t="e">
        <f>VLOOKUP(N636,'Bridge matrix'!$D$3:$E$731,2,FALSE)</f>
        <v>#N/A</v>
      </c>
    </row>
    <row r="637" spans="1:15" x14ac:dyDescent="0.25">
      <c r="A637" s="2" t="s">
        <v>590</v>
      </c>
      <c r="B637" s="2" t="s">
        <v>1093</v>
      </c>
      <c r="C637" s="2" t="s">
        <v>619</v>
      </c>
      <c r="D637" s="2" t="s">
        <v>596</v>
      </c>
      <c r="E637" s="2" t="s">
        <v>596</v>
      </c>
      <c r="F637" s="2" t="s">
        <v>596</v>
      </c>
      <c r="G637" s="2" t="str">
        <f t="shared" si="50"/>
        <v>09.2</v>
      </c>
      <c r="H637" s="83" t="s">
        <v>1107</v>
      </c>
      <c r="I637" s="83" t="str">
        <f t="shared" si="53"/>
        <v>092</v>
      </c>
      <c r="J637" s="2" t="s">
        <v>1108</v>
      </c>
      <c r="K637" s="120" t="str">
        <f>IFERROR(VLOOKUP(H637,'Bridge matrix'!$A$3:$E$731,3,FALSE),"no")</f>
        <v>no</v>
      </c>
      <c r="L637" s="120" t="str">
        <f t="shared" si="51"/>
        <v>ll</v>
      </c>
      <c r="M637" s="120" t="str">
        <f t="shared" si="55"/>
        <v>ll</v>
      </c>
      <c r="N637" s="120" t="str">
        <f t="shared" si="54"/>
        <v>ll</v>
      </c>
      <c r="O637" s="2" t="str">
        <f>VLOOKUP(N637,'Bridge matrix'!$D$3:$E$731,2,FALSE)</f>
        <v>matched on SC/SSC level</v>
      </c>
    </row>
    <row r="638" spans="1:15" x14ac:dyDescent="0.25">
      <c r="A638" s="2" t="s">
        <v>591</v>
      </c>
      <c r="B638" s="2" t="s">
        <v>1093</v>
      </c>
      <c r="C638" s="2" t="s">
        <v>619</v>
      </c>
      <c r="D638" s="2" t="s">
        <v>598</v>
      </c>
      <c r="E638" s="2" t="s">
        <v>596</v>
      </c>
      <c r="F638" s="2" t="s">
        <v>596</v>
      </c>
      <c r="G638" s="2" t="str">
        <f t="shared" si="50"/>
        <v>09.2.1</v>
      </c>
      <c r="H638" s="83" t="s">
        <v>1109</v>
      </c>
      <c r="I638" s="83" t="str">
        <f t="shared" si="53"/>
        <v>0921</v>
      </c>
      <c r="J638" s="2" t="s">
        <v>1110</v>
      </c>
      <c r="K638" s="120" t="str">
        <f>IFERROR(VLOOKUP(H638,'Bridge matrix'!$A$3:$E$731,3,FALSE),"no")</f>
        <v xml:space="preserve">ARTEFACTOS DURADEROS IMPORTANTES PARA RECREACIÓN EN EXTERIORES </v>
      </c>
      <c r="L638" s="120" t="str">
        <f t="shared" si="51"/>
        <v xml:space="preserve">ARTEFACTOS DURADEROS IMPORTANTES PARA RECREACIÓN EN EXTERIORES </v>
      </c>
      <c r="M638" s="120" t="str">
        <f t="shared" si="55"/>
        <v xml:space="preserve">ARTEFACTOS DURADEROS IMPORTANTES PARA RECREACIÓN EN EXTERIORES </v>
      </c>
      <c r="N638" s="120" t="str">
        <f t="shared" si="54"/>
        <v xml:space="preserve">ARTEFACTOS DURADEROS IMPORTANTES PARA RECREACIÓN EN EXTERIORES </v>
      </c>
      <c r="O638" s="2" t="e">
        <f>VLOOKUP(N638,'Bridge matrix'!$D$3:$E$731,2,FALSE)</f>
        <v>#N/A</v>
      </c>
    </row>
    <row r="639" spans="1:15" x14ac:dyDescent="0.25">
      <c r="A639" s="2" t="s">
        <v>591</v>
      </c>
      <c r="B639" s="2" t="s">
        <v>1093</v>
      </c>
      <c r="C639" s="2" t="s">
        <v>619</v>
      </c>
      <c r="D639" s="2" t="s">
        <v>619</v>
      </c>
      <c r="E639" s="2" t="s">
        <v>596</v>
      </c>
      <c r="F639" s="2" t="s">
        <v>596</v>
      </c>
      <c r="G639" s="2" t="str">
        <f t="shared" si="50"/>
        <v>09.2.2</v>
      </c>
      <c r="H639" s="83" t="s">
        <v>1111</v>
      </c>
      <c r="I639" s="83" t="str">
        <f t="shared" si="53"/>
        <v>0922</v>
      </c>
      <c r="J639" s="2" t="s">
        <v>1112</v>
      </c>
      <c r="K639" s="120" t="str">
        <f>IFERROR(VLOOKUP(H639,'Bridge matrix'!$A$3:$E$731,3,FALSE),"no")</f>
        <v xml:space="preserve">INSTRUMENTOS MUSICALES Y EQUIPOS DURADEROS IMPORTANTES PARA RECREACIÓN EN INTERIORES </v>
      </c>
      <c r="L639" s="120" t="str">
        <f t="shared" si="51"/>
        <v xml:space="preserve">INSTRUMENTOS MUSICALES Y EQUIPOS DURADEROS IMPORTANTES PARA RECREACIÓN EN INTERIORES </v>
      </c>
      <c r="M639" s="120" t="str">
        <f t="shared" si="55"/>
        <v xml:space="preserve">INSTRUMENTOS MUSICALES Y EQUIPOS DURADEROS IMPORTANTES PARA RECREACIÓN EN INTERIORES </v>
      </c>
      <c r="N639" s="120" t="str">
        <f t="shared" si="54"/>
        <v xml:space="preserve">INSTRUMENTOS MUSICALES Y EQUIPOS DURADEROS IMPORTANTES PARA RECREACIÓN EN INTERIORES </v>
      </c>
      <c r="O639" s="2" t="e">
        <f>VLOOKUP(N639,'Bridge matrix'!$D$3:$E$731,2,FALSE)</f>
        <v>#N/A</v>
      </c>
    </row>
    <row r="640" spans="1:15" x14ac:dyDescent="0.25">
      <c r="A640" s="2" t="s">
        <v>591</v>
      </c>
      <c r="B640" s="2" t="s">
        <v>1093</v>
      </c>
      <c r="C640" s="2" t="s">
        <v>619</v>
      </c>
      <c r="D640" s="2" t="s">
        <v>633</v>
      </c>
      <c r="E640" s="2" t="s">
        <v>596</v>
      </c>
      <c r="F640" s="2" t="s">
        <v>596</v>
      </c>
      <c r="G640" s="2" t="str">
        <f t="shared" ref="G640:G703" si="56">B640&amp;IF(C640="","","."&amp;C640)&amp;IF(D640="","","."&amp;D640)&amp;IF(E640="","","."&amp;E640)&amp;IF(F640="","","."&amp;F640)</f>
        <v>09.2.3</v>
      </c>
      <c r="H640" s="83" t="s">
        <v>1113</v>
      </c>
      <c r="I640" s="83" t="str">
        <f t="shared" si="53"/>
        <v>0923</v>
      </c>
      <c r="J640" s="2" t="s">
        <v>1114</v>
      </c>
      <c r="K640" s="120" t="str">
        <f>IFERROR(VLOOKUP(H640,'Bridge matrix'!$A$3:$E$731,3,FALSE),"no")</f>
        <v>CONSERVACIÓN Y REPARACIÓN DE OTROS BIENES DURADEROS IMPORTANTES PARA RECREACIÓN Y CULTURA</v>
      </c>
      <c r="L640" s="120" t="str">
        <f t="shared" si="51"/>
        <v>CONSERVACIÓN Y REPARACIÓN DE OTROS BIENES DURADEROS IMPORTANTES PARA RECREACIÓN Y CULTURA</v>
      </c>
      <c r="M640" s="120" t="str">
        <f t="shared" si="55"/>
        <v>CONSERVACIÓN Y REPARACIÓN DE OTROS BIENES DURADEROS IMPORTANTES PARA RECREACIÓN Y CULTURA</v>
      </c>
      <c r="N640" s="120" t="str">
        <f t="shared" si="54"/>
        <v>CONSERVACIÓN Y REPARACIÓN DE OTROS BIENES DURADEROS IMPORTANTES PARA RECREACIÓN Y CULTURA</v>
      </c>
      <c r="O640" s="2" t="e">
        <f>VLOOKUP(N640,'Bridge matrix'!$D$3:$E$731,2,FALSE)</f>
        <v>#N/A</v>
      </c>
    </row>
    <row r="641" spans="1:15" x14ac:dyDescent="0.25">
      <c r="A641" s="2" t="s">
        <v>590</v>
      </c>
      <c r="B641" s="2" t="s">
        <v>1093</v>
      </c>
      <c r="C641" s="2" t="s">
        <v>633</v>
      </c>
      <c r="D641" s="2" t="s">
        <v>596</v>
      </c>
      <c r="E641" s="2" t="s">
        <v>596</v>
      </c>
      <c r="F641" s="2" t="s">
        <v>596</v>
      </c>
      <c r="G641" s="2" t="str">
        <f t="shared" si="56"/>
        <v>09.3</v>
      </c>
      <c r="H641" s="83" t="s">
        <v>1115</v>
      </c>
      <c r="I641" s="83" t="str">
        <f t="shared" si="53"/>
        <v>093</v>
      </c>
      <c r="J641" s="2" t="s">
        <v>1116</v>
      </c>
      <c r="K641" s="120" t="str">
        <f>IFERROR(VLOOKUP(H641,'Bridge matrix'!$A$3:$E$731,3,FALSE),"no")</f>
        <v>no</v>
      </c>
      <c r="L641" s="120" t="str">
        <f t="shared" si="51"/>
        <v>ll</v>
      </c>
      <c r="M641" s="120" t="str">
        <f t="shared" si="55"/>
        <v>ll</v>
      </c>
      <c r="N641" s="120" t="str">
        <f t="shared" si="54"/>
        <v>ll</v>
      </c>
      <c r="O641" s="2" t="str">
        <f>VLOOKUP(N641,'Bridge matrix'!$D$3:$E$731,2,FALSE)</f>
        <v>matched on SC/SSC level</v>
      </c>
    </row>
    <row r="642" spans="1:15" x14ac:dyDescent="0.25">
      <c r="A642" s="2" t="s">
        <v>591</v>
      </c>
      <c r="B642" s="2" t="s">
        <v>1093</v>
      </c>
      <c r="C642" s="2" t="s">
        <v>633</v>
      </c>
      <c r="D642" s="2" t="s">
        <v>598</v>
      </c>
      <c r="E642" s="2" t="s">
        <v>596</v>
      </c>
      <c r="F642" s="2" t="s">
        <v>596</v>
      </c>
      <c r="G642" s="2" t="str">
        <f t="shared" si="56"/>
        <v>09.3.1</v>
      </c>
      <c r="H642" s="83" t="s">
        <v>1117</v>
      </c>
      <c r="I642" s="83" t="str">
        <f t="shared" si="53"/>
        <v>0931</v>
      </c>
      <c r="J642" s="2" t="s">
        <v>1118</v>
      </c>
      <c r="K642" s="120" t="str">
        <f>IFERROR(VLOOKUP(H642,'Bridge matrix'!$A$3:$E$731,3,FALSE),"no")</f>
        <v xml:space="preserve">JUEGOS, JUGUETES Y AFICIONES </v>
      </c>
      <c r="L642" s="120" t="str">
        <f t="shared" si="51"/>
        <v xml:space="preserve">JUEGOS, JUGUETES Y AFICIONES </v>
      </c>
      <c r="M642" s="120" t="str">
        <f t="shared" si="55"/>
        <v xml:space="preserve">JUEGOS, JUGUETES Y AFICIONES </v>
      </c>
      <c r="N642" s="120" t="str">
        <f t="shared" si="54"/>
        <v xml:space="preserve">JUEGOS, JUGUETES Y AFICIONES </v>
      </c>
      <c r="O642" s="2" t="e">
        <f>VLOOKUP(N642,'Bridge matrix'!$D$3:$E$731,2,FALSE)</f>
        <v>#N/A</v>
      </c>
    </row>
    <row r="643" spans="1:15" x14ac:dyDescent="0.25">
      <c r="A643" s="2" t="s">
        <v>591</v>
      </c>
      <c r="B643" s="2" t="s">
        <v>1093</v>
      </c>
      <c r="C643" s="2" t="s">
        <v>633</v>
      </c>
      <c r="D643" s="2" t="s">
        <v>619</v>
      </c>
      <c r="E643" s="2" t="s">
        <v>596</v>
      </c>
      <c r="F643" s="2" t="s">
        <v>596</v>
      </c>
      <c r="G643" s="2" t="str">
        <f t="shared" si="56"/>
        <v>09.3.2</v>
      </c>
      <c r="H643" s="83" t="s">
        <v>1119</v>
      </c>
      <c r="I643" s="83" t="str">
        <f t="shared" si="53"/>
        <v>0932</v>
      </c>
      <c r="J643" s="2" t="s">
        <v>1120</v>
      </c>
      <c r="K643" s="120" t="str">
        <f>IFERROR(VLOOKUP(H643,'Bridge matrix'!$A$3:$E$731,3,FALSE),"no")</f>
        <v xml:space="preserve">EQUIPO DE DEPORTES, CAMPAMENTOS Y RECREACIÓN AL AIRE LIBRE </v>
      </c>
      <c r="L643" s="120" t="str">
        <f t="shared" si="51"/>
        <v xml:space="preserve">EQUIPO DE DEPORTES, CAMPAMENTOS Y RECREACIÓN AL AIRE LIBRE </v>
      </c>
      <c r="M643" s="120" t="str">
        <f t="shared" si="55"/>
        <v xml:space="preserve">EQUIPO DE DEPORTES, CAMPAMENTOS Y RECREACIÓN AL AIRE LIBRE </v>
      </c>
      <c r="N643" s="120" t="str">
        <f t="shared" si="54"/>
        <v xml:space="preserve">EQUIPO DE DEPORTES, CAMPAMENTOS Y RECREACIÓN AL AIRE LIBRE </v>
      </c>
      <c r="O643" s="2" t="e">
        <f>VLOOKUP(N643,'Bridge matrix'!$D$3:$E$731,2,FALSE)</f>
        <v>#N/A</v>
      </c>
    </row>
    <row r="644" spans="1:15" x14ac:dyDescent="0.25">
      <c r="A644" s="2" t="s">
        <v>591</v>
      </c>
      <c r="B644" s="2" t="s">
        <v>1093</v>
      </c>
      <c r="C644" s="2" t="s">
        <v>633</v>
      </c>
      <c r="D644" s="2" t="s">
        <v>633</v>
      </c>
      <c r="E644" s="2" t="s">
        <v>596</v>
      </c>
      <c r="F644" s="2" t="s">
        <v>596</v>
      </c>
      <c r="G644" s="2" t="str">
        <f t="shared" si="56"/>
        <v>09.3.3</v>
      </c>
      <c r="H644" s="83" t="s">
        <v>1121</v>
      </c>
      <c r="I644" s="83" t="str">
        <f t="shared" si="53"/>
        <v>0933</v>
      </c>
      <c r="J644" s="2" t="s">
        <v>1122</v>
      </c>
      <c r="K644" s="120" t="str">
        <f>IFERROR(VLOOKUP(H644,'Bridge matrix'!$A$3:$E$731,3,FALSE),"no")</f>
        <v xml:space="preserve">JARDINES, PLANTAS Y FLORES </v>
      </c>
      <c r="L644" s="120" t="str">
        <f t="shared" si="51"/>
        <v xml:space="preserve">JARDINES, PLANTAS Y FLORES </v>
      </c>
      <c r="M644" s="120" t="str">
        <f t="shared" si="55"/>
        <v xml:space="preserve">JARDINES, PLANTAS Y FLORES </v>
      </c>
      <c r="N644" s="120" t="str">
        <f t="shared" si="54"/>
        <v xml:space="preserve">JARDINES, PLANTAS Y FLORES </v>
      </c>
      <c r="O644" s="2" t="e">
        <f>VLOOKUP(N644,'Bridge matrix'!$D$3:$E$731,2,FALSE)</f>
        <v>#N/A</v>
      </c>
    </row>
    <row r="645" spans="1:15" x14ac:dyDescent="0.25">
      <c r="A645" s="2" t="s">
        <v>591</v>
      </c>
      <c r="B645" s="2" t="s">
        <v>1093</v>
      </c>
      <c r="C645" s="2" t="s">
        <v>633</v>
      </c>
      <c r="D645" s="2" t="s">
        <v>643</v>
      </c>
      <c r="E645" s="2" t="s">
        <v>596</v>
      </c>
      <c r="F645" s="2" t="s">
        <v>596</v>
      </c>
      <c r="G645" s="2" t="str">
        <f t="shared" si="56"/>
        <v>09.3.4</v>
      </c>
      <c r="H645" s="83" t="s">
        <v>1123</v>
      </c>
      <c r="I645" s="83" t="str">
        <f t="shared" si="53"/>
        <v>0934</v>
      </c>
      <c r="J645" s="2" t="s">
        <v>1124</v>
      </c>
      <c r="K645" s="120" t="str">
        <f>IFERROR(VLOOKUP(H645,'Bridge matrix'!$A$3:$E$731,3,FALSE),"no")</f>
        <v xml:space="preserve">ANIMALES DOMÉSTICOS Y PRODUCTOS CONEXOS </v>
      </c>
      <c r="L645" s="120" t="str">
        <f t="shared" si="51"/>
        <v xml:space="preserve">ANIMALES DOMÉSTICOS Y PRODUCTOS CONEXOS </v>
      </c>
      <c r="M645" s="120" t="str">
        <f t="shared" si="55"/>
        <v xml:space="preserve">ANIMALES DOMÉSTICOS Y PRODUCTOS CONEXOS </v>
      </c>
      <c r="N645" s="120" t="str">
        <f t="shared" si="54"/>
        <v xml:space="preserve">ANIMALES DOMÉSTICOS Y PRODUCTOS CONEXOS </v>
      </c>
      <c r="O645" s="2" t="e">
        <f>VLOOKUP(N645,'Bridge matrix'!$D$3:$E$731,2,FALSE)</f>
        <v>#N/A</v>
      </c>
    </row>
    <row r="646" spans="1:15" x14ac:dyDescent="0.25">
      <c r="A646" s="2" t="s">
        <v>591</v>
      </c>
      <c r="B646" s="2" t="s">
        <v>1093</v>
      </c>
      <c r="C646" s="2" t="s">
        <v>633</v>
      </c>
      <c r="D646" s="2" t="s">
        <v>656</v>
      </c>
      <c r="E646" s="2" t="s">
        <v>596</v>
      </c>
      <c r="F646" s="2" t="s">
        <v>596</v>
      </c>
      <c r="G646" s="2" t="str">
        <f t="shared" si="56"/>
        <v>09.3.5</v>
      </c>
      <c r="H646" s="83" t="s">
        <v>1125</v>
      </c>
      <c r="I646" s="83" t="str">
        <f t="shared" si="53"/>
        <v>0935</v>
      </c>
      <c r="J646" s="2" t="s">
        <v>1126</v>
      </c>
      <c r="K646" s="120" t="str">
        <f>IFERROR(VLOOKUP(H646,'Bridge matrix'!$A$3:$E$731,3,FALSE),"no")</f>
        <v xml:space="preserve">SERVICIOS DE VETERINARIA Y DE OTRO TIPO PARA ANIMALES DOMÉSTICOS </v>
      </c>
      <c r="L646" s="120" t="str">
        <f t="shared" si="51"/>
        <v xml:space="preserve">SERVICIOS DE VETERINARIA Y DE OTRO TIPO PARA ANIMALES DOMÉSTICOS </v>
      </c>
      <c r="M646" s="120" t="str">
        <f t="shared" si="55"/>
        <v xml:space="preserve">SERVICIOS DE VETERINARIA Y DE OTRO TIPO PARA ANIMALES DOMÉSTICOS </v>
      </c>
      <c r="N646" s="120" t="str">
        <f t="shared" si="54"/>
        <v xml:space="preserve">SERVICIOS DE VETERINARIA Y DE OTRO TIPO PARA ANIMALES DOMÉSTICOS </v>
      </c>
      <c r="O646" s="2" t="e">
        <f>VLOOKUP(N646,'Bridge matrix'!$D$3:$E$731,2,FALSE)</f>
        <v>#N/A</v>
      </c>
    </row>
    <row r="647" spans="1:15" x14ac:dyDescent="0.25">
      <c r="A647" s="2" t="s">
        <v>590</v>
      </c>
      <c r="B647" s="2" t="s">
        <v>1093</v>
      </c>
      <c r="C647" s="2" t="s">
        <v>643</v>
      </c>
      <c r="D647" s="2" t="s">
        <v>596</v>
      </c>
      <c r="E647" s="2" t="s">
        <v>596</v>
      </c>
      <c r="F647" s="2" t="s">
        <v>596</v>
      </c>
      <c r="G647" s="2" t="str">
        <f t="shared" si="56"/>
        <v>09.4</v>
      </c>
      <c r="H647" s="83" t="s">
        <v>1127</v>
      </c>
      <c r="I647" s="83" t="str">
        <f t="shared" si="53"/>
        <v>094</v>
      </c>
      <c r="J647" s="2" t="s">
        <v>1128</v>
      </c>
      <c r="K647" s="120" t="str">
        <f>IFERROR(VLOOKUP(H647,'Bridge matrix'!$A$3:$E$731,3,FALSE),"no")</f>
        <v>no</v>
      </c>
      <c r="L647" s="120" t="str">
        <f t="shared" si="51"/>
        <v>ll</v>
      </c>
      <c r="M647" s="120" t="str">
        <f t="shared" si="55"/>
        <v>ll</v>
      </c>
      <c r="N647" s="120" t="str">
        <f t="shared" si="54"/>
        <v>ll</v>
      </c>
      <c r="O647" s="2" t="str">
        <f>VLOOKUP(N647,'Bridge matrix'!$D$3:$E$731,2,FALSE)</f>
        <v>matched on SC/SSC level</v>
      </c>
    </row>
    <row r="648" spans="1:15" x14ac:dyDescent="0.25">
      <c r="A648" s="2" t="s">
        <v>591</v>
      </c>
      <c r="B648" s="2" t="s">
        <v>1093</v>
      </c>
      <c r="C648" s="2" t="s">
        <v>643</v>
      </c>
      <c r="D648" s="2" t="s">
        <v>598</v>
      </c>
      <c r="E648" s="2" t="s">
        <v>596</v>
      </c>
      <c r="F648" s="2" t="s">
        <v>596</v>
      </c>
      <c r="G648" s="2" t="str">
        <f t="shared" si="56"/>
        <v>09.4.1</v>
      </c>
      <c r="H648" s="83" t="s">
        <v>1129</v>
      </c>
      <c r="I648" s="83" t="str">
        <f t="shared" si="53"/>
        <v>0941</v>
      </c>
      <c r="J648" s="2" t="s">
        <v>1130</v>
      </c>
      <c r="K648" s="120" t="str">
        <f>IFERROR(VLOOKUP(H648,'Bridge matrix'!$A$3:$E$731,3,FALSE),"no")</f>
        <v xml:space="preserve">SERVICIOS DE RECREACIÓN Y DEPORTIVOS </v>
      </c>
      <c r="L648" s="120" t="str">
        <f t="shared" si="51"/>
        <v xml:space="preserve">SERVICIOS DE RECREACIÓN Y DEPORTIVOS </v>
      </c>
      <c r="M648" s="120" t="str">
        <f t="shared" si="55"/>
        <v xml:space="preserve">SERVICIOS DE RECREACIÓN Y DEPORTIVOS </v>
      </c>
      <c r="N648" s="120" t="str">
        <f t="shared" si="54"/>
        <v xml:space="preserve">SERVICIOS DE RECREACIÓN Y DEPORTIVOS </v>
      </c>
      <c r="O648" s="2" t="e">
        <f>VLOOKUP(N648,'Bridge matrix'!$D$3:$E$731,2,FALSE)</f>
        <v>#N/A</v>
      </c>
    </row>
    <row r="649" spans="1:15" x14ac:dyDescent="0.25">
      <c r="A649" s="2" t="s">
        <v>591</v>
      </c>
      <c r="B649" s="2" t="s">
        <v>1093</v>
      </c>
      <c r="C649" s="2" t="s">
        <v>643</v>
      </c>
      <c r="D649" s="2" t="s">
        <v>619</v>
      </c>
      <c r="E649" s="2" t="s">
        <v>596</v>
      </c>
      <c r="F649" s="2" t="s">
        <v>596</v>
      </c>
      <c r="G649" s="2" t="str">
        <f t="shared" si="56"/>
        <v>09.4.2</v>
      </c>
      <c r="H649" s="83" t="s">
        <v>1131</v>
      </c>
      <c r="I649" s="83" t="str">
        <f t="shared" si="53"/>
        <v>0942</v>
      </c>
      <c r="J649" s="2" t="s">
        <v>1132</v>
      </c>
      <c r="K649" s="120" t="str">
        <f>IFERROR(VLOOKUP(H649,'Bridge matrix'!$A$3:$E$731,3,FALSE),"no")</f>
        <v xml:space="preserve">SERVICIOS CULTURALES </v>
      </c>
      <c r="L649" s="120" t="str">
        <f t="shared" si="51"/>
        <v xml:space="preserve">SERVICIOS CULTURALES </v>
      </c>
      <c r="M649" s="120" t="str">
        <f t="shared" si="55"/>
        <v xml:space="preserve">SERVICIOS CULTURALES </v>
      </c>
      <c r="N649" s="120" t="str">
        <f t="shared" si="54"/>
        <v xml:space="preserve">SERVICIOS CULTURALES </v>
      </c>
      <c r="O649" s="2" t="e">
        <f>VLOOKUP(N649,'Bridge matrix'!$D$3:$E$731,2,FALSE)</f>
        <v>#N/A</v>
      </c>
    </row>
    <row r="650" spans="1:15" x14ac:dyDescent="0.25">
      <c r="A650" s="2" t="s">
        <v>591</v>
      </c>
      <c r="B650" s="2" t="s">
        <v>1093</v>
      </c>
      <c r="C650" s="2" t="s">
        <v>643</v>
      </c>
      <c r="D650" s="2" t="s">
        <v>633</v>
      </c>
      <c r="E650" s="2" t="s">
        <v>596</v>
      </c>
      <c r="F650" s="2" t="s">
        <v>596</v>
      </c>
      <c r="G650" s="2" t="str">
        <f t="shared" si="56"/>
        <v>09.4.3</v>
      </c>
      <c r="H650" s="83" t="s">
        <v>1133</v>
      </c>
      <c r="I650" s="83" t="str">
        <f t="shared" si="53"/>
        <v>0943</v>
      </c>
      <c r="J650" s="2" t="s">
        <v>1134</v>
      </c>
      <c r="K650" s="120" t="str">
        <f>IFERROR(VLOOKUP(H650,'Bridge matrix'!$A$3:$E$731,3,FALSE),"no")</f>
        <v xml:space="preserve">JUEGOS DE AZAR </v>
      </c>
      <c r="L650" s="120" t="str">
        <f t="shared" si="51"/>
        <v xml:space="preserve">JUEGOS DE AZAR </v>
      </c>
      <c r="M650" s="120" t="str">
        <f t="shared" si="55"/>
        <v xml:space="preserve">JUEGOS DE AZAR </v>
      </c>
      <c r="N650" s="120" t="str">
        <f t="shared" si="54"/>
        <v xml:space="preserve">JUEGOS DE AZAR </v>
      </c>
      <c r="O650" s="2" t="e">
        <f>VLOOKUP(N650,'Bridge matrix'!$D$3:$E$731,2,FALSE)</f>
        <v>#N/A</v>
      </c>
    </row>
    <row r="651" spans="1:15" x14ac:dyDescent="0.25">
      <c r="A651" s="2" t="s">
        <v>590</v>
      </c>
      <c r="B651" s="2" t="s">
        <v>1093</v>
      </c>
      <c r="C651" s="2" t="s">
        <v>656</v>
      </c>
      <c r="D651" s="2" t="s">
        <v>596</v>
      </c>
      <c r="E651" s="2" t="s">
        <v>596</v>
      </c>
      <c r="F651" s="2" t="s">
        <v>596</v>
      </c>
      <c r="G651" s="2" t="str">
        <f t="shared" si="56"/>
        <v>09.5</v>
      </c>
      <c r="H651" s="83" t="s">
        <v>1135</v>
      </c>
      <c r="I651" s="83" t="str">
        <f t="shared" si="53"/>
        <v>095</v>
      </c>
      <c r="J651" s="2" t="s">
        <v>1136</v>
      </c>
      <c r="K651" s="120" t="str">
        <f>IFERROR(VLOOKUP(H651,'Bridge matrix'!$A$3:$E$731,3,FALSE),"no")</f>
        <v>no</v>
      </c>
      <c r="L651" s="120" t="str">
        <f t="shared" si="51"/>
        <v>ll</v>
      </c>
      <c r="M651" s="120" t="str">
        <f t="shared" ref="M651:M682" si="57">IF(L651&lt;&gt;"no",L651,IF(VLOOKUP(LEFT(H651,6),$H$2:$K$714,3,FALSE)="ll","no",VLOOKUP(LEFT(H651,6),$H$2:$K$714,3,FALSE)))</f>
        <v>ll</v>
      </c>
      <c r="N651" s="120" t="str">
        <f t="shared" si="54"/>
        <v>ll</v>
      </c>
      <c r="O651" s="2" t="str">
        <f>VLOOKUP(N651,'Bridge matrix'!$D$3:$E$731,2,FALSE)</f>
        <v>matched on SC/SSC level</v>
      </c>
    </row>
    <row r="652" spans="1:15" x14ac:dyDescent="0.25">
      <c r="A652" s="2" t="s">
        <v>591</v>
      </c>
      <c r="B652" s="2" t="s">
        <v>1093</v>
      </c>
      <c r="C652" s="2" t="s">
        <v>656</v>
      </c>
      <c r="D652" s="2" t="s">
        <v>598</v>
      </c>
      <c r="E652" s="2" t="s">
        <v>596</v>
      </c>
      <c r="F652" s="2" t="s">
        <v>596</v>
      </c>
      <c r="G652" s="2" t="str">
        <f t="shared" si="56"/>
        <v>09.5.1</v>
      </c>
      <c r="H652" s="83" t="s">
        <v>1137</v>
      </c>
      <c r="I652" s="83" t="str">
        <f t="shared" si="53"/>
        <v>0951</v>
      </c>
      <c r="J652" s="2" t="s">
        <v>1138</v>
      </c>
      <c r="K652" s="120" t="str">
        <f>IFERROR(VLOOKUP(H652,'Bridge matrix'!$A$3:$E$731,3,FALSE),"no")</f>
        <v xml:space="preserve">LIBROS </v>
      </c>
      <c r="L652" s="120" t="str">
        <f t="shared" si="51"/>
        <v xml:space="preserve">LIBROS </v>
      </c>
      <c r="M652" s="120" t="str">
        <f t="shared" si="57"/>
        <v xml:space="preserve">LIBROS </v>
      </c>
      <c r="N652" s="120" t="str">
        <f t="shared" si="54"/>
        <v xml:space="preserve">LIBROS </v>
      </c>
      <c r="O652" s="2" t="e">
        <f>VLOOKUP(N652,'Bridge matrix'!$D$3:$E$731,2,FALSE)</f>
        <v>#N/A</v>
      </c>
    </row>
    <row r="653" spans="1:15" x14ac:dyDescent="0.25">
      <c r="A653" s="2" t="s">
        <v>591</v>
      </c>
      <c r="B653" s="2" t="s">
        <v>1093</v>
      </c>
      <c r="C653" s="2" t="s">
        <v>656</v>
      </c>
      <c r="D653" s="2" t="s">
        <v>619</v>
      </c>
      <c r="E653" s="2" t="s">
        <v>596</v>
      </c>
      <c r="F653" s="2" t="s">
        <v>596</v>
      </c>
      <c r="G653" s="2" t="str">
        <f t="shared" si="56"/>
        <v>09.5.2</v>
      </c>
      <c r="H653" s="83" t="s">
        <v>1139</v>
      </c>
      <c r="I653" s="83" t="str">
        <f t="shared" si="53"/>
        <v>0952</v>
      </c>
      <c r="J653" s="2" t="s">
        <v>1140</v>
      </c>
      <c r="K653" s="120" t="str">
        <f>IFERROR(VLOOKUP(H653,'Bridge matrix'!$A$3:$E$731,3,FALSE),"no")</f>
        <v xml:space="preserve">DIARIOS Y PERIÓDICOS </v>
      </c>
      <c r="L653" s="120" t="str">
        <f t="shared" si="51"/>
        <v xml:space="preserve">DIARIOS Y PERIÓDICOS </v>
      </c>
      <c r="M653" s="120" t="str">
        <f t="shared" si="57"/>
        <v xml:space="preserve">DIARIOS Y PERIÓDICOS </v>
      </c>
      <c r="N653" s="120" t="str">
        <f t="shared" si="54"/>
        <v xml:space="preserve">DIARIOS Y PERIÓDICOS </v>
      </c>
      <c r="O653" s="2" t="e">
        <f>VLOOKUP(N653,'Bridge matrix'!$D$3:$E$731,2,FALSE)</f>
        <v>#N/A</v>
      </c>
    </row>
    <row r="654" spans="1:15" x14ac:dyDescent="0.25">
      <c r="A654" s="2" t="s">
        <v>591</v>
      </c>
      <c r="B654" s="2" t="s">
        <v>1093</v>
      </c>
      <c r="C654" s="2" t="s">
        <v>656</v>
      </c>
      <c r="D654" s="2" t="s">
        <v>633</v>
      </c>
      <c r="E654" s="2" t="s">
        <v>596</v>
      </c>
      <c r="F654" s="2" t="s">
        <v>596</v>
      </c>
      <c r="G654" s="2" t="str">
        <f t="shared" si="56"/>
        <v>09.5.3</v>
      </c>
      <c r="H654" s="83" t="s">
        <v>1141</v>
      </c>
      <c r="I654" s="83" t="str">
        <f t="shared" si="53"/>
        <v>0953</v>
      </c>
      <c r="J654" s="2" t="s">
        <v>1142</v>
      </c>
      <c r="K654" s="120" t="str">
        <f>IFERROR(VLOOKUP(H654,'Bridge matrix'!$A$3:$E$731,3,FALSE),"no")</f>
        <v xml:space="preserve">MATERIAL IMPRESO DIVERSO </v>
      </c>
      <c r="L654" s="120" t="str">
        <f t="shared" si="51"/>
        <v xml:space="preserve">MATERIAL IMPRESO DIVERSO </v>
      </c>
      <c r="M654" s="120" t="str">
        <f t="shared" si="57"/>
        <v xml:space="preserve">MATERIAL IMPRESO DIVERSO </v>
      </c>
      <c r="N654" s="120" t="str">
        <f t="shared" si="54"/>
        <v xml:space="preserve">MATERIAL IMPRESO DIVERSO </v>
      </c>
      <c r="O654" s="2" t="e">
        <f>VLOOKUP(N654,'Bridge matrix'!$D$3:$E$731,2,FALSE)</f>
        <v>#N/A</v>
      </c>
    </row>
    <row r="655" spans="1:15" x14ac:dyDescent="0.25">
      <c r="A655" s="2" t="s">
        <v>591</v>
      </c>
      <c r="B655" s="2" t="s">
        <v>1093</v>
      </c>
      <c r="C655" s="2" t="s">
        <v>656</v>
      </c>
      <c r="D655" s="2" t="s">
        <v>643</v>
      </c>
      <c r="E655" s="2" t="s">
        <v>596</v>
      </c>
      <c r="F655" s="2" t="s">
        <v>596</v>
      </c>
      <c r="G655" s="2" t="str">
        <f t="shared" si="56"/>
        <v>09.5.4</v>
      </c>
      <c r="H655" s="83" t="s">
        <v>1143</v>
      </c>
      <c r="I655" s="83" t="str">
        <f t="shared" si="53"/>
        <v>0954</v>
      </c>
      <c r="J655" s="2" t="s">
        <v>1144</v>
      </c>
      <c r="K655" s="120" t="str">
        <f>IFERROR(VLOOKUP(H655,'Bridge matrix'!$A$3:$E$731,3,FALSE),"no")</f>
        <v xml:space="preserve">PAPEL Y ÚTILES DE OFICINA Y MATERIALES DE DIBUJO </v>
      </c>
      <c r="L655" s="120" t="str">
        <f t="shared" si="51"/>
        <v xml:space="preserve">PAPEL Y ÚTILES DE OFICINA Y MATERIALES DE DIBUJO </v>
      </c>
      <c r="M655" s="120" t="str">
        <f t="shared" si="57"/>
        <v xml:space="preserve">PAPEL Y ÚTILES DE OFICINA Y MATERIALES DE DIBUJO </v>
      </c>
      <c r="N655" s="120" t="str">
        <f t="shared" si="54"/>
        <v xml:space="preserve">PAPEL Y ÚTILES DE OFICINA Y MATERIALES DE DIBUJO </v>
      </c>
      <c r="O655" s="2" t="e">
        <f>VLOOKUP(N655,'Bridge matrix'!$D$3:$E$731,2,FALSE)</f>
        <v>#N/A</v>
      </c>
    </row>
    <row r="656" spans="1:15" x14ac:dyDescent="0.25">
      <c r="A656" s="2" t="s">
        <v>591</v>
      </c>
      <c r="B656" s="2" t="s">
        <v>1093</v>
      </c>
      <c r="C656" s="2" t="s">
        <v>656</v>
      </c>
      <c r="D656" s="2" t="s">
        <v>656</v>
      </c>
      <c r="E656" s="2" t="s">
        <v>596</v>
      </c>
      <c r="F656" s="2" t="s">
        <v>596</v>
      </c>
      <c r="G656" s="2" t="str">
        <f t="shared" si="56"/>
        <v>09.5.5</v>
      </c>
      <c r="H656" s="83" t="s">
        <v>1145</v>
      </c>
      <c r="I656" s="83" t="str">
        <f t="shared" si="53"/>
        <v>0955</v>
      </c>
      <c r="J656" s="2" t="s">
        <v>1146</v>
      </c>
      <c r="K656" s="120" t="str">
        <f>IFERROR(VLOOKUP(H656,'Bridge matrix'!$A$3:$E$731,3,FALSE),"no")</f>
        <v xml:space="preserve">LISTA DE ÚTILES ESCOLARES </v>
      </c>
      <c r="L656" s="120" t="str">
        <f t="shared" ref="L656:L704" si="58">IF(AND(H656=LEFT(H657,LEN(H656)),L657&lt;&gt;"no"),"ll",IF(K656="no","no",K656))</f>
        <v xml:space="preserve">LISTA DE ÚTILES ESCOLARES </v>
      </c>
      <c r="M656" s="120" t="str">
        <f t="shared" si="57"/>
        <v xml:space="preserve">LISTA DE ÚTILES ESCOLARES </v>
      </c>
      <c r="N656" s="120" t="str">
        <f t="shared" si="54"/>
        <v xml:space="preserve">LISTA DE ÚTILES ESCOLARES </v>
      </c>
      <c r="O656" s="2" t="e">
        <f>VLOOKUP(N656,'Bridge matrix'!$D$3:$E$731,2,FALSE)</f>
        <v>#N/A</v>
      </c>
    </row>
    <row r="657" spans="1:15" x14ac:dyDescent="0.25">
      <c r="A657" s="2" t="s">
        <v>590</v>
      </c>
      <c r="B657" s="2" t="s">
        <v>1093</v>
      </c>
      <c r="C657" s="2" t="s">
        <v>663</v>
      </c>
      <c r="D657" s="2" t="s">
        <v>596</v>
      </c>
      <c r="E657" s="2" t="s">
        <v>596</v>
      </c>
      <c r="F657" s="2" t="s">
        <v>596</v>
      </c>
      <c r="G657" s="2" t="str">
        <f t="shared" si="56"/>
        <v>09.6</v>
      </c>
      <c r="H657" s="83" t="s">
        <v>1147</v>
      </c>
      <c r="I657" s="83" t="str">
        <f t="shared" ref="I657:I705" si="59">B657&amp;C657&amp;D657&amp;E657&amp;F657</f>
        <v>096</v>
      </c>
      <c r="J657" s="2" t="s">
        <v>1148</v>
      </c>
      <c r="K657" s="120" t="str">
        <f>IFERROR(VLOOKUP(H657,'Bridge matrix'!$A$3:$E$731,3,FALSE),"no")</f>
        <v>no</v>
      </c>
      <c r="L657" s="120" t="str">
        <f t="shared" si="58"/>
        <v>ll</v>
      </c>
      <c r="M657" s="120" t="str">
        <f t="shared" si="57"/>
        <v>ll</v>
      </c>
      <c r="N657" s="120" t="str">
        <f t="shared" ref="N657:N703" si="60">M657</f>
        <v>ll</v>
      </c>
      <c r="O657" s="2" t="str">
        <f>VLOOKUP(N657,'Bridge matrix'!$D$3:$E$731,2,FALSE)</f>
        <v>matched on SC/SSC level</v>
      </c>
    </row>
    <row r="658" spans="1:15" x14ac:dyDescent="0.25">
      <c r="A658" s="2" t="s">
        <v>591</v>
      </c>
      <c r="B658" s="2" t="s">
        <v>1093</v>
      </c>
      <c r="C658" s="2" t="s">
        <v>663</v>
      </c>
      <c r="D658" s="2" t="s">
        <v>598</v>
      </c>
      <c r="E658" s="2" t="s">
        <v>596</v>
      </c>
      <c r="F658" s="2" t="s">
        <v>596</v>
      </c>
      <c r="G658" s="2" t="str">
        <f t="shared" si="56"/>
        <v>09.6.1</v>
      </c>
      <c r="H658" s="83" t="s">
        <v>1149</v>
      </c>
      <c r="I658" s="83" t="str">
        <f t="shared" si="59"/>
        <v>0961</v>
      </c>
      <c r="J658" s="2" t="s">
        <v>1150</v>
      </c>
      <c r="K658" s="120" t="str">
        <f>IFERROR(VLOOKUP(H658,'Bridge matrix'!$A$3:$E$731,3,FALSE),"no")</f>
        <v xml:space="preserve">PAQUETES TURÍSTICOS </v>
      </c>
      <c r="L658" s="120" t="str">
        <f t="shared" si="58"/>
        <v xml:space="preserve">PAQUETES TURÍSTICOS </v>
      </c>
      <c r="M658" s="120" t="str">
        <f t="shared" si="57"/>
        <v xml:space="preserve">PAQUETES TURÍSTICOS </v>
      </c>
      <c r="N658" s="120" t="str">
        <f t="shared" si="60"/>
        <v xml:space="preserve">PAQUETES TURÍSTICOS </v>
      </c>
      <c r="O658" s="2" t="e">
        <f>VLOOKUP(N658,'Bridge matrix'!$D$3:$E$731,2,FALSE)</f>
        <v>#N/A</v>
      </c>
    </row>
    <row r="659" spans="1:15" x14ac:dyDescent="0.25">
      <c r="A659" s="2" t="s">
        <v>589</v>
      </c>
      <c r="B659" s="2" t="s">
        <v>1151</v>
      </c>
      <c r="C659" s="2" t="s">
        <v>596</v>
      </c>
      <c r="D659" s="2" t="s">
        <v>596</v>
      </c>
      <c r="E659" s="2" t="s">
        <v>596</v>
      </c>
      <c r="F659" s="2" t="s">
        <v>596</v>
      </c>
      <c r="G659" s="2" t="str">
        <f t="shared" si="56"/>
        <v>10</v>
      </c>
      <c r="H659" s="83" t="s">
        <v>1151</v>
      </c>
      <c r="I659" s="83" t="str">
        <f t="shared" si="59"/>
        <v>10</v>
      </c>
      <c r="J659" s="2" t="s">
        <v>1152</v>
      </c>
      <c r="K659" s="120" t="str">
        <f>IFERROR(VLOOKUP(H659,'Bridge matrix'!$A$3:$E$731,3,FALSE),"no")</f>
        <v>no</v>
      </c>
      <c r="L659" s="120" t="str">
        <f t="shared" si="58"/>
        <v>ll</v>
      </c>
      <c r="M659" s="120" t="str">
        <f t="shared" si="57"/>
        <v>ll</v>
      </c>
      <c r="N659" s="120" t="str">
        <f t="shared" si="60"/>
        <v>ll</v>
      </c>
      <c r="O659" s="2" t="str">
        <f>VLOOKUP(N659,'Bridge matrix'!$D$3:$E$731,2,FALSE)</f>
        <v>matched on SC/SSC level</v>
      </c>
    </row>
    <row r="660" spans="1:15" x14ac:dyDescent="0.25">
      <c r="A660" s="2" t="s">
        <v>590</v>
      </c>
      <c r="B660" s="2" t="s">
        <v>1151</v>
      </c>
      <c r="C660" s="2" t="s">
        <v>598</v>
      </c>
      <c r="E660" s="2" t="s">
        <v>596</v>
      </c>
      <c r="F660" s="2" t="s">
        <v>596</v>
      </c>
      <c r="G660" s="2" t="str">
        <f t="shared" si="56"/>
        <v>10.1</v>
      </c>
      <c r="H660" s="83" t="s">
        <v>1153</v>
      </c>
      <c r="I660" s="83" t="str">
        <f t="shared" si="59"/>
        <v>101</v>
      </c>
      <c r="J660" s="2" t="s">
        <v>1154</v>
      </c>
      <c r="K660" s="120" t="str">
        <f>IFERROR(VLOOKUP(H660,'Bridge matrix'!$A$3:$E$731,3,FALSE),"no")</f>
        <v>no</v>
      </c>
      <c r="L660" s="120" t="str">
        <f t="shared" si="58"/>
        <v>ll</v>
      </c>
      <c r="M660" s="120" t="str">
        <f t="shared" si="57"/>
        <v>ll</v>
      </c>
      <c r="N660" s="120" t="str">
        <f t="shared" si="60"/>
        <v>ll</v>
      </c>
      <c r="O660" s="2" t="str">
        <f>VLOOKUP(N660,'Bridge matrix'!$D$3:$E$731,2,FALSE)</f>
        <v>matched on SC/SSC level</v>
      </c>
    </row>
    <row r="661" spans="1:15" x14ac:dyDescent="0.25">
      <c r="A661" s="2" t="s">
        <v>591</v>
      </c>
      <c r="B661" s="2" t="s">
        <v>1151</v>
      </c>
      <c r="C661" s="2" t="s">
        <v>598</v>
      </c>
      <c r="D661" s="2">
        <v>1</v>
      </c>
      <c r="G661" s="2" t="str">
        <f t="shared" si="56"/>
        <v>10.1.1</v>
      </c>
      <c r="H661" s="83" t="s">
        <v>2368</v>
      </c>
      <c r="I661" s="83" t="str">
        <f t="shared" si="59"/>
        <v>1011</v>
      </c>
      <c r="J661" s="2" t="s">
        <v>1154</v>
      </c>
      <c r="K661" s="120" t="str">
        <f>IFERROR(VLOOKUP(H661,'Bridge matrix'!$A$3:$E$731,3,FALSE),"no")</f>
        <v xml:space="preserve">ENSEÑANZA PREESCOLAR Y ENSEÑANZA PRIMARIA </v>
      </c>
      <c r="L661" s="120" t="str">
        <f t="shared" si="58"/>
        <v xml:space="preserve">ENSEÑANZA PREESCOLAR Y ENSEÑANZA PRIMARIA </v>
      </c>
      <c r="M661" s="120" t="str">
        <f t="shared" si="57"/>
        <v xml:space="preserve">ENSEÑANZA PREESCOLAR Y ENSEÑANZA PRIMARIA </v>
      </c>
      <c r="N661" s="120" t="str">
        <f t="shared" si="60"/>
        <v xml:space="preserve">ENSEÑANZA PREESCOLAR Y ENSEÑANZA PRIMARIA </v>
      </c>
      <c r="O661" s="2" t="e">
        <f>VLOOKUP(N661,'Bridge matrix'!$D$3:$E$731,2,FALSE)</f>
        <v>#N/A</v>
      </c>
    </row>
    <row r="662" spans="1:15" x14ac:dyDescent="0.25">
      <c r="A662" s="2" t="s">
        <v>590</v>
      </c>
      <c r="B662" s="2" t="s">
        <v>1151</v>
      </c>
      <c r="C662" s="2" t="s">
        <v>619</v>
      </c>
      <c r="E662" s="2" t="s">
        <v>596</v>
      </c>
      <c r="F662" s="2" t="s">
        <v>596</v>
      </c>
      <c r="G662" s="2" t="str">
        <f t="shared" si="56"/>
        <v>10.2</v>
      </c>
      <c r="H662" s="83" t="s">
        <v>1155</v>
      </c>
      <c r="I662" s="83" t="str">
        <f t="shared" si="59"/>
        <v>102</v>
      </c>
      <c r="J662" s="2" t="s">
        <v>1156</v>
      </c>
      <c r="K662" s="120" t="str">
        <f>IFERROR(VLOOKUP(H662,'Bridge matrix'!$A$3:$E$731,3,FALSE),"no")</f>
        <v>no</v>
      </c>
      <c r="L662" s="120" t="str">
        <f t="shared" si="58"/>
        <v>ll</v>
      </c>
      <c r="M662" s="120" t="str">
        <f t="shared" si="57"/>
        <v>ll</v>
      </c>
      <c r="N662" s="120" t="str">
        <f t="shared" si="60"/>
        <v>ll</v>
      </c>
      <c r="O662" s="2" t="str">
        <f>VLOOKUP(N662,'Bridge matrix'!$D$3:$E$731,2,FALSE)</f>
        <v>matched on SC/SSC level</v>
      </c>
    </row>
    <row r="663" spans="1:15" x14ac:dyDescent="0.25">
      <c r="A663" s="2" t="s">
        <v>591</v>
      </c>
      <c r="B663" s="2" t="s">
        <v>1151</v>
      </c>
      <c r="C663" s="2" t="s">
        <v>619</v>
      </c>
      <c r="D663" s="2">
        <v>1</v>
      </c>
      <c r="G663" s="2" t="str">
        <f t="shared" si="56"/>
        <v>10.2.1</v>
      </c>
      <c r="H663" s="83" t="s">
        <v>2369</v>
      </c>
      <c r="I663" s="83" t="str">
        <f t="shared" si="59"/>
        <v>1021</v>
      </c>
      <c r="J663" s="2" t="s">
        <v>1156</v>
      </c>
      <c r="K663" s="120" t="str">
        <f>IFERROR(VLOOKUP(H663,'Bridge matrix'!$A$3:$E$731,3,FALSE),"no")</f>
        <v xml:space="preserve">ENSEÑANZA SECUNDARIA </v>
      </c>
      <c r="L663" s="120" t="str">
        <f t="shared" si="58"/>
        <v xml:space="preserve">ENSEÑANZA SECUNDARIA </v>
      </c>
      <c r="M663" s="120" t="str">
        <f t="shared" si="57"/>
        <v xml:space="preserve">ENSEÑANZA SECUNDARIA </v>
      </c>
      <c r="N663" s="120" t="str">
        <f t="shared" si="60"/>
        <v xml:space="preserve">ENSEÑANZA SECUNDARIA </v>
      </c>
      <c r="O663" s="2" t="e">
        <f>VLOOKUP(N663,'Bridge matrix'!$D$3:$E$731,2,FALSE)</f>
        <v>#N/A</v>
      </c>
    </row>
    <row r="664" spans="1:15" x14ac:dyDescent="0.25">
      <c r="A664" s="2" t="s">
        <v>590</v>
      </c>
      <c r="B664" s="2" t="s">
        <v>1151</v>
      </c>
      <c r="C664" s="2" t="s">
        <v>633</v>
      </c>
      <c r="E664" s="2" t="s">
        <v>596</v>
      </c>
      <c r="F664" s="2" t="s">
        <v>596</v>
      </c>
      <c r="G664" s="2" t="str">
        <f t="shared" si="56"/>
        <v>10.3</v>
      </c>
      <c r="H664" s="83" t="s">
        <v>1157</v>
      </c>
      <c r="I664" s="83" t="str">
        <f t="shared" si="59"/>
        <v>103</v>
      </c>
      <c r="J664" s="2" t="s">
        <v>1158</v>
      </c>
      <c r="K664" s="120" t="str">
        <f>IFERROR(VLOOKUP(H664,'Bridge matrix'!$A$3:$E$731,3,FALSE),"no")</f>
        <v>no</v>
      </c>
      <c r="L664" s="120" t="str">
        <f t="shared" si="58"/>
        <v>ll</v>
      </c>
      <c r="M664" s="120" t="str">
        <f t="shared" si="57"/>
        <v>ll</v>
      </c>
      <c r="N664" s="120" t="str">
        <f t="shared" si="60"/>
        <v>ll</v>
      </c>
      <c r="O664" s="2" t="str">
        <f>VLOOKUP(N664,'Bridge matrix'!$D$3:$E$731,2,FALSE)</f>
        <v>matched on SC/SSC level</v>
      </c>
    </row>
    <row r="665" spans="1:15" x14ac:dyDescent="0.25">
      <c r="A665" s="2" t="s">
        <v>591</v>
      </c>
      <c r="B665" s="2" t="s">
        <v>1151</v>
      </c>
      <c r="C665" s="2" t="s">
        <v>633</v>
      </c>
      <c r="D665" s="2">
        <v>1</v>
      </c>
      <c r="G665" s="2" t="str">
        <f t="shared" si="56"/>
        <v>10.3.1</v>
      </c>
      <c r="H665" s="83" t="s">
        <v>2370</v>
      </c>
      <c r="I665" s="83" t="str">
        <f t="shared" si="59"/>
        <v>1031</v>
      </c>
      <c r="J665" s="2" t="s">
        <v>1158</v>
      </c>
      <c r="K665" s="120" t="str">
        <f>IFERROR(VLOOKUP(H665,'Bridge matrix'!$A$3:$E$731,3,FALSE),"no")</f>
        <v xml:space="preserve">ENSEÑANZA POST-SECUNDARIA, NO TERCIARIA </v>
      </c>
      <c r="L665" s="120" t="str">
        <f t="shared" si="58"/>
        <v xml:space="preserve">ENSEÑANZA POST-SECUNDARIA, NO TERCIARIA </v>
      </c>
      <c r="M665" s="120" t="str">
        <f t="shared" si="57"/>
        <v xml:space="preserve">ENSEÑANZA POST-SECUNDARIA, NO TERCIARIA </v>
      </c>
      <c r="N665" s="120" t="str">
        <f t="shared" si="60"/>
        <v xml:space="preserve">ENSEÑANZA POST-SECUNDARIA, NO TERCIARIA </v>
      </c>
      <c r="O665" s="2" t="e">
        <f>VLOOKUP(N665,'Bridge matrix'!$D$3:$E$731,2,FALSE)</f>
        <v>#N/A</v>
      </c>
    </row>
    <row r="666" spans="1:15" x14ac:dyDescent="0.25">
      <c r="A666" s="2" t="s">
        <v>590</v>
      </c>
      <c r="B666" s="2" t="s">
        <v>1151</v>
      </c>
      <c r="C666" s="2" t="s">
        <v>643</v>
      </c>
      <c r="E666" s="2" t="s">
        <v>596</v>
      </c>
      <c r="F666" s="2" t="s">
        <v>596</v>
      </c>
      <c r="G666" s="2" t="str">
        <f t="shared" si="56"/>
        <v>10.4</v>
      </c>
      <c r="H666" s="83" t="s">
        <v>1159</v>
      </c>
      <c r="I666" s="83" t="str">
        <f t="shared" si="59"/>
        <v>104</v>
      </c>
      <c r="J666" s="2" t="s">
        <v>2375</v>
      </c>
      <c r="K666" s="120" t="str">
        <f>IFERROR(VLOOKUP(H666,'Bridge matrix'!$A$3:$E$731,3,FALSE),"no")</f>
        <v>no</v>
      </c>
      <c r="L666" s="120" t="str">
        <f t="shared" si="58"/>
        <v>ll</v>
      </c>
      <c r="M666" s="120" t="str">
        <f t="shared" si="57"/>
        <v>ll</v>
      </c>
      <c r="N666" s="120" t="str">
        <f t="shared" si="60"/>
        <v>ll</v>
      </c>
      <c r="O666" s="2" t="str">
        <f>VLOOKUP(N666,'Bridge matrix'!$D$3:$E$731,2,FALSE)</f>
        <v>matched on SC/SSC level</v>
      </c>
    </row>
    <row r="667" spans="1:15" x14ac:dyDescent="0.25">
      <c r="A667" s="2" t="s">
        <v>591</v>
      </c>
      <c r="B667" s="2" t="s">
        <v>1151</v>
      </c>
      <c r="C667" s="2" t="s">
        <v>643</v>
      </c>
      <c r="D667" s="2">
        <v>1</v>
      </c>
      <c r="G667" s="2" t="str">
        <f t="shared" si="56"/>
        <v>10.4.1</v>
      </c>
      <c r="H667" s="83" t="s">
        <v>2371</v>
      </c>
      <c r="I667" s="83" t="str">
        <f t="shared" si="59"/>
        <v>1041</v>
      </c>
      <c r="J667" s="2" t="s">
        <v>2375</v>
      </c>
      <c r="K667" s="120" t="str">
        <f>IFERROR(VLOOKUP(H667,'Bridge matrix'!$A$3:$E$731,3,FALSE),"no")</f>
        <v>ENSEÑANZA TERCIARIA O UNIVERSITARIA</v>
      </c>
      <c r="L667" s="120" t="str">
        <f t="shared" si="58"/>
        <v>ENSEÑANZA TERCIARIA O UNIVERSITARIA</v>
      </c>
      <c r="M667" s="120" t="str">
        <f t="shared" si="57"/>
        <v>ENSEÑANZA TERCIARIA O UNIVERSITARIA</v>
      </c>
      <c r="N667" s="120" t="str">
        <f t="shared" si="60"/>
        <v>ENSEÑANZA TERCIARIA O UNIVERSITARIA</v>
      </c>
      <c r="O667" s="2" t="e">
        <f>VLOOKUP(N667,'Bridge matrix'!$D$3:$E$731,2,FALSE)</f>
        <v>#N/A</v>
      </c>
    </row>
    <row r="668" spans="1:15" x14ac:dyDescent="0.25">
      <c r="A668" s="2" t="s">
        <v>590</v>
      </c>
      <c r="B668" s="2" t="s">
        <v>1151</v>
      </c>
      <c r="C668" s="2" t="s">
        <v>656</v>
      </c>
      <c r="D668" s="2" t="s">
        <v>596</v>
      </c>
      <c r="E668" s="2" t="s">
        <v>596</v>
      </c>
      <c r="F668" s="2" t="s">
        <v>596</v>
      </c>
      <c r="G668" s="2" t="str">
        <f t="shared" si="56"/>
        <v>10.5</v>
      </c>
      <c r="H668" s="83" t="s">
        <v>1160</v>
      </c>
      <c r="I668" s="83" t="str">
        <f t="shared" si="59"/>
        <v>105</v>
      </c>
      <c r="J668" s="2" t="s">
        <v>1161</v>
      </c>
      <c r="K668" s="120" t="str">
        <f>IFERROR(VLOOKUP(H668,'Bridge matrix'!$A$3:$E$731,3,FALSE),"no")</f>
        <v>no</v>
      </c>
      <c r="L668" s="120" t="str">
        <f t="shared" si="58"/>
        <v>ll</v>
      </c>
      <c r="M668" s="120" t="str">
        <f t="shared" si="57"/>
        <v>ll</v>
      </c>
      <c r="N668" s="120" t="str">
        <f t="shared" si="60"/>
        <v>ll</v>
      </c>
      <c r="O668" s="2" t="str">
        <f>VLOOKUP(N668,'Bridge matrix'!$D$3:$E$731,2,FALSE)</f>
        <v>matched on SC/SSC level</v>
      </c>
    </row>
    <row r="669" spans="1:15" x14ac:dyDescent="0.25">
      <c r="A669" s="2" t="s">
        <v>591</v>
      </c>
      <c r="B669" s="2" t="s">
        <v>1151</v>
      </c>
      <c r="C669" s="2" t="s">
        <v>656</v>
      </c>
      <c r="D669" s="2">
        <v>1</v>
      </c>
      <c r="G669" s="2" t="str">
        <f t="shared" si="56"/>
        <v>10.5.1</v>
      </c>
      <c r="H669" s="83" t="s">
        <v>2372</v>
      </c>
      <c r="I669" s="83" t="str">
        <f t="shared" si="59"/>
        <v>1051</v>
      </c>
      <c r="J669" s="2" t="s">
        <v>1161</v>
      </c>
      <c r="K669" s="120" t="str">
        <f>IFERROR(VLOOKUP(H669,'Bridge matrix'!$A$3:$E$731,3,FALSE),"no")</f>
        <v>ENSEÑANZA NO ATRIBUIBLE A NINGÚN NIVEL</v>
      </c>
      <c r="L669" s="120" t="str">
        <f t="shared" si="58"/>
        <v>ENSEÑANZA NO ATRIBUIBLE A NINGÚN NIVEL</v>
      </c>
      <c r="M669" s="120" t="str">
        <f t="shared" si="57"/>
        <v>ENSEÑANZA NO ATRIBUIBLE A NINGÚN NIVEL</v>
      </c>
      <c r="N669" s="120" t="str">
        <f t="shared" si="60"/>
        <v>ENSEÑANZA NO ATRIBUIBLE A NINGÚN NIVEL</v>
      </c>
      <c r="O669" s="2" t="e">
        <f>VLOOKUP(N669,'Bridge matrix'!$D$3:$E$731,2,FALSE)</f>
        <v>#N/A</v>
      </c>
    </row>
    <row r="670" spans="1:15" x14ac:dyDescent="0.25">
      <c r="A670" s="2" t="s">
        <v>590</v>
      </c>
      <c r="B670" s="2" t="s">
        <v>1151</v>
      </c>
      <c r="C670" s="2" t="s">
        <v>663</v>
      </c>
      <c r="D670" s="2" t="s">
        <v>596</v>
      </c>
      <c r="E670" s="2" t="s">
        <v>596</v>
      </c>
      <c r="F670" s="2" t="s">
        <v>596</v>
      </c>
      <c r="G670" s="2" t="str">
        <f t="shared" si="56"/>
        <v>10.6</v>
      </c>
      <c r="H670" s="83" t="s">
        <v>1162</v>
      </c>
      <c r="I670" s="83" t="str">
        <f t="shared" si="59"/>
        <v>106</v>
      </c>
      <c r="J670" s="2" t="s">
        <v>1163</v>
      </c>
      <c r="K670" s="120" t="str">
        <f>IFERROR(VLOOKUP(H670,'Bridge matrix'!$A$3:$E$731,3,FALSE),"no")</f>
        <v>no</v>
      </c>
      <c r="L670" s="120" t="str">
        <f t="shared" si="58"/>
        <v>ll</v>
      </c>
      <c r="M670" s="120" t="str">
        <f t="shared" si="57"/>
        <v>ll</v>
      </c>
      <c r="N670" s="120" t="str">
        <f t="shared" si="60"/>
        <v>ll</v>
      </c>
      <c r="O670" s="2" t="str">
        <f>VLOOKUP(N670,'Bridge matrix'!$D$3:$E$731,2,FALSE)</f>
        <v>matched on SC/SSC level</v>
      </c>
    </row>
    <row r="671" spans="1:15" x14ac:dyDescent="0.25">
      <c r="A671" s="2" t="s">
        <v>591</v>
      </c>
      <c r="B671" s="2" t="s">
        <v>1151</v>
      </c>
      <c r="C671" s="2" t="s">
        <v>663</v>
      </c>
      <c r="D671" s="2">
        <v>1</v>
      </c>
      <c r="G671" s="2" t="str">
        <f t="shared" si="56"/>
        <v>10.6.1</v>
      </c>
      <c r="H671" s="83" t="s">
        <v>2373</v>
      </c>
      <c r="I671" s="83" t="str">
        <f t="shared" si="59"/>
        <v>1061</v>
      </c>
      <c r="J671" s="2" t="s">
        <v>1163</v>
      </c>
      <c r="K671" s="120" t="str">
        <f>IFERROR(VLOOKUP(H671,'Bridge matrix'!$A$3:$E$731,3,FALSE),"no")</f>
        <v>MATRÍCULAS DE ENSEÑANZA FORMAL</v>
      </c>
      <c r="L671" s="120" t="str">
        <f t="shared" si="58"/>
        <v>MATRÍCULAS DE ENSEÑANZA FORMAL</v>
      </c>
      <c r="M671" s="120" t="str">
        <f t="shared" si="57"/>
        <v>MATRÍCULAS DE ENSEÑANZA FORMAL</v>
      </c>
      <c r="N671" s="120" t="str">
        <f t="shared" si="60"/>
        <v>MATRÍCULAS DE ENSEÑANZA FORMAL</v>
      </c>
      <c r="O671" s="2" t="e">
        <f>VLOOKUP(N671,'Bridge matrix'!$D$3:$E$731,2,FALSE)</f>
        <v>#N/A</v>
      </c>
    </row>
    <row r="672" spans="1:15" x14ac:dyDescent="0.25">
      <c r="A672" s="2" t="s">
        <v>589</v>
      </c>
      <c r="B672" s="2" t="s">
        <v>1164</v>
      </c>
      <c r="C672" s="2" t="s">
        <v>596</v>
      </c>
      <c r="D672" s="2" t="s">
        <v>596</v>
      </c>
      <c r="E672" s="2" t="s">
        <v>596</v>
      </c>
      <c r="F672" s="2" t="s">
        <v>596</v>
      </c>
      <c r="G672" s="2" t="str">
        <f t="shared" si="56"/>
        <v>11</v>
      </c>
      <c r="H672" s="83" t="s">
        <v>1164</v>
      </c>
      <c r="I672" s="83" t="str">
        <f t="shared" si="59"/>
        <v>11</v>
      </c>
      <c r="J672" s="2" t="s">
        <v>1165</v>
      </c>
      <c r="K672" s="120" t="str">
        <f>IFERROR(VLOOKUP(H672,'Bridge matrix'!$A$3:$E$731,3,FALSE),"no")</f>
        <v>no</v>
      </c>
      <c r="L672" s="120" t="str">
        <f t="shared" si="58"/>
        <v>ll</v>
      </c>
      <c r="M672" s="120" t="str">
        <f t="shared" si="57"/>
        <v>ll</v>
      </c>
      <c r="N672" s="120" t="str">
        <f t="shared" si="60"/>
        <v>ll</v>
      </c>
      <c r="O672" s="2" t="str">
        <f>VLOOKUP(N672,'Bridge matrix'!$D$3:$E$731,2,FALSE)</f>
        <v>matched on SC/SSC level</v>
      </c>
    </row>
    <row r="673" spans="1:15" x14ac:dyDescent="0.25">
      <c r="A673" s="2" t="s">
        <v>590</v>
      </c>
      <c r="B673" s="2" t="s">
        <v>1164</v>
      </c>
      <c r="C673" s="2" t="s">
        <v>598</v>
      </c>
      <c r="D673" s="2" t="s">
        <v>596</v>
      </c>
      <c r="E673" s="2" t="s">
        <v>596</v>
      </c>
      <c r="F673" s="2" t="s">
        <v>596</v>
      </c>
      <c r="G673" s="2" t="str">
        <f t="shared" si="56"/>
        <v>11.1</v>
      </c>
      <c r="H673" s="83" t="s">
        <v>1166</v>
      </c>
      <c r="I673" s="83" t="str">
        <f t="shared" si="59"/>
        <v>111</v>
      </c>
      <c r="J673" s="2" t="s">
        <v>1167</v>
      </c>
      <c r="K673" s="120" t="str">
        <f>IFERROR(VLOOKUP(H673,'Bridge matrix'!$A$3:$E$731,3,FALSE),"no")</f>
        <v>no</v>
      </c>
      <c r="L673" s="120" t="str">
        <f t="shared" si="58"/>
        <v>ll</v>
      </c>
      <c r="M673" s="120" t="str">
        <f t="shared" si="57"/>
        <v>ll</v>
      </c>
      <c r="N673" s="120" t="str">
        <f t="shared" si="60"/>
        <v>ll</v>
      </c>
      <c r="O673" s="2" t="str">
        <f>VLOOKUP(N673,'Bridge matrix'!$D$3:$E$731,2,FALSE)</f>
        <v>matched on SC/SSC level</v>
      </c>
    </row>
    <row r="674" spans="1:15" x14ac:dyDescent="0.25">
      <c r="A674" s="2" t="s">
        <v>591</v>
      </c>
      <c r="B674" s="2" t="s">
        <v>1164</v>
      </c>
      <c r="C674" s="2" t="s">
        <v>598</v>
      </c>
      <c r="D674" s="2" t="s">
        <v>598</v>
      </c>
      <c r="E674" s="2" t="s">
        <v>596</v>
      </c>
      <c r="F674" s="2" t="s">
        <v>596</v>
      </c>
      <c r="G674" s="2" t="str">
        <f t="shared" si="56"/>
        <v>11.1.1</v>
      </c>
      <c r="H674" s="83" t="s">
        <v>1168</v>
      </c>
      <c r="I674" s="83" t="str">
        <f t="shared" si="59"/>
        <v>1111</v>
      </c>
      <c r="J674" s="2" t="s">
        <v>1169</v>
      </c>
      <c r="K674" s="120" t="str">
        <f>IFERROR(VLOOKUP(H674,'Bridge matrix'!$A$3:$E$731,3,FALSE),"no")</f>
        <v xml:space="preserve">RESTAURANTES, CAFÉS Y ESTABLECIMIENTOS SIMILARES </v>
      </c>
      <c r="L674" s="120" t="str">
        <f t="shared" si="58"/>
        <v xml:space="preserve">RESTAURANTES, CAFÉS Y ESTABLECIMIENTOS SIMILARES </v>
      </c>
      <c r="M674" s="120" t="str">
        <f t="shared" si="57"/>
        <v xml:space="preserve">RESTAURANTES, CAFÉS Y ESTABLECIMIENTOS SIMILARES </v>
      </c>
      <c r="N674" s="120" t="str">
        <f t="shared" si="60"/>
        <v xml:space="preserve">RESTAURANTES, CAFÉS Y ESTABLECIMIENTOS SIMILARES </v>
      </c>
      <c r="O674" s="2" t="e">
        <f>VLOOKUP(N674,'Bridge matrix'!$D$3:$E$731,2,FALSE)</f>
        <v>#N/A</v>
      </c>
    </row>
    <row r="675" spans="1:15" x14ac:dyDescent="0.25">
      <c r="A675" s="2" t="s">
        <v>592</v>
      </c>
      <c r="B675" s="2" t="s">
        <v>1164</v>
      </c>
      <c r="C675" s="2" t="s">
        <v>598</v>
      </c>
      <c r="D675" s="2" t="s">
        <v>598</v>
      </c>
      <c r="E675" s="2" t="s">
        <v>602</v>
      </c>
      <c r="F675" s="2" t="s">
        <v>596</v>
      </c>
      <c r="G675" s="2" t="str">
        <f t="shared" si="56"/>
        <v>11.1.1.000</v>
      </c>
      <c r="H675" s="83" t="s">
        <v>1170</v>
      </c>
      <c r="I675" s="83" t="str">
        <f t="shared" si="59"/>
        <v>1111000</v>
      </c>
      <c r="J675" s="2" t="s">
        <v>1171</v>
      </c>
      <c r="K675" s="120" t="str">
        <f>IFERROR(VLOOKUP(H675,'Bridge matrix'!$A$3:$E$731,3,FALSE),"no")</f>
        <v>no</v>
      </c>
      <c r="L675" s="120" t="str">
        <f t="shared" si="58"/>
        <v>no</v>
      </c>
      <c r="M675" s="120" t="str">
        <f t="shared" si="57"/>
        <v xml:space="preserve">RESTAURANTES, CAFÉS Y ESTABLECIMIENTOS SIMILARES </v>
      </c>
      <c r="N675" s="120" t="str">
        <f t="shared" si="60"/>
        <v xml:space="preserve">RESTAURANTES, CAFÉS Y ESTABLECIMIENTOS SIMILARES </v>
      </c>
      <c r="O675" s="2" t="e">
        <f>VLOOKUP(N675,'Bridge matrix'!$D$3:$E$731,2,FALSE)</f>
        <v>#N/A</v>
      </c>
    </row>
    <row r="676" spans="1:15" x14ac:dyDescent="0.25">
      <c r="A676" s="2" t="s">
        <v>592</v>
      </c>
      <c r="B676" s="2" t="s">
        <v>1164</v>
      </c>
      <c r="C676" s="2" t="s">
        <v>598</v>
      </c>
      <c r="D676" s="2" t="s">
        <v>598</v>
      </c>
      <c r="E676" s="2" t="s">
        <v>605</v>
      </c>
      <c r="F676" s="2" t="s">
        <v>596</v>
      </c>
      <c r="G676" s="2" t="str">
        <f t="shared" si="56"/>
        <v>11.1.1.100</v>
      </c>
      <c r="H676" s="83" t="s">
        <v>1172</v>
      </c>
      <c r="I676" s="83" t="str">
        <f t="shared" si="59"/>
        <v>1111100</v>
      </c>
      <c r="J676" s="2" t="s">
        <v>1173</v>
      </c>
      <c r="K676" s="120" t="str">
        <f>IFERROR(VLOOKUP(H676,'Bridge matrix'!$A$3:$E$731,3,FALSE),"no")</f>
        <v>no</v>
      </c>
      <c r="L676" s="120" t="str">
        <f t="shared" si="58"/>
        <v>no</v>
      </c>
      <c r="M676" s="120" t="str">
        <f t="shared" si="57"/>
        <v xml:space="preserve">RESTAURANTES, CAFÉS Y ESTABLECIMIENTOS SIMILARES </v>
      </c>
      <c r="N676" s="120" t="str">
        <f t="shared" si="60"/>
        <v xml:space="preserve">RESTAURANTES, CAFÉS Y ESTABLECIMIENTOS SIMILARES </v>
      </c>
      <c r="O676" s="2" t="e">
        <f>VLOOKUP(N676,'Bridge matrix'!$D$3:$E$731,2,FALSE)</f>
        <v>#N/A</v>
      </c>
    </row>
    <row r="677" spans="1:15" x14ac:dyDescent="0.25">
      <c r="A677" s="2" t="s">
        <v>592</v>
      </c>
      <c r="B677" s="2" t="s">
        <v>1164</v>
      </c>
      <c r="C677" s="2" t="s">
        <v>598</v>
      </c>
      <c r="D677" s="2" t="s">
        <v>598</v>
      </c>
      <c r="E677" s="2" t="s">
        <v>608</v>
      </c>
      <c r="F677" s="2" t="s">
        <v>596</v>
      </c>
      <c r="G677" s="2" t="str">
        <f t="shared" si="56"/>
        <v>11.1.1.200</v>
      </c>
      <c r="H677" s="83" t="s">
        <v>1174</v>
      </c>
      <c r="I677" s="83" t="str">
        <f t="shared" si="59"/>
        <v>1111200</v>
      </c>
      <c r="J677" s="2" t="s">
        <v>1175</v>
      </c>
      <c r="K677" s="120" t="str">
        <f>IFERROR(VLOOKUP(H677,'Bridge matrix'!$A$3:$E$731,3,FALSE),"no")</f>
        <v>no</v>
      </c>
      <c r="L677" s="120" t="str">
        <f t="shared" si="58"/>
        <v>no</v>
      </c>
      <c r="M677" s="120" t="str">
        <f t="shared" si="57"/>
        <v xml:space="preserve">RESTAURANTES, CAFÉS Y ESTABLECIMIENTOS SIMILARES </v>
      </c>
      <c r="N677" s="120" t="str">
        <f t="shared" si="60"/>
        <v xml:space="preserve">RESTAURANTES, CAFÉS Y ESTABLECIMIENTOS SIMILARES </v>
      </c>
      <c r="O677" s="2" t="e">
        <f>VLOOKUP(N677,'Bridge matrix'!$D$3:$E$731,2,FALSE)</f>
        <v>#N/A</v>
      </c>
    </row>
    <row r="678" spans="1:15" x14ac:dyDescent="0.25">
      <c r="A678" s="2" t="s">
        <v>592</v>
      </c>
      <c r="B678" s="2" t="s">
        <v>1164</v>
      </c>
      <c r="C678" s="2" t="s">
        <v>598</v>
      </c>
      <c r="D678" s="2" t="s">
        <v>598</v>
      </c>
      <c r="E678" s="2" t="s">
        <v>611</v>
      </c>
      <c r="F678" s="2" t="s">
        <v>596</v>
      </c>
      <c r="G678" s="2" t="str">
        <f t="shared" si="56"/>
        <v>11.1.1.300</v>
      </c>
      <c r="H678" s="83" t="s">
        <v>1176</v>
      </c>
      <c r="I678" s="83" t="str">
        <f t="shared" si="59"/>
        <v>1111300</v>
      </c>
      <c r="J678" s="2" t="s">
        <v>1177</v>
      </c>
      <c r="K678" s="120" t="str">
        <f>IFERROR(VLOOKUP(H678,'Bridge matrix'!$A$3:$E$731,3,FALSE),"no")</f>
        <v>no</v>
      </c>
      <c r="L678" s="120" t="str">
        <f t="shared" si="58"/>
        <v>no</v>
      </c>
      <c r="M678" s="120" t="str">
        <f t="shared" si="57"/>
        <v xml:space="preserve">RESTAURANTES, CAFÉS Y ESTABLECIMIENTOS SIMILARES </v>
      </c>
      <c r="N678" s="120" t="str">
        <f t="shared" si="60"/>
        <v xml:space="preserve">RESTAURANTES, CAFÉS Y ESTABLECIMIENTOS SIMILARES </v>
      </c>
      <c r="O678" s="2" t="e">
        <f>VLOOKUP(N678,'Bridge matrix'!$D$3:$E$731,2,FALSE)</f>
        <v>#N/A</v>
      </c>
    </row>
    <row r="679" spans="1:15" x14ac:dyDescent="0.25">
      <c r="A679" s="2" t="s">
        <v>591</v>
      </c>
      <c r="B679" s="2" t="s">
        <v>1164</v>
      </c>
      <c r="C679" s="2" t="s">
        <v>598</v>
      </c>
      <c r="D679" s="2" t="s">
        <v>619</v>
      </c>
      <c r="E679" s="2" t="s">
        <v>596</v>
      </c>
      <c r="F679" s="2" t="s">
        <v>596</v>
      </c>
      <c r="G679" s="2" t="str">
        <f t="shared" si="56"/>
        <v>11.1.2</v>
      </c>
      <c r="H679" s="83" t="s">
        <v>1178</v>
      </c>
      <c r="I679" s="83" t="str">
        <f t="shared" si="59"/>
        <v>1112</v>
      </c>
      <c r="J679" s="2" t="s">
        <v>1179</v>
      </c>
      <c r="K679" s="120" t="str">
        <f>IFERROR(VLOOKUP(H679,'Bridge matrix'!$A$3:$E$731,3,FALSE),"no")</f>
        <v xml:space="preserve">COMEDORES </v>
      </c>
      <c r="L679" s="120" t="str">
        <f t="shared" si="58"/>
        <v xml:space="preserve">COMEDORES </v>
      </c>
      <c r="M679" s="120" t="str">
        <f t="shared" si="57"/>
        <v xml:space="preserve">COMEDORES </v>
      </c>
      <c r="N679" s="120" t="str">
        <f t="shared" si="60"/>
        <v xml:space="preserve">COMEDORES </v>
      </c>
      <c r="O679" s="2" t="e">
        <f>VLOOKUP(N679,'Bridge matrix'!$D$3:$E$731,2,FALSE)</f>
        <v>#N/A</v>
      </c>
    </row>
    <row r="680" spans="1:15" x14ac:dyDescent="0.25">
      <c r="A680" s="2" t="s">
        <v>590</v>
      </c>
      <c r="B680" s="2" t="s">
        <v>1164</v>
      </c>
      <c r="C680" s="2" t="s">
        <v>619</v>
      </c>
      <c r="D680" s="2" t="s">
        <v>596</v>
      </c>
      <c r="E680" s="2" t="s">
        <v>596</v>
      </c>
      <c r="F680" s="2" t="s">
        <v>596</v>
      </c>
      <c r="G680" s="2" t="str">
        <f t="shared" si="56"/>
        <v>11.2</v>
      </c>
      <c r="H680" s="83" t="s">
        <v>1180</v>
      </c>
      <c r="I680" s="83" t="str">
        <f t="shared" si="59"/>
        <v>112</v>
      </c>
      <c r="J680" s="2" t="s">
        <v>1181</v>
      </c>
      <c r="K680" s="120" t="str">
        <f>IFERROR(VLOOKUP(H680,'Bridge matrix'!$A$3:$E$731,3,FALSE),"no")</f>
        <v>no</v>
      </c>
      <c r="L680" s="120" t="str">
        <f t="shared" si="58"/>
        <v>ll</v>
      </c>
      <c r="M680" s="120" t="str">
        <f t="shared" si="57"/>
        <v>ll</v>
      </c>
      <c r="N680" s="120" t="str">
        <f t="shared" si="60"/>
        <v>ll</v>
      </c>
      <c r="O680" s="2" t="str">
        <f>VLOOKUP(N680,'Bridge matrix'!$D$3:$E$731,2,FALSE)</f>
        <v>matched on SC/SSC level</v>
      </c>
    </row>
    <row r="681" spans="1:15" x14ac:dyDescent="0.25">
      <c r="A681" s="2" t="s">
        <v>591</v>
      </c>
      <c r="B681" s="2" t="s">
        <v>1164</v>
      </c>
      <c r="C681" s="2" t="s">
        <v>619</v>
      </c>
      <c r="D681" s="2" t="s">
        <v>598</v>
      </c>
      <c r="E681" s="2" t="s">
        <v>596</v>
      </c>
      <c r="F681" s="2" t="s">
        <v>596</v>
      </c>
      <c r="G681" s="2" t="str">
        <f t="shared" si="56"/>
        <v>11.2.1</v>
      </c>
      <c r="H681" s="83" t="s">
        <v>1182</v>
      </c>
      <c r="I681" s="83" t="str">
        <f t="shared" si="59"/>
        <v>1121</v>
      </c>
      <c r="J681" s="2" t="s">
        <v>1183</v>
      </c>
      <c r="K681" s="120" t="str">
        <f>IFERROR(VLOOKUP(H681,'Bridge matrix'!$A$3:$E$731,3,FALSE),"no")</f>
        <v xml:space="preserve">SERVICIOS DE ALOJAMIENTO </v>
      </c>
      <c r="L681" s="120" t="str">
        <f t="shared" si="58"/>
        <v xml:space="preserve">SERVICIOS DE ALOJAMIENTO </v>
      </c>
      <c r="M681" s="120" t="str">
        <f t="shared" si="57"/>
        <v xml:space="preserve">SERVICIOS DE ALOJAMIENTO </v>
      </c>
      <c r="N681" s="120" t="str">
        <f t="shared" si="60"/>
        <v xml:space="preserve">SERVICIOS DE ALOJAMIENTO </v>
      </c>
      <c r="O681" s="2" t="e">
        <f>VLOOKUP(N681,'Bridge matrix'!$D$3:$E$731,2,FALSE)</f>
        <v>#N/A</v>
      </c>
    </row>
    <row r="682" spans="1:15" x14ac:dyDescent="0.25">
      <c r="A682" s="2" t="s">
        <v>589</v>
      </c>
      <c r="B682" s="2" t="s">
        <v>1184</v>
      </c>
      <c r="C682" s="2" t="s">
        <v>596</v>
      </c>
      <c r="D682" s="2" t="s">
        <v>596</v>
      </c>
      <c r="E682" s="2" t="s">
        <v>596</v>
      </c>
      <c r="F682" s="2" t="s">
        <v>596</v>
      </c>
      <c r="G682" s="2" t="str">
        <f t="shared" si="56"/>
        <v>12</v>
      </c>
      <c r="H682" s="83" t="s">
        <v>1184</v>
      </c>
      <c r="I682" s="83" t="str">
        <f t="shared" si="59"/>
        <v>12</v>
      </c>
      <c r="J682" s="2" t="s">
        <v>1185</v>
      </c>
      <c r="K682" s="120" t="str">
        <f>IFERROR(VLOOKUP(H682,'Bridge matrix'!$A$3:$E$731,3,FALSE),"no")</f>
        <v>no</v>
      </c>
      <c r="L682" s="120" t="str">
        <f t="shared" si="58"/>
        <v>ll</v>
      </c>
      <c r="M682" s="120" t="str">
        <f t="shared" si="57"/>
        <v>ll</v>
      </c>
      <c r="N682" s="120" t="str">
        <f t="shared" si="60"/>
        <v>ll</v>
      </c>
      <c r="O682" s="2" t="str">
        <f>VLOOKUP(N682,'Bridge matrix'!$D$3:$E$731,2,FALSE)</f>
        <v>matched on SC/SSC level</v>
      </c>
    </row>
    <row r="683" spans="1:15" x14ac:dyDescent="0.25">
      <c r="A683" s="2" t="s">
        <v>590</v>
      </c>
      <c r="B683" s="2" t="s">
        <v>1184</v>
      </c>
      <c r="C683" s="2" t="s">
        <v>598</v>
      </c>
      <c r="D683" s="2" t="s">
        <v>596</v>
      </c>
      <c r="E683" s="2" t="s">
        <v>596</v>
      </c>
      <c r="F683" s="2" t="s">
        <v>596</v>
      </c>
      <c r="G683" s="2" t="str">
        <f t="shared" si="56"/>
        <v>12.1</v>
      </c>
      <c r="H683" s="83" t="s">
        <v>1186</v>
      </c>
      <c r="I683" s="83" t="str">
        <f t="shared" si="59"/>
        <v>121</v>
      </c>
      <c r="J683" s="2" t="s">
        <v>1187</v>
      </c>
      <c r="K683" s="120" t="str">
        <f>IFERROR(VLOOKUP(H683,'Bridge matrix'!$A$3:$E$731,3,FALSE),"no")</f>
        <v>no</v>
      </c>
      <c r="L683" s="120" t="str">
        <f t="shared" si="58"/>
        <v>ll</v>
      </c>
      <c r="M683" s="120" t="str">
        <f t="shared" ref="M683:M704" si="61">IF(L683&lt;&gt;"no",L683,IF(VLOOKUP(LEFT(H683,6),$H$2:$K$714,3,FALSE)="ll","no",VLOOKUP(LEFT(H683,6),$H$2:$K$714,3,FALSE)))</f>
        <v>ll</v>
      </c>
      <c r="N683" s="120" t="str">
        <f t="shared" si="60"/>
        <v>ll</v>
      </c>
      <c r="O683" s="2" t="str">
        <f>VLOOKUP(N683,'Bridge matrix'!$D$3:$E$731,2,FALSE)</f>
        <v>matched on SC/SSC level</v>
      </c>
    </row>
    <row r="684" spans="1:15" x14ac:dyDescent="0.25">
      <c r="A684" s="2" t="s">
        <v>591</v>
      </c>
      <c r="B684" s="2" t="s">
        <v>1184</v>
      </c>
      <c r="C684" s="2" t="s">
        <v>598</v>
      </c>
      <c r="D684" s="2" t="s">
        <v>598</v>
      </c>
      <c r="E684" s="2" t="s">
        <v>596</v>
      </c>
      <c r="F684" s="2" t="s">
        <v>596</v>
      </c>
      <c r="G684" s="2" t="str">
        <f t="shared" si="56"/>
        <v>12.1.1</v>
      </c>
      <c r="H684" s="83" t="s">
        <v>1188</v>
      </c>
      <c r="I684" s="83" t="str">
        <f t="shared" si="59"/>
        <v>1211</v>
      </c>
      <c r="J684" s="2" t="s">
        <v>1189</v>
      </c>
      <c r="K684" s="120" t="str">
        <f>IFERROR(VLOOKUP(H684,'Bridge matrix'!$A$3:$E$731,3,FALSE),"no")</f>
        <v xml:space="preserve">SALONES DE PELUQUERÍA Y ESTABLECIMIENTOS DE CUIDADOS PERSONALES </v>
      </c>
      <c r="L684" s="120" t="str">
        <f t="shared" si="58"/>
        <v xml:space="preserve">SALONES DE PELUQUERÍA Y ESTABLECIMIENTOS DE CUIDADOS PERSONALES </v>
      </c>
      <c r="M684" s="120" t="str">
        <f t="shared" si="61"/>
        <v xml:space="preserve">SALONES DE PELUQUERÍA Y ESTABLECIMIENTOS DE CUIDADOS PERSONALES </v>
      </c>
      <c r="N684" s="120" t="str">
        <f t="shared" si="60"/>
        <v xml:space="preserve">SALONES DE PELUQUERÍA Y ESTABLECIMIENTOS DE CUIDADOS PERSONALES </v>
      </c>
      <c r="O684" s="2" t="e">
        <f>VLOOKUP(N684,'Bridge matrix'!$D$3:$E$731,2,FALSE)</f>
        <v>#N/A</v>
      </c>
    </row>
    <row r="685" spans="1:15" x14ac:dyDescent="0.25">
      <c r="A685" s="2" t="s">
        <v>591</v>
      </c>
      <c r="B685" s="2" t="s">
        <v>1184</v>
      </c>
      <c r="C685" s="2" t="s">
        <v>598</v>
      </c>
      <c r="D685" s="2" t="s">
        <v>619</v>
      </c>
      <c r="E685" s="2" t="s">
        <v>596</v>
      </c>
      <c r="F685" s="2" t="s">
        <v>596</v>
      </c>
      <c r="G685" s="2" t="str">
        <f t="shared" si="56"/>
        <v>12.1.2</v>
      </c>
      <c r="H685" s="83" t="s">
        <v>1190</v>
      </c>
      <c r="I685" s="83" t="str">
        <f t="shared" si="59"/>
        <v>1212</v>
      </c>
      <c r="J685" s="2" t="s">
        <v>1191</v>
      </c>
      <c r="K685" s="120" t="str">
        <f>IFERROR(VLOOKUP(H685,'Bridge matrix'!$A$3:$E$731,3,FALSE),"no")</f>
        <v xml:space="preserve">APARATOS ELÉCTRICOS PARA EL CUIDADO PERSONAL </v>
      </c>
      <c r="L685" s="120" t="str">
        <f t="shared" si="58"/>
        <v xml:space="preserve">APARATOS ELÉCTRICOS PARA EL CUIDADO PERSONAL </v>
      </c>
      <c r="M685" s="120" t="str">
        <f t="shared" si="61"/>
        <v xml:space="preserve">APARATOS ELÉCTRICOS PARA EL CUIDADO PERSONAL </v>
      </c>
      <c r="N685" s="120" t="str">
        <f t="shared" si="60"/>
        <v xml:space="preserve">APARATOS ELÉCTRICOS PARA EL CUIDADO PERSONAL </v>
      </c>
      <c r="O685" s="2" t="e">
        <f>VLOOKUP(N685,'Bridge matrix'!$D$3:$E$731,2,FALSE)</f>
        <v>#N/A</v>
      </c>
    </row>
    <row r="686" spans="1:15" x14ac:dyDescent="0.25">
      <c r="A686" s="2" t="s">
        <v>591</v>
      </c>
      <c r="B686" s="2" t="s">
        <v>1184</v>
      </c>
      <c r="C686" s="2" t="s">
        <v>598</v>
      </c>
      <c r="D686" s="2" t="s">
        <v>633</v>
      </c>
      <c r="E686" s="2" t="s">
        <v>596</v>
      </c>
      <c r="F686" s="2" t="s">
        <v>596</v>
      </c>
      <c r="G686" s="2" t="str">
        <f t="shared" si="56"/>
        <v>12.1.3</v>
      </c>
      <c r="H686" s="83" t="s">
        <v>1192</v>
      </c>
      <c r="I686" s="83" t="str">
        <f t="shared" si="59"/>
        <v>1213</v>
      </c>
      <c r="J686" s="2" t="s">
        <v>1193</v>
      </c>
      <c r="K686" s="120" t="str">
        <f>IFERROR(VLOOKUP(H686,'Bridge matrix'!$A$3:$E$731,3,FALSE),"no")</f>
        <v xml:space="preserve">OTROS APARATOS, ARTÍCULOS Y PRODUCTOS PARA LA ATENCIÓN PERSONAL </v>
      </c>
      <c r="L686" s="120" t="str">
        <f t="shared" si="58"/>
        <v xml:space="preserve">OTROS APARATOS, ARTÍCULOS Y PRODUCTOS PARA LA ATENCIÓN PERSONAL </v>
      </c>
      <c r="M686" s="120" t="str">
        <f t="shared" si="61"/>
        <v xml:space="preserve">OTROS APARATOS, ARTÍCULOS Y PRODUCTOS PARA LA ATENCIÓN PERSONAL </v>
      </c>
      <c r="N686" s="120" t="str">
        <f t="shared" si="60"/>
        <v xml:space="preserve">OTROS APARATOS, ARTÍCULOS Y PRODUCTOS PARA LA ATENCIÓN PERSONAL </v>
      </c>
      <c r="O686" s="2" t="e">
        <f>VLOOKUP(N686,'Bridge matrix'!$D$3:$E$731,2,FALSE)</f>
        <v>#N/A</v>
      </c>
    </row>
    <row r="687" spans="1:15" x14ac:dyDescent="0.25">
      <c r="A687" s="2" t="s">
        <v>590</v>
      </c>
      <c r="B687" s="2" t="s">
        <v>1184</v>
      </c>
      <c r="C687" s="2" t="s">
        <v>619</v>
      </c>
      <c r="D687" s="2" t="s">
        <v>596</v>
      </c>
      <c r="E687" s="2" t="s">
        <v>596</v>
      </c>
      <c r="F687" s="2" t="s">
        <v>596</v>
      </c>
      <c r="G687" s="2" t="str">
        <f t="shared" si="56"/>
        <v>12.2</v>
      </c>
      <c r="H687" s="83" t="s">
        <v>1194</v>
      </c>
      <c r="I687" s="83" t="str">
        <f t="shared" si="59"/>
        <v>122</v>
      </c>
      <c r="J687" s="2" t="s">
        <v>1195</v>
      </c>
      <c r="K687" s="120" t="str">
        <f>IFERROR(VLOOKUP(H687,'Bridge matrix'!$A$3:$E$731,3,FALSE),"no")</f>
        <v>no</v>
      </c>
      <c r="L687" s="120" t="str">
        <f t="shared" si="58"/>
        <v>ll</v>
      </c>
      <c r="M687" s="120" t="str">
        <f t="shared" si="61"/>
        <v>ll</v>
      </c>
      <c r="N687" s="120" t="str">
        <f t="shared" si="60"/>
        <v>ll</v>
      </c>
      <c r="O687" s="2" t="str">
        <f>VLOOKUP(N687,'Bridge matrix'!$D$3:$E$731,2,FALSE)</f>
        <v>matched on SC/SSC level</v>
      </c>
    </row>
    <row r="688" spans="1:15" x14ac:dyDescent="0.25">
      <c r="A688" s="2" t="s">
        <v>591</v>
      </c>
      <c r="B688" s="2" t="s">
        <v>1184</v>
      </c>
      <c r="C688" s="2" t="s">
        <v>619</v>
      </c>
      <c r="D688" s="2" t="s">
        <v>598</v>
      </c>
      <c r="E688" s="2" t="s">
        <v>596</v>
      </c>
      <c r="F688" s="2" t="s">
        <v>596</v>
      </c>
      <c r="G688" s="2" t="str">
        <f t="shared" si="56"/>
        <v>12.2.1</v>
      </c>
      <c r="H688" s="83" t="s">
        <v>1196</v>
      </c>
      <c r="I688" s="83" t="str">
        <f t="shared" si="59"/>
        <v>1221</v>
      </c>
      <c r="J688" s="2" t="s">
        <v>1195</v>
      </c>
      <c r="K688" s="120" t="str">
        <f>IFERROR(VLOOKUP(H688,'Bridge matrix'!$A$3:$E$731,3,FALSE),"no")</f>
        <v>PROSTITUCIÓN</v>
      </c>
      <c r="L688" s="120" t="str">
        <f t="shared" si="58"/>
        <v>PROSTITUCIÓN</v>
      </c>
      <c r="M688" s="120" t="str">
        <f t="shared" si="61"/>
        <v>PROSTITUCIÓN</v>
      </c>
      <c r="N688" s="120" t="str">
        <f t="shared" si="60"/>
        <v>PROSTITUCIÓN</v>
      </c>
      <c r="O688" s="2" t="e">
        <f>VLOOKUP(N688,'Bridge matrix'!$D$3:$E$731,2,FALSE)</f>
        <v>#N/A</v>
      </c>
    </row>
    <row r="689" spans="1:15" x14ac:dyDescent="0.25">
      <c r="A689" s="2" t="s">
        <v>590</v>
      </c>
      <c r="B689" s="2" t="s">
        <v>1184</v>
      </c>
      <c r="C689" s="2" t="s">
        <v>633</v>
      </c>
      <c r="D689" s="2" t="s">
        <v>596</v>
      </c>
      <c r="E689" s="2" t="s">
        <v>596</v>
      </c>
      <c r="F689" s="2" t="s">
        <v>596</v>
      </c>
      <c r="G689" s="2" t="str">
        <f t="shared" si="56"/>
        <v>12.3</v>
      </c>
      <c r="H689" s="83" t="s">
        <v>1197</v>
      </c>
      <c r="I689" s="83" t="str">
        <f t="shared" si="59"/>
        <v>123</v>
      </c>
      <c r="J689" s="2" t="s">
        <v>1198</v>
      </c>
      <c r="K689" s="120" t="str">
        <f>IFERROR(VLOOKUP(H689,'Bridge matrix'!$A$3:$E$731,3,FALSE),"no")</f>
        <v>no</v>
      </c>
      <c r="L689" s="120" t="str">
        <f t="shared" si="58"/>
        <v>ll</v>
      </c>
      <c r="M689" s="120" t="str">
        <f t="shared" si="61"/>
        <v>ll</v>
      </c>
      <c r="N689" s="120" t="str">
        <f t="shared" si="60"/>
        <v>ll</v>
      </c>
      <c r="O689" s="2" t="str">
        <f>VLOOKUP(N689,'Bridge matrix'!$D$3:$E$731,2,FALSE)</f>
        <v>matched on SC/SSC level</v>
      </c>
    </row>
    <row r="690" spans="1:15" x14ac:dyDescent="0.25">
      <c r="A690" s="2" t="s">
        <v>591</v>
      </c>
      <c r="B690" s="2" t="s">
        <v>1184</v>
      </c>
      <c r="C690" s="2" t="s">
        <v>633</v>
      </c>
      <c r="D690" s="2" t="s">
        <v>598</v>
      </c>
      <c r="E690" s="2" t="s">
        <v>596</v>
      </c>
      <c r="F690" s="2" t="s">
        <v>596</v>
      </c>
      <c r="G690" s="2" t="str">
        <f t="shared" si="56"/>
        <v>12.3.1</v>
      </c>
      <c r="H690" s="83" t="s">
        <v>1199</v>
      </c>
      <c r="I690" s="83" t="str">
        <f t="shared" si="59"/>
        <v>1231</v>
      </c>
      <c r="J690" s="2" t="s">
        <v>1200</v>
      </c>
      <c r="K690" s="120" t="str">
        <f>IFERROR(VLOOKUP(H690,'Bridge matrix'!$A$3:$E$731,3,FALSE),"no")</f>
        <v xml:space="preserve">JOYERÍA, RELOJES DE PARED Y RELOJES DE PULSERA </v>
      </c>
      <c r="L690" s="120" t="str">
        <f t="shared" si="58"/>
        <v xml:space="preserve">JOYERÍA, RELOJES DE PARED Y RELOJES DE PULSERA </v>
      </c>
      <c r="M690" s="120" t="str">
        <f t="shared" si="61"/>
        <v xml:space="preserve">JOYERÍA, RELOJES DE PARED Y RELOJES DE PULSERA </v>
      </c>
      <c r="N690" s="120" t="str">
        <f t="shared" si="60"/>
        <v xml:space="preserve">JOYERÍA, RELOJES DE PARED Y RELOJES DE PULSERA </v>
      </c>
      <c r="O690" s="2" t="e">
        <f>VLOOKUP(N690,'Bridge matrix'!$D$3:$E$731,2,FALSE)</f>
        <v>#N/A</v>
      </c>
    </row>
    <row r="691" spans="1:15" x14ac:dyDescent="0.25">
      <c r="A691" s="2" t="s">
        <v>591</v>
      </c>
      <c r="B691" s="2" t="s">
        <v>1184</v>
      </c>
      <c r="C691" s="2" t="s">
        <v>633</v>
      </c>
      <c r="D691" s="2" t="s">
        <v>619</v>
      </c>
      <c r="E691" s="2" t="s">
        <v>596</v>
      </c>
      <c r="F691" s="2" t="s">
        <v>596</v>
      </c>
      <c r="G691" s="2" t="str">
        <f t="shared" si="56"/>
        <v>12.3.2</v>
      </c>
      <c r="H691" s="83" t="s">
        <v>1201</v>
      </c>
      <c r="I691" s="83" t="str">
        <f t="shared" si="59"/>
        <v>1232</v>
      </c>
      <c r="J691" s="2" t="s">
        <v>1202</v>
      </c>
      <c r="K691" s="120" t="str">
        <f>IFERROR(VLOOKUP(H691,'Bridge matrix'!$A$3:$E$731,3,FALSE),"no")</f>
        <v xml:space="preserve">OTROS EFECTOS PERSONALES </v>
      </c>
      <c r="L691" s="120" t="str">
        <f t="shared" si="58"/>
        <v xml:space="preserve">OTROS EFECTOS PERSONALES </v>
      </c>
      <c r="M691" s="120" t="str">
        <f t="shared" si="61"/>
        <v xml:space="preserve">OTROS EFECTOS PERSONALES </v>
      </c>
      <c r="N691" s="120" t="str">
        <f t="shared" si="60"/>
        <v xml:space="preserve">OTROS EFECTOS PERSONALES </v>
      </c>
      <c r="O691" s="2" t="e">
        <f>VLOOKUP(N691,'Bridge matrix'!$D$3:$E$731,2,FALSE)</f>
        <v>#N/A</v>
      </c>
    </row>
    <row r="692" spans="1:15" x14ac:dyDescent="0.25">
      <c r="A692" s="2" t="s">
        <v>590</v>
      </c>
      <c r="B692" s="2" t="s">
        <v>1184</v>
      </c>
      <c r="C692" s="2" t="s">
        <v>643</v>
      </c>
      <c r="D692" s="2" t="s">
        <v>596</v>
      </c>
      <c r="E692" s="2" t="s">
        <v>596</v>
      </c>
      <c r="F692" s="2" t="s">
        <v>596</v>
      </c>
      <c r="G692" s="2" t="str">
        <f t="shared" si="56"/>
        <v>12.4</v>
      </c>
      <c r="H692" s="83" t="s">
        <v>1203</v>
      </c>
      <c r="I692" s="83" t="str">
        <f t="shared" si="59"/>
        <v>124</v>
      </c>
      <c r="J692" s="2" t="s">
        <v>1204</v>
      </c>
      <c r="K692" s="120" t="str">
        <f>IFERROR(VLOOKUP(H692,'Bridge matrix'!$A$3:$E$731,3,FALSE),"no")</f>
        <v>no</v>
      </c>
      <c r="L692" s="120" t="str">
        <f t="shared" si="58"/>
        <v>ll</v>
      </c>
      <c r="M692" s="120" t="str">
        <f t="shared" si="61"/>
        <v>ll</v>
      </c>
      <c r="N692" s="120" t="str">
        <f t="shared" si="60"/>
        <v>ll</v>
      </c>
      <c r="O692" s="2" t="str">
        <f>VLOOKUP(N692,'Bridge matrix'!$D$3:$E$731,2,FALSE)</f>
        <v>matched on SC/SSC level</v>
      </c>
    </row>
    <row r="693" spans="1:15" x14ac:dyDescent="0.25">
      <c r="A693" s="2" t="s">
        <v>591</v>
      </c>
      <c r="B693" s="2" t="s">
        <v>1184</v>
      </c>
      <c r="C693" s="2" t="s">
        <v>643</v>
      </c>
      <c r="D693" s="2" t="s">
        <v>598</v>
      </c>
      <c r="E693" s="2" t="s">
        <v>596</v>
      </c>
      <c r="F693" s="2" t="s">
        <v>596</v>
      </c>
      <c r="G693" s="2" t="str">
        <f t="shared" si="56"/>
        <v>12.4.1</v>
      </c>
      <c r="H693" s="83" t="s">
        <v>1205</v>
      </c>
      <c r="I693" s="83" t="str">
        <f t="shared" si="59"/>
        <v>1241</v>
      </c>
      <c r="J693" s="2" t="s">
        <v>1204</v>
      </c>
      <c r="K693" s="120" t="str">
        <f>IFERROR(VLOOKUP(H693,'Bridge matrix'!$A$3:$E$731,3,FALSE),"no")</f>
        <v>PROTECCIÓN SOCIAL</v>
      </c>
      <c r="L693" s="120" t="str">
        <f t="shared" si="58"/>
        <v>PROTECCIÓN SOCIAL</v>
      </c>
      <c r="M693" s="120" t="str">
        <f t="shared" si="61"/>
        <v>PROTECCIÓN SOCIAL</v>
      </c>
      <c r="N693" s="120" t="str">
        <f t="shared" si="60"/>
        <v>PROTECCIÓN SOCIAL</v>
      </c>
      <c r="O693" s="2" t="e">
        <f>VLOOKUP(N693,'Bridge matrix'!$D$3:$E$731,2,FALSE)</f>
        <v>#N/A</v>
      </c>
    </row>
    <row r="694" spans="1:15" x14ac:dyDescent="0.25">
      <c r="A694" s="2" t="s">
        <v>590</v>
      </c>
      <c r="B694" s="2" t="s">
        <v>1184</v>
      </c>
      <c r="C694" s="2" t="s">
        <v>656</v>
      </c>
      <c r="D694" s="2" t="s">
        <v>596</v>
      </c>
      <c r="E694" s="2" t="s">
        <v>596</v>
      </c>
      <c r="F694" s="2" t="s">
        <v>596</v>
      </c>
      <c r="G694" s="2" t="str">
        <f t="shared" si="56"/>
        <v>12.5</v>
      </c>
      <c r="H694" s="83" t="s">
        <v>1206</v>
      </c>
      <c r="I694" s="83" t="str">
        <f t="shared" si="59"/>
        <v>125</v>
      </c>
      <c r="J694" s="2" t="s">
        <v>1207</v>
      </c>
      <c r="K694" s="120" t="str">
        <f>IFERROR(VLOOKUP(H694,'Bridge matrix'!$A$3:$E$731,3,FALSE),"no")</f>
        <v>no</v>
      </c>
      <c r="L694" s="120" t="str">
        <f t="shared" si="58"/>
        <v>ll</v>
      </c>
      <c r="M694" s="120" t="str">
        <f t="shared" si="61"/>
        <v>ll</v>
      </c>
      <c r="N694" s="120" t="str">
        <f t="shared" si="60"/>
        <v>ll</v>
      </c>
      <c r="O694" s="2" t="str">
        <f>VLOOKUP(N694,'Bridge matrix'!$D$3:$E$731,2,FALSE)</f>
        <v>matched on SC/SSC level</v>
      </c>
    </row>
    <row r="695" spans="1:15" x14ac:dyDescent="0.25">
      <c r="A695" s="2" t="s">
        <v>591</v>
      </c>
      <c r="B695" s="2" t="s">
        <v>1184</v>
      </c>
      <c r="C695" s="2" t="s">
        <v>656</v>
      </c>
      <c r="D695" s="2" t="s">
        <v>598</v>
      </c>
      <c r="E695" s="2" t="s">
        <v>596</v>
      </c>
      <c r="F695" s="2" t="s">
        <v>596</v>
      </c>
      <c r="G695" s="2" t="str">
        <f t="shared" si="56"/>
        <v>12.5.1</v>
      </c>
      <c r="H695" s="83" t="s">
        <v>1208</v>
      </c>
      <c r="I695" s="83" t="str">
        <f t="shared" si="59"/>
        <v>1251</v>
      </c>
      <c r="J695" s="2" t="s">
        <v>1209</v>
      </c>
      <c r="K695" s="120" t="str">
        <f>IFERROR(VLOOKUP(H695,'Bridge matrix'!$A$3:$E$731,3,FALSE),"no")</f>
        <v xml:space="preserve">SEGURO DE VIDA </v>
      </c>
      <c r="L695" s="120" t="str">
        <f t="shared" si="58"/>
        <v xml:space="preserve">SEGURO DE VIDA </v>
      </c>
      <c r="M695" s="120" t="str">
        <f t="shared" si="61"/>
        <v xml:space="preserve">SEGURO DE VIDA </v>
      </c>
      <c r="N695" s="120" t="str">
        <f t="shared" si="60"/>
        <v xml:space="preserve">SEGURO DE VIDA </v>
      </c>
      <c r="O695" s="2" t="e">
        <f>VLOOKUP(N695,'Bridge matrix'!$D$3:$E$731,2,FALSE)</f>
        <v>#N/A</v>
      </c>
    </row>
    <row r="696" spans="1:15" x14ac:dyDescent="0.25">
      <c r="A696" s="2" t="s">
        <v>591</v>
      </c>
      <c r="B696" s="2" t="s">
        <v>1184</v>
      </c>
      <c r="C696" s="2" t="s">
        <v>656</v>
      </c>
      <c r="D696" s="2" t="s">
        <v>619</v>
      </c>
      <c r="E696" s="2" t="s">
        <v>596</v>
      </c>
      <c r="F696" s="2" t="s">
        <v>596</v>
      </c>
      <c r="G696" s="2" t="str">
        <f t="shared" si="56"/>
        <v>12.5.2</v>
      </c>
      <c r="H696" s="83" t="s">
        <v>1210</v>
      </c>
      <c r="I696" s="83" t="str">
        <f t="shared" si="59"/>
        <v>1252</v>
      </c>
      <c r="J696" s="2" t="s">
        <v>1211</v>
      </c>
      <c r="K696" s="120" t="str">
        <f>IFERROR(VLOOKUP(H696,'Bridge matrix'!$A$3:$E$731,3,FALSE),"no")</f>
        <v xml:space="preserve">SEGUROS RELACIONADOS CON LA VIVIENDA </v>
      </c>
      <c r="L696" s="120" t="str">
        <f t="shared" si="58"/>
        <v xml:space="preserve">SEGUROS RELACIONADOS CON LA VIVIENDA </v>
      </c>
      <c r="M696" s="120" t="str">
        <f t="shared" si="61"/>
        <v xml:space="preserve">SEGUROS RELACIONADOS CON LA VIVIENDA </v>
      </c>
      <c r="N696" s="120" t="str">
        <f t="shared" si="60"/>
        <v xml:space="preserve">SEGUROS RELACIONADOS CON LA VIVIENDA </v>
      </c>
      <c r="O696" s="2" t="e">
        <f>VLOOKUP(N696,'Bridge matrix'!$D$3:$E$731,2,FALSE)</f>
        <v>#N/A</v>
      </c>
    </row>
    <row r="697" spans="1:15" x14ac:dyDescent="0.25">
      <c r="A697" s="2" t="s">
        <v>591</v>
      </c>
      <c r="B697" s="2" t="s">
        <v>1184</v>
      </c>
      <c r="C697" s="2" t="s">
        <v>656</v>
      </c>
      <c r="D697" s="2" t="s">
        <v>633</v>
      </c>
      <c r="E697" s="2" t="s">
        <v>596</v>
      </c>
      <c r="F697" s="2" t="s">
        <v>596</v>
      </c>
      <c r="G697" s="2" t="str">
        <f t="shared" si="56"/>
        <v>12.5.3</v>
      </c>
      <c r="H697" s="83" t="s">
        <v>1212</v>
      </c>
      <c r="I697" s="83" t="str">
        <f t="shared" si="59"/>
        <v>1253</v>
      </c>
      <c r="J697" s="2" t="s">
        <v>1213</v>
      </c>
      <c r="K697" s="120" t="str">
        <f>IFERROR(VLOOKUP(H697,'Bridge matrix'!$A$3:$E$731,3,FALSE),"no")</f>
        <v xml:space="preserve">SEGURO RELACIONADO CON LA SALUD </v>
      </c>
      <c r="L697" s="120" t="str">
        <f t="shared" si="58"/>
        <v xml:space="preserve">SEGURO RELACIONADO CON LA SALUD </v>
      </c>
      <c r="M697" s="120" t="str">
        <f t="shared" si="61"/>
        <v xml:space="preserve">SEGURO RELACIONADO CON LA SALUD </v>
      </c>
      <c r="N697" s="120" t="str">
        <f t="shared" si="60"/>
        <v xml:space="preserve">SEGURO RELACIONADO CON LA SALUD </v>
      </c>
      <c r="O697" s="2" t="e">
        <f>VLOOKUP(N697,'Bridge matrix'!$D$3:$E$731,2,FALSE)</f>
        <v>#N/A</v>
      </c>
    </row>
    <row r="698" spans="1:15" x14ac:dyDescent="0.25">
      <c r="A698" s="2" t="s">
        <v>591</v>
      </c>
      <c r="B698" s="2" t="s">
        <v>1184</v>
      </c>
      <c r="C698" s="2" t="s">
        <v>656</v>
      </c>
      <c r="D698" s="2" t="s">
        <v>643</v>
      </c>
      <c r="E698" s="2" t="s">
        <v>596</v>
      </c>
      <c r="F698" s="2" t="s">
        <v>596</v>
      </c>
      <c r="G698" s="2" t="str">
        <f t="shared" si="56"/>
        <v>12.5.4</v>
      </c>
      <c r="H698" s="83" t="s">
        <v>1214</v>
      </c>
      <c r="I698" s="83" t="str">
        <f t="shared" si="59"/>
        <v>1254</v>
      </c>
      <c r="J698" s="2" t="s">
        <v>1215</v>
      </c>
      <c r="K698" s="120" t="str">
        <f>IFERROR(VLOOKUP(H698,'Bridge matrix'!$A$3:$E$731,3,FALSE),"no")</f>
        <v xml:space="preserve">SEGURO RELACIONADO CON EL TRANSPORTE </v>
      </c>
      <c r="L698" s="120" t="str">
        <f t="shared" si="58"/>
        <v xml:space="preserve">SEGURO RELACIONADO CON EL TRANSPORTE </v>
      </c>
      <c r="M698" s="120" t="str">
        <f t="shared" si="61"/>
        <v xml:space="preserve">SEGURO RELACIONADO CON EL TRANSPORTE </v>
      </c>
      <c r="N698" s="120" t="str">
        <f t="shared" si="60"/>
        <v xml:space="preserve">SEGURO RELACIONADO CON EL TRANSPORTE </v>
      </c>
      <c r="O698" s="2" t="e">
        <f>VLOOKUP(N698,'Bridge matrix'!$D$3:$E$731,2,FALSE)</f>
        <v>#N/A</v>
      </c>
    </row>
    <row r="699" spans="1:15" x14ac:dyDescent="0.25">
      <c r="A699" s="2" t="s">
        <v>591</v>
      </c>
      <c r="B699" s="2" t="s">
        <v>1184</v>
      </c>
      <c r="C699" s="2" t="s">
        <v>656</v>
      </c>
      <c r="D699" s="2" t="s">
        <v>656</v>
      </c>
      <c r="E699" s="2" t="s">
        <v>596</v>
      </c>
      <c r="F699" s="2" t="s">
        <v>596</v>
      </c>
      <c r="G699" s="2" t="str">
        <f t="shared" si="56"/>
        <v>12.5.5</v>
      </c>
      <c r="H699" s="83" t="s">
        <v>1216</v>
      </c>
      <c r="I699" s="83" t="str">
        <f t="shared" si="59"/>
        <v>1255</v>
      </c>
      <c r="J699" s="2" t="s">
        <v>1217</v>
      </c>
      <c r="K699" s="120" t="str">
        <f>IFERROR(VLOOKUP(H699,'Bridge matrix'!$A$3:$E$731,3,FALSE),"no")</f>
        <v xml:space="preserve">OTROS SEGUROS </v>
      </c>
      <c r="L699" s="120" t="str">
        <f t="shared" si="58"/>
        <v xml:space="preserve">OTROS SEGUROS </v>
      </c>
      <c r="M699" s="120" t="str">
        <f t="shared" si="61"/>
        <v xml:space="preserve">OTROS SEGUROS </v>
      </c>
      <c r="N699" s="120" t="str">
        <f t="shared" si="60"/>
        <v xml:space="preserve">OTROS SEGUROS </v>
      </c>
      <c r="O699" s="2" t="e">
        <f>VLOOKUP(N699,'Bridge matrix'!$D$3:$E$731,2,FALSE)</f>
        <v>#N/A</v>
      </c>
    </row>
    <row r="700" spans="1:15" x14ac:dyDescent="0.25">
      <c r="A700" s="2" t="s">
        <v>590</v>
      </c>
      <c r="B700" s="2" t="s">
        <v>1184</v>
      </c>
      <c r="C700" s="2" t="s">
        <v>663</v>
      </c>
      <c r="D700" s="2" t="s">
        <v>596</v>
      </c>
      <c r="E700" s="2" t="s">
        <v>596</v>
      </c>
      <c r="F700" s="2" t="s">
        <v>596</v>
      </c>
      <c r="G700" s="2" t="str">
        <f t="shared" si="56"/>
        <v>12.6</v>
      </c>
      <c r="H700" s="83" t="s">
        <v>1218</v>
      </c>
      <c r="I700" s="83" t="str">
        <f t="shared" si="59"/>
        <v>126</v>
      </c>
      <c r="J700" s="2" t="s">
        <v>1219</v>
      </c>
      <c r="K700" s="120" t="str">
        <f>IFERROR(VLOOKUP(H700,'Bridge matrix'!$A$3:$E$731,3,FALSE),"no")</f>
        <v>no</v>
      </c>
      <c r="L700" s="120" t="str">
        <f t="shared" si="58"/>
        <v>ll</v>
      </c>
      <c r="M700" s="120" t="str">
        <f t="shared" si="61"/>
        <v>ll</v>
      </c>
      <c r="N700" s="120" t="str">
        <f t="shared" si="60"/>
        <v>ll</v>
      </c>
      <c r="O700" s="2" t="str">
        <f>VLOOKUP(N700,'Bridge matrix'!$D$3:$E$731,2,FALSE)</f>
        <v>matched on SC/SSC level</v>
      </c>
    </row>
    <row r="701" spans="1:15" x14ac:dyDescent="0.25">
      <c r="A701" s="2" t="s">
        <v>591</v>
      </c>
      <c r="B701" s="2" t="s">
        <v>1184</v>
      </c>
      <c r="C701" s="2" t="s">
        <v>663</v>
      </c>
      <c r="D701" s="2" t="s">
        <v>598</v>
      </c>
      <c r="E701" s="2" t="s">
        <v>596</v>
      </c>
      <c r="F701" s="2" t="s">
        <v>596</v>
      </c>
      <c r="G701" s="2" t="str">
        <f t="shared" si="56"/>
        <v>12.6.1</v>
      </c>
      <c r="H701" s="83" t="s">
        <v>1220</v>
      </c>
      <c r="I701" s="83" t="str">
        <f t="shared" si="59"/>
        <v>1261</v>
      </c>
      <c r="J701" s="2" t="s">
        <v>1221</v>
      </c>
      <c r="K701" s="120" t="str">
        <f>IFERROR(VLOOKUP(H701,'Bridge matrix'!$A$3:$E$731,3,FALSE),"no")</f>
        <v xml:space="preserve">SERVICIOS FINANCIEROS N.E.P </v>
      </c>
      <c r="L701" s="120" t="str">
        <f t="shared" si="58"/>
        <v xml:space="preserve">SERVICIOS FINANCIEROS N.E.P </v>
      </c>
      <c r="M701" s="120" t="str">
        <f t="shared" si="61"/>
        <v xml:space="preserve">SERVICIOS FINANCIEROS N.E.P </v>
      </c>
      <c r="N701" s="120" t="str">
        <f t="shared" si="60"/>
        <v xml:space="preserve">SERVICIOS FINANCIEROS N.E.P </v>
      </c>
      <c r="O701" s="2" t="e">
        <f>VLOOKUP(N701,'Bridge matrix'!$D$3:$E$731,2,FALSE)</f>
        <v>#N/A</v>
      </c>
    </row>
    <row r="702" spans="1:15" x14ac:dyDescent="0.25">
      <c r="A702" s="2" t="s">
        <v>590</v>
      </c>
      <c r="B702" s="2" t="s">
        <v>1184</v>
      </c>
      <c r="C702" s="2" t="s">
        <v>670</v>
      </c>
      <c r="D702" s="2" t="s">
        <v>596</v>
      </c>
      <c r="E702" s="2" t="s">
        <v>596</v>
      </c>
      <c r="F702" s="2" t="s">
        <v>596</v>
      </c>
      <c r="G702" s="2" t="str">
        <f t="shared" si="56"/>
        <v>12.7</v>
      </c>
      <c r="H702" s="83" t="s">
        <v>1222</v>
      </c>
      <c r="I702" s="83" t="str">
        <f t="shared" si="59"/>
        <v>127</v>
      </c>
      <c r="J702" s="2" t="s">
        <v>1223</v>
      </c>
      <c r="K702" s="120" t="str">
        <f>IFERROR(VLOOKUP(H702,'Bridge matrix'!$A$3:$E$731,3,FALSE),"no")</f>
        <v>no</v>
      </c>
      <c r="L702" s="120" t="str">
        <f t="shared" si="58"/>
        <v>ll</v>
      </c>
      <c r="M702" s="120" t="str">
        <f t="shared" si="61"/>
        <v>ll</v>
      </c>
      <c r="N702" s="120" t="str">
        <f t="shared" si="60"/>
        <v>ll</v>
      </c>
      <c r="O702" s="2" t="str">
        <f>VLOOKUP(N702,'Bridge matrix'!$D$3:$E$731,2,FALSE)</f>
        <v>matched on SC/SSC level</v>
      </c>
    </row>
    <row r="703" spans="1:15" x14ac:dyDescent="0.25">
      <c r="A703" s="2" t="s">
        <v>591</v>
      </c>
      <c r="B703" s="2" t="s">
        <v>1184</v>
      </c>
      <c r="C703" s="2" t="s">
        <v>670</v>
      </c>
      <c r="D703" s="2" t="s">
        <v>598</v>
      </c>
      <c r="E703" s="2" t="s">
        <v>596</v>
      </c>
      <c r="F703" s="2" t="s">
        <v>596</v>
      </c>
      <c r="G703" s="2" t="str">
        <f t="shared" si="56"/>
        <v>12.7.1</v>
      </c>
      <c r="H703" s="83" t="s">
        <v>1224</v>
      </c>
      <c r="I703" s="83" t="str">
        <f t="shared" si="59"/>
        <v>1271</v>
      </c>
      <c r="J703" s="2" t="s">
        <v>1223</v>
      </c>
      <c r="K703" s="120" t="str">
        <f>IFERROR(VLOOKUP(H703,'Bridge matrix'!$A$3:$E$731,3,FALSE),"no")</f>
        <v>OTROS SERVICIOS N.E.P.</v>
      </c>
      <c r="L703" s="120" t="str">
        <f t="shared" si="58"/>
        <v>OTROS SERVICIOS N.E.P.</v>
      </c>
      <c r="M703" s="120" t="str">
        <f t="shared" si="61"/>
        <v>OTROS SERVICIOS N.E.P.</v>
      </c>
      <c r="N703" s="120" t="str">
        <f t="shared" si="60"/>
        <v>OTROS SERVICIOS N.E.P.</v>
      </c>
      <c r="O703" s="2" t="e">
        <f>VLOOKUP(N703,'Bridge matrix'!$D$3:$E$731,2,FALSE)</f>
        <v>#N/A</v>
      </c>
    </row>
    <row r="704" spans="1:15" x14ac:dyDescent="0.25">
      <c r="F704" s="2" t="s">
        <v>596</v>
      </c>
      <c r="I704" s="83" t="str">
        <f t="shared" si="59"/>
        <v/>
      </c>
      <c r="K704" s="120" t="str">
        <f>IFERROR(VLOOKUP(H704,'Bridge matrix'!$A$3:$E$731,3,FALSE),"no")</f>
        <v>no</v>
      </c>
      <c r="L704" s="120" t="str">
        <f t="shared" si="58"/>
        <v>ll</v>
      </c>
      <c r="M704" s="120" t="str">
        <f t="shared" si="61"/>
        <v>ll</v>
      </c>
    </row>
    <row r="705" spans="8:9" x14ac:dyDescent="0.25">
      <c r="H705" s="83"/>
      <c r="I705" s="83" t="str">
        <f t="shared" si="59"/>
        <v/>
      </c>
    </row>
  </sheetData>
  <autoFilter ref="A1:O705" xr:uid="{00000000-0009-0000-0000-000007000000}"/>
  <conditionalFormatting sqref="A2:J604 A619:J713 J605:J618 A605:H618">
    <cfRule type="expression" dxfId="23" priority="9741">
      <formula>$A2="SC"</formula>
    </cfRule>
    <cfRule type="expression" dxfId="22" priority="9742">
      <formula>$A2="CL"</formula>
    </cfRule>
    <cfRule type="expression" dxfId="21" priority="9743">
      <formula>$A2="GR"</formula>
    </cfRule>
    <cfRule type="expression" dxfId="20" priority="9745">
      <formula>$A2="DI"</formula>
    </cfRule>
  </conditionalFormatting>
  <conditionalFormatting sqref="A2:O604 A619:O713 J605:O618 A605:H618">
    <cfRule type="expression" dxfId="19" priority="9740" stopIfTrue="1">
      <formula>$N2="no"</formula>
    </cfRule>
  </conditionalFormatting>
  <conditionalFormatting sqref="I605:I618">
    <cfRule type="expression" dxfId="18" priority="2">
      <formula>$A605="SC"</formula>
    </cfRule>
    <cfRule type="expression" dxfId="17" priority="3">
      <formula>$A605="CL"</formula>
    </cfRule>
    <cfRule type="expression" dxfId="16" priority="4">
      <formula>$A605="GR"</formula>
    </cfRule>
    <cfRule type="expression" dxfId="15" priority="5">
      <formula>$A605="DI"</formula>
    </cfRule>
  </conditionalFormatting>
  <conditionalFormatting sqref="I605:I618">
    <cfRule type="expression" dxfId="14" priority="1" stopIfTrue="1">
      <formula>$N605="no"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3"/>
  <dimension ref="A1:IW277"/>
  <sheetViews>
    <sheetView topLeftCell="A113" zoomScale="55" zoomScaleNormal="55" workbookViewId="0">
      <selection activeCell="D144" sqref="D144"/>
    </sheetView>
  </sheetViews>
  <sheetFormatPr defaultColWidth="11.42578125" defaultRowHeight="30" customHeight="1" x14ac:dyDescent="0.25"/>
  <cols>
    <col min="1" max="1" width="10.42578125" style="18" customWidth="1"/>
    <col min="2" max="2" width="7.5703125" style="18" customWidth="1"/>
    <col min="3" max="3" width="7.140625" style="18" customWidth="1"/>
    <col min="4" max="4" width="85.85546875" style="18" bestFit="1" customWidth="1"/>
    <col min="5" max="256" width="22.85546875" style="18" customWidth="1"/>
    <col min="257" max="16384" width="11.42578125" style="18"/>
  </cols>
  <sheetData>
    <row r="1" spans="1:257" ht="21" x14ac:dyDescent="0.25">
      <c r="B1" s="1"/>
      <c r="C1" s="1" t="s">
        <v>6</v>
      </c>
      <c r="D1" s="1"/>
      <c r="E1" s="16"/>
      <c r="F1" s="16"/>
      <c r="G1" s="16"/>
      <c r="H1" s="16"/>
      <c r="I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7"/>
      <c r="IR1" s="17"/>
      <c r="IS1" s="17"/>
      <c r="IT1" s="17"/>
      <c r="IU1" s="17"/>
      <c r="IV1" s="17"/>
    </row>
    <row r="2" spans="1:257" ht="21.75" thickBot="1" x14ac:dyDescent="0.3">
      <c r="B2" s="1"/>
      <c r="C2" s="1"/>
      <c r="D2" s="100" t="s">
        <v>2406</v>
      </c>
      <c r="E2" s="16" t="b">
        <f>OR(E$137&gt;$E$268,E$139&gt;$E$268,E$141&gt;$E$268,E$143&gt;$E$268,E$145&gt;$E$268)</f>
        <v>1</v>
      </c>
      <c r="F2" s="16" t="b">
        <f t="shared" ref="F2:BQ2" si="0">OR(F$137&gt;$E$268,F$139&gt;$E$268,F$141&gt;$E$268,F$143&gt;$E$268,F$145&gt;$E$268)</f>
        <v>0</v>
      </c>
      <c r="G2" s="16" t="b">
        <f t="shared" si="0"/>
        <v>1</v>
      </c>
      <c r="H2" s="16" t="b">
        <f t="shared" si="0"/>
        <v>1</v>
      </c>
      <c r="I2" s="16" t="b">
        <f t="shared" si="0"/>
        <v>1</v>
      </c>
      <c r="J2" s="16" t="b">
        <f t="shared" si="0"/>
        <v>1</v>
      </c>
      <c r="K2" s="16" t="b">
        <f t="shared" si="0"/>
        <v>1</v>
      </c>
      <c r="L2" s="16" t="b">
        <f t="shared" si="0"/>
        <v>1</v>
      </c>
      <c r="M2" s="16" t="b">
        <f t="shared" si="0"/>
        <v>1</v>
      </c>
      <c r="N2" s="16" t="b">
        <f t="shared" si="0"/>
        <v>1</v>
      </c>
      <c r="O2" s="16" t="b">
        <f t="shared" si="0"/>
        <v>0</v>
      </c>
      <c r="P2" s="16" t="b">
        <f t="shared" si="0"/>
        <v>0</v>
      </c>
      <c r="Q2" s="16" t="b">
        <f t="shared" si="0"/>
        <v>0</v>
      </c>
      <c r="R2" s="16" t="b">
        <f t="shared" si="0"/>
        <v>1</v>
      </c>
      <c r="S2" s="16" t="b">
        <f t="shared" si="0"/>
        <v>0</v>
      </c>
      <c r="T2" s="16" t="b">
        <f t="shared" si="0"/>
        <v>1</v>
      </c>
      <c r="U2" s="16" t="b">
        <f t="shared" si="0"/>
        <v>1</v>
      </c>
      <c r="V2" s="16" t="b">
        <f t="shared" si="0"/>
        <v>1</v>
      </c>
      <c r="W2" s="16" t="b">
        <f t="shared" si="0"/>
        <v>1</v>
      </c>
      <c r="X2" s="16" t="b">
        <f t="shared" si="0"/>
        <v>1</v>
      </c>
      <c r="Y2" s="16" t="b">
        <f t="shared" si="0"/>
        <v>1</v>
      </c>
      <c r="Z2" s="16" t="b">
        <f t="shared" si="0"/>
        <v>1</v>
      </c>
      <c r="AA2" s="16" t="b">
        <f t="shared" si="0"/>
        <v>1</v>
      </c>
      <c r="AB2" s="16" t="b">
        <f t="shared" si="0"/>
        <v>1</v>
      </c>
      <c r="AC2" s="16" t="b">
        <f t="shared" si="0"/>
        <v>1</v>
      </c>
      <c r="AD2" s="16" t="b">
        <f t="shared" si="0"/>
        <v>1</v>
      </c>
      <c r="AE2" s="16" t="b">
        <f t="shared" si="0"/>
        <v>1</v>
      </c>
      <c r="AF2" s="16" t="b">
        <f t="shared" si="0"/>
        <v>1</v>
      </c>
      <c r="AG2" s="16" t="b">
        <f t="shared" si="0"/>
        <v>1</v>
      </c>
      <c r="AH2" s="16" t="b">
        <f t="shared" si="0"/>
        <v>1</v>
      </c>
      <c r="AI2" s="16" t="b">
        <f t="shared" si="0"/>
        <v>1</v>
      </c>
      <c r="AJ2" s="16" t="b">
        <f t="shared" si="0"/>
        <v>1</v>
      </c>
      <c r="AK2" s="16" t="b">
        <f t="shared" si="0"/>
        <v>1</v>
      </c>
      <c r="AL2" s="16" t="b">
        <f t="shared" si="0"/>
        <v>1</v>
      </c>
      <c r="AM2" s="16" t="b">
        <f t="shared" si="0"/>
        <v>1</v>
      </c>
      <c r="AN2" s="16" t="b">
        <f t="shared" si="0"/>
        <v>1</v>
      </c>
      <c r="AO2" s="16" t="b">
        <f t="shared" si="0"/>
        <v>1</v>
      </c>
      <c r="AP2" s="16" t="b">
        <f t="shared" si="0"/>
        <v>1</v>
      </c>
      <c r="AQ2" s="16" t="b">
        <f t="shared" si="0"/>
        <v>1</v>
      </c>
      <c r="AR2" s="16" t="b">
        <f t="shared" si="0"/>
        <v>1</v>
      </c>
      <c r="AS2" s="16" t="b">
        <f t="shared" si="0"/>
        <v>1</v>
      </c>
      <c r="AT2" s="16" t="b">
        <f t="shared" si="0"/>
        <v>1</v>
      </c>
      <c r="AU2" s="16" t="b">
        <f t="shared" si="0"/>
        <v>1</v>
      </c>
      <c r="AV2" s="16" t="b">
        <f t="shared" si="0"/>
        <v>1</v>
      </c>
      <c r="AW2" s="16" t="b">
        <f t="shared" si="0"/>
        <v>0</v>
      </c>
      <c r="AX2" s="16" t="b">
        <f t="shared" si="0"/>
        <v>1</v>
      </c>
      <c r="AY2" s="16" t="b">
        <f t="shared" si="0"/>
        <v>1</v>
      </c>
      <c r="AZ2" s="16" t="b">
        <f t="shared" si="0"/>
        <v>1</v>
      </c>
      <c r="BA2" s="16" t="b">
        <f t="shared" si="0"/>
        <v>1</v>
      </c>
      <c r="BB2" s="16" t="b">
        <f t="shared" si="0"/>
        <v>1</v>
      </c>
      <c r="BC2" s="16" t="b">
        <f t="shared" si="0"/>
        <v>1</v>
      </c>
      <c r="BD2" s="16" t="b">
        <f t="shared" si="0"/>
        <v>1</v>
      </c>
      <c r="BE2" s="16" t="b">
        <f t="shared" si="0"/>
        <v>0</v>
      </c>
      <c r="BF2" s="16" t="b">
        <f t="shared" si="0"/>
        <v>0</v>
      </c>
      <c r="BG2" s="16" t="b">
        <f t="shared" si="0"/>
        <v>0</v>
      </c>
      <c r="BH2" s="16" t="b">
        <f t="shared" si="0"/>
        <v>0</v>
      </c>
      <c r="BI2" s="16" t="b">
        <f t="shared" si="0"/>
        <v>0</v>
      </c>
      <c r="BJ2" s="16" t="b">
        <f t="shared" si="0"/>
        <v>0</v>
      </c>
      <c r="BK2" s="16" t="b">
        <f t="shared" si="0"/>
        <v>0</v>
      </c>
      <c r="BL2" s="16" t="b">
        <f t="shared" si="0"/>
        <v>0</v>
      </c>
      <c r="BM2" s="16" t="b">
        <f t="shared" si="0"/>
        <v>0</v>
      </c>
      <c r="BN2" s="16" t="b">
        <f t="shared" si="0"/>
        <v>0</v>
      </c>
      <c r="BO2" s="16" t="b">
        <f t="shared" si="0"/>
        <v>0</v>
      </c>
      <c r="BP2" s="16" t="b">
        <f t="shared" si="0"/>
        <v>0</v>
      </c>
      <c r="BQ2" s="16" t="b">
        <f t="shared" si="0"/>
        <v>1</v>
      </c>
      <c r="BR2" s="16" t="b">
        <f t="shared" ref="BR2:EC2" si="1">OR(BR$137&gt;$E$268,BR$139&gt;$E$268,BR$141&gt;$E$268,BR$143&gt;$E$268,BR$145&gt;$E$268)</f>
        <v>0</v>
      </c>
      <c r="BS2" s="16" t="b">
        <f t="shared" si="1"/>
        <v>0</v>
      </c>
      <c r="BT2" s="16" t="b">
        <f t="shared" si="1"/>
        <v>1</v>
      </c>
      <c r="BU2" s="16" t="b">
        <f t="shared" si="1"/>
        <v>0</v>
      </c>
      <c r="BV2" s="16" t="b">
        <f t="shared" si="1"/>
        <v>1</v>
      </c>
      <c r="BW2" s="16" t="b">
        <f t="shared" si="1"/>
        <v>1</v>
      </c>
      <c r="BX2" s="16" t="b">
        <f t="shared" si="1"/>
        <v>1</v>
      </c>
      <c r="BY2" s="16" t="b">
        <f t="shared" si="1"/>
        <v>1</v>
      </c>
      <c r="BZ2" s="16" t="b">
        <f t="shared" si="1"/>
        <v>1</v>
      </c>
      <c r="CA2" s="16" t="b">
        <f t="shared" si="1"/>
        <v>0</v>
      </c>
      <c r="CB2" s="16" t="b">
        <f t="shared" si="1"/>
        <v>0</v>
      </c>
      <c r="CC2" s="16" t="b">
        <f t="shared" si="1"/>
        <v>0</v>
      </c>
      <c r="CD2" s="16" t="b">
        <f t="shared" si="1"/>
        <v>1</v>
      </c>
      <c r="CE2" s="16" t="b">
        <f t="shared" si="1"/>
        <v>1</v>
      </c>
      <c r="CF2" s="16" t="b">
        <f t="shared" si="1"/>
        <v>1</v>
      </c>
      <c r="CG2" s="16" t="b">
        <f t="shared" si="1"/>
        <v>1</v>
      </c>
      <c r="CH2" s="16" t="b">
        <f t="shared" si="1"/>
        <v>1</v>
      </c>
      <c r="CI2" s="16" t="b">
        <f t="shared" si="1"/>
        <v>0</v>
      </c>
      <c r="CJ2" s="16" t="b">
        <f t="shared" si="1"/>
        <v>0</v>
      </c>
      <c r="CK2" s="16" t="b">
        <f t="shared" si="1"/>
        <v>0</v>
      </c>
      <c r="CL2" s="16" t="b">
        <f t="shared" si="1"/>
        <v>0</v>
      </c>
      <c r="CM2" s="16" t="b">
        <f t="shared" si="1"/>
        <v>0</v>
      </c>
      <c r="CN2" s="16" t="b">
        <f t="shared" si="1"/>
        <v>0</v>
      </c>
      <c r="CO2" s="16" t="b">
        <f t="shared" si="1"/>
        <v>0</v>
      </c>
      <c r="CP2" s="16" t="b">
        <f t="shared" si="1"/>
        <v>0</v>
      </c>
      <c r="CQ2" s="16" t="b">
        <f t="shared" si="1"/>
        <v>0</v>
      </c>
      <c r="CR2" s="16" t="b">
        <f t="shared" si="1"/>
        <v>0</v>
      </c>
      <c r="CS2" s="16" t="b">
        <f t="shared" si="1"/>
        <v>0</v>
      </c>
      <c r="CT2" s="16" t="b">
        <f t="shared" si="1"/>
        <v>0</v>
      </c>
      <c r="CU2" s="16" t="b">
        <f t="shared" si="1"/>
        <v>0</v>
      </c>
      <c r="CV2" s="16" t="b">
        <f t="shared" si="1"/>
        <v>0</v>
      </c>
      <c r="CW2" s="16" t="b">
        <f t="shared" si="1"/>
        <v>0</v>
      </c>
      <c r="CX2" s="16" t="b">
        <f t="shared" si="1"/>
        <v>0</v>
      </c>
      <c r="CY2" s="16" t="b">
        <f t="shared" si="1"/>
        <v>0</v>
      </c>
      <c r="CZ2" s="16" t="b">
        <f t="shared" si="1"/>
        <v>0</v>
      </c>
      <c r="DA2" s="16" t="b">
        <f t="shared" si="1"/>
        <v>0</v>
      </c>
      <c r="DB2" s="16" t="b">
        <f t="shared" si="1"/>
        <v>0</v>
      </c>
      <c r="DC2" s="16" t="b">
        <f t="shared" si="1"/>
        <v>0</v>
      </c>
      <c r="DD2" s="16" t="b">
        <f t="shared" si="1"/>
        <v>0</v>
      </c>
      <c r="DE2" s="16" t="b">
        <f t="shared" si="1"/>
        <v>0</v>
      </c>
      <c r="DF2" s="16" t="b">
        <f t="shared" si="1"/>
        <v>0</v>
      </c>
      <c r="DG2" s="16" t="b">
        <f t="shared" si="1"/>
        <v>0</v>
      </c>
      <c r="DH2" s="16" t="b">
        <f t="shared" si="1"/>
        <v>0</v>
      </c>
      <c r="DI2" s="16" t="b">
        <f t="shared" si="1"/>
        <v>0</v>
      </c>
      <c r="DJ2" s="16" t="b">
        <f t="shared" si="1"/>
        <v>0</v>
      </c>
      <c r="DK2" s="16" t="b">
        <f t="shared" si="1"/>
        <v>0</v>
      </c>
      <c r="DL2" s="16" t="b">
        <f t="shared" si="1"/>
        <v>0</v>
      </c>
      <c r="DM2" s="16" t="b">
        <f t="shared" si="1"/>
        <v>0</v>
      </c>
      <c r="DN2" s="16" t="b">
        <f t="shared" si="1"/>
        <v>0</v>
      </c>
      <c r="DO2" s="16" t="b">
        <f t="shared" si="1"/>
        <v>0</v>
      </c>
      <c r="DP2" s="16" t="b">
        <f t="shared" si="1"/>
        <v>0</v>
      </c>
      <c r="DQ2" s="16" t="b">
        <f t="shared" si="1"/>
        <v>0</v>
      </c>
      <c r="DR2" s="16" t="b">
        <f t="shared" si="1"/>
        <v>0</v>
      </c>
      <c r="DS2" s="16" t="b">
        <f t="shared" si="1"/>
        <v>0</v>
      </c>
      <c r="DT2" s="16" t="b">
        <f t="shared" si="1"/>
        <v>0</v>
      </c>
      <c r="DU2" s="16" t="b">
        <f t="shared" si="1"/>
        <v>0</v>
      </c>
      <c r="DV2" s="16" t="b">
        <f t="shared" si="1"/>
        <v>0</v>
      </c>
      <c r="DW2" s="16" t="b">
        <f t="shared" si="1"/>
        <v>1</v>
      </c>
      <c r="DX2" s="16" t="b">
        <f t="shared" si="1"/>
        <v>1</v>
      </c>
      <c r="DY2" s="16" t="b">
        <f t="shared" si="1"/>
        <v>1</v>
      </c>
      <c r="DZ2" s="16" t="b">
        <f t="shared" si="1"/>
        <v>1</v>
      </c>
      <c r="EA2" s="16" t="b">
        <f t="shared" si="1"/>
        <v>0</v>
      </c>
      <c r="EB2" s="16" t="b">
        <f t="shared" si="1"/>
        <v>0</v>
      </c>
      <c r="EC2" s="16" t="b">
        <f t="shared" si="1"/>
        <v>0</v>
      </c>
      <c r="ED2" s="16" t="b">
        <f t="shared" ref="ED2:GO2" si="2">OR(ED$137&gt;$E$268,ED$139&gt;$E$268,ED$141&gt;$E$268,ED$143&gt;$E$268,ED$145&gt;$E$268)</f>
        <v>0</v>
      </c>
      <c r="EE2" s="16" t="b">
        <f t="shared" si="2"/>
        <v>1</v>
      </c>
      <c r="EF2" s="16" t="b">
        <f t="shared" si="2"/>
        <v>1</v>
      </c>
      <c r="EG2" s="16" t="b">
        <f t="shared" si="2"/>
        <v>1</v>
      </c>
      <c r="EH2" s="16" t="b">
        <f t="shared" si="2"/>
        <v>1</v>
      </c>
      <c r="EI2" s="16" t="b">
        <f t="shared" si="2"/>
        <v>0</v>
      </c>
      <c r="EJ2" s="16" t="b">
        <f t="shared" si="2"/>
        <v>0</v>
      </c>
      <c r="EK2" s="16" t="b">
        <f t="shared" si="2"/>
        <v>0</v>
      </c>
      <c r="EL2" s="16" t="b">
        <f t="shared" si="2"/>
        <v>1</v>
      </c>
      <c r="EM2" s="16" t="b">
        <f t="shared" si="2"/>
        <v>1</v>
      </c>
      <c r="EN2" s="16" t="b">
        <f t="shared" si="2"/>
        <v>1</v>
      </c>
      <c r="EO2" s="16" t="b">
        <f t="shared" si="2"/>
        <v>1</v>
      </c>
      <c r="EP2" s="16" t="b">
        <f t="shared" si="2"/>
        <v>1</v>
      </c>
      <c r="EQ2" s="16" t="b">
        <f t="shared" si="2"/>
        <v>1</v>
      </c>
      <c r="ER2" s="16" t="b">
        <f t="shared" si="2"/>
        <v>0</v>
      </c>
      <c r="ES2" s="16" t="b">
        <f t="shared" si="2"/>
        <v>0</v>
      </c>
      <c r="ET2" s="16" t="b">
        <f t="shared" si="2"/>
        <v>0</v>
      </c>
      <c r="EU2" s="16" t="b">
        <f t="shared" si="2"/>
        <v>1</v>
      </c>
      <c r="EV2" s="16" t="b">
        <f t="shared" si="2"/>
        <v>1</v>
      </c>
      <c r="EW2" s="16" t="b">
        <f t="shared" si="2"/>
        <v>1</v>
      </c>
      <c r="EX2" s="16" t="b">
        <f t="shared" si="2"/>
        <v>1</v>
      </c>
      <c r="EY2" s="16" t="b">
        <f t="shared" si="2"/>
        <v>1</v>
      </c>
      <c r="EZ2" s="16" t="b">
        <f t="shared" si="2"/>
        <v>1</v>
      </c>
      <c r="FA2" s="16" t="b">
        <f t="shared" si="2"/>
        <v>0</v>
      </c>
      <c r="FB2" s="16" t="b">
        <f t="shared" si="2"/>
        <v>0</v>
      </c>
      <c r="FC2" s="16" t="b">
        <f t="shared" si="2"/>
        <v>0</v>
      </c>
      <c r="FD2" s="16" t="b">
        <f t="shared" si="2"/>
        <v>0</v>
      </c>
      <c r="FE2" s="16" t="b">
        <f t="shared" si="2"/>
        <v>0</v>
      </c>
      <c r="FF2" s="16" t="b">
        <f t="shared" si="2"/>
        <v>0</v>
      </c>
      <c r="FG2" s="16" t="b">
        <f t="shared" si="2"/>
        <v>0</v>
      </c>
      <c r="FH2" s="16" t="b">
        <f t="shared" si="2"/>
        <v>0</v>
      </c>
      <c r="FI2" s="16" t="b">
        <f t="shared" si="2"/>
        <v>0</v>
      </c>
      <c r="FJ2" s="16" t="b">
        <f t="shared" si="2"/>
        <v>0</v>
      </c>
      <c r="FK2" s="16" t="b">
        <f t="shared" si="2"/>
        <v>0</v>
      </c>
      <c r="FL2" s="16" t="b">
        <f t="shared" si="2"/>
        <v>0</v>
      </c>
      <c r="FM2" s="16" t="b">
        <f t="shared" si="2"/>
        <v>0</v>
      </c>
      <c r="FN2" s="16" t="b">
        <f t="shared" si="2"/>
        <v>0</v>
      </c>
      <c r="FO2" s="16" t="b">
        <f t="shared" si="2"/>
        <v>0</v>
      </c>
      <c r="FP2" s="16" t="b">
        <f t="shared" si="2"/>
        <v>0</v>
      </c>
      <c r="FQ2" s="16" t="b">
        <f t="shared" si="2"/>
        <v>0</v>
      </c>
      <c r="FR2" s="16" t="b">
        <f t="shared" si="2"/>
        <v>0</v>
      </c>
      <c r="FS2" s="16" t="b">
        <f t="shared" si="2"/>
        <v>0</v>
      </c>
      <c r="FT2" s="16" t="b">
        <f t="shared" si="2"/>
        <v>0</v>
      </c>
      <c r="FU2" s="16" t="b">
        <f t="shared" si="2"/>
        <v>0</v>
      </c>
      <c r="FV2" s="16" t="b">
        <f t="shared" si="2"/>
        <v>0</v>
      </c>
      <c r="FW2" s="16" t="b">
        <f t="shared" si="2"/>
        <v>1</v>
      </c>
      <c r="FX2" s="16" t="b">
        <f t="shared" si="2"/>
        <v>0</v>
      </c>
      <c r="FY2" s="16" t="b">
        <f t="shared" si="2"/>
        <v>0</v>
      </c>
      <c r="FZ2" s="16" t="b">
        <f t="shared" si="2"/>
        <v>0</v>
      </c>
      <c r="GA2" s="16" t="b">
        <f t="shared" si="2"/>
        <v>0</v>
      </c>
      <c r="GB2" s="16" t="b">
        <f t="shared" si="2"/>
        <v>0</v>
      </c>
      <c r="GC2" s="16" t="b">
        <f t="shared" si="2"/>
        <v>0</v>
      </c>
      <c r="GD2" s="16" t="b">
        <f t="shared" si="2"/>
        <v>0</v>
      </c>
      <c r="GE2" s="16" t="b">
        <f t="shared" si="2"/>
        <v>0</v>
      </c>
      <c r="GF2" s="16" t="b">
        <f t="shared" si="2"/>
        <v>0</v>
      </c>
      <c r="GG2" s="16" t="b">
        <f t="shared" si="2"/>
        <v>1</v>
      </c>
      <c r="GH2" s="16" t="b">
        <f t="shared" si="2"/>
        <v>1</v>
      </c>
      <c r="GI2" s="16" t="b">
        <f t="shared" si="2"/>
        <v>1</v>
      </c>
      <c r="GJ2" s="16" t="b">
        <f t="shared" si="2"/>
        <v>1</v>
      </c>
      <c r="GK2" s="16" t="b">
        <f t="shared" si="2"/>
        <v>1</v>
      </c>
      <c r="GL2" s="16" t="b">
        <f t="shared" si="2"/>
        <v>1</v>
      </c>
      <c r="GM2" s="16" t="b">
        <f t="shared" si="2"/>
        <v>1</v>
      </c>
      <c r="GN2" s="16" t="b">
        <f t="shared" si="2"/>
        <v>1</v>
      </c>
      <c r="GO2" s="16" t="b">
        <f t="shared" si="2"/>
        <v>1</v>
      </c>
      <c r="GP2" s="16" t="b">
        <f t="shared" ref="GP2:IO2" si="3">OR(GP$137&gt;$E$268,GP$139&gt;$E$268,GP$141&gt;$E$268,GP$143&gt;$E$268,GP$145&gt;$E$268)</f>
        <v>1</v>
      </c>
      <c r="GQ2" s="16" t="b">
        <f t="shared" si="3"/>
        <v>1</v>
      </c>
      <c r="GR2" s="16" t="b">
        <f t="shared" si="3"/>
        <v>1</v>
      </c>
      <c r="GS2" s="16" t="b">
        <f t="shared" si="3"/>
        <v>0</v>
      </c>
      <c r="GT2" s="16" t="b">
        <f t="shared" si="3"/>
        <v>0</v>
      </c>
      <c r="GU2" s="16" t="b">
        <f t="shared" si="3"/>
        <v>0</v>
      </c>
      <c r="GV2" s="16" t="b">
        <f t="shared" si="3"/>
        <v>0</v>
      </c>
      <c r="GW2" s="16" t="b">
        <f t="shared" si="3"/>
        <v>0</v>
      </c>
      <c r="GX2" s="16" t="b">
        <f t="shared" si="3"/>
        <v>0</v>
      </c>
      <c r="GY2" s="16" t="b">
        <f t="shared" si="3"/>
        <v>0</v>
      </c>
      <c r="GZ2" s="16" t="b">
        <f t="shared" si="3"/>
        <v>0</v>
      </c>
      <c r="HA2" s="16" t="b">
        <f t="shared" si="3"/>
        <v>0</v>
      </c>
      <c r="HB2" s="16" t="b">
        <f t="shared" si="3"/>
        <v>0</v>
      </c>
      <c r="HC2" s="16" t="b">
        <f t="shared" si="3"/>
        <v>0</v>
      </c>
      <c r="HD2" s="16" t="b">
        <f t="shared" si="3"/>
        <v>0</v>
      </c>
      <c r="HE2" s="16" t="b">
        <f t="shared" si="3"/>
        <v>1</v>
      </c>
      <c r="HF2" s="16" t="b">
        <f t="shared" si="3"/>
        <v>1</v>
      </c>
      <c r="HG2" s="16" t="b">
        <f t="shared" si="3"/>
        <v>1</v>
      </c>
      <c r="HH2" s="16" t="b">
        <f t="shared" si="3"/>
        <v>1</v>
      </c>
      <c r="HI2" s="16" t="b">
        <f t="shared" si="3"/>
        <v>1</v>
      </c>
      <c r="HJ2" s="16" t="b">
        <f t="shared" si="3"/>
        <v>1</v>
      </c>
      <c r="HK2" s="16" t="b">
        <f t="shared" si="3"/>
        <v>1</v>
      </c>
      <c r="HL2" s="16" t="b">
        <f t="shared" si="3"/>
        <v>1</v>
      </c>
      <c r="HM2" s="16" t="b">
        <f t="shared" si="3"/>
        <v>1</v>
      </c>
      <c r="HN2" s="16" t="b">
        <f t="shared" si="3"/>
        <v>1</v>
      </c>
      <c r="HO2" s="16" t="b">
        <f t="shared" si="3"/>
        <v>1</v>
      </c>
      <c r="HP2" s="16" t="b">
        <f t="shared" si="3"/>
        <v>1</v>
      </c>
      <c r="HQ2" s="16" t="b">
        <f t="shared" si="3"/>
        <v>1</v>
      </c>
      <c r="HR2" s="16" t="b">
        <f t="shared" si="3"/>
        <v>1</v>
      </c>
      <c r="HS2" s="16" t="b">
        <f t="shared" si="3"/>
        <v>1</v>
      </c>
      <c r="HT2" s="16" t="b">
        <f t="shared" si="3"/>
        <v>1</v>
      </c>
      <c r="HU2" s="16" t="b">
        <f t="shared" si="3"/>
        <v>1</v>
      </c>
      <c r="HV2" s="16" t="b">
        <f t="shared" si="3"/>
        <v>1</v>
      </c>
      <c r="HW2" s="16" t="b">
        <f t="shared" si="3"/>
        <v>0</v>
      </c>
      <c r="HX2" s="16" t="b">
        <f t="shared" si="3"/>
        <v>0</v>
      </c>
      <c r="HY2" s="16" t="b">
        <f t="shared" si="3"/>
        <v>0</v>
      </c>
      <c r="HZ2" s="16" t="b">
        <f t="shared" si="3"/>
        <v>0</v>
      </c>
      <c r="IA2" s="16" t="b">
        <f t="shared" si="3"/>
        <v>0</v>
      </c>
      <c r="IB2" s="16" t="b">
        <f t="shared" si="3"/>
        <v>0</v>
      </c>
      <c r="IC2" s="16" t="b">
        <f t="shared" si="3"/>
        <v>0</v>
      </c>
      <c r="ID2" s="16" t="b">
        <f t="shared" si="3"/>
        <v>0</v>
      </c>
      <c r="IE2" s="16" t="b">
        <f t="shared" si="3"/>
        <v>0</v>
      </c>
      <c r="IF2" s="16" t="b">
        <f t="shared" si="3"/>
        <v>0</v>
      </c>
      <c r="IG2" s="16" t="b">
        <f t="shared" si="3"/>
        <v>0</v>
      </c>
      <c r="IH2" s="16" t="b">
        <f t="shared" si="3"/>
        <v>0</v>
      </c>
      <c r="II2" s="16" t="b">
        <f t="shared" si="3"/>
        <v>0</v>
      </c>
      <c r="IJ2" s="16" t="b">
        <f t="shared" si="3"/>
        <v>0</v>
      </c>
      <c r="IK2" s="16" t="b">
        <f t="shared" si="3"/>
        <v>0</v>
      </c>
      <c r="IL2" s="16" t="b">
        <f t="shared" si="3"/>
        <v>1</v>
      </c>
      <c r="IM2" s="16" t="b">
        <f t="shared" si="3"/>
        <v>0</v>
      </c>
      <c r="IN2" s="16" t="b">
        <f t="shared" si="3"/>
        <v>0</v>
      </c>
      <c r="IO2" s="16" t="e">
        <f t="shared" si="3"/>
        <v>#DIV/0!</v>
      </c>
      <c r="IP2" s="16"/>
      <c r="IQ2" s="17"/>
      <c r="IR2" s="17"/>
      <c r="IS2" s="17"/>
      <c r="IT2" s="17"/>
      <c r="IU2" s="17"/>
      <c r="IV2" s="17"/>
    </row>
    <row r="3" spans="1:257" ht="15" customHeight="1" thickBot="1" x14ac:dyDescent="0.3">
      <c r="A3" s="189" t="s">
        <v>2407</v>
      </c>
      <c r="B3" s="187" t="s">
        <v>2125</v>
      </c>
      <c r="C3" s="181" t="s">
        <v>1226</v>
      </c>
      <c r="D3" s="184"/>
      <c r="E3" s="39">
        <v>1</v>
      </c>
      <c r="F3" s="39">
        <v>2</v>
      </c>
      <c r="G3" s="39">
        <v>3</v>
      </c>
      <c r="H3" s="39">
        <v>4</v>
      </c>
      <c r="I3" s="39">
        <v>5</v>
      </c>
      <c r="J3" s="39">
        <v>6</v>
      </c>
      <c r="K3" s="39">
        <v>7</v>
      </c>
      <c r="L3" s="39">
        <v>8</v>
      </c>
      <c r="M3" s="39">
        <v>9</v>
      </c>
      <c r="N3" s="39">
        <v>10</v>
      </c>
      <c r="O3" s="39">
        <v>11</v>
      </c>
      <c r="P3" s="39">
        <v>12</v>
      </c>
      <c r="Q3" s="39">
        <v>13</v>
      </c>
      <c r="R3" s="39">
        <v>14</v>
      </c>
      <c r="S3" s="39">
        <v>15</v>
      </c>
      <c r="T3" s="39">
        <v>16</v>
      </c>
      <c r="U3" s="39">
        <v>17</v>
      </c>
      <c r="V3" s="39">
        <v>18</v>
      </c>
      <c r="W3" s="39">
        <v>19</v>
      </c>
      <c r="X3" s="39">
        <v>20</v>
      </c>
      <c r="Y3" s="39">
        <v>21</v>
      </c>
      <c r="Z3" s="39">
        <v>22</v>
      </c>
      <c r="AA3" s="39">
        <v>23</v>
      </c>
      <c r="AB3" s="39">
        <v>24</v>
      </c>
      <c r="AC3" s="39">
        <v>25</v>
      </c>
      <c r="AD3" s="39">
        <v>26</v>
      </c>
      <c r="AE3" s="39">
        <v>27</v>
      </c>
      <c r="AF3" s="39">
        <v>28</v>
      </c>
      <c r="AG3" s="39">
        <v>29</v>
      </c>
      <c r="AH3" s="39">
        <v>30</v>
      </c>
      <c r="AI3" s="39">
        <v>31</v>
      </c>
      <c r="AJ3" s="39">
        <v>32</v>
      </c>
      <c r="AK3" s="39">
        <v>33</v>
      </c>
      <c r="AL3" s="39">
        <v>34</v>
      </c>
      <c r="AM3" s="39">
        <v>35</v>
      </c>
      <c r="AN3" s="39">
        <v>36</v>
      </c>
      <c r="AO3" s="39">
        <v>37</v>
      </c>
      <c r="AP3" s="39">
        <v>38</v>
      </c>
      <c r="AQ3" s="39">
        <v>39</v>
      </c>
      <c r="AR3" s="39">
        <v>40</v>
      </c>
      <c r="AS3" s="39">
        <v>41</v>
      </c>
      <c r="AT3" s="39">
        <v>42</v>
      </c>
      <c r="AU3" s="39">
        <v>43</v>
      </c>
      <c r="AV3" s="39">
        <v>44</v>
      </c>
      <c r="AW3" s="39">
        <v>45</v>
      </c>
      <c r="AX3" s="39">
        <v>46</v>
      </c>
      <c r="AY3" s="39">
        <v>47</v>
      </c>
      <c r="AZ3" s="39">
        <v>48</v>
      </c>
      <c r="BA3" s="39">
        <v>49</v>
      </c>
      <c r="BB3" s="39">
        <v>50</v>
      </c>
      <c r="BC3" s="39">
        <v>51</v>
      </c>
      <c r="BD3" s="39">
        <v>52</v>
      </c>
      <c r="BE3" s="39">
        <v>53</v>
      </c>
      <c r="BF3" s="39">
        <v>54</v>
      </c>
      <c r="BG3" s="39">
        <v>55</v>
      </c>
      <c r="BH3" s="39">
        <v>56</v>
      </c>
      <c r="BI3" s="39">
        <v>57</v>
      </c>
      <c r="BJ3" s="39">
        <v>58</v>
      </c>
      <c r="BK3" s="39">
        <v>59</v>
      </c>
      <c r="BL3" s="39">
        <v>60</v>
      </c>
      <c r="BM3" s="39">
        <v>61</v>
      </c>
      <c r="BN3" s="39">
        <v>62</v>
      </c>
      <c r="BO3" s="39">
        <v>63</v>
      </c>
      <c r="BP3" s="39">
        <v>64</v>
      </c>
      <c r="BQ3" s="39">
        <v>65</v>
      </c>
      <c r="BR3" s="39">
        <v>66</v>
      </c>
      <c r="BS3" s="39">
        <v>67</v>
      </c>
      <c r="BT3" s="39">
        <v>68</v>
      </c>
      <c r="BU3" s="39">
        <v>69</v>
      </c>
      <c r="BV3" s="39">
        <v>70</v>
      </c>
      <c r="BW3" s="39">
        <v>71</v>
      </c>
      <c r="BX3" s="39">
        <v>72</v>
      </c>
      <c r="BY3" s="39">
        <v>73</v>
      </c>
      <c r="BZ3" s="39">
        <v>74</v>
      </c>
      <c r="CA3" s="39">
        <v>75</v>
      </c>
      <c r="CB3" s="70">
        <v>76</v>
      </c>
      <c r="CC3" s="39">
        <v>77</v>
      </c>
      <c r="CD3" s="39">
        <v>78</v>
      </c>
      <c r="CE3" s="39">
        <v>79</v>
      </c>
      <c r="CF3" s="39">
        <v>80</v>
      </c>
      <c r="CG3" s="39">
        <v>81</v>
      </c>
      <c r="CH3" s="39">
        <v>82</v>
      </c>
      <c r="CI3" s="39">
        <v>83</v>
      </c>
      <c r="CJ3" s="39">
        <v>84</v>
      </c>
      <c r="CK3" s="39">
        <v>85</v>
      </c>
      <c r="CL3" s="39">
        <v>86</v>
      </c>
      <c r="CM3" s="39">
        <v>87</v>
      </c>
      <c r="CN3" s="39">
        <v>88</v>
      </c>
      <c r="CO3" s="39">
        <v>89</v>
      </c>
      <c r="CP3" s="39">
        <v>90</v>
      </c>
      <c r="CQ3" s="39">
        <v>91</v>
      </c>
      <c r="CR3" s="39">
        <v>92</v>
      </c>
      <c r="CS3" s="39">
        <v>93</v>
      </c>
      <c r="CT3" s="39">
        <v>94</v>
      </c>
      <c r="CU3" s="39">
        <v>95</v>
      </c>
      <c r="CV3" s="39">
        <v>96</v>
      </c>
      <c r="CW3" s="39">
        <v>97</v>
      </c>
      <c r="CX3" s="39">
        <v>98</v>
      </c>
      <c r="CY3" s="39">
        <v>99</v>
      </c>
      <c r="CZ3" s="39">
        <v>100</v>
      </c>
      <c r="DA3" s="39">
        <v>101</v>
      </c>
      <c r="DB3" s="39">
        <v>102</v>
      </c>
      <c r="DC3" s="39">
        <v>103</v>
      </c>
      <c r="DD3" s="39">
        <v>104</v>
      </c>
      <c r="DE3" s="39">
        <v>105</v>
      </c>
      <c r="DF3" s="39">
        <v>106</v>
      </c>
      <c r="DG3" s="39">
        <v>107</v>
      </c>
      <c r="DH3" s="39">
        <v>108</v>
      </c>
      <c r="DI3" s="39">
        <v>109</v>
      </c>
      <c r="DJ3" s="39">
        <v>110</v>
      </c>
      <c r="DK3" s="39">
        <v>111</v>
      </c>
      <c r="DL3" s="39">
        <v>112</v>
      </c>
      <c r="DM3" s="39">
        <v>113</v>
      </c>
      <c r="DN3" s="39">
        <v>114</v>
      </c>
      <c r="DO3" s="39">
        <v>115</v>
      </c>
      <c r="DP3" s="39">
        <v>116</v>
      </c>
      <c r="DQ3" s="39">
        <v>117</v>
      </c>
      <c r="DR3" s="39">
        <v>118</v>
      </c>
      <c r="DS3" s="39">
        <v>119</v>
      </c>
      <c r="DT3" s="39">
        <v>120</v>
      </c>
      <c r="DU3" s="39">
        <v>121</v>
      </c>
      <c r="DV3" s="39">
        <v>122</v>
      </c>
      <c r="DW3" s="39">
        <v>123</v>
      </c>
      <c r="DX3" s="39">
        <v>124</v>
      </c>
      <c r="DY3" s="39">
        <v>125</v>
      </c>
      <c r="DZ3" s="39">
        <v>126</v>
      </c>
      <c r="EA3" s="39">
        <v>127</v>
      </c>
      <c r="EB3" s="39">
        <v>128</v>
      </c>
      <c r="EC3" s="39">
        <v>129</v>
      </c>
      <c r="ED3" s="70">
        <v>130</v>
      </c>
      <c r="EE3" s="70">
        <v>131</v>
      </c>
      <c r="EF3" s="70">
        <v>132</v>
      </c>
      <c r="EG3" s="70">
        <v>133</v>
      </c>
      <c r="EH3" s="70">
        <v>134</v>
      </c>
      <c r="EI3" s="39">
        <v>135</v>
      </c>
      <c r="EJ3" s="39">
        <v>136</v>
      </c>
      <c r="EK3" s="39">
        <v>137</v>
      </c>
      <c r="EL3" s="39">
        <v>138</v>
      </c>
      <c r="EM3" s="39">
        <v>139</v>
      </c>
      <c r="EN3" s="39">
        <v>140</v>
      </c>
      <c r="EO3" s="39">
        <v>141</v>
      </c>
      <c r="EP3" s="39">
        <v>142</v>
      </c>
      <c r="EQ3" s="39">
        <v>143</v>
      </c>
      <c r="ER3" s="39">
        <v>144</v>
      </c>
      <c r="ES3" s="39">
        <v>145</v>
      </c>
      <c r="ET3" s="39">
        <v>146</v>
      </c>
      <c r="EU3" s="39">
        <v>147</v>
      </c>
      <c r="EV3" s="39">
        <v>148</v>
      </c>
      <c r="EW3" s="39">
        <v>149</v>
      </c>
      <c r="EX3" s="39">
        <v>150</v>
      </c>
      <c r="EY3" s="39">
        <v>151</v>
      </c>
      <c r="EZ3" s="39">
        <v>152</v>
      </c>
      <c r="FA3" s="39">
        <v>153</v>
      </c>
      <c r="FB3" s="39">
        <v>154</v>
      </c>
      <c r="FC3" s="39">
        <v>155</v>
      </c>
      <c r="FD3" s="39">
        <v>156</v>
      </c>
      <c r="FE3" s="39">
        <v>157</v>
      </c>
      <c r="FF3" s="39">
        <v>158</v>
      </c>
      <c r="FG3" s="39">
        <v>159</v>
      </c>
      <c r="FH3" s="39">
        <v>160</v>
      </c>
      <c r="FI3" s="39">
        <v>161</v>
      </c>
      <c r="FJ3" s="39">
        <v>162</v>
      </c>
      <c r="FK3" s="39">
        <v>163</v>
      </c>
      <c r="FL3" s="39">
        <v>164</v>
      </c>
      <c r="FM3" s="39">
        <v>165</v>
      </c>
      <c r="FN3" s="39">
        <v>166</v>
      </c>
      <c r="FO3" s="39">
        <v>167</v>
      </c>
      <c r="FP3" s="39">
        <v>168</v>
      </c>
      <c r="FQ3" s="39">
        <v>169</v>
      </c>
      <c r="FR3" s="39">
        <v>170</v>
      </c>
      <c r="FS3" s="39">
        <v>171</v>
      </c>
      <c r="FT3" s="39">
        <v>172</v>
      </c>
      <c r="FU3" s="39">
        <v>173</v>
      </c>
      <c r="FV3" s="39">
        <v>174</v>
      </c>
      <c r="FW3" s="39">
        <v>175</v>
      </c>
      <c r="FX3" s="39">
        <v>176</v>
      </c>
      <c r="FY3" s="39">
        <v>177</v>
      </c>
      <c r="FZ3" s="39">
        <v>178</v>
      </c>
      <c r="GA3" s="39">
        <v>179</v>
      </c>
      <c r="GB3" s="39">
        <v>180</v>
      </c>
      <c r="GC3" s="39">
        <v>181</v>
      </c>
      <c r="GD3" s="39">
        <v>182</v>
      </c>
      <c r="GE3" s="39">
        <v>183</v>
      </c>
      <c r="GF3" s="39">
        <v>184</v>
      </c>
      <c r="GG3" s="39">
        <v>185</v>
      </c>
      <c r="GH3" s="39">
        <v>186</v>
      </c>
      <c r="GI3" s="39">
        <v>187</v>
      </c>
      <c r="GJ3" s="39">
        <v>188</v>
      </c>
      <c r="GK3" s="39">
        <v>189</v>
      </c>
      <c r="GL3" s="39">
        <v>190</v>
      </c>
      <c r="GM3" s="39">
        <v>191</v>
      </c>
      <c r="GN3" s="39">
        <v>192</v>
      </c>
      <c r="GO3" s="39">
        <v>193</v>
      </c>
      <c r="GP3" s="39">
        <v>194</v>
      </c>
      <c r="GQ3" s="39">
        <v>195</v>
      </c>
      <c r="GR3" s="39">
        <v>196</v>
      </c>
      <c r="GS3" s="39">
        <v>197</v>
      </c>
      <c r="GT3" s="39">
        <v>198</v>
      </c>
      <c r="GU3" s="39">
        <v>199</v>
      </c>
      <c r="GV3" s="39">
        <v>200</v>
      </c>
      <c r="GW3" s="39">
        <v>201</v>
      </c>
      <c r="GX3" s="39">
        <v>202</v>
      </c>
      <c r="GY3" s="39">
        <v>203</v>
      </c>
      <c r="GZ3" s="39">
        <v>204</v>
      </c>
      <c r="HA3" s="39">
        <v>205</v>
      </c>
      <c r="HB3" s="39">
        <v>206</v>
      </c>
      <c r="HC3" s="39">
        <v>207</v>
      </c>
      <c r="HD3" s="39">
        <v>208</v>
      </c>
      <c r="HE3" s="39">
        <v>209</v>
      </c>
      <c r="HF3" s="39">
        <v>210</v>
      </c>
      <c r="HG3" s="39">
        <v>211</v>
      </c>
      <c r="HH3" s="39">
        <v>212</v>
      </c>
      <c r="HI3" s="39">
        <v>213</v>
      </c>
      <c r="HJ3" s="39">
        <v>214</v>
      </c>
      <c r="HK3" s="39">
        <v>215</v>
      </c>
      <c r="HL3" s="39">
        <v>216</v>
      </c>
      <c r="HM3" s="39">
        <v>217</v>
      </c>
      <c r="HN3" s="39">
        <v>218</v>
      </c>
      <c r="HO3" s="39">
        <v>219</v>
      </c>
      <c r="HP3" s="39">
        <v>220</v>
      </c>
      <c r="HQ3" s="39">
        <v>221</v>
      </c>
      <c r="HR3" s="39">
        <v>222</v>
      </c>
      <c r="HS3" s="39">
        <v>223</v>
      </c>
      <c r="HT3" s="39">
        <v>224</v>
      </c>
      <c r="HU3" s="39">
        <v>225</v>
      </c>
      <c r="HV3" s="39">
        <v>226</v>
      </c>
      <c r="HW3" s="39">
        <v>227</v>
      </c>
      <c r="HX3" s="39">
        <v>228</v>
      </c>
      <c r="HY3" s="39">
        <v>229</v>
      </c>
      <c r="HZ3" s="39">
        <v>230</v>
      </c>
      <c r="IA3" s="39">
        <v>231</v>
      </c>
      <c r="IB3" s="39">
        <v>232</v>
      </c>
      <c r="IC3" s="39">
        <v>233</v>
      </c>
      <c r="ID3" s="39">
        <v>234</v>
      </c>
      <c r="IE3" s="39">
        <v>235</v>
      </c>
      <c r="IF3" s="39">
        <v>236</v>
      </c>
      <c r="IG3" s="39">
        <v>237</v>
      </c>
      <c r="IH3" s="39">
        <v>238</v>
      </c>
      <c r="II3" s="39">
        <v>239</v>
      </c>
      <c r="IJ3" s="39">
        <v>240</v>
      </c>
      <c r="IK3" s="39">
        <v>241</v>
      </c>
      <c r="IL3" s="39">
        <v>242</v>
      </c>
      <c r="IM3" s="39">
        <v>243</v>
      </c>
      <c r="IN3" s="39">
        <v>244</v>
      </c>
      <c r="IO3" s="39">
        <v>245</v>
      </c>
      <c r="IP3" s="17"/>
      <c r="IQ3" s="17"/>
      <c r="IR3" s="17"/>
      <c r="IS3" s="17"/>
      <c r="IT3" s="17"/>
      <c r="IU3" s="17"/>
      <c r="IV3" s="17"/>
    </row>
    <row r="4" spans="1:257" ht="15" customHeight="1" thickBot="1" x14ac:dyDescent="0.3">
      <c r="A4" s="190"/>
      <c r="B4" s="188"/>
      <c r="C4" s="182"/>
      <c r="D4" s="185"/>
      <c r="E4" s="40" t="s">
        <v>7</v>
      </c>
      <c r="F4" s="41" t="s">
        <v>8</v>
      </c>
      <c r="G4" s="41" t="s">
        <v>9</v>
      </c>
      <c r="H4" s="42" t="s">
        <v>10</v>
      </c>
      <c r="I4" s="42" t="s">
        <v>11</v>
      </c>
      <c r="J4" s="42" t="s">
        <v>12</v>
      </c>
      <c r="K4" s="42" t="s">
        <v>13</v>
      </c>
      <c r="L4" s="42" t="s">
        <v>14</v>
      </c>
      <c r="M4" s="42" t="s">
        <v>15</v>
      </c>
      <c r="N4" s="42" t="s">
        <v>16</v>
      </c>
      <c r="O4" s="42" t="s">
        <v>17</v>
      </c>
      <c r="P4" s="42" t="s">
        <v>18</v>
      </c>
      <c r="Q4" s="42" t="s">
        <v>19</v>
      </c>
      <c r="R4" s="41" t="s">
        <v>20</v>
      </c>
      <c r="S4" s="42" t="s">
        <v>21</v>
      </c>
      <c r="T4" s="42" t="s">
        <v>22</v>
      </c>
      <c r="U4" s="42" t="s">
        <v>23</v>
      </c>
      <c r="V4" s="42" t="s">
        <v>24</v>
      </c>
      <c r="W4" s="42" t="s">
        <v>25</v>
      </c>
      <c r="X4" s="42" t="s">
        <v>26</v>
      </c>
      <c r="Y4" s="42" t="s">
        <v>27</v>
      </c>
      <c r="Z4" s="42" t="s">
        <v>28</v>
      </c>
      <c r="AA4" s="42" t="s">
        <v>29</v>
      </c>
      <c r="AB4" s="42" t="s">
        <v>30</v>
      </c>
      <c r="AC4" s="42" t="s">
        <v>31</v>
      </c>
      <c r="AD4" s="42" t="s">
        <v>32</v>
      </c>
      <c r="AE4" s="42" t="s">
        <v>33</v>
      </c>
      <c r="AF4" s="42" t="s">
        <v>34</v>
      </c>
      <c r="AG4" s="42" t="s">
        <v>35</v>
      </c>
      <c r="AH4" s="42" t="s">
        <v>36</v>
      </c>
      <c r="AI4" s="42" t="s">
        <v>37</v>
      </c>
      <c r="AJ4" s="41" t="s">
        <v>38</v>
      </c>
      <c r="AK4" s="41" t="s">
        <v>39</v>
      </c>
      <c r="AL4" s="41" t="s">
        <v>40</v>
      </c>
      <c r="AM4" s="41" t="s">
        <v>41</v>
      </c>
      <c r="AN4" s="41" t="s">
        <v>42</v>
      </c>
      <c r="AO4" s="41" t="s">
        <v>43</v>
      </c>
      <c r="AP4" s="41" t="s">
        <v>44</v>
      </c>
      <c r="AQ4" s="42" t="s">
        <v>45</v>
      </c>
      <c r="AR4" s="41" t="s">
        <v>46</v>
      </c>
      <c r="AS4" s="42" t="s">
        <v>47</v>
      </c>
      <c r="AT4" s="41" t="s">
        <v>48</v>
      </c>
      <c r="AU4" s="42" t="s">
        <v>49</v>
      </c>
      <c r="AV4" s="42" t="s">
        <v>50</v>
      </c>
      <c r="AW4" s="42" t="s">
        <v>51</v>
      </c>
      <c r="AX4" s="42" t="s">
        <v>52</v>
      </c>
      <c r="AY4" s="42" t="s">
        <v>53</v>
      </c>
      <c r="AZ4" s="41" t="s">
        <v>54</v>
      </c>
      <c r="BA4" s="42" t="s">
        <v>55</v>
      </c>
      <c r="BB4" s="42" t="s">
        <v>56</v>
      </c>
      <c r="BC4" s="42" t="s">
        <v>57</v>
      </c>
      <c r="BD4" s="43" t="s">
        <v>58</v>
      </c>
      <c r="BE4" s="41" t="s">
        <v>59</v>
      </c>
      <c r="BF4" s="41" t="s">
        <v>60</v>
      </c>
      <c r="BG4" s="42" t="s">
        <v>61</v>
      </c>
      <c r="BH4" s="42" t="s">
        <v>62</v>
      </c>
      <c r="BI4" s="42" t="s">
        <v>63</v>
      </c>
      <c r="BJ4" s="42" t="s">
        <v>64</v>
      </c>
      <c r="BK4" s="42" t="s">
        <v>65</v>
      </c>
      <c r="BL4" s="42" t="s">
        <v>66</v>
      </c>
      <c r="BM4" s="42" t="s">
        <v>67</v>
      </c>
      <c r="BN4" s="42" t="s">
        <v>68</v>
      </c>
      <c r="BO4" s="42" t="s">
        <v>69</v>
      </c>
      <c r="BP4" s="42" t="s">
        <v>70</v>
      </c>
      <c r="BQ4" s="42" t="s">
        <v>71</v>
      </c>
      <c r="BR4" s="42" t="s">
        <v>72</v>
      </c>
      <c r="BS4" s="42" t="s">
        <v>73</v>
      </c>
      <c r="BT4" s="42" t="s">
        <v>74</v>
      </c>
      <c r="BU4" s="42" t="s">
        <v>75</v>
      </c>
      <c r="BV4" s="42" t="s">
        <v>76</v>
      </c>
      <c r="BW4" s="42" t="s">
        <v>77</v>
      </c>
      <c r="BX4" s="42" t="s">
        <v>78</v>
      </c>
      <c r="BY4" s="42" t="s">
        <v>79</v>
      </c>
      <c r="BZ4" s="42" t="s">
        <v>80</v>
      </c>
      <c r="CA4" s="42" t="s">
        <v>81</v>
      </c>
      <c r="CB4" s="42" t="s">
        <v>82</v>
      </c>
      <c r="CC4" s="43" t="s">
        <v>83</v>
      </c>
      <c r="CD4" s="42" t="s">
        <v>84</v>
      </c>
      <c r="CE4" s="42" t="s">
        <v>85</v>
      </c>
      <c r="CF4" s="42" t="s">
        <v>86</v>
      </c>
      <c r="CG4" s="42" t="s">
        <v>87</v>
      </c>
      <c r="CH4" s="42" t="s">
        <v>88</v>
      </c>
      <c r="CI4" s="41" t="s">
        <v>89</v>
      </c>
      <c r="CJ4" s="41" t="s">
        <v>90</v>
      </c>
      <c r="CK4" s="41" t="s">
        <v>91</v>
      </c>
      <c r="CL4" s="41" t="s">
        <v>92</v>
      </c>
      <c r="CM4" s="42" t="s">
        <v>93</v>
      </c>
      <c r="CN4" s="43" t="s">
        <v>94</v>
      </c>
      <c r="CO4" s="42" t="s">
        <v>95</v>
      </c>
      <c r="CP4" s="41" t="s">
        <v>96</v>
      </c>
      <c r="CQ4" s="42" t="s">
        <v>97</v>
      </c>
      <c r="CR4" s="43" t="s">
        <v>98</v>
      </c>
      <c r="CS4" s="42" t="s">
        <v>99</v>
      </c>
      <c r="CT4" s="42" t="s">
        <v>100</v>
      </c>
      <c r="CU4" s="42" t="s">
        <v>101</v>
      </c>
      <c r="CV4" s="42" t="s">
        <v>102</v>
      </c>
      <c r="CW4" s="42" t="s">
        <v>103</v>
      </c>
      <c r="CX4" s="42" t="s">
        <v>104</v>
      </c>
      <c r="CY4" s="42" t="s">
        <v>105</v>
      </c>
      <c r="CZ4" s="42" t="s">
        <v>106</v>
      </c>
      <c r="DA4" s="42" t="s">
        <v>107</v>
      </c>
      <c r="DB4" s="42" t="s">
        <v>108</v>
      </c>
      <c r="DC4" s="42" t="s">
        <v>109</v>
      </c>
      <c r="DD4" s="43" t="s">
        <v>110</v>
      </c>
      <c r="DE4" s="43" t="s">
        <v>111</v>
      </c>
      <c r="DF4" s="41" t="s">
        <v>112</v>
      </c>
      <c r="DG4" s="42" t="s">
        <v>113</v>
      </c>
      <c r="DH4" s="42" t="s">
        <v>114</v>
      </c>
      <c r="DI4" s="42" t="s">
        <v>115</v>
      </c>
      <c r="DJ4" s="43" t="s">
        <v>116</v>
      </c>
      <c r="DK4" s="43" t="s">
        <v>117</v>
      </c>
      <c r="DL4" s="43" t="s">
        <v>118</v>
      </c>
      <c r="DM4" s="41" t="s">
        <v>119</v>
      </c>
      <c r="DN4" s="42" t="s">
        <v>120</v>
      </c>
      <c r="DO4" s="43" t="s">
        <v>121</v>
      </c>
      <c r="DP4" s="42" t="s">
        <v>122</v>
      </c>
      <c r="DQ4" s="42" t="s">
        <v>123</v>
      </c>
      <c r="DR4" s="42" t="s">
        <v>124</v>
      </c>
      <c r="DS4" s="42" t="s">
        <v>125</v>
      </c>
      <c r="DT4" s="42" t="s">
        <v>126</v>
      </c>
      <c r="DU4" s="42" t="s">
        <v>127</v>
      </c>
      <c r="DV4" s="42" t="s">
        <v>128</v>
      </c>
      <c r="DW4" s="42" t="s">
        <v>129</v>
      </c>
      <c r="DX4" s="42" t="s">
        <v>130</v>
      </c>
      <c r="DY4" s="42" t="s">
        <v>131</v>
      </c>
      <c r="DZ4" s="42" t="s">
        <v>132</v>
      </c>
      <c r="EA4" s="41" t="s">
        <v>133</v>
      </c>
      <c r="EB4" s="42" t="s">
        <v>134</v>
      </c>
      <c r="EC4" s="42" t="s">
        <v>135</v>
      </c>
      <c r="ED4" s="41" t="s">
        <v>136</v>
      </c>
      <c r="EE4" s="42" t="s">
        <v>137</v>
      </c>
      <c r="EF4" s="42" t="s">
        <v>138</v>
      </c>
      <c r="EG4" s="41" t="s">
        <v>139</v>
      </c>
      <c r="EH4" s="42" t="s">
        <v>140</v>
      </c>
      <c r="EI4" s="42" t="s">
        <v>141</v>
      </c>
      <c r="EJ4" s="42" t="s">
        <v>142</v>
      </c>
      <c r="EK4" s="42" t="s">
        <v>143</v>
      </c>
      <c r="EL4" s="42" t="s">
        <v>144</v>
      </c>
      <c r="EM4" s="42" t="s">
        <v>145</v>
      </c>
      <c r="EN4" s="42" t="s">
        <v>146</v>
      </c>
      <c r="EO4" s="42" t="s">
        <v>147</v>
      </c>
      <c r="EP4" s="42" t="s">
        <v>148</v>
      </c>
      <c r="EQ4" s="41" t="s">
        <v>149</v>
      </c>
      <c r="ER4" s="42" t="s">
        <v>150</v>
      </c>
      <c r="ES4" s="42" t="s">
        <v>151</v>
      </c>
      <c r="ET4" s="42" t="s">
        <v>152</v>
      </c>
      <c r="EU4" s="42" t="s">
        <v>153</v>
      </c>
      <c r="EV4" s="42" t="s">
        <v>154</v>
      </c>
      <c r="EW4" s="42" t="s">
        <v>155</v>
      </c>
      <c r="EX4" s="42" t="s">
        <v>156</v>
      </c>
      <c r="EY4" s="42" t="s">
        <v>157</v>
      </c>
      <c r="EZ4" s="42" t="s">
        <v>158</v>
      </c>
      <c r="FA4" s="42" t="s">
        <v>159</v>
      </c>
      <c r="FB4" s="42" t="s">
        <v>160</v>
      </c>
      <c r="FC4" s="42" t="s">
        <v>161</v>
      </c>
      <c r="FD4" s="42" t="s">
        <v>162</v>
      </c>
      <c r="FE4" s="42" t="s">
        <v>163</v>
      </c>
      <c r="FF4" s="42" t="s">
        <v>164</v>
      </c>
      <c r="FG4" s="42" t="s">
        <v>165</v>
      </c>
      <c r="FH4" s="42" t="s">
        <v>166</v>
      </c>
      <c r="FI4" s="42" t="s">
        <v>167</v>
      </c>
      <c r="FJ4" s="42" t="s">
        <v>168</v>
      </c>
      <c r="FK4" s="42" t="s">
        <v>169</v>
      </c>
      <c r="FL4" s="42" t="s">
        <v>170</v>
      </c>
      <c r="FM4" s="42" t="s">
        <v>171</v>
      </c>
      <c r="FN4" s="42" t="s">
        <v>172</v>
      </c>
      <c r="FO4" s="42" t="s">
        <v>173</v>
      </c>
      <c r="FP4" s="42" t="s">
        <v>174</v>
      </c>
      <c r="FQ4" s="42" t="s">
        <v>175</v>
      </c>
      <c r="FR4" s="42" t="s">
        <v>176</v>
      </c>
      <c r="FS4" s="42" t="s">
        <v>177</v>
      </c>
      <c r="FT4" s="42" t="s">
        <v>178</v>
      </c>
      <c r="FU4" s="42" t="s">
        <v>179</v>
      </c>
      <c r="FV4" s="42" t="s">
        <v>180</v>
      </c>
      <c r="FW4" s="42" t="s">
        <v>181</v>
      </c>
      <c r="FX4" s="42" t="s">
        <v>182</v>
      </c>
      <c r="FY4" s="42" t="s">
        <v>183</v>
      </c>
      <c r="FZ4" s="42" t="s">
        <v>184</v>
      </c>
      <c r="GA4" s="42" t="s">
        <v>185</v>
      </c>
      <c r="GB4" s="43" t="s">
        <v>186</v>
      </c>
      <c r="GC4" s="42" t="s">
        <v>187</v>
      </c>
      <c r="GD4" s="42" t="s">
        <v>188</v>
      </c>
      <c r="GE4" s="42" t="s">
        <v>189</v>
      </c>
      <c r="GF4" s="42" t="s">
        <v>190</v>
      </c>
      <c r="GG4" s="42" t="s">
        <v>191</v>
      </c>
      <c r="GH4" s="42" t="s">
        <v>192</v>
      </c>
      <c r="GI4" s="42" t="s">
        <v>193</v>
      </c>
      <c r="GJ4" s="42" t="s">
        <v>194</v>
      </c>
      <c r="GK4" s="42" t="s">
        <v>195</v>
      </c>
      <c r="GL4" s="42" t="s">
        <v>196</v>
      </c>
      <c r="GM4" s="42" t="s">
        <v>197</v>
      </c>
      <c r="GN4" s="42" t="s">
        <v>198</v>
      </c>
      <c r="GO4" s="42" t="s">
        <v>199</v>
      </c>
      <c r="GP4" s="42" t="s">
        <v>200</v>
      </c>
      <c r="GQ4" s="42" t="s">
        <v>201</v>
      </c>
      <c r="GR4" s="42" t="s">
        <v>202</v>
      </c>
      <c r="GS4" s="43" t="s">
        <v>203</v>
      </c>
      <c r="GT4" s="42" t="s">
        <v>204</v>
      </c>
      <c r="GU4" s="41" t="s">
        <v>205</v>
      </c>
      <c r="GV4" s="42" t="s">
        <v>206</v>
      </c>
      <c r="GW4" s="44" t="s">
        <v>207</v>
      </c>
      <c r="GX4" s="42" t="s">
        <v>208</v>
      </c>
      <c r="GY4" s="42" t="s">
        <v>209</v>
      </c>
      <c r="GZ4" s="42" t="s">
        <v>210</v>
      </c>
      <c r="HA4" s="42" t="s">
        <v>211</v>
      </c>
      <c r="HB4" s="42" t="s">
        <v>212</v>
      </c>
      <c r="HC4" s="42" t="s">
        <v>213</v>
      </c>
      <c r="HD4" s="42" t="s">
        <v>214</v>
      </c>
      <c r="HE4" s="41" t="s">
        <v>215</v>
      </c>
      <c r="HF4" s="42" t="s">
        <v>216</v>
      </c>
      <c r="HG4" s="42" t="s">
        <v>217</v>
      </c>
      <c r="HH4" s="42" t="s">
        <v>218</v>
      </c>
      <c r="HI4" s="42" t="s">
        <v>219</v>
      </c>
      <c r="HJ4" s="42" t="s">
        <v>220</v>
      </c>
      <c r="HK4" s="42" t="s">
        <v>221</v>
      </c>
      <c r="HL4" s="42" t="s">
        <v>222</v>
      </c>
      <c r="HM4" s="42" t="s">
        <v>223</v>
      </c>
      <c r="HN4" s="42" t="s">
        <v>224</v>
      </c>
      <c r="HO4" s="42" t="s">
        <v>225</v>
      </c>
      <c r="HP4" s="42" t="s">
        <v>226</v>
      </c>
      <c r="HQ4" s="42" t="s">
        <v>227</v>
      </c>
      <c r="HR4" s="42" t="s">
        <v>228</v>
      </c>
      <c r="HS4" s="42" t="s">
        <v>229</v>
      </c>
      <c r="HT4" s="42" t="s">
        <v>230</v>
      </c>
      <c r="HU4" s="42" t="s">
        <v>231</v>
      </c>
      <c r="HV4" s="42" t="s">
        <v>232</v>
      </c>
      <c r="HW4" s="42" t="s">
        <v>233</v>
      </c>
      <c r="HX4" s="42" t="s">
        <v>234</v>
      </c>
      <c r="HY4" s="42" t="s">
        <v>235</v>
      </c>
      <c r="HZ4" s="42" t="s">
        <v>236</v>
      </c>
      <c r="IA4" s="42" t="s">
        <v>237</v>
      </c>
      <c r="IB4" s="42" t="s">
        <v>238</v>
      </c>
      <c r="IC4" s="42" t="s">
        <v>239</v>
      </c>
      <c r="ID4" s="42" t="s">
        <v>240</v>
      </c>
      <c r="IE4" s="42" t="s">
        <v>241</v>
      </c>
      <c r="IF4" s="42" t="s">
        <v>242</v>
      </c>
      <c r="IG4" s="42" t="s">
        <v>243</v>
      </c>
      <c r="IH4" s="42" t="s">
        <v>244</v>
      </c>
      <c r="II4" s="42" t="s">
        <v>245</v>
      </c>
      <c r="IJ4" s="42" t="s">
        <v>246</v>
      </c>
      <c r="IK4" s="42" t="s">
        <v>247</v>
      </c>
      <c r="IL4" s="42" t="s">
        <v>248</v>
      </c>
      <c r="IM4" s="42" t="s">
        <v>249</v>
      </c>
      <c r="IN4" s="42" t="s">
        <v>250</v>
      </c>
      <c r="IO4" s="42" t="s">
        <v>251</v>
      </c>
      <c r="IP4" s="19" t="s">
        <v>2412</v>
      </c>
      <c r="IQ4" s="191" t="s">
        <v>2409</v>
      </c>
      <c r="IR4" s="191"/>
      <c r="IS4" s="191"/>
      <c r="IT4" s="191"/>
      <c r="IU4" s="191"/>
      <c r="IV4" s="191"/>
      <c r="IW4" s="131" t="s">
        <v>2410</v>
      </c>
    </row>
    <row r="5" spans="1:257" ht="48.75" customHeight="1" thickBot="1" x14ac:dyDescent="0.3">
      <c r="A5" s="190"/>
      <c r="B5" s="188"/>
      <c r="C5" s="183"/>
      <c r="D5" s="186"/>
      <c r="E5" s="45" t="s">
        <v>252</v>
      </c>
      <c r="F5" s="46" t="s">
        <v>253</v>
      </c>
      <c r="G5" s="46" t="s">
        <v>254</v>
      </c>
      <c r="H5" s="46" t="s">
        <v>255</v>
      </c>
      <c r="I5" s="46" t="s">
        <v>256</v>
      </c>
      <c r="J5" s="46" t="s">
        <v>257</v>
      </c>
      <c r="K5" s="46" t="s">
        <v>258</v>
      </c>
      <c r="L5" s="46" t="s">
        <v>259</v>
      </c>
      <c r="M5" s="46" t="s">
        <v>260</v>
      </c>
      <c r="N5" s="46" t="s">
        <v>261</v>
      </c>
      <c r="O5" s="46" t="s">
        <v>262</v>
      </c>
      <c r="P5" s="46" t="s">
        <v>263</v>
      </c>
      <c r="Q5" s="46" t="s">
        <v>264</v>
      </c>
      <c r="R5" s="46" t="s">
        <v>265</v>
      </c>
      <c r="S5" s="46" t="s">
        <v>266</v>
      </c>
      <c r="T5" s="46" t="s">
        <v>267</v>
      </c>
      <c r="U5" s="46" t="s">
        <v>268</v>
      </c>
      <c r="V5" s="46" t="s">
        <v>269</v>
      </c>
      <c r="W5" s="46" t="s">
        <v>270</v>
      </c>
      <c r="X5" s="46" t="s">
        <v>271</v>
      </c>
      <c r="Y5" s="46" t="s">
        <v>272</v>
      </c>
      <c r="Z5" s="46" t="s">
        <v>273</v>
      </c>
      <c r="AA5" s="46" t="s">
        <v>274</v>
      </c>
      <c r="AB5" s="46" t="s">
        <v>275</v>
      </c>
      <c r="AC5" s="46" t="s">
        <v>276</v>
      </c>
      <c r="AD5" s="46" t="s">
        <v>277</v>
      </c>
      <c r="AE5" s="46" t="s">
        <v>278</v>
      </c>
      <c r="AF5" s="46" t="s">
        <v>279</v>
      </c>
      <c r="AG5" s="46" t="s">
        <v>280</v>
      </c>
      <c r="AH5" s="46" t="s">
        <v>281</v>
      </c>
      <c r="AI5" s="46" t="s">
        <v>282</v>
      </c>
      <c r="AJ5" s="46" t="s">
        <v>283</v>
      </c>
      <c r="AK5" s="46" t="s">
        <v>284</v>
      </c>
      <c r="AL5" s="46" t="s">
        <v>285</v>
      </c>
      <c r="AM5" s="46" t="s">
        <v>286</v>
      </c>
      <c r="AN5" s="46" t="s">
        <v>287</v>
      </c>
      <c r="AO5" s="46" t="s">
        <v>288</v>
      </c>
      <c r="AP5" s="46" t="s">
        <v>289</v>
      </c>
      <c r="AQ5" s="46" t="s">
        <v>290</v>
      </c>
      <c r="AR5" s="46" t="s">
        <v>291</v>
      </c>
      <c r="AS5" s="46" t="s">
        <v>292</v>
      </c>
      <c r="AT5" s="46" t="s">
        <v>293</v>
      </c>
      <c r="AU5" s="46" t="s">
        <v>294</v>
      </c>
      <c r="AV5" s="46" t="s">
        <v>295</v>
      </c>
      <c r="AW5" s="46" t="s">
        <v>296</v>
      </c>
      <c r="AX5" s="46" t="s">
        <v>297</v>
      </c>
      <c r="AY5" s="46" t="s">
        <v>298</v>
      </c>
      <c r="AZ5" s="46" t="s">
        <v>299</v>
      </c>
      <c r="BA5" s="46" t="s">
        <v>300</v>
      </c>
      <c r="BB5" s="46" t="s">
        <v>301</v>
      </c>
      <c r="BC5" s="46" t="s">
        <v>302</v>
      </c>
      <c r="BD5" s="46" t="s">
        <v>303</v>
      </c>
      <c r="BE5" s="46" t="s">
        <v>304</v>
      </c>
      <c r="BF5" s="46" t="s">
        <v>305</v>
      </c>
      <c r="BG5" s="46" t="s">
        <v>306</v>
      </c>
      <c r="BH5" s="46" t="s">
        <v>307</v>
      </c>
      <c r="BI5" s="46" t="s">
        <v>308</v>
      </c>
      <c r="BJ5" s="46" t="s">
        <v>309</v>
      </c>
      <c r="BK5" s="46" t="s">
        <v>310</v>
      </c>
      <c r="BL5" s="46" t="s">
        <v>311</v>
      </c>
      <c r="BM5" s="46" t="s">
        <v>312</v>
      </c>
      <c r="BN5" s="46" t="s">
        <v>313</v>
      </c>
      <c r="BO5" s="46" t="s">
        <v>314</v>
      </c>
      <c r="BP5" s="46" t="s">
        <v>315</v>
      </c>
      <c r="BQ5" s="46" t="s">
        <v>316</v>
      </c>
      <c r="BR5" s="46" t="s">
        <v>317</v>
      </c>
      <c r="BS5" s="46" t="s">
        <v>318</v>
      </c>
      <c r="BT5" s="46" t="s">
        <v>319</v>
      </c>
      <c r="BU5" s="46" t="s">
        <v>320</v>
      </c>
      <c r="BV5" s="46" t="s">
        <v>321</v>
      </c>
      <c r="BW5" s="46" t="s">
        <v>322</v>
      </c>
      <c r="BX5" s="46" t="s">
        <v>323</v>
      </c>
      <c r="BY5" s="46" t="s">
        <v>324</v>
      </c>
      <c r="BZ5" s="46" t="s">
        <v>325</v>
      </c>
      <c r="CA5" s="46" t="s">
        <v>326</v>
      </c>
      <c r="CB5" s="46" t="s">
        <v>327</v>
      </c>
      <c r="CC5" s="46" t="s">
        <v>328</v>
      </c>
      <c r="CD5" s="46" t="s">
        <v>329</v>
      </c>
      <c r="CE5" s="46" t="s">
        <v>330</v>
      </c>
      <c r="CF5" s="46" t="s">
        <v>331</v>
      </c>
      <c r="CG5" s="46" t="s">
        <v>332</v>
      </c>
      <c r="CH5" s="46" t="s">
        <v>333</v>
      </c>
      <c r="CI5" s="46" t="s">
        <v>334</v>
      </c>
      <c r="CJ5" s="46" t="s">
        <v>335</v>
      </c>
      <c r="CK5" s="46" t="s">
        <v>336</v>
      </c>
      <c r="CL5" s="46" t="s">
        <v>337</v>
      </c>
      <c r="CM5" s="46" t="s">
        <v>338</v>
      </c>
      <c r="CN5" s="46" t="s">
        <v>339</v>
      </c>
      <c r="CO5" s="46" t="s">
        <v>340</v>
      </c>
      <c r="CP5" s="46" t="s">
        <v>341</v>
      </c>
      <c r="CQ5" s="46" t="s">
        <v>342</v>
      </c>
      <c r="CR5" s="46" t="s">
        <v>343</v>
      </c>
      <c r="CS5" s="46" t="s">
        <v>344</v>
      </c>
      <c r="CT5" s="46" t="s">
        <v>345</v>
      </c>
      <c r="CU5" s="46" t="s">
        <v>346</v>
      </c>
      <c r="CV5" s="46" t="s">
        <v>347</v>
      </c>
      <c r="CW5" s="46" t="s">
        <v>348</v>
      </c>
      <c r="CX5" s="46" t="s">
        <v>349</v>
      </c>
      <c r="CY5" s="46" t="s">
        <v>350</v>
      </c>
      <c r="CZ5" s="46" t="s">
        <v>351</v>
      </c>
      <c r="DA5" s="46" t="s">
        <v>352</v>
      </c>
      <c r="DB5" s="46" t="s">
        <v>353</v>
      </c>
      <c r="DC5" s="46" t="s">
        <v>354</v>
      </c>
      <c r="DD5" s="46" t="s">
        <v>355</v>
      </c>
      <c r="DE5" s="46" t="s">
        <v>356</v>
      </c>
      <c r="DF5" s="46" t="s">
        <v>357</v>
      </c>
      <c r="DG5" s="46" t="s">
        <v>358</v>
      </c>
      <c r="DH5" s="46" t="s">
        <v>359</v>
      </c>
      <c r="DI5" s="46" t="s">
        <v>360</v>
      </c>
      <c r="DJ5" s="45" t="s">
        <v>361</v>
      </c>
      <c r="DK5" s="46" t="s">
        <v>362</v>
      </c>
      <c r="DL5" s="46" t="s">
        <v>363</v>
      </c>
      <c r="DM5" s="99" t="s">
        <v>364</v>
      </c>
      <c r="DN5" s="46" t="s">
        <v>365</v>
      </c>
      <c r="DO5" s="46" t="s">
        <v>366</v>
      </c>
      <c r="DP5" s="46" t="s">
        <v>367</v>
      </c>
      <c r="DQ5" s="46" t="s">
        <v>368</v>
      </c>
      <c r="DR5" s="46" t="s">
        <v>369</v>
      </c>
      <c r="DS5" s="46" t="s">
        <v>370</v>
      </c>
      <c r="DT5" s="46" t="s">
        <v>371</v>
      </c>
      <c r="DU5" s="46" t="s">
        <v>372</v>
      </c>
      <c r="DV5" s="46" t="s">
        <v>373</v>
      </c>
      <c r="DW5" s="46" t="s">
        <v>374</v>
      </c>
      <c r="DX5" s="46" t="s">
        <v>375</v>
      </c>
      <c r="DY5" s="46" t="s">
        <v>376</v>
      </c>
      <c r="DZ5" s="46" t="s">
        <v>377</v>
      </c>
      <c r="EA5" s="46" t="s">
        <v>378</v>
      </c>
      <c r="EB5" s="46" t="s">
        <v>379</v>
      </c>
      <c r="EC5" s="46" t="s">
        <v>380</v>
      </c>
      <c r="ED5" s="46" t="s">
        <v>381</v>
      </c>
      <c r="EE5" s="46" t="s">
        <v>382</v>
      </c>
      <c r="EF5" s="46" t="s">
        <v>383</v>
      </c>
      <c r="EG5" s="46" t="s">
        <v>384</v>
      </c>
      <c r="EH5" s="46" t="s">
        <v>385</v>
      </c>
      <c r="EI5" s="46" t="s">
        <v>386</v>
      </c>
      <c r="EJ5" s="46" t="s">
        <v>387</v>
      </c>
      <c r="EK5" s="46" t="s">
        <v>388</v>
      </c>
      <c r="EL5" s="46" t="s">
        <v>389</v>
      </c>
      <c r="EM5" s="46" t="s">
        <v>390</v>
      </c>
      <c r="EN5" s="46" t="s">
        <v>391</v>
      </c>
      <c r="EO5" s="46" t="s">
        <v>392</v>
      </c>
      <c r="EP5" s="46" t="s">
        <v>393</v>
      </c>
      <c r="EQ5" s="46" t="s">
        <v>394</v>
      </c>
      <c r="ER5" s="46" t="s">
        <v>395</v>
      </c>
      <c r="ES5" s="46" t="s">
        <v>396</v>
      </c>
      <c r="ET5" s="46" t="s">
        <v>397</v>
      </c>
      <c r="EU5" s="46" t="s">
        <v>398</v>
      </c>
      <c r="EV5" s="46" t="s">
        <v>399</v>
      </c>
      <c r="EW5" s="46" t="s">
        <v>400</v>
      </c>
      <c r="EX5" s="46" t="s">
        <v>401</v>
      </c>
      <c r="EY5" s="46" t="s">
        <v>402</v>
      </c>
      <c r="EZ5" s="46" t="s">
        <v>403</v>
      </c>
      <c r="FA5" s="46" t="s">
        <v>404</v>
      </c>
      <c r="FB5" s="46" t="s">
        <v>405</v>
      </c>
      <c r="FC5" s="46" t="s">
        <v>406</v>
      </c>
      <c r="FD5" s="46" t="s">
        <v>407</v>
      </c>
      <c r="FE5" s="46" t="s">
        <v>408</v>
      </c>
      <c r="FF5" s="46" t="s">
        <v>409</v>
      </c>
      <c r="FG5" s="46" t="s">
        <v>410</v>
      </c>
      <c r="FH5" s="46" t="s">
        <v>411</v>
      </c>
      <c r="FI5" s="46" t="s">
        <v>412</v>
      </c>
      <c r="FJ5" s="46" t="s">
        <v>413</v>
      </c>
      <c r="FK5" s="46" t="s">
        <v>414</v>
      </c>
      <c r="FL5" s="46" t="s">
        <v>415</v>
      </c>
      <c r="FM5" s="46" t="s">
        <v>416</v>
      </c>
      <c r="FN5" s="46" t="s">
        <v>417</v>
      </c>
      <c r="FO5" s="46" t="s">
        <v>418</v>
      </c>
      <c r="FP5" s="46" t="s">
        <v>419</v>
      </c>
      <c r="FQ5" s="46" t="s">
        <v>420</v>
      </c>
      <c r="FR5" s="46" t="s">
        <v>421</v>
      </c>
      <c r="FS5" s="46" t="s">
        <v>422</v>
      </c>
      <c r="FT5" s="46" t="s">
        <v>423</v>
      </c>
      <c r="FU5" s="46" t="s">
        <v>424</v>
      </c>
      <c r="FV5" s="46" t="s">
        <v>425</v>
      </c>
      <c r="FW5" s="46" t="s">
        <v>426</v>
      </c>
      <c r="FX5" s="46" t="s">
        <v>427</v>
      </c>
      <c r="FY5" s="46" t="s">
        <v>428</v>
      </c>
      <c r="FZ5" s="46" t="s">
        <v>429</v>
      </c>
      <c r="GA5" s="46" t="s">
        <v>430</v>
      </c>
      <c r="GB5" s="46" t="s">
        <v>1</v>
      </c>
      <c r="GC5" s="46" t="s">
        <v>431</v>
      </c>
      <c r="GD5" s="46" t="s">
        <v>432</v>
      </c>
      <c r="GE5" s="46" t="s">
        <v>433</v>
      </c>
      <c r="GF5" s="46" t="s">
        <v>434</v>
      </c>
      <c r="GG5" s="46" t="s">
        <v>435</v>
      </c>
      <c r="GH5" s="46" t="s">
        <v>436</v>
      </c>
      <c r="GI5" s="46" t="s">
        <v>437</v>
      </c>
      <c r="GJ5" s="46" t="s">
        <v>438</v>
      </c>
      <c r="GK5" s="46" t="s">
        <v>439</v>
      </c>
      <c r="GL5" s="46" t="s">
        <v>440</v>
      </c>
      <c r="GM5" s="46" t="s">
        <v>441</v>
      </c>
      <c r="GN5" s="46" t="s">
        <v>442</v>
      </c>
      <c r="GO5" s="46" t="s">
        <v>443</v>
      </c>
      <c r="GP5" s="46" t="s">
        <v>444</v>
      </c>
      <c r="GQ5" s="46" t="s">
        <v>445</v>
      </c>
      <c r="GR5" s="46" t="s">
        <v>446</v>
      </c>
      <c r="GS5" s="46" t="s">
        <v>2</v>
      </c>
      <c r="GT5" s="46" t="s">
        <v>447</v>
      </c>
      <c r="GU5" s="46" t="s">
        <v>448</v>
      </c>
      <c r="GV5" s="46" t="s">
        <v>449</v>
      </c>
      <c r="GW5" s="46" t="s">
        <v>450</v>
      </c>
      <c r="GX5" s="46" t="s">
        <v>451</v>
      </c>
      <c r="GY5" s="46" t="s">
        <v>452</v>
      </c>
      <c r="GZ5" s="46" t="s">
        <v>453</v>
      </c>
      <c r="HA5" s="46" t="s">
        <v>454</v>
      </c>
      <c r="HB5" s="46" t="s">
        <v>455</v>
      </c>
      <c r="HC5" s="46" t="s">
        <v>456</v>
      </c>
      <c r="HD5" s="46" t="s">
        <v>457</v>
      </c>
      <c r="HE5" s="46" t="s">
        <v>458</v>
      </c>
      <c r="HF5" s="46" t="s">
        <v>459</v>
      </c>
      <c r="HG5" s="46" t="s">
        <v>460</v>
      </c>
      <c r="HH5" s="46" t="s">
        <v>461</v>
      </c>
      <c r="HI5" s="46" t="s">
        <v>462</v>
      </c>
      <c r="HJ5" s="46" t="s">
        <v>463</v>
      </c>
      <c r="HK5" s="46" t="s">
        <v>464</v>
      </c>
      <c r="HL5" s="46" t="s">
        <v>465</v>
      </c>
      <c r="HM5" s="46" t="s">
        <v>466</v>
      </c>
      <c r="HN5" s="46" t="s">
        <v>467</v>
      </c>
      <c r="HO5" s="46" t="s">
        <v>468</v>
      </c>
      <c r="HP5" s="46" t="s">
        <v>469</v>
      </c>
      <c r="HQ5" s="46" t="s">
        <v>470</v>
      </c>
      <c r="HR5" s="46" t="s">
        <v>471</v>
      </c>
      <c r="HS5" s="46" t="s">
        <v>472</v>
      </c>
      <c r="HT5" s="46" t="s">
        <v>473</v>
      </c>
      <c r="HU5" s="46" t="s">
        <v>474</v>
      </c>
      <c r="HV5" s="46" t="s">
        <v>475</v>
      </c>
      <c r="HW5" s="46" t="s">
        <v>476</v>
      </c>
      <c r="HX5" s="46" t="s">
        <v>477</v>
      </c>
      <c r="HY5" s="46" t="s">
        <v>478</v>
      </c>
      <c r="HZ5" s="46" t="s">
        <v>479</v>
      </c>
      <c r="IA5" s="46" t="s">
        <v>480</v>
      </c>
      <c r="IB5" s="46" t="s">
        <v>481</v>
      </c>
      <c r="IC5" s="46" t="s">
        <v>482</v>
      </c>
      <c r="ID5" s="46" t="s">
        <v>483</v>
      </c>
      <c r="IE5" s="46" t="s">
        <v>484</v>
      </c>
      <c r="IF5" s="46" t="s">
        <v>485</v>
      </c>
      <c r="IG5" s="46" t="s">
        <v>486</v>
      </c>
      <c r="IH5" s="46" t="s">
        <v>487</v>
      </c>
      <c r="II5" s="46" t="s">
        <v>488</v>
      </c>
      <c r="IJ5" s="46" t="s">
        <v>489</v>
      </c>
      <c r="IK5" s="46" t="s">
        <v>490</v>
      </c>
      <c r="IL5" s="46" t="s">
        <v>491</v>
      </c>
      <c r="IM5" s="46" t="s">
        <v>492</v>
      </c>
      <c r="IN5" s="46" t="s">
        <v>493</v>
      </c>
      <c r="IO5" s="46" t="s">
        <v>494</v>
      </c>
      <c r="IP5" s="20" t="s">
        <v>1325</v>
      </c>
      <c r="IQ5" s="98" t="s">
        <v>495</v>
      </c>
      <c r="IR5" s="5" t="s">
        <v>496</v>
      </c>
      <c r="IS5" s="5" t="s">
        <v>497</v>
      </c>
      <c r="IT5" s="5" t="s">
        <v>498</v>
      </c>
      <c r="IU5" s="5" t="s">
        <v>499</v>
      </c>
      <c r="IV5" s="5" t="s">
        <v>500</v>
      </c>
      <c r="IW5" s="130" t="s">
        <v>2408</v>
      </c>
    </row>
    <row r="6" spans="1:257" ht="30" customHeight="1" x14ac:dyDescent="0.25">
      <c r="A6" s="112" t="b">
        <f t="array" ref="A6:A256">TRANSPOSE(E2:IO2)</f>
        <v>1</v>
      </c>
      <c r="B6" s="113" t="b">
        <f>IFERROR(VLOOKUP(C6,'Bridge matrix'!$D$3:$E$727,2,FALSE)='symmetric IOT 245 2012'!D6,"FALSCH")</f>
        <v>1</v>
      </c>
      <c r="C6" s="108">
        <v>1</v>
      </c>
      <c r="D6" s="47" t="s">
        <v>1327</v>
      </c>
      <c r="E6" s="48">
        <v>246.37692859109248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826.79166013837812</v>
      </c>
      <c r="BF6" s="48">
        <v>0</v>
      </c>
      <c r="BG6" s="48">
        <v>0</v>
      </c>
      <c r="BH6" s="48">
        <v>352.79558238475198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1.1824921233690084</v>
      </c>
      <c r="CJ6" s="48">
        <v>0</v>
      </c>
      <c r="CK6" s="48">
        <v>0</v>
      </c>
      <c r="CL6" s="48">
        <v>18.642762715247748</v>
      </c>
      <c r="CM6" s="48">
        <v>13.981483125080397</v>
      </c>
      <c r="CN6" s="48">
        <v>38.245324316618863</v>
      </c>
      <c r="CO6" s="48">
        <v>0</v>
      </c>
      <c r="CP6" s="48">
        <v>0</v>
      </c>
      <c r="CQ6" s="48">
        <v>0</v>
      </c>
      <c r="CR6" s="48">
        <v>0</v>
      </c>
      <c r="CS6" s="48">
        <v>0</v>
      </c>
      <c r="CT6" s="48">
        <v>3.7130194674228359E-2</v>
      </c>
      <c r="CU6" s="48">
        <v>0.56389206573241668</v>
      </c>
      <c r="CV6" s="48">
        <v>1.3217372205985656</v>
      </c>
      <c r="CW6" s="48">
        <v>0</v>
      </c>
      <c r="CX6" s="48">
        <v>3.4560132586503199E-3</v>
      </c>
      <c r="CY6" s="48">
        <v>0</v>
      </c>
      <c r="CZ6" s="48">
        <v>0</v>
      </c>
      <c r="DA6" s="48">
        <v>1.9445448510163148E-2</v>
      </c>
      <c r="DB6" s="48">
        <v>2626.7612793827966</v>
      </c>
      <c r="DC6" s="48">
        <v>1.6628708231331127E-2</v>
      </c>
      <c r="DD6" s="48">
        <v>0</v>
      </c>
      <c r="DE6" s="48">
        <v>0</v>
      </c>
      <c r="DF6" s="48">
        <v>0</v>
      </c>
      <c r="DG6" s="48">
        <v>0</v>
      </c>
      <c r="DH6" s="48">
        <v>0</v>
      </c>
      <c r="DI6" s="48">
        <v>0</v>
      </c>
      <c r="DJ6" s="48">
        <v>0</v>
      </c>
      <c r="DK6" s="48">
        <v>0</v>
      </c>
      <c r="DL6" s="48">
        <v>21090.154837968828</v>
      </c>
      <c r="DM6" s="48">
        <v>0</v>
      </c>
      <c r="DN6" s="48">
        <v>0</v>
      </c>
      <c r="DO6" s="48">
        <v>0</v>
      </c>
      <c r="DP6" s="48">
        <v>0</v>
      </c>
      <c r="DQ6" s="48">
        <v>0</v>
      </c>
      <c r="DR6" s="48">
        <v>1.2317610700832809E-7</v>
      </c>
      <c r="DS6" s="48">
        <v>0</v>
      </c>
      <c r="DT6" s="48">
        <v>0</v>
      </c>
      <c r="DU6" s="48">
        <v>0</v>
      </c>
      <c r="DV6" s="48">
        <v>0</v>
      </c>
      <c r="DW6" s="48">
        <v>0</v>
      </c>
      <c r="DX6" s="48">
        <v>0</v>
      </c>
      <c r="DY6" s="48">
        <v>4.7022805496299865E-13</v>
      </c>
      <c r="DZ6" s="48">
        <v>0</v>
      </c>
      <c r="EA6" s="48">
        <v>0</v>
      </c>
      <c r="EB6" s="48">
        <v>1.3089381317202891E-6</v>
      </c>
      <c r="EC6" s="48">
        <v>3.7857508760053221E-8</v>
      </c>
      <c r="ED6" s="48">
        <v>0</v>
      </c>
      <c r="EE6" s="48">
        <v>0</v>
      </c>
      <c r="EF6" s="48">
        <v>0</v>
      </c>
      <c r="EG6" s="48">
        <v>0</v>
      </c>
      <c r="EH6" s="48">
        <v>0</v>
      </c>
      <c r="EI6" s="48">
        <v>1.3901122933751033E-3</v>
      </c>
      <c r="EJ6" s="48">
        <v>2.5831105430004081E-2</v>
      </c>
      <c r="EK6" s="48">
        <v>0</v>
      </c>
      <c r="EL6" s="48">
        <v>0</v>
      </c>
      <c r="EM6" s="48">
        <v>0</v>
      </c>
      <c r="EN6" s="48">
        <v>0</v>
      </c>
      <c r="EO6" s="48">
        <v>0</v>
      </c>
      <c r="EP6" s="48">
        <v>0</v>
      </c>
      <c r="EQ6" s="48">
        <v>0</v>
      </c>
      <c r="ER6" s="48">
        <v>3.266760044746945E-8</v>
      </c>
      <c r="ES6" s="48">
        <v>5.7124371335779305E-10</v>
      </c>
      <c r="ET6" s="48">
        <v>0</v>
      </c>
      <c r="EU6" s="48">
        <v>0</v>
      </c>
      <c r="EV6" s="48">
        <v>0</v>
      </c>
      <c r="EW6" s="48">
        <v>4.0665592066484619E-8</v>
      </c>
      <c r="EX6" s="48">
        <v>0</v>
      </c>
      <c r="EY6" s="48">
        <v>9.8758628375484915E-6</v>
      </c>
      <c r="EZ6" s="48">
        <v>0</v>
      </c>
      <c r="FA6" s="48">
        <v>8.2775918826931541E-12</v>
      </c>
      <c r="FB6" s="48">
        <v>2.2693556297749347E-13</v>
      </c>
      <c r="FC6" s="48">
        <v>0</v>
      </c>
      <c r="FD6" s="48">
        <v>0</v>
      </c>
      <c r="FE6" s="48">
        <v>0</v>
      </c>
      <c r="FF6" s="48">
        <v>0</v>
      </c>
      <c r="FG6" s="48">
        <v>0</v>
      </c>
      <c r="FH6" s="48">
        <v>0</v>
      </c>
      <c r="FI6" s="48">
        <v>0</v>
      </c>
      <c r="FJ6" s="48">
        <v>0</v>
      </c>
      <c r="FK6" s="48">
        <v>0</v>
      </c>
      <c r="FL6" s="48">
        <v>0</v>
      </c>
      <c r="FM6" s="48">
        <v>4.3283474735145603E-8</v>
      </c>
      <c r="FN6" s="48">
        <v>0</v>
      </c>
      <c r="FO6" s="48">
        <v>0</v>
      </c>
      <c r="FP6" s="48">
        <v>1.8421021050196296E-6</v>
      </c>
      <c r="FQ6" s="48">
        <v>0</v>
      </c>
      <c r="FR6" s="48">
        <v>0</v>
      </c>
      <c r="FS6" s="48">
        <v>0</v>
      </c>
      <c r="FT6" s="48">
        <v>0</v>
      </c>
      <c r="FU6" s="48">
        <v>0</v>
      </c>
      <c r="FV6" s="48">
        <v>1.5373050141818862E-12</v>
      </c>
      <c r="FW6" s="48">
        <v>0</v>
      </c>
      <c r="FX6" s="48">
        <v>0</v>
      </c>
      <c r="FY6" s="48">
        <v>0</v>
      </c>
      <c r="FZ6" s="48">
        <v>0</v>
      </c>
      <c r="GA6" s="48">
        <v>0</v>
      </c>
      <c r="GB6" s="48">
        <v>0</v>
      </c>
      <c r="GC6" s="48">
        <v>0</v>
      </c>
      <c r="GD6" s="48">
        <v>0</v>
      </c>
      <c r="GE6" s="48">
        <v>0</v>
      </c>
      <c r="GF6" s="48">
        <v>364.04231267626773</v>
      </c>
      <c r="GG6" s="48">
        <v>0</v>
      </c>
      <c r="GH6" s="48">
        <v>0</v>
      </c>
      <c r="GI6" s="48">
        <v>0</v>
      </c>
      <c r="GJ6" s="48">
        <v>0</v>
      </c>
      <c r="GK6" s="48">
        <v>0</v>
      </c>
      <c r="GL6" s="48">
        <v>0</v>
      </c>
      <c r="GM6" s="48">
        <v>0</v>
      </c>
      <c r="GN6" s="48">
        <v>0</v>
      </c>
      <c r="GO6" s="48">
        <v>0</v>
      </c>
      <c r="GP6" s="48">
        <v>0</v>
      </c>
      <c r="GQ6" s="48">
        <v>0</v>
      </c>
      <c r="GR6" s="48">
        <v>0</v>
      </c>
      <c r="GS6" s="48">
        <v>0</v>
      </c>
      <c r="GT6" s="48">
        <v>0</v>
      </c>
      <c r="GU6" s="48">
        <v>0</v>
      </c>
      <c r="GV6" s="48">
        <v>0</v>
      </c>
      <c r="GW6" s="48">
        <v>0</v>
      </c>
      <c r="GX6" s="48">
        <v>0</v>
      </c>
      <c r="GY6" s="48">
        <v>0</v>
      </c>
      <c r="GZ6" s="48">
        <v>0</v>
      </c>
      <c r="HA6" s="48">
        <v>0</v>
      </c>
      <c r="HB6" s="48">
        <v>0</v>
      </c>
      <c r="HC6" s="48">
        <v>0</v>
      </c>
      <c r="HD6" s="48">
        <v>0</v>
      </c>
      <c r="HE6" s="48">
        <v>0</v>
      </c>
      <c r="HF6" s="48">
        <v>0</v>
      </c>
      <c r="HG6" s="48">
        <v>0</v>
      </c>
      <c r="HH6" s="48">
        <v>0</v>
      </c>
      <c r="HI6" s="48">
        <v>0</v>
      </c>
      <c r="HJ6" s="48">
        <v>0</v>
      </c>
      <c r="HK6" s="48">
        <v>0</v>
      </c>
      <c r="HL6" s="48">
        <v>0</v>
      </c>
      <c r="HM6" s="48">
        <v>0</v>
      </c>
      <c r="HN6" s="48">
        <v>0</v>
      </c>
      <c r="HO6" s="48">
        <v>0</v>
      </c>
      <c r="HP6" s="48">
        <v>0</v>
      </c>
      <c r="HQ6" s="48">
        <v>0</v>
      </c>
      <c r="HR6" s="48">
        <v>0</v>
      </c>
      <c r="HS6" s="48">
        <v>0</v>
      </c>
      <c r="HT6" s="48">
        <v>0</v>
      </c>
      <c r="HU6" s="48">
        <v>0</v>
      </c>
      <c r="HV6" s="48">
        <v>219.44515425018207</v>
      </c>
      <c r="HW6" s="48">
        <v>0</v>
      </c>
      <c r="HX6" s="48">
        <v>295.23369231314115</v>
      </c>
      <c r="HY6" s="48">
        <v>250.34561589361689</v>
      </c>
      <c r="HZ6" s="48">
        <v>370.07284673891826</v>
      </c>
      <c r="IA6" s="48">
        <v>105.10098002805347</v>
      </c>
      <c r="IB6" s="48">
        <v>5.701059750947949</v>
      </c>
      <c r="IC6" s="48">
        <v>0</v>
      </c>
      <c r="ID6" s="48">
        <v>0</v>
      </c>
      <c r="IE6" s="48">
        <v>0</v>
      </c>
      <c r="IF6" s="48">
        <v>0</v>
      </c>
      <c r="IG6" s="48">
        <v>465.073040638169</v>
      </c>
      <c r="IH6" s="48">
        <v>14.735221202136753</v>
      </c>
      <c r="II6" s="48">
        <v>9.6745927839498176</v>
      </c>
      <c r="IJ6" s="48">
        <v>91.788962674789289</v>
      </c>
      <c r="IK6" s="48">
        <v>13.86464612961705</v>
      </c>
      <c r="IL6" s="48">
        <v>0</v>
      </c>
      <c r="IM6" s="48">
        <v>0</v>
      </c>
      <c r="IN6" s="48">
        <v>0</v>
      </c>
      <c r="IO6" s="48">
        <v>0</v>
      </c>
      <c r="IP6" s="21">
        <v>27421.999999999814</v>
      </c>
      <c r="IQ6" s="22">
        <v>201642</v>
      </c>
      <c r="IR6" s="6">
        <v>0</v>
      </c>
      <c r="IS6" s="6">
        <v>0</v>
      </c>
      <c r="IT6" s="6">
        <v>39567</v>
      </c>
      <c r="IU6" s="6">
        <v>0</v>
      </c>
      <c r="IV6" s="7">
        <v>1598772</v>
      </c>
      <c r="IW6" s="38">
        <f>SUM(IP6:IV6)</f>
        <v>1867402.9999999998</v>
      </c>
    </row>
    <row r="7" spans="1:257" ht="30" customHeight="1" x14ac:dyDescent="0.25">
      <c r="A7" s="112" t="b">
        <v>0</v>
      </c>
      <c r="B7" s="113" t="str">
        <f>IFERROR(VLOOKUP(C7,'Bridge matrix'!$D$3:$E$727,2,FALSE)='symmetric IOT 245 2012'!D7,"FALSCH")</f>
        <v>FALSCH</v>
      </c>
      <c r="C7" s="108">
        <v>2</v>
      </c>
      <c r="D7" s="49" t="s">
        <v>1328</v>
      </c>
      <c r="E7" s="48">
        <v>0</v>
      </c>
      <c r="F7" s="48">
        <v>114333.20182100523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4.1938922528399467E-2</v>
      </c>
      <c r="CM7" s="48">
        <v>4.3599784503152682E-3</v>
      </c>
      <c r="CN7" s="48">
        <v>0</v>
      </c>
      <c r="CO7" s="48">
        <v>0</v>
      </c>
      <c r="CP7" s="48">
        <v>0</v>
      </c>
      <c r="CQ7" s="48">
        <v>0</v>
      </c>
      <c r="CR7" s="48">
        <v>1.1200908662700754E-12</v>
      </c>
      <c r="CS7" s="48">
        <v>0</v>
      </c>
      <c r="CT7" s="48">
        <v>0</v>
      </c>
      <c r="CU7" s="48">
        <v>0</v>
      </c>
      <c r="CV7" s="48">
        <v>0</v>
      </c>
      <c r="CW7" s="48">
        <v>0</v>
      </c>
      <c r="CX7" s="48">
        <v>0</v>
      </c>
      <c r="CY7" s="48">
        <v>0</v>
      </c>
      <c r="CZ7" s="48">
        <v>1.2379766511711209E-5</v>
      </c>
      <c r="DA7" s="48">
        <v>0</v>
      </c>
      <c r="DB7" s="48">
        <v>0</v>
      </c>
      <c r="DC7" s="48">
        <v>0</v>
      </c>
      <c r="DD7" s="48">
        <v>2.100485598592297</v>
      </c>
      <c r="DE7" s="48">
        <v>7.8945227301706236E-5</v>
      </c>
      <c r="DF7" s="48">
        <v>0</v>
      </c>
      <c r="DG7" s="48">
        <v>0</v>
      </c>
      <c r="DH7" s="48">
        <v>0</v>
      </c>
      <c r="DI7" s="48">
        <v>0</v>
      </c>
      <c r="DJ7" s="48">
        <v>2.3294352262509882E-10</v>
      </c>
      <c r="DK7" s="48">
        <v>90174.651299853067</v>
      </c>
      <c r="DL7" s="48">
        <v>0</v>
      </c>
      <c r="DM7" s="48">
        <v>0</v>
      </c>
      <c r="DN7" s="48">
        <v>0</v>
      </c>
      <c r="DO7" s="48">
        <v>0</v>
      </c>
      <c r="DP7" s="48">
        <v>0</v>
      </c>
      <c r="DQ7" s="48">
        <v>0</v>
      </c>
      <c r="DR7" s="48">
        <v>0</v>
      </c>
      <c r="DS7" s="48">
        <v>0</v>
      </c>
      <c r="DT7" s="48">
        <v>0</v>
      </c>
      <c r="DU7" s="48">
        <v>0</v>
      </c>
      <c r="DV7" s="48">
        <v>0</v>
      </c>
      <c r="DW7" s="48">
        <v>0</v>
      </c>
      <c r="DX7" s="48">
        <v>0</v>
      </c>
      <c r="DY7" s="48">
        <v>0</v>
      </c>
      <c r="DZ7" s="48">
        <v>0</v>
      </c>
      <c r="EA7" s="48">
        <v>0</v>
      </c>
      <c r="EB7" s="48">
        <v>0</v>
      </c>
      <c r="EC7" s="48">
        <v>0</v>
      </c>
      <c r="ED7" s="48">
        <v>0</v>
      </c>
      <c r="EE7" s="48">
        <v>0</v>
      </c>
      <c r="EF7" s="48">
        <v>0</v>
      </c>
      <c r="EG7" s="48">
        <v>0</v>
      </c>
      <c r="EH7" s="48">
        <v>0</v>
      </c>
      <c r="EI7" s="48">
        <v>0</v>
      </c>
      <c r="EJ7" s="48">
        <v>0</v>
      </c>
      <c r="EK7" s="48">
        <v>0</v>
      </c>
      <c r="EL7" s="48">
        <v>7.3370082466055086E-11</v>
      </c>
      <c r="EM7" s="48">
        <v>1.1152385900603179E-10</v>
      </c>
      <c r="EN7" s="48">
        <v>3.3135920339630503E-6</v>
      </c>
      <c r="EO7" s="48">
        <v>0</v>
      </c>
      <c r="EP7" s="48">
        <v>2.021579803109032E-10</v>
      </c>
      <c r="EQ7" s="48">
        <v>0</v>
      </c>
      <c r="ER7" s="48">
        <v>0</v>
      </c>
      <c r="ES7" s="48">
        <v>0</v>
      </c>
      <c r="ET7" s="48">
        <v>2.3985855134681519E-11</v>
      </c>
      <c r="EU7" s="48">
        <v>0</v>
      </c>
      <c r="EV7" s="48">
        <v>0</v>
      </c>
      <c r="EW7" s="48">
        <v>0</v>
      </c>
      <c r="EX7" s="48">
        <v>3.785110870699391E-12</v>
      </c>
      <c r="EY7" s="48">
        <v>0</v>
      </c>
      <c r="EZ7" s="48">
        <v>0</v>
      </c>
      <c r="FA7" s="48">
        <v>0</v>
      </c>
      <c r="FB7" s="48">
        <v>0</v>
      </c>
      <c r="FC7" s="48">
        <v>0</v>
      </c>
      <c r="FD7" s="48">
        <v>1.9749353266691346E-16</v>
      </c>
      <c r="FE7" s="48">
        <v>0</v>
      </c>
      <c r="FF7" s="48">
        <v>0</v>
      </c>
      <c r="FG7" s="48">
        <v>5.0691019507358921E-17</v>
      </c>
      <c r="FH7" s="48">
        <v>3.6336639779022844E-17</v>
      </c>
      <c r="FI7" s="48">
        <v>5.6274507227448424E-17</v>
      </c>
      <c r="FJ7" s="48">
        <v>0</v>
      </c>
      <c r="FK7" s="48">
        <v>0</v>
      </c>
      <c r="FL7" s="48">
        <v>0</v>
      </c>
      <c r="FM7" s="48">
        <v>0</v>
      </c>
      <c r="FN7" s="48">
        <v>0</v>
      </c>
      <c r="FO7" s="48">
        <v>0</v>
      </c>
      <c r="FP7" s="48">
        <v>0</v>
      </c>
      <c r="FQ7" s="48">
        <v>3.2724725022060851E-17</v>
      </c>
      <c r="FR7" s="48">
        <v>9.6911728119641462E-18</v>
      </c>
      <c r="FS7" s="48">
        <v>0</v>
      </c>
      <c r="FT7" s="48">
        <v>2.63968616870971E-18</v>
      </c>
      <c r="FU7" s="48">
        <v>0</v>
      </c>
      <c r="FV7" s="48">
        <v>0</v>
      </c>
      <c r="FW7" s="48">
        <v>0</v>
      </c>
      <c r="FX7" s="48">
        <v>0</v>
      </c>
      <c r="FY7" s="48">
        <v>0</v>
      </c>
      <c r="FZ7" s="48">
        <v>0</v>
      </c>
      <c r="GA7" s="48">
        <v>0</v>
      </c>
      <c r="GB7" s="48">
        <v>0</v>
      </c>
      <c r="GC7" s="48">
        <v>0</v>
      </c>
      <c r="GD7" s="48">
        <v>0</v>
      </c>
      <c r="GE7" s="48">
        <v>0</v>
      </c>
      <c r="GF7" s="48">
        <v>0</v>
      </c>
      <c r="GG7" s="48">
        <v>0</v>
      </c>
      <c r="GH7" s="48">
        <v>0</v>
      </c>
      <c r="GI7" s="48">
        <v>0</v>
      </c>
      <c r="GJ7" s="48">
        <v>0</v>
      </c>
      <c r="GK7" s="48">
        <v>0</v>
      </c>
      <c r="GL7" s="48">
        <v>0</v>
      </c>
      <c r="GM7" s="48">
        <v>0</v>
      </c>
      <c r="GN7" s="48">
        <v>0</v>
      </c>
      <c r="GO7" s="48">
        <v>0</v>
      </c>
      <c r="GP7" s="48">
        <v>0</v>
      </c>
      <c r="GQ7" s="48">
        <v>0</v>
      </c>
      <c r="GR7" s="48">
        <v>0</v>
      </c>
      <c r="GS7" s="48">
        <v>0</v>
      </c>
      <c r="GT7" s="48">
        <v>2.4099058709101743E-20</v>
      </c>
      <c r="GU7" s="48">
        <v>0</v>
      </c>
      <c r="GV7" s="48">
        <v>0</v>
      </c>
      <c r="GW7" s="48">
        <v>0</v>
      </c>
      <c r="GX7" s="48">
        <v>3.5233417355843077E-18</v>
      </c>
      <c r="GY7" s="48">
        <v>0</v>
      </c>
      <c r="GZ7" s="48">
        <v>0</v>
      </c>
      <c r="HA7" s="48">
        <v>0</v>
      </c>
      <c r="HB7" s="48">
        <v>0</v>
      </c>
      <c r="HC7" s="48">
        <v>0</v>
      </c>
      <c r="HD7" s="48">
        <v>0</v>
      </c>
      <c r="HE7" s="48">
        <v>0</v>
      </c>
      <c r="HF7" s="48">
        <v>0</v>
      </c>
      <c r="HG7" s="48">
        <v>0</v>
      </c>
      <c r="HH7" s="48">
        <v>0</v>
      </c>
      <c r="HI7" s="48">
        <v>0</v>
      </c>
      <c r="HJ7" s="48">
        <v>0</v>
      </c>
      <c r="HK7" s="48">
        <v>0</v>
      </c>
      <c r="HL7" s="48">
        <v>0</v>
      </c>
      <c r="HM7" s="48">
        <v>0</v>
      </c>
      <c r="HN7" s="48">
        <v>0</v>
      </c>
      <c r="HO7" s="48">
        <v>0</v>
      </c>
      <c r="HP7" s="48">
        <v>0</v>
      </c>
      <c r="HQ7" s="48">
        <v>0</v>
      </c>
      <c r="HR7" s="48">
        <v>0</v>
      </c>
      <c r="HS7" s="48">
        <v>0</v>
      </c>
      <c r="HT7" s="48">
        <v>0</v>
      </c>
      <c r="HU7" s="48">
        <v>0</v>
      </c>
      <c r="HV7" s="48">
        <v>1.8651174962899711E-17</v>
      </c>
      <c r="HW7" s="48">
        <v>0</v>
      </c>
      <c r="HX7" s="48">
        <v>0</v>
      </c>
      <c r="HY7" s="48">
        <v>0</v>
      </c>
      <c r="HZ7" s="48">
        <v>0</v>
      </c>
      <c r="IA7" s="48">
        <v>0</v>
      </c>
      <c r="IB7" s="48">
        <v>0</v>
      </c>
      <c r="IC7" s="48">
        <v>0</v>
      </c>
      <c r="ID7" s="48">
        <v>0</v>
      </c>
      <c r="IE7" s="48">
        <v>0</v>
      </c>
      <c r="IF7" s="48">
        <v>0</v>
      </c>
      <c r="IG7" s="48">
        <v>0</v>
      </c>
      <c r="IH7" s="48">
        <v>0</v>
      </c>
      <c r="II7" s="48">
        <v>0</v>
      </c>
      <c r="IJ7" s="48">
        <v>0</v>
      </c>
      <c r="IK7" s="48">
        <v>0</v>
      </c>
      <c r="IL7" s="48">
        <v>0</v>
      </c>
      <c r="IM7" s="48">
        <v>0</v>
      </c>
      <c r="IN7" s="48">
        <v>0</v>
      </c>
      <c r="IO7" s="48">
        <v>0</v>
      </c>
      <c r="IP7" s="23">
        <v>204509.99999999712</v>
      </c>
      <c r="IQ7" s="24">
        <v>770</v>
      </c>
      <c r="IR7" s="8">
        <v>0</v>
      </c>
      <c r="IS7" s="8">
        <v>0</v>
      </c>
      <c r="IT7" s="8">
        <v>5492</v>
      </c>
      <c r="IU7" s="8">
        <v>-14356</v>
      </c>
      <c r="IV7" s="9">
        <v>62765</v>
      </c>
      <c r="IW7" s="38">
        <f t="shared" ref="IW7:IW70" si="4">SUM(IP7:IV7)</f>
        <v>259180.99999999712</v>
      </c>
    </row>
    <row r="8" spans="1:257" ht="30" customHeight="1" x14ac:dyDescent="0.25">
      <c r="A8" s="112" t="b">
        <v>1</v>
      </c>
      <c r="B8" s="113" t="str">
        <f>IFERROR(VLOOKUP(C8,'Bridge matrix'!$D$3:$E$727,2,FALSE)='symmetric IOT 245 2012'!D8,"FALSCH")</f>
        <v>FALSCH</v>
      </c>
      <c r="C8" s="108">
        <v>3</v>
      </c>
      <c r="D8" s="49" t="s">
        <v>1329</v>
      </c>
      <c r="E8" s="48">
        <v>0</v>
      </c>
      <c r="F8" s="48">
        <v>0</v>
      </c>
      <c r="G8" s="48">
        <v>3.3352076000725495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48">
        <v>0</v>
      </c>
      <c r="AF8" s="48">
        <v>0</v>
      </c>
      <c r="AG8" s="48">
        <v>0</v>
      </c>
      <c r="AH8" s="48">
        <v>0</v>
      </c>
      <c r="AI8" s="48">
        <v>0</v>
      </c>
      <c r="AJ8" s="48">
        <v>0</v>
      </c>
      <c r="AK8" s="48">
        <v>0</v>
      </c>
      <c r="AL8" s="48">
        <v>0</v>
      </c>
      <c r="AM8" s="48">
        <v>0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  <c r="AS8" s="48">
        <v>0</v>
      </c>
      <c r="AT8" s="48">
        <v>0</v>
      </c>
      <c r="AU8" s="48">
        <v>0</v>
      </c>
      <c r="AV8" s="48">
        <v>0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  <c r="CM8" s="48">
        <v>0</v>
      </c>
      <c r="CN8" s="48">
        <v>0</v>
      </c>
      <c r="CO8" s="48">
        <v>0</v>
      </c>
      <c r="CP8" s="48">
        <v>0</v>
      </c>
      <c r="CQ8" s="48">
        <v>0</v>
      </c>
      <c r="CR8" s="48">
        <v>0</v>
      </c>
      <c r="CS8" s="48">
        <v>0</v>
      </c>
      <c r="CT8" s="48">
        <v>0</v>
      </c>
      <c r="CU8" s="48">
        <v>0</v>
      </c>
      <c r="CV8" s="48">
        <v>0</v>
      </c>
      <c r="CW8" s="48">
        <v>0</v>
      </c>
      <c r="CX8" s="48">
        <v>0</v>
      </c>
      <c r="CY8" s="48">
        <v>0</v>
      </c>
      <c r="CZ8" s="48">
        <v>0</v>
      </c>
      <c r="DA8" s="48">
        <v>0</v>
      </c>
      <c r="DB8" s="48">
        <v>0</v>
      </c>
      <c r="DC8" s="48">
        <v>0</v>
      </c>
      <c r="DD8" s="48">
        <v>0</v>
      </c>
      <c r="DE8" s="48">
        <v>0</v>
      </c>
      <c r="DF8" s="48">
        <v>0</v>
      </c>
      <c r="DG8" s="48">
        <v>68879.664792399184</v>
      </c>
      <c r="DH8" s="48">
        <v>0</v>
      </c>
      <c r="DI8" s="48">
        <v>0</v>
      </c>
      <c r="DJ8" s="48">
        <v>0</v>
      </c>
      <c r="DK8" s="48">
        <v>0</v>
      </c>
      <c r="DL8" s="48">
        <v>0</v>
      </c>
      <c r="DM8" s="48">
        <v>0</v>
      </c>
      <c r="DN8" s="48">
        <v>0</v>
      </c>
      <c r="DO8" s="48">
        <v>0</v>
      </c>
      <c r="DP8" s="48">
        <v>0</v>
      </c>
      <c r="DQ8" s="48">
        <v>0</v>
      </c>
      <c r="DR8" s="48">
        <v>0</v>
      </c>
      <c r="DS8" s="48">
        <v>0</v>
      </c>
      <c r="DT8" s="48">
        <v>0</v>
      </c>
      <c r="DU8" s="48">
        <v>0</v>
      </c>
      <c r="DV8" s="48">
        <v>0</v>
      </c>
      <c r="DW8" s="48">
        <v>0</v>
      </c>
      <c r="DX8" s="48">
        <v>0</v>
      </c>
      <c r="DY8" s="48">
        <v>0</v>
      </c>
      <c r="DZ8" s="48">
        <v>0</v>
      </c>
      <c r="EA8" s="48">
        <v>0</v>
      </c>
      <c r="EB8" s="48">
        <v>0</v>
      </c>
      <c r="EC8" s="48">
        <v>0</v>
      </c>
      <c r="ED8" s="48">
        <v>0</v>
      </c>
      <c r="EE8" s="48">
        <v>0</v>
      </c>
      <c r="EF8" s="48">
        <v>0</v>
      </c>
      <c r="EG8" s="48">
        <v>0</v>
      </c>
      <c r="EH8" s="48">
        <v>0</v>
      </c>
      <c r="EI8" s="48">
        <v>0</v>
      </c>
      <c r="EJ8" s="48">
        <v>0</v>
      </c>
      <c r="EK8" s="48">
        <v>0</v>
      </c>
      <c r="EL8" s="48">
        <v>0</v>
      </c>
      <c r="EM8" s="48">
        <v>0</v>
      </c>
      <c r="EN8" s="48">
        <v>0</v>
      </c>
      <c r="EO8" s="48">
        <v>0</v>
      </c>
      <c r="EP8" s="48">
        <v>0</v>
      </c>
      <c r="EQ8" s="48">
        <v>0</v>
      </c>
      <c r="ER8" s="48">
        <v>0</v>
      </c>
      <c r="ES8" s="48">
        <v>0</v>
      </c>
      <c r="ET8" s="48">
        <v>0</v>
      </c>
      <c r="EU8" s="48">
        <v>0</v>
      </c>
      <c r="EV8" s="48">
        <v>0</v>
      </c>
      <c r="EW8" s="48">
        <v>0</v>
      </c>
      <c r="EX8" s="48">
        <v>0</v>
      </c>
      <c r="EY8" s="48">
        <v>0</v>
      </c>
      <c r="EZ8" s="48">
        <v>0</v>
      </c>
      <c r="FA8" s="48">
        <v>0</v>
      </c>
      <c r="FB8" s="48">
        <v>0</v>
      </c>
      <c r="FC8" s="48">
        <v>0</v>
      </c>
      <c r="FD8" s="48">
        <v>0</v>
      </c>
      <c r="FE8" s="48">
        <v>0</v>
      </c>
      <c r="FF8" s="48">
        <v>0</v>
      </c>
      <c r="FG8" s="48">
        <v>0</v>
      </c>
      <c r="FH8" s="48">
        <v>0</v>
      </c>
      <c r="FI8" s="48">
        <v>0</v>
      </c>
      <c r="FJ8" s="48">
        <v>0</v>
      </c>
      <c r="FK8" s="48">
        <v>0</v>
      </c>
      <c r="FL8" s="48">
        <v>0</v>
      </c>
      <c r="FM8" s="48">
        <v>0</v>
      </c>
      <c r="FN8" s="48">
        <v>0</v>
      </c>
      <c r="FO8" s="48">
        <v>0</v>
      </c>
      <c r="FP8" s="48">
        <v>0</v>
      </c>
      <c r="FQ8" s="48">
        <v>0</v>
      </c>
      <c r="FR8" s="48">
        <v>0</v>
      </c>
      <c r="FS8" s="48">
        <v>0</v>
      </c>
      <c r="FT8" s="48">
        <v>0</v>
      </c>
      <c r="FU8" s="48">
        <v>0</v>
      </c>
      <c r="FV8" s="48">
        <v>0</v>
      </c>
      <c r="FW8" s="48">
        <v>0</v>
      </c>
      <c r="FX8" s="48">
        <v>0</v>
      </c>
      <c r="FY8" s="48">
        <v>0</v>
      </c>
      <c r="FZ8" s="48">
        <v>0</v>
      </c>
      <c r="GA8" s="48">
        <v>0</v>
      </c>
      <c r="GB8" s="48">
        <v>0</v>
      </c>
      <c r="GC8" s="48">
        <v>0</v>
      </c>
      <c r="GD8" s="48">
        <v>0</v>
      </c>
      <c r="GE8" s="48">
        <v>0</v>
      </c>
      <c r="GF8" s="48">
        <v>0</v>
      </c>
      <c r="GG8" s="48">
        <v>0</v>
      </c>
      <c r="GH8" s="48">
        <v>0</v>
      </c>
      <c r="GI8" s="48">
        <v>0</v>
      </c>
      <c r="GJ8" s="48">
        <v>0</v>
      </c>
      <c r="GK8" s="48">
        <v>0</v>
      </c>
      <c r="GL8" s="48">
        <v>0</v>
      </c>
      <c r="GM8" s="48">
        <v>0</v>
      </c>
      <c r="GN8" s="48">
        <v>0</v>
      </c>
      <c r="GO8" s="48">
        <v>0</v>
      </c>
      <c r="GP8" s="48">
        <v>0</v>
      </c>
      <c r="GQ8" s="48">
        <v>0</v>
      </c>
      <c r="GR8" s="48">
        <v>0</v>
      </c>
      <c r="GS8" s="48">
        <v>0</v>
      </c>
      <c r="GT8" s="48">
        <v>0</v>
      </c>
      <c r="GU8" s="48">
        <v>0</v>
      </c>
      <c r="GV8" s="48">
        <v>0</v>
      </c>
      <c r="GW8" s="48">
        <v>0</v>
      </c>
      <c r="GX8" s="48">
        <v>0</v>
      </c>
      <c r="GY8" s="48">
        <v>0</v>
      </c>
      <c r="GZ8" s="48">
        <v>0</v>
      </c>
      <c r="HA8" s="48">
        <v>0</v>
      </c>
      <c r="HB8" s="48">
        <v>0</v>
      </c>
      <c r="HC8" s="48">
        <v>0</v>
      </c>
      <c r="HD8" s="48">
        <v>0</v>
      </c>
      <c r="HE8" s="48">
        <v>0</v>
      </c>
      <c r="HF8" s="48">
        <v>0</v>
      </c>
      <c r="HG8" s="48">
        <v>0</v>
      </c>
      <c r="HH8" s="48">
        <v>0</v>
      </c>
      <c r="HI8" s="48">
        <v>0</v>
      </c>
      <c r="HJ8" s="48">
        <v>0</v>
      </c>
      <c r="HK8" s="48">
        <v>0</v>
      </c>
      <c r="HL8" s="48">
        <v>0</v>
      </c>
      <c r="HM8" s="48">
        <v>0</v>
      </c>
      <c r="HN8" s="48">
        <v>0</v>
      </c>
      <c r="HO8" s="48">
        <v>0</v>
      </c>
      <c r="HP8" s="48">
        <v>0</v>
      </c>
      <c r="HQ8" s="48">
        <v>0</v>
      </c>
      <c r="HR8" s="48">
        <v>0</v>
      </c>
      <c r="HS8" s="48">
        <v>0</v>
      </c>
      <c r="HT8" s="48">
        <v>0</v>
      </c>
      <c r="HU8" s="48">
        <v>0</v>
      </c>
      <c r="HV8" s="48">
        <v>0</v>
      </c>
      <c r="HW8" s="48">
        <v>0</v>
      </c>
      <c r="HX8" s="48">
        <v>0</v>
      </c>
      <c r="HY8" s="48">
        <v>0</v>
      </c>
      <c r="HZ8" s="48">
        <v>0</v>
      </c>
      <c r="IA8" s="48">
        <v>0</v>
      </c>
      <c r="IB8" s="48">
        <v>0</v>
      </c>
      <c r="IC8" s="48">
        <v>0</v>
      </c>
      <c r="ID8" s="48">
        <v>0</v>
      </c>
      <c r="IE8" s="48">
        <v>0</v>
      </c>
      <c r="IF8" s="48">
        <v>0</v>
      </c>
      <c r="IG8" s="48">
        <v>0</v>
      </c>
      <c r="IH8" s="48">
        <v>0</v>
      </c>
      <c r="II8" s="48">
        <v>0</v>
      </c>
      <c r="IJ8" s="48">
        <v>0</v>
      </c>
      <c r="IK8" s="48">
        <v>0</v>
      </c>
      <c r="IL8" s="48">
        <v>0</v>
      </c>
      <c r="IM8" s="48">
        <v>0</v>
      </c>
      <c r="IN8" s="48">
        <v>0</v>
      </c>
      <c r="IO8" s="48">
        <v>0</v>
      </c>
      <c r="IP8" s="23">
        <v>68882.999999999258</v>
      </c>
      <c r="IQ8" s="24">
        <v>2907</v>
      </c>
      <c r="IR8" s="8">
        <v>0</v>
      </c>
      <c r="IS8" s="8">
        <v>0</v>
      </c>
      <c r="IT8" s="8">
        <v>7797</v>
      </c>
      <c r="IU8" s="8">
        <v>-3</v>
      </c>
      <c r="IV8" s="9">
        <v>292410</v>
      </c>
      <c r="IW8" s="38">
        <f t="shared" si="4"/>
        <v>371993.99999999924</v>
      </c>
    </row>
    <row r="9" spans="1:257" ht="30" customHeight="1" x14ac:dyDescent="0.25">
      <c r="A9" s="112" t="b">
        <v>1</v>
      </c>
      <c r="B9" s="113" t="b">
        <f>IFERROR(VLOOKUP(C9,'Bridge matrix'!$D$3:$E$727,2,FALSE)='symmetric IOT 245 2012'!D9,"FALSCH")</f>
        <v>1</v>
      </c>
      <c r="C9" s="108">
        <v>4</v>
      </c>
      <c r="D9" s="49" t="s">
        <v>1330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0</v>
      </c>
      <c r="BK9" s="48">
        <v>0</v>
      </c>
      <c r="BL9" s="48">
        <v>0</v>
      </c>
      <c r="BM9" s="48">
        <v>0</v>
      </c>
      <c r="BN9" s="48">
        <v>0</v>
      </c>
      <c r="BO9" s="48">
        <v>0</v>
      </c>
      <c r="BP9" s="48">
        <v>0</v>
      </c>
      <c r="BQ9" s="48">
        <v>0</v>
      </c>
      <c r="BR9" s="48">
        <v>0</v>
      </c>
      <c r="BS9" s="48">
        <v>0</v>
      </c>
      <c r="BT9" s="48">
        <v>0</v>
      </c>
      <c r="BU9" s="48">
        <v>0</v>
      </c>
      <c r="BV9" s="48">
        <v>0</v>
      </c>
      <c r="BW9" s="48">
        <v>0</v>
      </c>
      <c r="BX9" s="48">
        <v>0</v>
      </c>
      <c r="BY9" s="48">
        <v>0</v>
      </c>
      <c r="BZ9" s="48">
        <v>0</v>
      </c>
      <c r="CA9" s="48">
        <v>0</v>
      </c>
      <c r="CB9" s="48">
        <v>0</v>
      </c>
      <c r="CC9" s="48">
        <v>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  <c r="CM9" s="48">
        <v>0</v>
      </c>
      <c r="CN9" s="48">
        <v>0</v>
      </c>
      <c r="CO9" s="48">
        <v>0</v>
      </c>
      <c r="CP9" s="48">
        <v>0</v>
      </c>
      <c r="CQ9" s="48">
        <v>0</v>
      </c>
      <c r="CR9" s="48">
        <v>1.1694562671547635E-3</v>
      </c>
      <c r="CS9" s="48">
        <v>0</v>
      </c>
      <c r="CT9" s="48">
        <v>0</v>
      </c>
      <c r="CU9" s="48">
        <v>0</v>
      </c>
      <c r="CV9" s="48">
        <v>0</v>
      </c>
      <c r="CW9" s="48">
        <v>0</v>
      </c>
      <c r="CX9" s="48">
        <v>0</v>
      </c>
      <c r="CY9" s="48">
        <v>4.0494792699025393</v>
      </c>
      <c r="CZ9" s="48">
        <v>5701.0785672489365</v>
      </c>
      <c r="DA9" s="48">
        <v>0</v>
      </c>
      <c r="DB9" s="48">
        <v>0</v>
      </c>
      <c r="DC9" s="48">
        <v>580.41962853859786</v>
      </c>
      <c r="DD9" s="48">
        <v>1.2913149732549483</v>
      </c>
      <c r="DE9" s="48">
        <v>1.9237140344677099</v>
      </c>
      <c r="DF9" s="48">
        <v>0</v>
      </c>
      <c r="DG9" s="48">
        <v>0</v>
      </c>
      <c r="DH9" s="48">
        <v>0</v>
      </c>
      <c r="DI9" s="48">
        <v>8.2488155154647718</v>
      </c>
      <c r="DJ9" s="48">
        <v>0.24320996682544577</v>
      </c>
      <c r="DK9" s="48">
        <v>5.6633462537378882</v>
      </c>
      <c r="DL9" s="48">
        <v>0</v>
      </c>
      <c r="DM9" s="48">
        <v>0</v>
      </c>
      <c r="DN9" s="48">
        <v>0</v>
      </c>
      <c r="DO9" s="48">
        <v>0</v>
      </c>
      <c r="DP9" s="48">
        <v>0</v>
      </c>
      <c r="DQ9" s="48">
        <v>0</v>
      </c>
      <c r="DR9" s="48">
        <v>0</v>
      </c>
      <c r="DS9" s="48">
        <v>0</v>
      </c>
      <c r="DT9" s="48">
        <v>0</v>
      </c>
      <c r="DU9" s="48">
        <v>0</v>
      </c>
      <c r="DV9" s="48">
        <v>0</v>
      </c>
      <c r="DW9" s="48">
        <v>0</v>
      </c>
      <c r="DX9" s="48">
        <v>0</v>
      </c>
      <c r="DY9" s="48">
        <v>0</v>
      </c>
      <c r="DZ9" s="48">
        <v>0</v>
      </c>
      <c r="EA9" s="48">
        <v>0</v>
      </c>
      <c r="EB9" s="48">
        <v>0</v>
      </c>
      <c r="EC9" s="48">
        <v>0</v>
      </c>
      <c r="ED9" s="48">
        <v>0</v>
      </c>
      <c r="EE9" s="48">
        <v>0</v>
      </c>
      <c r="EF9" s="48">
        <v>0</v>
      </c>
      <c r="EG9" s="48">
        <v>0</v>
      </c>
      <c r="EH9" s="48">
        <v>0</v>
      </c>
      <c r="EI9" s="48">
        <v>0</v>
      </c>
      <c r="EJ9" s="48">
        <v>0</v>
      </c>
      <c r="EK9" s="48">
        <v>0</v>
      </c>
      <c r="EL9" s="48">
        <v>1.7878605480556108E-6</v>
      </c>
      <c r="EM9" s="48">
        <v>2.717580531220582E-6</v>
      </c>
      <c r="EN9" s="48">
        <v>8.0744634199024223E-2</v>
      </c>
      <c r="EO9" s="48">
        <v>0</v>
      </c>
      <c r="EP9" s="48">
        <v>4.9261260901496501E-6</v>
      </c>
      <c r="EQ9" s="48">
        <v>0</v>
      </c>
      <c r="ER9" s="48">
        <v>0</v>
      </c>
      <c r="ES9" s="48">
        <v>0</v>
      </c>
      <c r="ET9" s="48">
        <v>5.8448024951469979E-7</v>
      </c>
      <c r="EU9" s="48">
        <v>0</v>
      </c>
      <c r="EV9" s="48">
        <v>0</v>
      </c>
      <c r="EW9" s="48">
        <v>0</v>
      </c>
      <c r="EX9" s="48">
        <v>9.2234466260424065E-8</v>
      </c>
      <c r="EY9" s="48">
        <v>0</v>
      </c>
      <c r="EZ9" s="48">
        <v>0</v>
      </c>
      <c r="FA9" s="48">
        <v>0</v>
      </c>
      <c r="FB9" s="48">
        <v>0</v>
      </c>
      <c r="FC9" s="48">
        <v>0</v>
      </c>
      <c r="FD9" s="48">
        <v>4.8124642045300052E-12</v>
      </c>
      <c r="FE9" s="48">
        <v>0</v>
      </c>
      <c r="FF9" s="48">
        <v>0</v>
      </c>
      <c r="FG9" s="48">
        <v>1.2352238251858778E-12</v>
      </c>
      <c r="FH9" s="48">
        <v>8.8544053006726906E-13</v>
      </c>
      <c r="FI9" s="48">
        <v>1.3712806085474109E-12</v>
      </c>
      <c r="FJ9" s="48">
        <v>0</v>
      </c>
      <c r="FK9" s="48">
        <v>0</v>
      </c>
      <c r="FL9" s="48">
        <v>0</v>
      </c>
      <c r="FM9" s="48">
        <v>0</v>
      </c>
      <c r="FN9" s="48">
        <v>0</v>
      </c>
      <c r="FO9" s="48">
        <v>0</v>
      </c>
      <c r="FP9" s="48">
        <v>0</v>
      </c>
      <c r="FQ9" s="48">
        <v>7.9742645566712397E-13</v>
      </c>
      <c r="FR9" s="48">
        <v>2.3615164318393618E-13</v>
      </c>
      <c r="FS9" s="48">
        <v>0</v>
      </c>
      <c r="FT9" s="48">
        <v>6.4323094668287715E-14</v>
      </c>
      <c r="FU9" s="48">
        <v>0</v>
      </c>
      <c r="FV9" s="48">
        <v>0</v>
      </c>
      <c r="FW9" s="48">
        <v>0</v>
      </c>
      <c r="FX9" s="48">
        <v>0</v>
      </c>
      <c r="FY9" s="48">
        <v>0</v>
      </c>
      <c r="FZ9" s="48">
        <v>0</v>
      </c>
      <c r="GA9" s="48">
        <v>0</v>
      </c>
      <c r="GB9" s="48">
        <v>0</v>
      </c>
      <c r="GC9" s="48">
        <v>0</v>
      </c>
      <c r="GD9" s="48">
        <v>0</v>
      </c>
      <c r="GE9" s="48">
        <v>0</v>
      </c>
      <c r="GF9" s="48">
        <v>0</v>
      </c>
      <c r="GG9" s="48">
        <v>0</v>
      </c>
      <c r="GH9" s="48">
        <v>0</v>
      </c>
      <c r="GI9" s="48">
        <v>0</v>
      </c>
      <c r="GJ9" s="48">
        <v>0</v>
      </c>
      <c r="GK9" s="48">
        <v>0</v>
      </c>
      <c r="GL9" s="48">
        <v>0</v>
      </c>
      <c r="GM9" s="48">
        <v>0</v>
      </c>
      <c r="GN9" s="48">
        <v>0</v>
      </c>
      <c r="GO9" s="48">
        <v>0</v>
      </c>
      <c r="GP9" s="48">
        <v>0</v>
      </c>
      <c r="GQ9" s="48">
        <v>0</v>
      </c>
      <c r="GR9" s="48">
        <v>0</v>
      </c>
      <c r="GS9" s="48">
        <v>0</v>
      </c>
      <c r="GT9" s="48">
        <v>5.8723876085613652E-16</v>
      </c>
      <c r="GU9" s="48">
        <v>0</v>
      </c>
      <c r="GV9" s="48">
        <v>0</v>
      </c>
      <c r="GW9" s="48">
        <v>0</v>
      </c>
      <c r="GX9" s="48">
        <v>8.5855753116855683E-14</v>
      </c>
      <c r="GY9" s="48">
        <v>0</v>
      </c>
      <c r="GZ9" s="48">
        <v>0</v>
      </c>
      <c r="HA9" s="48">
        <v>0</v>
      </c>
      <c r="HB9" s="48">
        <v>0</v>
      </c>
      <c r="HC9" s="48">
        <v>0</v>
      </c>
      <c r="HD9" s="48">
        <v>0</v>
      </c>
      <c r="HE9" s="48">
        <v>0</v>
      </c>
      <c r="HF9" s="48">
        <v>0</v>
      </c>
      <c r="HG9" s="48">
        <v>0</v>
      </c>
      <c r="HH9" s="48">
        <v>0</v>
      </c>
      <c r="HI9" s="48">
        <v>0</v>
      </c>
      <c r="HJ9" s="48">
        <v>0</v>
      </c>
      <c r="HK9" s="48">
        <v>0</v>
      </c>
      <c r="HL9" s="48">
        <v>0</v>
      </c>
      <c r="HM9" s="48">
        <v>0</v>
      </c>
      <c r="HN9" s="48">
        <v>0</v>
      </c>
      <c r="HO9" s="48">
        <v>0</v>
      </c>
      <c r="HP9" s="48">
        <v>0</v>
      </c>
      <c r="HQ9" s="48">
        <v>0</v>
      </c>
      <c r="HR9" s="48">
        <v>0</v>
      </c>
      <c r="HS9" s="48">
        <v>0</v>
      </c>
      <c r="HT9" s="48">
        <v>0</v>
      </c>
      <c r="HU9" s="48">
        <v>0</v>
      </c>
      <c r="HV9" s="48">
        <v>4.5448633516908543E-13</v>
      </c>
      <c r="HW9" s="48">
        <v>0</v>
      </c>
      <c r="HX9" s="48">
        <v>0</v>
      </c>
      <c r="HY9" s="48">
        <v>0</v>
      </c>
      <c r="HZ9" s="48">
        <v>0</v>
      </c>
      <c r="IA9" s="48">
        <v>0</v>
      </c>
      <c r="IB9" s="48">
        <v>0</v>
      </c>
      <c r="IC9" s="48">
        <v>0</v>
      </c>
      <c r="ID9" s="48">
        <v>0</v>
      </c>
      <c r="IE9" s="48">
        <v>0</v>
      </c>
      <c r="IF9" s="48">
        <v>0</v>
      </c>
      <c r="IG9" s="48">
        <v>0</v>
      </c>
      <c r="IH9" s="48">
        <v>0</v>
      </c>
      <c r="II9" s="48">
        <v>0</v>
      </c>
      <c r="IJ9" s="48">
        <v>0</v>
      </c>
      <c r="IK9" s="48">
        <v>0</v>
      </c>
      <c r="IL9" s="48">
        <v>0</v>
      </c>
      <c r="IM9" s="48">
        <v>0</v>
      </c>
      <c r="IN9" s="48">
        <v>0</v>
      </c>
      <c r="IO9" s="48">
        <v>0</v>
      </c>
      <c r="IP9" s="23">
        <v>6302.9999999999445</v>
      </c>
      <c r="IQ9" s="25">
        <v>0</v>
      </c>
      <c r="IR9" s="25">
        <v>0</v>
      </c>
      <c r="IS9" s="26">
        <v>0</v>
      </c>
      <c r="IT9" s="26">
        <v>0</v>
      </c>
      <c r="IU9" s="26">
        <v>57</v>
      </c>
      <c r="IV9" s="9">
        <v>0</v>
      </c>
      <c r="IW9" s="38">
        <f t="shared" si="4"/>
        <v>6359.9999999999445</v>
      </c>
    </row>
    <row r="10" spans="1:257" ht="30" customHeight="1" x14ac:dyDescent="0.25">
      <c r="A10" s="112" t="b">
        <v>1</v>
      </c>
      <c r="B10" s="113" t="b">
        <f>IFERROR(VLOOKUP(C10,'Bridge matrix'!$D$3:$E$727,2,FALSE)='symmetric IOT 245 2012'!D10,"FALSCH")</f>
        <v>1</v>
      </c>
      <c r="C10" s="108">
        <v>5</v>
      </c>
      <c r="D10" s="49" t="s">
        <v>1331</v>
      </c>
      <c r="E10" s="48">
        <v>0</v>
      </c>
      <c r="F10" s="48">
        <v>0</v>
      </c>
      <c r="G10" s="48">
        <v>0</v>
      </c>
      <c r="H10" s="48">
        <v>0</v>
      </c>
      <c r="I10" s="48">
        <v>24.765174143849471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0.25975403907140299</v>
      </c>
      <c r="CJ10" s="48">
        <v>0</v>
      </c>
      <c r="CK10" s="48">
        <v>0</v>
      </c>
      <c r="CL10" s="48">
        <v>0</v>
      </c>
      <c r="CM10" s="48">
        <v>0</v>
      </c>
      <c r="CN10" s="48">
        <v>1.4119052735301223</v>
      </c>
      <c r="CO10" s="48">
        <v>0</v>
      </c>
      <c r="CP10" s="48">
        <v>0</v>
      </c>
      <c r="CQ10" s="48">
        <v>0</v>
      </c>
      <c r="CR10" s="48">
        <v>0</v>
      </c>
      <c r="CS10" s="48">
        <v>0</v>
      </c>
      <c r="CT10" s="48">
        <v>0</v>
      </c>
      <c r="CU10" s="48">
        <v>0.12436775321094631</v>
      </c>
      <c r="CV10" s="48">
        <v>0.29151232735934252</v>
      </c>
      <c r="CW10" s="48">
        <v>0</v>
      </c>
      <c r="CX10" s="48">
        <v>1.7592031611509361E-4</v>
      </c>
      <c r="CY10" s="48">
        <v>0</v>
      </c>
      <c r="CZ10" s="48">
        <v>446.29016354723774</v>
      </c>
      <c r="DA10" s="48">
        <v>1348.9463856177383</v>
      </c>
      <c r="DB10" s="48">
        <v>108.96643261264393</v>
      </c>
      <c r="DC10" s="48">
        <v>6.4319269482228236</v>
      </c>
      <c r="DD10" s="48">
        <v>216.90251120715166</v>
      </c>
      <c r="DE10" s="48">
        <v>0</v>
      </c>
      <c r="DF10" s="48">
        <v>0</v>
      </c>
      <c r="DG10" s="48">
        <v>0</v>
      </c>
      <c r="DH10" s="48">
        <v>0</v>
      </c>
      <c r="DI10" s="48">
        <v>0</v>
      </c>
      <c r="DJ10" s="48">
        <v>0</v>
      </c>
      <c r="DK10" s="48">
        <v>0</v>
      </c>
      <c r="DL10" s="48">
        <v>4632.8028707748863</v>
      </c>
      <c r="DM10" s="48">
        <v>0</v>
      </c>
      <c r="DN10" s="48">
        <v>0</v>
      </c>
      <c r="DO10" s="48">
        <v>0</v>
      </c>
      <c r="DP10" s="48">
        <v>0</v>
      </c>
      <c r="DQ10" s="48">
        <v>0</v>
      </c>
      <c r="DR10" s="48">
        <v>2.7166787065888985E-8</v>
      </c>
      <c r="DS10" s="48">
        <v>0</v>
      </c>
      <c r="DT10" s="48">
        <v>0</v>
      </c>
      <c r="DU10" s="48">
        <v>0</v>
      </c>
      <c r="DV10" s="48">
        <v>0</v>
      </c>
      <c r="DW10" s="48">
        <v>0</v>
      </c>
      <c r="DX10" s="48">
        <v>0</v>
      </c>
      <c r="DY10" s="48">
        <v>1.0370993004936605E-13</v>
      </c>
      <c r="DZ10" s="48">
        <v>0</v>
      </c>
      <c r="EA10" s="48">
        <v>0</v>
      </c>
      <c r="EB10" s="48">
        <v>2.886894574810953E-7</v>
      </c>
      <c r="EC10" s="48">
        <v>8.3495647354714226E-9</v>
      </c>
      <c r="ED10" s="48">
        <v>0</v>
      </c>
      <c r="EE10" s="48">
        <v>0</v>
      </c>
      <c r="EF10" s="48">
        <v>0</v>
      </c>
      <c r="EG10" s="48">
        <v>0</v>
      </c>
      <c r="EH10" s="48">
        <v>0</v>
      </c>
      <c r="EI10" s="48">
        <v>3.0659261433909935E-4</v>
      </c>
      <c r="EJ10" s="48">
        <v>5.6971125158712874E-3</v>
      </c>
      <c r="EK10" s="48">
        <v>0</v>
      </c>
      <c r="EL10" s="48">
        <v>0</v>
      </c>
      <c r="EM10" s="48">
        <v>0</v>
      </c>
      <c r="EN10" s="48">
        <v>0</v>
      </c>
      <c r="EO10" s="48">
        <v>0</v>
      </c>
      <c r="EP10" s="48">
        <v>0</v>
      </c>
      <c r="EQ10" s="48">
        <v>0</v>
      </c>
      <c r="ER10" s="48">
        <v>7.2049179574244772E-9</v>
      </c>
      <c r="ES10" s="48">
        <v>1.259891768009006E-10</v>
      </c>
      <c r="ET10" s="48">
        <v>0</v>
      </c>
      <c r="EU10" s="48">
        <v>0</v>
      </c>
      <c r="EV10" s="48">
        <v>0</v>
      </c>
      <c r="EW10" s="48">
        <v>8.9688942718720345E-9</v>
      </c>
      <c r="EX10" s="48">
        <v>0</v>
      </c>
      <c r="EY10" s="48">
        <v>2.1781453344800566E-6</v>
      </c>
      <c r="EZ10" s="48">
        <v>0</v>
      </c>
      <c r="FA10" s="48">
        <v>1.8256428260088735E-12</v>
      </c>
      <c r="FB10" s="48">
        <v>5.0051184980788182E-14</v>
      </c>
      <c r="FC10" s="48">
        <v>0</v>
      </c>
      <c r="FD10" s="48">
        <v>0</v>
      </c>
      <c r="FE10" s="48">
        <v>0</v>
      </c>
      <c r="FF10" s="48">
        <v>0</v>
      </c>
      <c r="FG10" s="48">
        <v>0</v>
      </c>
      <c r="FH10" s="48">
        <v>0</v>
      </c>
      <c r="FI10" s="48">
        <v>0</v>
      </c>
      <c r="FJ10" s="48">
        <v>0</v>
      </c>
      <c r="FK10" s="48">
        <v>0</v>
      </c>
      <c r="FL10" s="48">
        <v>0</v>
      </c>
      <c r="FM10" s="48">
        <v>9.546274599521001E-9</v>
      </c>
      <c r="FN10" s="48">
        <v>0</v>
      </c>
      <c r="FO10" s="48">
        <v>0</v>
      </c>
      <c r="FP10" s="48">
        <v>4.0628005589842624E-7</v>
      </c>
      <c r="FQ10" s="48">
        <v>0</v>
      </c>
      <c r="FR10" s="48">
        <v>0</v>
      </c>
      <c r="FS10" s="48">
        <v>0</v>
      </c>
      <c r="FT10" s="48">
        <v>0</v>
      </c>
      <c r="FU10" s="48">
        <v>0</v>
      </c>
      <c r="FV10" s="48">
        <v>3.3905632342138282E-13</v>
      </c>
      <c r="FW10" s="48">
        <v>0</v>
      </c>
      <c r="FX10" s="48">
        <v>0</v>
      </c>
      <c r="FY10" s="48">
        <v>0</v>
      </c>
      <c r="FZ10" s="48">
        <v>0</v>
      </c>
      <c r="GA10" s="48">
        <v>0</v>
      </c>
      <c r="GB10" s="48">
        <v>0</v>
      </c>
      <c r="GC10" s="48">
        <v>0</v>
      </c>
      <c r="GD10" s="48">
        <v>0</v>
      </c>
      <c r="GE10" s="48">
        <v>6.6296126520718479</v>
      </c>
      <c r="GF10" s="48">
        <v>649.41495717541386</v>
      </c>
      <c r="GG10" s="48">
        <v>0</v>
      </c>
      <c r="GH10" s="48">
        <v>0</v>
      </c>
      <c r="GI10" s="48">
        <v>0</v>
      </c>
      <c r="GJ10" s="48">
        <v>0</v>
      </c>
      <c r="GK10" s="48">
        <v>0</v>
      </c>
      <c r="GL10" s="48">
        <v>0</v>
      </c>
      <c r="GM10" s="48">
        <v>0</v>
      </c>
      <c r="GN10" s="48">
        <v>0</v>
      </c>
      <c r="GO10" s="48">
        <v>0</v>
      </c>
      <c r="GP10" s="48">
        <v>0</v>
      </c>
      <c r="GQ10" s="48">
        <v>0</v>
      </c>
      <c r="GR10" s="48">
        <v>0</v>
      </c>
      <c r="GS10" s="48">
        <v>0</v>
      </c>
      <c r="GT10" s="48">
        <v>0</v>
      </c>
      <c r="GU10" s="48">
        <v>0</v>
      </c>
      <c r="GV10" s="48">
        <v>0</v>
      </c>
      <c r="GW10" s="48">
        <v>0</v>
      </c>
      <c r="GX10" s="48">
        <v>0</v>
      </c>
      <c r="GY10" s="48">
        <v>0</v>
      </c>
      <c r="GZ10" s="48">
        <v>0</v>
      </c>
      <c r="HA10" s="48">
        <v>0</v>
      </c>
      <c r="HB10" s="48">
        <v>0</v>
      </c>
      <c r="HC10" s="48">
        <v>0</v>
      </c>
      <c r="HD10" s="48">
        <v>0</v>
      </c>
      <c r="HE10" s="48">
        <v>0</v>
      </c>
      <c r="HF10" s="48">
        <v>0</v>
      </c>
      <c r="HG10" s="48">
        <v>0</v>
      </c>
      <c r="HH10" s="48">
        <v>0</v>
      </c>
      <c r="HI10" s="48">
        <v>0</v>
      </c>
      <c r="HJ10" s="48">
        <v>0</v>
      </c>
      <c r="HK10" s="48">
        <v>0</v>
      </c>
      <c r="HL10" s="48">
        <v>0</v>
      </c>
      <c r="HM10" s="48">
        <v>0</v>
      </c>
      <c r="HN10" s="48">
        <v>0</v>
      </c>
      <c r="HO10" s="48">
        <v>0</v>
      </c>
      <c r="HP10" s="48">
        <v>0</v>
      </c>
      <c r="HQ10" s="48">
        <v>0</v>
      </c>
      <c r="HR10" s="48">
        <v>0</v>
      </c>
      <c r="HS10" s="48">
        <v>0</v>
      </c>
      <c r="HT10" s="48">
        <v>0</v>
      </c>
      <c r="HU10" s="48">
        <v>0</v>
      </c>
      <c r="HV10" s="48">
        <v>0</v>
      </c>
      <c r="HW10" s="48">
        <v>0</v>
      </c>
      <c r="HX10" s="48">
        <v>227.12598493929798</v>
      </c>
      <c r="HY10" s="48">
        <v>192.38139943381989</v>
      </c>
      <c r="HZ10" s="48">
        <v>284.84422437676034</v>
      </c>
      <c r="IA10" s="48">
        <v>80.930999904058524</v>
      </c>
      <c r="IB10" s="48">
        <v>4.3339972476823876</v>
      </c>
      <c r="IC10" s="48">
        <v>0</v>
      </c>
      <c r="ID10" s="48">
        <v>0</v>
      </c>
      <c r="IE10" s="48">
        <v>0</v>
      </c>
      <c r="IF10" s="48">
        <v>0</v>
      </c>
      <c r="IG10" s="48">
        <v>290.23595558331368</v>
      </c>
      <c r="IH10" s="48">
        <v>10.762560410234205</v>
      </c>
      <c r="II10" s="48">
        <v>6.4353739109163479</v>
      </c>
      <c r="IJ10" s="48">
        <v>0</v>
      </c>
      <c r="IK10" s="48">
        <v>0.70574756154108909</v>
      </c>
      <c r="IL10" s="48">
        <v>0</v>
      </c>
      <c r="IM10" s="48">
        <v>0</v>
      </c>
      <c r="IN10" s="48">
        <v>0</v>
      </c>
      <c r="IO10" s="48">
        <v>0</v>
      </c>
      <c r="IP10" s="23">
        <v>8540.9999999999345</v>
      </c>
      <c r="IQ10" s="25">
        <v>57194</v>
      </c>
      <c r="IR10" s="25">
        <v>0</v>
      </c>
      <c r="IS10" s="26">
        <v>0</v>
      </c>
      <c r="IT10" s="26">
        <v>0</v>
      </c>
      <c r="IU10" s="26">
        <v>-522</v>
      </c>
      <c r="IV10" s="9">
        <v>15</v>
      </c>
      <c r="IW10" s="38">
        <f t="shared" si="4"/>
        <v>65227.999999999942</v>
      </c>
    </row>
    <row r="11" spans="1:257" ht="30" customHeight="1" x14ac:dyDescent="0.25">
      <c r="A11" s="112" t="b">
        <v>1</v>
      </c>
      <c r="B11" s="113" t="b">
        <f>IFERROR(VLOOKUP(C11,'Bridge matrix'!$D$3:$E$727,2,FALSE)='symmetric IOT 245 2012'!D11,"FALSCH")</f>
        <v>1</v>
      </c>
      <c r="C11" s="108">
        <v>6</v>
      </c>
      <c r="D11" s="49" t="s">
        <v>1332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163.939961839706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0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1184.6199203252481</v>
      </c>
      <c r="BI11" s="48">
        <v>0</v>
      </c>
      <c r="BJ11" s="48">
        <v>14101.512745764872</v>
      </c>
      <c r="BK11" s="48">
        <v>1174.2381226954749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3.7186128941168808</v>
      </c>
      <c r="CJ11" s="48">
        <v>0</v>
      </c>
      <c r="CK11" s="48">
        <v>11104.660058466503</v>
      </c>
      <c r="CL11" s="48">
        <v>15292.668280092601</v>
      </c>
      <c r="CM11" s="48">
        <v>16640.709499400957</v>
      </c>
      <c r="CN11" s="48">
        <v>52143.287112593905</v>
      </c>
      <c r="CO11" s="48">
        <v>0</v>
      </c>
      <c r="CP11" s="48">
        <v>0</v>
      </c>
      <c r="CQ11" s="48">
        <v>0</v>
      </c>
      <c r="CR11" s="48">
        <v>0</v>
      </c>
      <c r="CS11" s="48">
        <v>222.17865531968323</v>
      </c>
      <c r="CT11" s="48">
        <v>905.95537757304351</v>
      </c>
      <c r="CU11" s="48">
        <v>914.6073434845573</v>
      </c>
      <c r="CV11" s="48">
        <v>1151.7762326166655</v>
      </c>
      <c r="CW11" s="48">
        <v>73.873887432688903</v>
      </c>
      <c r="CX11" s="48">
        <v>0</v>
      </c>
      <c r="CY11" s="48">
        <v>0</v>
      </c>
      <c r="CZ11" s="48">
        <v>16440.814059573495</v>
      </c>
      <c r="DA11" s="48">
        <v>86.574361090381998</v>
      </c>
      <c r="DB11" s="48">
        <v>2222.5955393482818</v>
      </c>
      <c r="DC11" s="48">
        <v>692.525468729723</v>
      </c>
      <c r="DD11" s="48">
        <v>0</v>
      </c>
      <c r="DE11" s="48">
        <v>0</v>
      </c>
      <c r="DF11" s="48">
        <v>0</v>
      </c>
      <c r="DG11" s="48">
        <v>0</v>
      </c>
      <c r="DH11" s="48">
        <v>0</v>
      </c>
      <c r="DI11" s="48">
        <v>0</v>
      </c>
      <c r="DJ11" s="48">
        <v>30397.352576116937</v>
      </c>
      <c r="DK11" s="48">
        <v>0</v>
      </c>
      <c r="DL11" s="48">
        <v>66322.306011087392</v>
      </c>
      <c r="DM11" s="48">
        <v>0</v>
      </c>
      <c r="DN11" s="48">
        <v>0</v>
      </c>
      <c r="DO11" s="48">
        <v>0</v>
      </c>
      <c r="DP11" s="48">
        <v>0</v>
      </c>
      <c r="DQ11" s="48">
        <v>0</v>
      </c>
      <c r="DR11" s="48">
        <v>3.8974512747796768E-7</v>
      </c>
      <c r="DS11" s="48">
        <v>0</v>
      </c>
      <c r="DT11" s="48">
        <v>0</v>
      </c>
      <c r="DU11" s="48">
        <v>0</v>
      </c>
      <c r="DV11" s="48">
        <v>0</v>
      </c>
      <c r="DW11" s="48">
        <v>0</v>
      </c>
      <c r="DX11" s="48">
        <v>0</v>
      </c>
      <c r="DY11" s="48">
        <v>1.4878623596447935E-12</v>
      </c>
      <c r="DZ11" s="48">
        <v>0</v>
      </c>
      <c r="EA11" s="48">
        <v>0</v>
      </c>
      <c r="EB11" s="48">
        <v>4.1416494756860758E-6</v>
      </c>
      <c r="EC11" s="48">
        <v>1.1978605214960684E-7</v>
      </c>
      <c r="ED11" s="48">
        <v>0</v>
      </c>
      <c r="EE11" s="48">
        <v>0</v>
      </c>
      <c r="EF11" s="48">
        <v>0</v>
      </c>
      <c r="EG11" s="48">
        <v>0</v>
      </c>
      <c r="EH11" s="48">
        <v>0</v>
      </c>
      <c r="EI11" s="48">
        <v>4.3984950178165274E-3</v>
      </c>
      <c r="EJ11" s="48">
        <v>8.1732957171905346E-2</v>
      </c>
      <c r="EK11" s="48">
        <v>0</v>
      </c>
      <c r="EL11" s="48">
        <v>0</v>
      </c>
      <c r="EM11" s="48">
        <v>0</v>
      </c>
      <c r="EN11" s="48">
        <v>0</v>
      </c>
      <c r="EO11" s="48">
        <v>0</v>
      </c>
      <c r="EP11" s="48">
        <v>0</v>
      </c>
      <c r="EQ11" s="48">
        <v>0</v>
      </c>
      <c r="ER11" s="48">
        <v>1.0336451126789893E-7</v>
      </c>
      <c r="ES11" s="48">
        <v>1.807488962681435E-9</v>
      </c>
      <c r="ET11" s="48">
        <v>0</v>
      </c>
      <c r="EU11" s="48">
        <v>0</v>
      </c>
      <c r="EV11" s="48">
        <v>0</v>
      </c>
      <c r="EW11" s="48">
        <v>1.2867119077604397E-7</v>
      </c>
      <c r="EX11" s="48">
        <v>0</v>
      </c>
      <c r="EY11" s="48">
        <v>3.1248506825394353E-5</v>
      </c>
      <c r="EZ11" s="48">
        <v>0</v>
      </c>
      <c r="FA11" s="48">
        <v>2.6191370890725614E-11</v>
      </c>
      <c r="FB11" s="48">
        <v>7.1805346077358342E-13</v>
      </c>
      <c r="FC11" s="48">
        <v>0</v>
      </c>
      <c r="FD11" s="48">
        <v>0</v>
      </c>
      <c r="FE11" s="48">
        <v>0</v>
      </c>
      <c r="FF11" s="48">
        <v>0</v>
      </c>
      <c r="FG11" s="48">
        <v>0</v>
      </c>
      <c r="FH11" s="48">
        <v>0</v>
      </c>
      <c r="FI11" s="48">
        <v>0</v>
      </c>
      <c r="FJ11" s="48">
        <v>0</v>
      </c>
      <c r="FK11" s="48">
        <v>0</v>
      </c>
      <c r="FL11" s="48">
        <v>0</v>
      </c>
      <c r="FM11" s="48">
        <v>1.3695450999436172E-7</v>
      </c>
      <c r="FN11" s="48">
        <v>0</v>
      </c>
      <c r="FO11" s="48">
        <v>0</v>
      </c>
      <c r="FP11" s="48">
        <v>5.8286492176584543E-6</v>
      </c>
      <c r="FQ11" s="48">
        <v>0</v>
      </c>
      <c r="FR11" s="48">
        <v>0</v>
      </c>
      <c r="FS11" s="48">
        <v>0</v>
      </c>
      <c r="FT11" s="48">
        <v>0</v>
      </c>
      <c r="FU11" s="48">
        <v>0</v>
      </c>
      <c r="FV11" s="48">
        <v>4.8642318163564384E-12</v>
      </c>
      <c r="FW11" s="48">
        <v>0</v>
      </c>
      <c r="FX11" s="48">
        <v>0</v>
      </c>
      <c r="FY11" s="48">
        <v>0</v>
      </c>
      <c r="FZ11" s="48">
        <v>0</v>
      </c>
      <c r="GA11" s="48">
        <v>0</v>
      </c>
      <c r="GB11" s="48">
        <v>0</v>
      </c>
      <c r="GC11" s="48">
        <v>0</v>
      </c>
      <c r="GD11" s="48">
        <v>0</v>
      </c>
      <c r="GE11" s="48">
        <v>0</v>
      </c>
      <c r="GF11" s="48">
        <v>0</v>
      </c>
      <c r="GG11" s="48">
        <v>0</v>
      </c>
      <c r="GH11" s="48">
        <v>0</v>
      </c>
      <c r="GI11" s="48">
        <v>0</v>
      </c>
      <c r="GJ11" s="48">
        <v>0</v>
      </c>
      <c r="GK11" s="48">
        <v>0</v>
      </c>
      <c r="GL11" s="48">
        <v>0</v>
      </c>
      <c r="GM11" s="48">
        <v>0</v>
      </c>
      <c r="GN11" s="48">
        <v>0</v>
      </c>
      <c r="GO11" s="48">
        <v>0</v>
      </c>
      <c r="GP11" s="48">
        <v>0</v>
      </c>
      <c r="GQ11" s="48">
        <v>0</v>
      </c>
      <c r="GR11" s="48">
        <v>0</v>
      </c>
      <c r="GS11" s="48">
        <v>0</v>
      </c>
      <c r="GT11" s="48">
        <v>0</v>
      </c>
      <c r="GU11" s="48">
        <v>0</v>
      </c>
      <c r="GV11" s="48">
        <v>0</v>
      </c>
      <c r="GW11" s="48">
        <v>0</v>
      </c>
      <c r="GX11" s="48">
        <v>0</v>
      </c>
      <c r="GY11" s="48">
        <v>0</v>
      </c>
      <c r="GZ11" s="48">
        <v>0</v>
      </c>
      <c r="HA11" s="48">
        <v>0</v>
      </c>
      <c r="HB11" s="48">
        <v>0</v>
      </c>
      <c r="HC11" s="48">
        <v>0</v>
      </c>
      <c r="HD11" s="48">
        <v>0</v>
      </c>
      <c r="HE11" s="48">
        <v>0</v>
      </c>
      <c r="HF11" s="48">
        <v>0</v>
      </c>
      <c r="HG11" s="48">
        <v>0</v>
      </c>
      <c r="HH11" s="48">
        <v>0</v>
      </c>
      <c r="HI11" s="48">
        <v>0</v>
      </c>
      <c r="HJ11" s="48">
        <v>0</v>
      </c>
      <c r="HK11" s="48">
        <v>0</v>
      </c>
      <c r="HL11" s="48">
        <v>0</v>
      </c>
      <c r="HM11" s="48">
        <v>0</v>
      </c>
      <c r="HN11" s="48">
        <v>0</v>
      </c>
      <c r="HO11" s="48">
        <v>0</v>
      </c>
      <c r="HP11" s="48">
        <v>0</v>
      </c>
      <c r="HQ11" s="48">
        <v>0</v>
      </c>
      <c r="HR11" s="48">
        <v>0</v>
      </c>
      <c r="HS11" s="48">
        <v>0</v>
      </c>
      <c r="HT11" s="48">
        <v>0</v>
      </c>
      <c r="HU11" s="48">
        <v>0</v>
      </c>
      <c r="HV11" s="48">
        <v>0</v>
      </c>
      <c r="HW11" s="48">
        <v>0</v>
      </c>
      <c r="HX11" s="48">
        <v>0</v>
      </c>
      <c r="HY11" s="48">
        <v>0</v>
      </c>
      <c r="HZ11" s="48">
        <v>0</v>
      </c>
      <c r="IA11" s="48">
        <v>0</v>
      </c>
      <c r="IB11" s="48">
        <v>0</v>
      </c>
      <c r="IC11" s="48">
        <v>0</v>
      </c>
      <c r="ID11" s="48">
        <v>0</v>
      </c>
      <c r="IE11" s="48">
        <v>0</v>
      </c>
      <c r="IF11" s="48">
        <v>0</v>
      </c>
      <c r="IG11" s="48">
        <v>0</v>
      </c>
      <c r="IH11" s="48">
        <v>0</v>
      </c>
      <c r="II11" s="48">
        <v>0</v>
      </c>
      <c r="IJ11" s="48">
        <v>0</v>
      </c>
      <c r="IK11" s="48">
        <v>0</v>
      </c>
      <c r="IL11" s="48">
        <v>0</v>
      </c>
      <c r="IM11" s="48">
        <v>0</v>
      </c>
      <c r="IN11" s="48">
        <v>0</v>
      </c>
      <c r="IO11" s="48">
        <v>0</v>
      </c>
      <c r="IP11" s="23">
        <v>231239.99999999767</v>
      </c>
      <c r="IQ11" s="25">
        <v>0</v>
      </c>
      <c r="IR11" s="25">
        <v>0</v>
      </c>
      <c r="IS11" s="26">
        <v>0</v>
      </c>
      <c r="IT11" s="26">
        <v>0</v>
      </c>
      <c r="IU11" s="26">
        <v>149</v>
      </c>
      <c r="IV11" s="9">
        <v>880</v>
      </c>
      <c r="IW11" s="38">
        <f t="shared" si="4"/>
        <v>232268.99999999767</v>
      </c>
    </row>
    <row r="12" spans="1:257" ht="30" customHeight="1" x14ac:dyDescent="0.25">
      <c r="A12" s="112" t="b">
        <v>1</v>
      </c>
      <c r="B12" s="113" t="str">
        <f>IFERROR(VLOOKUP(C12,'Bridge matrix'!$D$3:$E$727,2,FALSE)='symmetric IOT 245 2012'!D12,"FALSCH")</f>
        <v>FALSCH</v>
      </c>
      <c r="C12" s="108">
        <v>7</v>
      </c>
      <c r="D12" s="49" t="s">
        <v>1333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380.06177418723519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  <c r="CM12" s="48">
        <v>0</v>
      </c>
      <c r="CN12" s="48">
        <v>0</v>
      </c>
      <c r="CO12" s="48">
        <v>0</v>
      </c>
      <c r="CP12" s="48">
        <v>0</v>
      </c>
      <c r="CQ12" s="48">
        <v>0</v>
      </c>
      <c r="CR12" s="48">
        <v>1.7059305727919365E-3</v>
      </c>
      <c r="CS12" s="48">
        <v>0</v>
      </c>
      <c r="CT12" s="48">
        <v>0</v>
      </c>
      <c r="CU12" s="48">
        <v>0</v>
      </c>
      <c r="CV12" s="48">
        <v>0</v>
      </c>
      <c r="CW12" s="48">
        <v>0</v>
      </c>
      <c r="CX12" s="48">
        <v>0</v>
      </c>
      <c r="CY12" s="48">
        <v>5.5626782690750307</v>
      </c>
      <c r="CZ12" s="48">
        <v>0.41439246485910969</v>
      </c>
      <c r="DA12" s="48">
        <v>509666.28504546446</v>
      </c>
      <c r="DB12" s="48">
        <v>0</v>
      </c>
      <c r="DC12" s="48">
        <v>846.68145765408656</v>
      </c>
      <c r="DD12" s="48">
        <v>1.7738502314717155</v>
      </c>
      <c r="DE12" s="48">
        <v>2.6425625474817434</v>
      </c>
      <c r="DF12" s="48">
        <v>0</v>
      </c>
      <c r="DG12" s="48">
        <v>0</v>
      </c>
      <c r="DH12" s="48">
        <v>0</v>
      </c>
      <c r="DI12" s="48">
        <v>11.331211683073814</v>
      </c>
      <c r="DJ12" s="48">
        <v>0.35477967810174776</v>
      </c>
      <c r="DK12" s="48">
        <v>7.7796109169052672</v>
      </c>
      <c r="DL12" s="48">
        <v>0</v>
      </c>
      <c r="DM12" s="48">
        <v>0</v>
      </c>
      <c r="DN12" s="48">
        <v>0</v>
      </c>
      <c r="DO12" s="48">
        <v>0</v>
      </c>
      <c r="DP12" s="48">
        <v>0</v>
      </c>
      <c r="DQ12" s="48">
        <v>0</v>
      </c>
      <c r="DR12" s="48">
        <v>0</v>
      </c>
      <c r="DS12" s="48">
        <v>0</v>
      </c>
      <c r="DT12" s="48">
        <v>0</v>
      </c>
      <c r="DU12" s="48">
        <v>0</v>
      </c>
      <c r="DV12" s="48">
        <v>0</v>
      </c>
      <c r="DW12" s="48">
        <v>0</v>
      </c>
      <c r="DX12" s="48">
        <v>0</v>
      </c>
      <c r="DY12" s="48">
        <v>0</v>
      </c>
      <c r="DZ12" s="48">
        <v>0</v>
      </c>
      <c r="EA12" s="48">
        <v>0</v>
      </c>
      <c r="EB12" s="48">
        <v>0</v>
      </c>
      <c r="EC12" s="48">
        <v>0</v>
      </c>
      <c r="ED12" s="48">
        <v>0</v>
      </c>
      <c r="EE12" s="48">
        <v>0</v>
      </c>
      <c r="EF12" s="48">
        <v>0</v>
      </c>
      <c r="EG12" s="48">
        <v>0</v>
      </c>
      <c r="EH12" s="48">
        <v>0</v>
      </c>
      <c r="EI12" s="48">
        <v>0</v>
      </c>
      <c r="EJ12" s="48">
        <v>0</v>
      </c>
      <c r="EK12" s="48">
        <v>0</v>
      </c>
      <c r="EL12" s="48">
        <v>2.4559436796536242E-6</v>
      </c>
      <c r="EM12" s="48">
        <v>3.7330790350844235E-6</v>
      </c>
      <c r="EN12" s="48">
        <v>0.11091708144838498</v>
      </c>
      <c r="EO12" s="48">
        <v>0</v>
      </c>
      <c r="EP12" s="48">
        <v>6.7669082185617941E-6</v>
      </c>
      <c r="EQ12" s="48">
        <v>0</v>
      </c>
      <c r="ER12" s="48">
        <v>0</v>
      </c>
      <c r="ES12" s="48">
        <v>0</v>
      </c>
      <c r="ET12" s="48">
        <v>8.0288732599370374E-7</v>
      </c>
      <c r="EU12" s="48">
        <v>0</v>
      </c>
      <c r="EV12" s="48">
        <v>0</v>
      </c>
      <c r="EW12" s="48">
        <v>0</v>
      </c>
      <c r="EX12" s="48">
        <v>1.267004044050686E-7</v>
      </c>
      <c r="EY12" s="48">
        <v>0</v>
      </c>
      <c r="EZ12" s="48">
        <v>0</v>
      </c>
      <c r="FA12" s="48">
        <v>0</v>
      </c>
      <c r="FB12" s="48">
        <v>0</v>
      </c>
      <c r="FC12" s="48">
        <v>0</v>
      </c>
      <c r="FD12" s="48">
        <v>6.6107734518381578E-12</v>
      </c>
      <c r="FE12" s="48">
        <v>0</v>
      </c>
      <c r="FF12" s="48">
        <v>0</v>
      </c>
      <c r="FG12" s="48">
        <v>1.6967990874467715E-12</v>
      </c>
      <c r="FH12" s="48">
        <v>1.2163096701769305E-12</v>
      </c>
      <c r="FI12" s="48">
        <v>1.8836972197055434E-12</v>
      </c>
      <c r="FJ12" s="48">
        <v>0</v>
      </c>
      <c r="FK12" s="48">
        <v>0</v>
      </c>
      <c r="FL12" s="48">
        <v>0</v>
      </c>
      <c r="FM12" s="48">
        <v>0</v>
      </c>
      <c r="FN12" s="48">
        <v>0</v>
      </c>
      <c r="FO12" s="48">
        <v>0</v>
      </c>
      <c r="FP12" s="48">
        <v>0</v>
      </c>
      <c r="FQ12" s="48">
        <v>1.0954067228085322E-12</v>
      </c>
      <c r="FR12" s="48">
        <v>3.243961818768024E-13</v>
      </c>
      <c r="FS12" s="48">
        <v>0</v>
      </c>
      <c r="FT12" s="48">
        <v>8.835918325853123E-14</v>
      </c>
      <c r="FU12" s="48">
        <v>0</v>
      </c>
      <c r="FV12" s="48">
        <v>0</v>
      </c>
      <c r="FW12" s="48">
        <v>0</v>
      </c>
      <c r="FX12" s="48">
        <v>0</v>
      </c>
      <c r="FY12" s="48">
        <v>0</v>
      </c>
      <c r="FZ12" s="48">
        <v>0</v>
      </c>
      <c r="GA12" s="48">
        <v>0</v>
      </c>
      <c r="GB12" s="48">
        <v>0</v>
      </c>
      <c r="GC12" s="48">
        <v>0</v>
      </c>
      <c r="GD12" s="48">
        <v>0</v>
      </c>
      <c r="GE12" s="48">
        <v>0</v>
      </c>
      <c r="GF12" s="48">
        <v>0</v>
      </c>
      <c r="GG12" s="48">
        <v>0</v>
      </c>
      <c r="GH12" s="48">
        <v>0</v>
      </c>
      <c r="GI12" s="48">
        <v>0</v>
      </c>
      <c r="GJ12" s="48">
        <v>0</v>
      </c>
      <c r="GK12" s="48">
        <v>0</v>
      </c>
      <c r="GL12" s="48">
        <v>0</v>
      </c>
      <c r="GM12" s="48">
        <v>0</v>
      </c>
      <c r="GN12" s="48">
        <v>0</v>
      </c>
      <c r="GO12" s="48">
        <v>0</v>
      </c>
      <c r="GP12" s="48">
        <v>0</v>
      </c>
      <c r="GQ12" s="48">
        <v>0</v>
      </c>
      <c r="GR12" s="48">
        <v>0</v>
      </c>
      <c r="GS12" s="48">
        <v>0</v>
      </c>
      <c r="GT12" s="48">
        <v>8.066766307589008E-16</v>
      </c>
      <c r="GU12" s="48">
        <v>0</v>
      </c>
      <c r="GV12" s="48">
        <v>0</v>
      </c>
      <c r="GW12" s="48">
        <v>0</v>
      </c>
      <c r="GX12" s="48">
        <v>1.1793811013871353E-13</v>
      </c>
      <c r="GY12" s="48">
        <v>0</v>
      </c>
      <c r="GZ12" s="48">
        <v>0</v>
      </c>
      <c r="HA12" s="48">
        <v>0</v>
      </c>
      <c r="HB12" s="48">
        <v>0</v>
      </c>
      <c r="HC12" s="48">
        <v>0</v>
      </c>
      <c r="HD12" s="48">
        <v>0</v>
      </c>
      <c r="HE12" s="48">
        <v>0</v>
      </c>
      <c r="HF12" s="48">
        <v>0</v>
      </c>
      <c r="HG12" s="48">
        <v>0</v>
      </c>
      <c r="HH12" s="48">
        <v>0</v>
      </c>
      <c r="HI12" s="48">
        <v>0</v>
      </c>
      <c r="HJ12" s="48">
        <v>0</v>
      </c>
      <c r="HK12" s="48">
        <v>0</v>
      </c>
      <c r="HL12" s="48">
        <v>0</v>
      </c>
      <c r="HM12" s="48">
        <v>0</v>
      </c>
      <c r="HN12" s="48">
        <v>0</v>
      </c>
      <c r="HO12" s="48">
        <v>0</v>
      </c>
      <c r="HP12" s="48">
        <v>0</v>
      </c>
      <c r="HQ12" s="48">
        <v>0</v>
      </c>
      <c r="HR12" s="48">
        <v>0</v>
      </c>
      <c r="HS12" s="48">
        <v>0</v>
      </c>
      <c r="HT12" s="48">
        <v>0</v>
      </c>
      <c r="HU12" s="48">
        <v>0</v>
      </c>
      <c r="HV12" s="48">
        <v>6.2431762005228515E-13</v>
      </c>
      <c r="HW12" s="48">
        <v>0</v>
      </c>
      <c r="HX12" s="48">
        <v>0</v>
      </c>
      <c r="HY12" s="48">
        <v>0</v>
      </c>
      <c r="HZ12" s="48">
        <v>0</v>
      </c>
      <c r="IA12" s="48">
        <v>0</v>
      </c>
      <c r="IB12" s="48">
        <v>0</v>
      </c>
      <c r="IC12" s="48">
        <v>0</v>
      </c>
      <c r="ID12" s="48">
        <v>0</v>
      </c>
      <c r="IE12" s="48">
        <v>0</v>
      </c>
      <c r="IF12" s="48">
        <v>0</v>
      </c>
      <c r="IG12" s="48">
        <v>0</v>
      </c>
      <c r="IH12" s="48">
        <v>0</v>
      </c>
      <c r="II12" s="48">
        <v>0</v>
      </c>
      <c r="IJ12" s="48">
        <v>0</v>
      </c>
      <c r="IK12" s="48">
        <v>0</v>
      </c>
      <c r="IL12" s="48">
        <v>0</v>
      </c>
      <c r="IM12" s="48">
        <v>0</v>
      </c>
      <c r="IN12" s="48">
        <v>0</v>
      </c>
      <c r="IO12" s="48">
        <v>0</v>
      </c>
      <c r="IP12" s="23">
        <v>510922.99999999435</v>
      </c>
      <c r="IQ12" s="25">
        <v>0</v>
      </c>
      <c r="IR12" s="25">
        <v>0</v>
      </c>
      <c r="IS12" s="26">
        <v>0</v>
      </c>
      <c r="IT12" s="26">
        <v>0</v>
      </c>
      <c r="IU12" s="26">
        <v>4227</v>
      </c>
      <c r="IV12" s="9">
        <v>0</v>
      </c>
      <c r="IW12" s="38">
        <f t="shared" si="4"/>
        <v>515149.99999999435</v>
      </c>
    </row>
    <row r="13" spans="1:257" ht="30" customHeight="1" x14ac:dyDescent="0.25">
      <c r="A13" s="112" t="b">
        <v>1</v>
      </c>
      <c r="B13" s="113" t="b">
        <f>IFERROR(VLOOKUP(C13,'Bridge matrix'!$D$3:$E$727,2,FALSE)='symmetric IOT 245 2012'!D13,"FALSCH")</f>
        <v>1</v>
      </c>
      <c r="C13" s="108">
        <v>8</v>
      </c>
      <c r="D13" s="49" t="s">
        <v>520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4.8618727804822353</v>
      </c>
      <c r="CM13" s="48">
        <v>0</v>
      </c>
      <c r="CN13" s="48">
        <v>7.2335117354729528</v>
      </c>
      <c r="CO13" s="48">
        <v>0</v>
      </c>
      <c r="CP13" s="48">
        <v>0</v>
      </c>
      <c r="CQ13" s="48">
        <v>0</v>
      </c>
      <c r="CR13" s="48">
        <v>0</v>
      </c>
      <c r="CS13" s="48">
        <v>0</v>
      </c>
      <c r="CT13" s="48">
        <v>9.683033917743054E-3</v>
      </c>
      <c r="CU13" s="48">
        <v>0</v>
      </c>
      <c r="CV13" s="48">
        <v>0</v>
      </c>
      <c r="CW13" s="48">
        <v>0</v>
      </c>
      <c r="CX13" s="48">
        <v>9.0127977774671301E-4</v>
      </c>
      <c r="CY13" s="48">
        <v>4.354321543583473</v>
      </c>
      <c r="CZ13" s="48">
        <v>0.32437571904919704</v>
      </c>
      <c r="DA13" s="48">
        <v>0</v>
      </c>
      <c r="DB13" s="48">
        <v>558.02861931399445</v>
      </c>
      <c r="DC13" s="48">
        <v>4.3365338432763949E-3</v>
      </c>
      <c r="DD13" s="48">
        <v>1.3885241433571984</v>
      </c>
      <c r="DE13" s="48">
        <v>2.0693068694116028</v>
      </c>
      <c r="DF13" s="48">
        <v>0</v>
      </c>
      <c r="DG13" s="48">
        <v>0</v>
      </c>
      <c r="DH13" s="48">
        <v>0</v>
      </c>
      <c r="DI13" s="48">
        <v>8.869779856274306</v>
      </c>
      <c r="DJ13" s="48">
        <v>0</v>
      </c>
      <c r="DK13" s="48">
        <v>6.0896785030879279</v>
      </c>
      <c r="DL13" s="48">
        <v>0</v>
      </c>
      <c r="DM13" s="48">
        <v>15246.050328305946</v>
      </c>
      <c r="DN13" s="48">
        <v>0</v>
      </c>
      <c r="DO13" s="48">
        <v>0</v>
      </c>
      <c r="DP13" s="48">
        <v>0</v>
      </c>
      <c r="DQ13" s="48">
        <v>0</v>
      </c>
      <c r="DR13" s="48">
        <v>0</v>
      </c>
      <c r="DS13" s="48">
        <v>0</v>
      </c>
      <c r="DT13" s="48">
        <v>0</v>
      </c>
      <c r="DU13" s="48">
        <v>0</v>
      </c>
      <c r="DV13" s="48">
        <v>0</v>
      </c>
      <c r="DW13" s="48">
        <v>0</v>
      </c>
      <c r="DX13" s="48">
        <v>0</v>
      </c>
      <c r="DY13" s="48">
        <v>0</v>
      </c>
      <c r="DZ13" s="48">
        <v>0</v>
      </c>
      <c r="EA13" s="48">
        <v>0</v>
      </c>
      <c r="EB13" s="48">
        <v>0</v>
      </c>
      <c r="EC13" s="48">
        <v>0</v>
      </c>
      <c r="ED13" s="48">
        <v>0</v>
      </c>
      <c r="EE13" s="48">
        <v>0</v>
      </c>
      <c r="EF13" s="48">
        <v>0</v>
      </c>
      <c r="EG13" s="48">
        <v>0</v>
      </c>
      <c r="EH13" s="48">
        <v>0</v>
      </c>
      <c r="EI13" s="48">
        <v>0</v>
      </c>
      <c r="EJ13" s="48">
        <v>0</v>
      </c>
      <c r="EK13" s="48">
        <v>0</v>
      </c>
      <c r="EL13" s="48">
        <v>2.1930944040098313E-6</v>
      </c>
      <c r="EM13" s="48">
        <v>0</v>
      </c>
      <c r="EN13" s="48">
        <v>9.904609484687503E-2</v>
      </c>
      <c r="EO13" s="48">
        <v>0</v>
      </c>
      <c r="EP13" s="48">
        <v>6.0426746221921056E-6</v>
      </c>
      <c r="EQ13" s="48">
        <v>0</v>
      </c>
      <c r="ER13" s="48">
        <v>0</v>
      </c>
      <c r="ES13" s="48">
        <v>0</v>
      </c>
      <c r="ET13" s="48">
        <v>7.1695768770053766E-7</v>
      </c>
      <c r="EU13" s="48">
        <v>0</v>
      </c>
      <c r="EV13" s="48">
        <v>0</v>
      </c>
      <c r="EW13" s="48">
        <v>0</v>
      </c>
      <c r="EX13" s="48">
        <v>1.1314019543222122E-7</v>
      </c>
      <c r="EY13" s="48">
        <v>0</v>
      </c>
      <c r="EZ13" s="48">
        <v>0</v>
      </c>
      <c r="FA13" s="48">
        <v>0</v>
      </c>
      <c r="FB13" s="48">
        <v>0</v>
      </c>
      <c r="FC13" s="48">
        <v>0</v>
      </c>
      <c r="FD13" s="48">
        <v>5.9032502998797616E-12</v>
      </c>
      <c r="FE13" s="48">
        <v>0</v>
      </c>
      <c r="FF13" s="48">
        <v>0</v>
      </c>
      <c r="FG13" s="48">
        <v>1.515197850112482E-12</v>
      </c>
      <c r="FH13" s="48">
        <v>1.0861331850998641E-12</v>
      </c>
      <c r="FI13" s="48">
        <v>1.682093064922304E-12</v>
      </c>
      <c r="FJ13" s="48">
        <v>0</v>
      </c>
      <c r="FK13" s="48">
        <v>0</v>
      </c>
      <c r="FL13" s="48">
        <v>0</v>
      </c>
      <c r="FM13" s="48">
        <v>0</v>
      </c>
      <c r="FN13" s="48">
        <v>0</v>
      </c>
      <c r="FO13" s="48">
        <v>0</v>
      </c>
      <c r="FP13" s="48">
        <v>0</v>
      </c>
      <c r="FQ13" s="48">
        <v>9.781699693720021E-13</v>
      </c>
      <c r="FR13" s="48">
        <v>2.8967742910802824E-13</v>
      </c>
      <c r="FS13" s="48">
        <v>0</v>
      </c>
      <c r="FT13" s="48">
        <v>7.8902473192908816E-14</v>
      </c>
      <c r="FU13" s="48">
        <v>0</v>
      </c>
      <c r="FV13" s="48">
        <v>0</v>
      </c>
      <c r="FW13" s="48">
        <v>0</v>
      </c>
      <c r="FX13" s="48">
        <v>0</v>
      </c>
      <c r="FY13" s="48">
        <v>0</v>
      </c>
      <c r="FZ13" s="48">
        <v>0</v>
      </c>
      <c r="GA13" s="48">
        <v>0</v>
      </c>
      <c r="GB13" s="48">
        <v>0</v>
      </c>
      <c r="GC13" s="48">
        <v>0</v>
      </c>
      <c r="GD13" s="48">
        <v>0</v>
      </c>
      <c r="GE13" s="48">
        <v>0</v>
      </c>
      <c r="GF13" s="48">
        <v>0</v>
      </c>
      <c r="GG13" s="48">
        <v>0</v>
      </c>
      <c r="GH13" s="48">
        <v>0</v>
      </c>
      <c r="GI13" s="48">
        <v>0</v>
      </c>
      <c r="GJ13" s="48">
        <v>0</v>
      </c>
      <c r="GK13" s="48">
        <v>0</v>
      </c>
      <c r="GL13" s="48">
        <v>0</v>
      </c>
      <c r="GM13" s="48">
        <v>0</v>
      </c>
      <c r="GN13" s="48">
        <v>0</v>
      </c>
      <c r="GO13" s="48">
        <v>0</v>
      </c>
      <c r="GP13" s="48">
        <v>0</v>
      </c>
      <c r="GQ13" s="48">
        <v>0</v>
      </c>
      <c r="GR13" s="48">
        <v>0</v>
      </c>
      <c r="GS13" s="48">
        <v>0</v>
      </c>
      <c r="GT13" s="48">
        <v>7.2034143918657123E-16</v>
      </c>
      <c r="GU13" s="48">
        <v>0</v>
      </c>
      <c r="GV13" s="48">
        <v>0</v>
      </c>
      <c r="GW13" s="48">
        <v>0</v>
      </c>
      <c r="GX13" s="48">
        <v>1.0531569250040289E-13</v>
      </c>
      <c r="GY13" s="48">
        <v>0</v>
      </c>
      <c r="GZ13" s="48">
        <v>0</v>
      </c>
      <c r="HA13" s="48">
        <v>0</v>
      </c>
      <c r="HB13" s="48">
        <v>0</v>
      </c>
      <c r="HC13" s="48">
        <v>0</v>
      </c>
      <c r="HD13" s="48">
        <v>0</v>
      </c>
      <c r="HE13" s="48">
        <v>0</v>
      </c>
      <c r="HF13" s="48">
        <v>0</v>
      </c>
      <c r="HG13" s="48">
        <v>0</v>
      </c>
      <c r="HH13" s="48">
        <v>0</v>
      </c>
      <c r="HI13" s="48">
        <v>0</v>
      </c>
      <c r="HJ13" s="48">
        <v>0</v>
      </c>
      <c r="HK13" s="48">
        <v>0</v>
      </c>
      <c r="HL13" s="48">
        <v>0</v>
      </c>
      <c r="HM13" s="48">
        <v>0</v>
      </c>
      <c r="HN13" s="48">
        <v>0</v>
      </c>
      <c r="HO13" s="48">
        <v>0</v>
      </c>
      <c r="HP13" s="48">
        <v>0</v>
      </c>
      <c r="HQ13" s="48">
        <v>0</v>
      </c>
      <c r="HR13" s="48">
        <v>0</v>
      </c>
      <c r="HS13" s="48">
        <v>0</v>
      </c>
      <c r="HT13" s="48">
        <v>0</v>
      </c>
      <c r="HU13" s="48">
        <v>0</v>
      </c>
      <c r="HV13" s="48">
        <v>5.5749954292702237E-13</v>
      </c>
      <c r="HW13" s="48">
        <v>0</v>
      </c>
      <c r="HX13" s="48">
        <v>0</v>
      </c>
      <c r="HY13" s="48">
        <v>0</v>
      </c>
      <c r="HZ13" s="48">
        <v>0</v>
      </c>
      <c r="IA13" s="48">
        <v>0</v>
      </c>
      <c r="IB13" s="48">
        <v>0</v>
      </c>
      <c r="IC13" s="48">
        <v>0</v>
      </c>
      <c r="ID13" s="48">
        <v>0</v>
      </c>
      <c r="IE13" s="48">
        <v>0</v>
      </c>
      <c r="IF13" s="48">
        <v>0</v>
      </c>
      <c r="IG13" s="48">
        <v>0</v>
      </c>
      <c r="IH13" s="48">
        <v>0</v>
      </c>
      <c r="II13" s="48">
        <v>0</v>
      </c>
      <c r="IJ13" s="48">
        <v>0</v>
      </c>
      <c r="IK13" s="48">
        <v>3.6157052207369489</v>
      </c>
      <c r="IL13" s="48">
        <v>0</v>
      </c>
      <c r="IM13" s="48">
        <v>0</v>
      </c>
      <c r="IN13" s="48">
        <v>0</v>
      </c>
      <c r="IO13" s="48">
        <v>0</v>
      </c>
      <c r="IP13" s="23">
        <v>15842.999999999662</v>
      </c>
      <c r="IQ13" s="25">
        <v>1046</v>
      </c>
      <c r="IR13" s="25">
        <v>0</v>
      </c>
      <c r="IS13" s="26">
        <v>0</v>
      </c>
      <c r="IT13" s="26">
        <v>0</v>
      </c>
      <c r="IU13" s="26">
        <v>331</v>
      </c>
      <c r="IV13" s="9">
        <v>58</v>
      </c>
      <c r="IW13" s="38">
        <f t="shared" si="4"/>
        <v>17277.999999999662</v>
      </c>
    </row>
    <row r="14" spans="1:257" ht="30" customHeight="1" x14ac:dyDescent="0.25">
      <c r="A14" s="112" t="b">
        <v>1</v>
      </c>
      <c r="B14" s="113" t="b">
        <f>IFERROR(VLOOKUP(C14,'Bridge matrix'!$D$3:$E$727,2,FALSE)='symmetric IOT 245 2012'!D14,"FALSCH")</f>
        <v>1</v>
      </c>
      <c r="C14" s="108">
        <v>9</v>
      </c>
      <c r="D14" s="49" t="s">
        <v>1334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0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  <c r="CL14" s="48">
        <v>5.1873525919678238</v>
      </c>
      <c r="CM14" s="48">
        <v>0</v>
      </c>
      <c r="CN14" s="48">
        <v>7.7177617597080248</v>
      </c>
      <c r="CO14" s="48">
        <v>0</v>
      </c>
      <c r="CP14" s="48">
        <v>0</v>
      </c>
      <c r="CQ14" s="48">
        <v>0</v>
      </c>
      <c r="CR14" s="48">
        <v>0</v>
      </c>
      <c r="CS14" s="48">
        <v>0</v>
      </c>
      <c r="CT14" s="48">
        <v>1.0331268078522984E-2</v>
      </c>
      <c r="CU14" s="48">
        <v>0</v>
      </c>
      <c r="CV14" s="48">
        <v>0</v>
      </c>
      <c r="CW14" s="48">
        <v>0</v>
      </c>
      <c r="CX14" s="48">
        <v>9.6161627406787266E-4</v>
      </c>
      <c r="CY14" s="48">
        <v>4.6509802935666551</v>
      </c>
      <c r="CZ14" s="48">
        <v>88.409478813455692</v>
      </c>
      <c r="DA14" s="48">
        <v>0</v>
      </c>
      <c r="DB14" s="48">
        <v>595.38372990336745</v>
      </c>
      <c r="DC14" s="48">
        <v>4.6268446488018306E-3</v>
      </c>
      <c r="DD14" s="48">
        <v>1.4831239175293964</v>
      </c>
      <c r="DE14" s="48">
        <v>2.2094580837350328</v>
      </c>
      <c r="DF14" s="48">
        <v>0</v>
      </c>
      <c r="DG14" s="48">
        <v>0</v>
      </c>
      <c r="DH14" s="48">
        <v>0</v>
      </c>
      <c r="DI14" s="48">
        <v>9.4740755623727715</v>
      </c>
      <c r="DJ14" s="48">
        <v>0</v>
      </c>
      <c r="DK14" s="48">
        <v>6.5045666548300227</v>
      </c>
      <c r="DL14" s="48">
        <v>0</v>
      </c>
      <c r="DM14" s="48">
        <v>0</v>
      </c>
      <c r="DN14" s="48">
        <v>0</v>
      </c>
      <c r="DO14" s="48">
        <v>0</v>
      </c>
      <c r="DP14" s="48">
        <v>0</v>
      </c>
      <c r="DQ14" s="48">
        <v>0</v>
      </c>
      <c r="DR14" s="48">
        <v>0</v>
      </c>
      <c r="DS14" s="48">
        <v>0</v>
      </c>
      <c r="DT14" s="48">
        <v>0</v>
      </c>
      <c r="DU14" s="48">
        <v>0</v>
      </c>
      <c r="DV14" s="48">
        <v>0</v>
      </c>
      <c r="DW14" s="48">
        <v>0</v>
      </c>
      <c r="DX14" s="48">
        <v>0</v>
      </c>
      <c r="DY14" s="48">
        <v>0</v>
      </c>
      <c r="DZ14" s="48">
        <v>0</v>
      </c>
      <c r="EA14" s="48">
        <v>0</v>
      </c>
      <c r="EB14" s="48">
        <v>0</v>
      </c>
      <c r="EC14" s="48">
        <v>0</v>
      </c>
      <c r="ED14" s="48">
        <v>0</v>
      </c>
      <c r="EE14" s="48">
        <v>0</v>
      </c>
      <c r="EF14" s="48">
        <v>0</v>
      </c>
      <c r="EG14" s="48">
        <v>0</v>
      </c>
      <c r="EH14" s="48">
        <v>0</v>
      </c>
      <c r="EI14" s="48">
        <v>0</v>
      </c>
      <c r="EJ14" s="48">
        <v>0</v>
      </c>
      <c r="EK14" s="48">
        <v>0</v>
      </c>
      <c r="EL14" s="48">
        <v>2.342187666140268E-6</v>
      </c>
      <c r="EM14" s="48">
        <v>3.5601678267861281E-6</v>
      </c>
      <c r="EN14" s="48">
        <v>0.10577955117005072</v>
      </c>
      <c r="EO14" s="48">
        <v>0</v>
      </c>
      <c r="EP14" s="48">
        <v>6.4534741161710912E-6</v>
      </c>
      <c r="EQ14" s="48">
        <v>0</v>
      </c>
      <c r="ER14" s="48">
        <v>0</v>
      </c>
      <c r="ES14" s="48">
        <v>0</v>
      </c>
      <c r="ET14" s="48">
        <v>7.6569866313384555E-7</v>
      </c>
      <c r="EU14" s="48">
        <v>0</v>
      </c>
      <c r="EV14" s="48">
        <v>0</v>
      </c>
      <c r="EW14" s="48">
        <v>0</v>
      </c>
      <c r="EX14" s="48">
        <v>1.2083181180050062E-7</v>
      </c>
      <c r="EY14" s="48">
        <v>0</v>
      </c>
      <c r="EZ14" s="48">
        <v>0</v>
      </c>
      <c r="FA14" s="48">
        <v>0</v>
      </c>
      <c r="FB14" s="48">
        <v>0</v>
      </c>
      <c r="FC14" s="48">
        <v>0</v>
      </c>
      <c r="FD14" s="48">
        <v>6.3045713021915181E-12</v>
      </c>
      <c r="FE14" s="48">
        <v>0</v>
      </c>
      <c r="FF14" s="48">
        <v>0</v>
      </c>
      <c r="FG14" s="48">
        <v>1.6182056321000003E-12</v>
      </c>
      <c r="FH14" s="48">
        <v>1.1599718394590103E-12</v>
      </c>
      <c r="FI14" s="48">
        <v>1.7964468938307643E-12</v>
      </c>
      <c r="FJ14" s="48">
        <v>0</v>
      </c>
      <c r="FK14" s="48">
        <v>0</v>
      </c>
      <c r="FL14" s="48">
        <v>0</v>
      </c>
      <c r="FM14" s="48">
        <v>0</v>
      </c>
      <c r="FN14" s="48">
        <v>0</v>
      </c>
      <c r="FO14" s="48">
        <v>0</v>
      </c>
      <c r="FP14" s="48">
        <v>0</v>
      </c>
      <c r="FQ14" s="48">
        <v>1.0446689542698015E-12</v>
      </c>
      <c r="FR14" s="48">
        <v>3.0937058631653952E-13</v>
      </c>
      <c r="FS14" s="48">
        <v>0</v>
      </c>
      <c r="FT14" s="48">
        <v>8.426650453464268E-14</v>
      </c>
      <c r="FU14" s="48">
        <v>0</v>
      </c>
      <c r="FV14" s="48">
        <v>0</v>
      </c>
      <c r="FW14" s="48">
        <v>0</v>
      </c>
      <c r="FX14" s="48">
        <v>0</v>
      </c>
      <c r="FY14" s="48">
        <v>0</v>
      </c>
      <c r="FZ14" s="48">
        <v>0</v>
      </c>
      <c r="GA14" s="48">
        <v>0</v>
      </c>
      <c r="GB14" s="48">
        <v>0</v>
      </c>
      <c r="GC14" s="48">
        <v>0</v>
      </c>
      <c r="GD14" s="48">
        <v>0</v>
      </c>
      <c r="GE14" s="48">
        <v>0</v>
      </c>
      <c r="GF14" s="48">
        <v>0</v>
      </c>
      <c r="GG14" s="48">
        <v>0</v>
      </c>
      <c r="GH14" s="48">
        <v>0</v>
      </c>
      <c r="GI14" s="48">
        <v>0</v>
      </c>
      <c r="GJ14" s="48">
        <v>0</v>
      </c>
      <c r="GK14" s="48">
        <v>0</v>
      </c>
      <c r="GL14" s="48">
        <v>0</v>
      </c>
      <c r="GM14" s="48">
        <v>0</v>
      </c>
      <c r="GN14" s="48">
        <v>0</v>
      </c>
      <c r="GO14" s="48">
        <v>0</v>
      </c>
      <c r="GP14" s="48">
        <v>0</v>
      </c>
      <c r="GQ14" s="48">
        <v>0</v>
      </c>
      <c r="GR14" s="48">
        <v>0</v>
      </c>
      <c r="GS14" s="48">
        <v>0</v>
      </c>
      <c r="GT14" s="48">
        <v>7.6931245239042281E-16</v>
      </c>
      <c r="GU14" s="48">
        <v>0</v>
      </c>
      <c r="GV14" s="48">
        <v>0</v>
      </c>
      <c r="GW14" s="48">
        <v>0</v>
      </c>
      <c r="GX14" s="48">
        <v>1.1247537523895793E-13</v>
      </c>
      <c r="GY14" s="48">
        <v>0</v>
      </c>
      <c r="GZ14" s="48">
        <v>0</v>
      </c>
      <c r="HA14" s="48">
        <v>0</v>
      </c>
      <c r="HB14" s="48">
        <v>0</v>
      </c>
      <c r="HC14" s="48">
        <v>0</v>
      </c>
      <c r="HD14" s="48">
        <v>0</v>
      </c>
      <c r="HE14" s="48">
        <v>0</v>
      </c>
      <c r="HF14" s="48">
        <v>0</v>
      </c>
      <c r="HG14" s="48">
        <v>0</v>
      </c>
      <c r="HH14" s="48">
        <v>0</v>
      </c>
      <c r="HI14" s="48">
        <v>0</v>
      </c>
      <c r="HJ14" s="48">
        <v>0</v>
      </c>
      <c r="HK14" s="48">
        <v>0</v>
      </c>
      <c r="HL14" s="48">
        <v>0</v>
      </c>
      <c r="HM14" s="48">
        <v>0</v>
      </c>
      <c r="HN14" s="48">
        <v>0</v>
      </c>
      <c r="HO14" s="48">
        <v>0</v>
      </c>
      <c r="HP14" s="48">
        <v>0</v>
      </c>
      <c r="HQ14" s="48">
        <v>0</v>
      </c>
      <c r="HR14" s="48">
        <v>0</v>
      </c>
      <c r="HS14" s="48">
        <v>0</v>
      </c>
      <c r="HT14" s="48">
        <v>0</v>
      </c>
      <c r="HU14" s="48">
        <v>0</v>
      </c>
      <c r="HV14" s="48">
        <v>5.9540006619644428E-13</v>
      </c>
      <c r="HW14" s="48">
        <v>0</v>
      </c>
      <c r="HX14" s="48">
        <v>0</v>
      </c>
      <c r="HY14" s="48">
        <v>0</v>
      </c>
      <c r="HZ14" s="48">
        <v>0</v>
      </c>
      <c r="IA14" s="48">
        <v>0</v>
      </c>
      <c r="IB14" s="48">
        <v>0</v>
      </c>
      <c r="IC14" s="48">
        <v>0</v>
      </c>
      <c r="ID14" s="48">
        <v>0</v>
      </c>
      <c r="IE14" s="48">
        <v>0</v>
      </c>
      <c r="IF14" s="48">
        <v>0</v>
      </c>
      <c r="IG14" s="48">
        <v>0</v>
      </c>
      <c r="IH14" s="48">
        <v>0</v>
      </c>
      <c r="II14" s="48">
        <v>0</v>
      </c>
      <c r="IJ14" s="48">
        <v>0</v>
      </c>
      <c r="IK14" s="48">
        <v>3.8577598969162081</v>
      </c>
      <c r="IL14" s="48">
        <v>0</v>
      </c>
      <c r="IM14" s="48">
        <v>0</v>
      </c>
      <c r="IN14" s="48">
        <v>0</v>
      </c>
      <c r="IO14" s="48">
        <v>0</v>
      </c>
      <c r="IP14" s="23">
        <v>724.99999999999363</v>
      </c>
      <c r="IQ14" s="25">
        <v>0</v>
      </c>
      <c r="IR14" s="25">
        <v>0</v>
      </c>
      <c r="IS14" s="26">
        <v>0</v>
      </c>
      <c r="IT14" s="26">
        <v>0</v>
      </c>
      <c r="IU14" s="26">
        <v>58</v>
      </c>
      <c r="IV14" s="9">
        <v>201</v>
      </c>
      <c r="IW14" s="38">
        <f t="shared" si="4"/>
        <v>983.99999999999363</v>
      </c>
    </row>
    <row r="15" spans="1:257" ht="30" customHeight="1" x14ac:dyDescent="0.25">
      <c r="A15" s="112" t="b">
        <v>1</v>
      </c>
      <c r="B15" s="113" t="b">
        <f>IFERROR(VLOOKUP(C15,'Bridge matrix'!$D$3:$E$727,2,FALSE)='symmetric IOT 245 2012'!D15,"FALSCH")</f>
        <v>1</v>
      </c>
      <c r="C15" s="108">
        <v>10</v>
      </c>
      <c r="D15" s="49" t="s">
        <v>1335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1.4623116689357879E-4</v>
      </c>
      <c r="CJ15" s="48">
        <v>0</v>
      </c>
      <c r="CK15" s="48">
        <v>0</v>
      </c>
      <c r="CL15" s="48">
        <v>0.54748034288159209</v>
      </c>
      <c r="CM15" s="48">
        <v>2.897596542526926E-6</v>
      </c>
      <c r="CN15" s="48">
        <v>0.81454375926118228</v>
      </c>
      <c r="CO15" s="48">
        <v>0</v>
      </c>
      <c r="CP15" s="48">
        <v>0</v>
      </c>
      <c r="CQ15" s="48">
        <v>0</v>
      </c>
      <c r="CR15" s="48">
        <v>0</v>
      </c>
      <c r="CS15" s="48">
        <v>0</v>
      </c>
      <c r="CT15" s="48">
        <v>1.0903770031550615E-3</v>
      </c>
      <c r="CU15" s="48">
        <v>3.0442785909070256E-6</v>
      </c>
      <c r="CV15" s="48">
        <v>7.1356498308712315E-6</v>
      </c>
      <c r="CW15" s="48">
        <v>0</v>
      </c>
      <c r="CX15" s="48">
        <v>1.0149037496016317E-4</v>
      </c>
      <c r="CY15" s="48">
        <v>0</v>
      </c>
      <c r="CZ15" s="48">
        <v>0</v>
      </c>
      <c r="DA15" s="48">
        <v>2.4055328793371878E-6</v>
      </c>
      <c r="DB15" s="48">
        <v>62.837680680267219</v>
      </c>
      <c r="DC15" s="48">
        <v>4.8832388859527389E-4</v>
      </c>
      <c r="DD15" s="48">
        <v>0</v>
      </c>
      <c r="DE15" s="48">
        <v>0</v>
      </c>
      <c r="DF15" s="48">
        <v>0</v>
      </c>
      <c r="DG15" s="48">
        <v>0</v>
      </c>
      <c r="DH15" s="48">
        <v>0</v>
      </c>
      <c r="DI15" s="48">
        <v>0</v>
      </c>
      <c r="DJ15" s="48">
        <v>0</v>
      </c>
      <c r="DK15" s="48">
        <v>0</v>
      </c>
      <c r="DL15" s="48">
        <v>2.6089941235621641</v>
      </c>
      <c r="DM15" s="48">
        <v>234.78230547203287</v>
      </c>
      <c r="DN15" s="48">
        <v>0</v>
      </c>
      <c r="DO15" s="48">
        <v>0</v>
      </c>
      <c r="DP15" s="48">
        <v>0</v>
      </c>
      <c r="DQ15" s="48">
        <v>0</v>
      </c>
      <c r="DR15" s="48">
        <v>6.6498964653751099E-13</v>
      </c>
      <c r="DS15" s="48">
        <v>0</v>
      </c>
      <c r="DT15" s="48">
        <v>0</v>
      </c>
      <c r="DU15" s="48">
        <v>0</v>
      </c>
      <c r="DV15" s="48">
        <v>0</v>
      </c>
      <c r="DW15" s="48">
        <v>0</v>
      </c>
      <c r="DX15" s="48">
        <v>0</v>
      </c>
      <c r="DY15" s="48">
        <v>2.5386156102558553E-18</v>
      </c>
      <c r="DZ15" s="48">
        <v>0</v>
      </c>
      <c r="EA15" s="48">
        <v>0</v>
      </c>
      <c r="EB15" s="48">
        <v>7.0665515146808912E-12</v>
      </c>
      <c r="EC15" s="48">
        <v>2.0438096300151069E-13</v>
      </c>
      <c r="ED15" s="48">
        <v>0</v>
      </c>
      <c r="EE15" s="48">
        <v>0</v>
      </c>
      <c r="EF15" s="48">
        <v>0</v>
      </c>
      <c r="EG15" s="48">
        <v>0</v>
      </c>
      <c r="EH15" s="48">
        <v>0</v>
      </c>
      <c r="EI15" s="48">
        <v>7.5047856688350998E-9</v>
      </c>
      <c r="EJ15" s="48">
        <v>1.3945413673782511E-7</v>
      </c>
      <c r="EK15" s="48">
        <v>0</v>
      </c>
      <c r="EL15" s="48">
        <v>0</v>
      </c>
      <c r="EM15" s="48">
        <v>0</v>
      </c>
      <c r="EN15" s="48">
        <v>0</v>
      </c>
      <c r="EO15" s="48">
        <v>0</v>
      </c>
      <c r="EP15" s="48">
        <v>0</v>
      </c>
      <c r="EQ15" s="48">
        <v>0</v>
      </c>
      <c r="ER15" s="48">
        <v>1.7636225565501049E-13</v>
      </c>
      <c r="ES15" s="48">
        <v>3.0839678591797983E-15</v>
      </c>
      <c r="ET15" s="48">
        <v>0</v>
      </c>
      <c r="EU15" s="48">
        <v>0</v>
      </c>
      <c r="EV15" s="48">
        <v>0</v>
      </c>
      <c r="EW15" s="48">
        <v>2.1954093493718353E-13</v>
      </c>
      <c r="EX15" s="48">
        <v>0</v>
      </c>
      <c r="EY15" s="48">
        <v>5.3316724299060584E-11</v>
      </c>
      <c r="EZ15" s="48">
        <v>0</v>
      </c>
      <c r="FA15" s="48">
        <v>4.4688154496405648E-17</v>
      </c>
      <c r="FB15" s="48">
        <v>1.2251548086431978E-18</v>
      </c>
      <c r="FC15" s="48">
        <v>0</v>
      </c>
      <c r="FD15" s="48">
        <v>0</v>
      </c>
      <c r="FE15" s="48">
        <v>0</v>
      </c>
      <c r="FF15" s="48">
        <v>0</v>
      </c>
      <c r="FG15" s="48">
        <v>0</v>
      </c>
      <c r="FH15" s="48">
        <v>0</v>
      </c>
      <c r="FI15" s="48">
        <v>0</v>
      </c>
      <c r="FJ15" s="48">
        <v>0</v>
      </c>
      <c r="FK15" s="48">
        <v>0</v>
      </c>
      <c r="FL15" s="48">
        <v>0</v>
      </c>
      <c r="FM15" s="48">
        <v>2.3367407254634853E-13</v>
      </c>
      <c r="FN15" s="48">
        <v>0</v>
      </c>
      <c r="FO15" s="48">
        <v>0</v>
      </c>
      <c r="FP15" s="48">
        <v>9.944938652917661E-12</v>
      </c>
      <c r="FQ15" s="48">
        <v>0</v>
      </c>
      <c r="FR15" s="48">
        <v>0</v>
      </c>
      <c r="FS15" s="48">
        <v>0</v>
      </c>
      <c r="FT15" s="48">
        <v>0</v>
      </c>
      <c r="FU15" s="48">
        <v>0</v>
      </c>
      <c r="FV15" s="48">
        <v>8.2994335738509906E-18</v>
      </c>
      <c r="FW15" s="48">
        <v>0</v>
      </c>
      <c r="FX15" s="48">
        <v>0</v>
      </c>
      <c r="FY15" s="48">
        <v>0</v>
      </c>
      <c r="FZ15" s="48">
        <v>0</v>
      </c>
      <c r="GA15" s="48">
        <v>0</v>
      </c>
      <c r="GB15" s="48">
        <v>0</v>
      </c>
      <c r="GC15" s="48">
        <v>0</v>
      </c>
      <c r="GD15" s="48">
        <v>0</v>
      </c>
      <c r="GE15" s="48">
        <v>0</v>
      </c>
      <c r="GF15" s="48">
        <v>0</v>
      </c>
      <c r="GG15" s="48">
        <v>0</v>
      </c>
      <c r="GH15" s="48">
        <v>0</v>
      </c>
      <c r="GI15" s="48">
        <v>0</v>
      </c>
      <c r="GJ15" s="48">
        <v>0</v>
      </c>
      <c r="GK15" s="48">
        <v>0</v>
      </c>
      <c r="GL15" s="48">
        <v>0</v>
      </c>
      <c r="GM15" s="48">
        <v>0</v>
      </c>
      <c r="GN15" s="48">
        <v>0</v>
      </c>
      <c r="GO15" s="48">
        <v>0</v>
      </c>
      <c r="GP15" s="48">
        <v>0</v>
      </c>
      <c r="GQ15" s="48">
        <v>0</v>
      </c>
      <c r="GR15" s="48">
        <v>0</v>
      </c>
      <c r="GS15" s="48">
        <v>0</v>
      </c>
      <c r="GT15" s="48">
        <v>0</v>
      </c>
      <c r="GU15" s="48">
        <v>0</v>
      </c>
      <c r="GV15" s="48">
        <v>0</v>
      </c>
      <c r="GW15" s="48">
        <v>0</v>
      </c>
      <c r="GX15" s="48">
        <v>0</v>
      </c>
      <c r="GY15" s="48">
        <v>0</v>
      </c>
      <c r="GZ15" s="48">
        <v>0</v>
      </c>
      <c r="HA15" s="48">
        <v>0</v>
      </c>
      <c r="HB15" s="48">
        <v>0</v>
      </c>
      <c r="HC15" s="48">
        <v>0</v>
      </c>
      <c r="HD15" s="48">
        <v>0</v>
      </c>
      <c r="HE15" s="48">
        <v>0</v>
      </c>
      <c r="HF15" s="48">
        <v>0</v>
      </c>
      <c r="HG15" s="48">
        <v>0</v>
      </c>
      <c r="HH15" s="48">
        <v>0</v>
      </c>
      <c r="HI15" s="48">
        <v>0</v>
      </c>
      <c r="HJ15" s="48">
        <v>0</v>
      </c>
      <c r="HK15" s="48">
        <v>0</v>
      </c>
      <c r="HL15" s="48">
        <v>0</v>
      </c>
      <c r="HM15" s="48">
        <v>0</v>
      </c>
      <c r="HN15" s="48">
        <v>0</v>
      </c>
      <c r="HO15" s="48">
        <v>0</v>
      </c>
      <c r="HP15" s="48">
        <v>0</v>
      </c>
      <c r="HQ15" s="48">
        <v>0</v>
      </c>
      <c r="HR15" s="48">
        <v>0</v>
      </c>
      <c r="HS15" s="48">
        <v>0</v>
      </c>
      <c r="HT15" s="48">
        <v>0</v>
      </c>
      <c r="HU15" s="48">
        <v>0</v>
      </c>
      <c r="HV15" s="48">
        <v>0</v>
      </c>
      <c r="HW15" s="48">
        <v>0</v>
      </c>
      <c r="HX15" s="48">
        <v>0</v>
      </c>
      <c r="HY15" s="48">
        <v>0</v>
      </c>
      <c r="HZ15" s="48">
        <v>0</v>
      </c>
      <c r="IA15" s="48">
        <v>0</v>
      </c>
      <c r="IB15" s="48">
        <v>0</v>
      </c>
      <c r="IC15" s="48">
        <v>0</v>
      </c>
      <c r="ID15" s="48">
        <v>0</v>
      </c>
      <c r="IE15" s="48">
        <v>0</v>
      </c>
      <c r="IF15" s="48">
        <v>0</v>
      </c>
      <c r="IG15" s="48">
        <v>0</v>
      </c>
      <c r="IH15" s="48">
        <v>0</v>
      </c>
      <c r="II15" s="48">
        <v>0</v>
      </c>
      <c r="IJ15" s="48">
        <v>0</v>
      </c>
      <c r="IK15" s="48">
        <v>0.40715356946701525</v>
      </c>
      <c r="IL15" s="48">
        <v>0</v>
      </c>
      <c r="IM15" s="48">
        <v>0</v>
      </c>
      <c r="IN15" s="48">
        <v>0</v>
      </c>
      <c r="IO15" s="48">
        <v>0</v>
      </c>
      <c r="IP15" s="23">
        <v>301.99999999999432</v>
      </c>
      <c r="IQ15" s="25">
        <v>911</v>
      </c>
      <c r="IR15" s="25">
        <v>0</v>
      </c>
      <c r="IS15" s="26">
        <v>0</v>
      </c>
      <c r="IT15" s="26">
        <v>0</v>
      </c>
      <c r="IU15" s="26">
        <v>-267</v>
      </c>
      <c r="IV15" s="9">
        <v>2536</v>
      </c>
      <c r="IW15" s="38">
        <f t="shared" si="4"/>
        <v>3481.9999999999945</v>
      </c>
    </row>
    <row r="16" spans="1:257" ht="30" customHeight="1" x14ac:dyDescent="0.25">
      <c r="A16" s="112" t="b">
        <v>0</v>
      </c>
      <c r="B16" s="113" t="str">
        <f>IFERROR(VLOOKUP(C16,'Bridge matrix'!$D$3:$E$727,2,FALSE)='symmetric IOT 245 2012'!D16,"FALSCH")</f>
        <v>FALSCH</v>
      </c>
      <c r="C16" s="108">
        <v>11</v>
      </c>
      <c r="D16" s="49" t="s">
        <v>1336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1429.2401759048776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48">
        <v>0</v>
      </c>
      <c r="CB16" s="48">
        <v>0</v>
      </c>
      <c r="CC16" s="48">
        <v>0</v>
      </c>
      <c r="CD16" s="48">
        <v>0</v>
      </c>
      <c r="CE16" s="48">
        <v>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  <c r="CM16" s="48">
        <v>0</v>
      </c>
      <c r="CN16" s="48">
        <v>0</v>
      </c>
      <c r="CO16" s="48">
        <v>0</v>
      </c>
      <c r="CP16" s="48">
        <v>0</v>
      </c>
      <c r="CQ16" s="48">
        <v>0</v>
      </c>
      <c r="CR16" s="48">
        <v>0</v>
      </c>
      <c r="CS16" s="48">
        <v>0</v>
      </c>
      <c r="CT16" s="48">
        <v>0</v>
      </c>
      <c r="CU16" s="48">
        <v>0</v>
      </c>
      <c r="CV16" s="48">
        <v>0</v>
      </c>
      <c r="CW16" s="48">
        <v>0</v>
      </c>
      <c r="CX16" s="48">
        <v>0</v>
      </c>
      <c r="CY16" s="48">
        <v>0</v>
      </c>
      <c r="CZ16" s="48">
        <v>0</v>
      </c>
      <c r="DA16" s="48">
        <v>0</v>
      </c>
      <c r="DB16" s="48">
        <v>0</v>
      </c>
      <c r="DC16" s="48">
        <v>0</v>
      </c>
      <c r="DD16" s="48">
        <v>0</v>
      </c>
      <c r="DE16" s="48">
        <v>0</v>
      </c>
      <c r="DF16" s="48">
        <v>0</v>
      </c>
      <c r="DG16" s="48">
        <v>0</v>
      </c>
      <c r="DH16" s="48">
        <v>0</v>
      </c>
      <c r="DI16" s="48">
        <v>0</v>
      </c>
      <c r="DJ16" s="48">
        <v>0</v>
      </c>
      <c r="DK16" s="48">
        <v>0</v>
      </c>
      <c r="DL16" s="48">
        <v>0</v>
      </c>
      <c r="DM16" s="48">
        <v>0</v>
      </c>
      <c r="DN16" s="48">
        <v>0</v>
      </c>
      <c r="DO16" s="48">
        <v>0</v>
      </c>
      <c r="DP16" s="48">
        <v>0</v>
      </c>
      <c r="DQ16" s="48">
        <v>0</v>
      </c>
      <c r="DR16" s="48">
        <v>0</v>
      </c>
      <c r="DS16" s="48">
        <v>0</v>
      </c>
      <c r="DT16" s="48">
        <v>0</v>
      </c>
      <c r="DU16" s="48">
        <v>0</v>
      </c>
      <c r="DV16" s="48">
        <v>0</v>
      </c>
      <c r="DW16" s="48">
        <v>0</v>
      </c>
      <c r="DX16" s="48">
        <v>0</v>
      </c>
      <c r="DY16" s="48">
        <v>0</v>
      </c>
      <c r="DZ16" s="48">
        <v>0</v>
      </c>
      <c r="EA16" s="48">
        <v>0</v>
      </c>
      <c r="EB16" s="48">
        <v>0</v>
      </c>
      <c r="EC16" s="48">
        <v>0</v>
      </c>
      <c r="ED16" s="48">
        <v>0</v>
      </c>
      <c r="EE16" s="48">
        <v>0</v>
      </c>
      <c r="EF16" s="48">
        <v>0</v>
      </c>
      <c r="EG16" s="48">
        <v>0</v>
      </c>
      <c r="EH16" s="48">
        <v>0</v>
      </c>
      <c r="EI16" s="48">
        <v>0</v>
      </c>
      <c r="EJ16" s="48">
        <v>0</v>
      </c>
      <c r="EK16" s="48">
        <v>0</v>
      </c>
      <c r="EL16" s="48">
        <v>0</v>
      </c>
      <c r="EM16" s="48">
        <v>0</v>
      </c>
      <c r="EN16" s="48">
        <v>0</v>
      </c>
      <c r="EO16" s="48">
        <v>0</v>
      </c>
      <c r="EP16" s="48">
        <v>0</v>
      </c>
      <c r="EQ16" s="48">
        <v>0</v>
      </c>
      <c r="ER16" s="48">
        <v>0</v>
      </c>
      <c r="ES16" s="48">
        <v>0</v>
      </c>
      <c r="ET16" s="48">
        <v>0</v>
      </c>
      <c r="EU16" s="48">
        <v>0</v>
      </c>
      <c r="EV16" s="48">
        <v>0</v>
      </c>
      <c r="EW16" s="48">
        <v>0</v>
      </c>
      <c r="EX16" s="48">
        <v>0</v>
      </c>
      <c r="EY16" s="48">
        <v>0</v>
      </c>
      <c r="EZ16" s="48">
        <v>0</v>
      </c>
      <c r="FA16" s="48">
        <v>0</v>
      </c>
      <c r="FB16" s="48">
        <v>0</v>
      </c>
      <c r="FC16" s="48">
        <v>0</v>
      </c>
      <c r="FD16" s="48">
        <v>0</v>
      </c>
      <c r="FE16" s="48">
        <v>0</v>
      </c>
      <c r="FF16" s="48">
        <v>0</v>
      </c>
      <c r="FG16" s="48">
        <v>0</v>
      </c>
      <c r="FH16" s="48">
        <v>0</v>
      </c>
      <c r="FI16" s="48">
        <v>0</v>
      </c>
      <c r="FJ16" s="48">
        <v>0</v>
      </c>
      <c r="FK16" s="48">
        <v>0</v>
      </c>
      <c r="FL16" s="48">
        <v>0</v>
      </c>
      <c r="FM16" s="48">
        <v>0</v>
      </c>
      <c r="FN16" s="48">
        <v>0</v>
      </c>
      <c r="FO16" s="48">
        <v>0</v>
      </c>
      <c r="FP16" s="48">
        <v>0</v>
      </c>
      <c r="FQ16" s="48">
        <v>0</v>
      </c>
      <c r="FR16" s="48">
        <v>0</v>
      </c>
      <c r="FS16" s="48">
        <v>0</v>
      </c>
      <c r="FT16" s="48">
        <v>0</v>
      </c>
      <c r="FU16" s="48">
        <v>0</v>
      </c>
      <c r="FV16" s="48">
        <v>0</v>
      </c>
      <c r="FW16" s="48">
        <v>0</v>
      </c>
      <c r="FX16" s="48">
        <v>0</v>
      </c>
      <c r="FY16" s="48">
        <v>0</v>
      </c>
      <c r="FZ16" s="48">
        <v>0</v>
      </c>
      <c r="GA16" s="48">
        <v>0</v>
      </c>
      <c r="GB16" s="48">
        <v>0</v>
      </c>
      <c r="GC16" s="48">
        <v>0</v>
      </c>
      <c r="GD16" s="48">
        <v>0</v>
      </c>
      <c r="GE16" s="48">
        <v>3018.7406972979466</v>
      </c>
      <c r="GF16" s="48">
        <v>2336.0191267971445</v>
      </c>
      <c r="GG16" s="48">
        <v>0</v>
      </c>
      <c r="GH16" s="48">
        <v>0</v>
      </c>
      <c r="GI16" s="48">
        <v>0</v>
      </c>
      <c r="GJ16" s="48">
        <v>0</v>
      </c>
      <c r="GK16" s="48">
        <v>0</v>
      </c>
      <c r="GL16" s="48">
        <v>0</v>
      </c>
      <c r="GM16" s="48">
        <v>0</v>
      </c>
      <c r="GN16" s="48">
        <v>0</v>
      </c>
      <c r="GO16" s="48">
        <v>0</v>
      </c>
      <c r="GP16" s="48">
        <v>0</v>
      </c>
      <c r="GQ16" s="48">
        <v>0</v>
      </c>
      <c r="GR16" s="48">
        <v>0</v>
      </c>
      <c r="GS16" s="48">
        <v>0</v>
      </c>
      <c r="GT16" s="48">
        <v>0</v>
      </c>
      <c r="GU16" s="48">
        <v>0</v>
      </c>
      <c r="GV16" s="48">
        <v>0</v>
      </c>
      <c r="GW16" s="48">
        <v>0</v>
      </c>
      <c r="GX16" s="48">
        <v>0</v>
      </c>
      <c r="GY16" s="48">
        <v>0</v>
      </c>
      <c r="GZ16" s="48">
        <v>0</v>
      </c>
      <c r="HA16" s="48">
        <v>0</v>
      </c>
      <c r="HB16" s="48">
        <v>0</v>
      </c>
      <c r="HC16" s="48">
        <v>0</v>
      </c>
      <c r="HD16" s="48">
        <v>0</v>
      </c>
      <c r="HE16" s="48">
        <v>0</v>
      </c>
      <c r="HF16" s="48">
        <v>0</v>
      </c>
      <c r="HG16" s="48">
        <v>0</v>
      </c>
      <c r="HH16" s="48">
        <v>0</v>
      </c>
      <c r="HI16" s="48">
        <v>0</v>
      </c>
      <c r="HJ16" s="48">
        <v>0</v>
      </c>
      <c r="HK16" s="48">
        <v>0</v>
      </c>
      <c r="HL16" s="48">
        <v>0</v>
      </c>
      <c r="HM16" s="48">
        <v>0</v>
      </c>
      <c r="HN16" s="48">
        <v>0</v>
      </c>
      <c r="HO16" s="48">
        <v>0</v>
      </c>
      <c r="HP16" s="48">
        <v>0</v>
      </c>
      <c r="HQ16" s="48">
        <v>0</v>
      </c>
      <c r="HR16" s="48">
        <v>0</v>
      </c>
      <c r="HS16" s="48">
        <v>0</v>
      </c>
      <c r="HT16" s="48">
        <v>0</v>
      </c>
      <c r="HU16" s="48">
        <v>0</v>
      </c>
      <c r="HV16" s="48">
        <v>0</v>
      </c>
      <c r="HW16" s="48">
        <v>0</v>
      </c>
      <c r="HX16" s="48">
        <v>0</v>
      </c>
      <c r="HY16" s="48">
        <v>0</v>
      </c>
      <c r="HZ16" s="48">
        <v>0</v>
      </c>
      <c r="IA16" s="48">
        <v>0</v>
      </c>
      <c r="IB16" s="48">
        <v>0</v>
      </c>
      <c r="IC16" s="48">
        <v>0</v>
      </c>
      <c r="ID16" s="48">
        <v>0</v>
      </c>
      <c r="IE16" s="48">
        <v>0</v>
      </c>
      <c r="IF16" s="48">
        <v>0</v>
      </c>
      <c r="IG16" s="48">
        <v>0</v>
      </c>
      <c r="IH16" s="48">
        <v>0</v>
      </c>
      <c r="II16" s="48">
        <v>0</v>
      </c>
      <c r="IJ16" s="48">
        <v>0</v>
      </c>
      <c r="IK16" s="48">
        <v>0</v>
      </c>
      <c r="IL16" s="48">
        <v>0</v>
      </c>
      <c r="IM16" s="48">
        <v>0</v>
      </c>
      <c r="IN16" s="48">
        <v>0</v>
      </c>
      <c r="IO16" s="48">
        <v>0</v>
      </c>
      <c r="IP16" s="23">
        <v>6783.9999999999691</v>
      </c>
      <c r="IQ16" s="25">
        <v>21438</v>
      </c>
      <c r="IR16" s="25">
        <v>0</v>
      </c>
      <c r="IS16" s="26">
        <v>0</v>
      </c>
      <c r="IT16" s="26">
        <v>0</v>
      </c>
      <c r="IU16" s="26">
        <v>0</v>
      </c>
      <c r="IV16" s="9">
        <v>552479</v>
      </c>
      <c r="IW16" s="38">
        <f t="shared" si="4"/>
        <v>580701</v>
      </c>
    </row>
    <row r="17" spans="1:257" ht="30" customHeight="1" x14ac:dyDescent="0.25">
      <c r="A17" s="112" t="b">
        <v>0</v>
      </c>
      <c r="B17" s="113" t="str">
        <f>IFERROR(VLOOKUP(C17,'Bridge matrix'!$D$3:$E$727,2,FALSE)='symmetric IOT 245 2012'!D17,"FALSCH")</f>
        <v>FALSCH</v>
      </c>
      <c r="C17" s="108">
        <v>12</v>
      </c>
      <c r="D17" s="49" t="s">
        <v>1337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155.55463501925257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48">
        <v>0</v>
      </c>
      <c r="CB17" s="48">
        <v>0</v>
      </c>
      <c r="CC17" s="48">
        <v>0</v>
      </c>
      <c r="CD17" s="48">
        <v>0</v>
      </c>
      <c r="CE17" s="48">
        <v>0</v>
      </c>
      <c r="CF17" s="48">
        <v>0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  <c r="CM17" s="48">
        <v>0</v>
      </c>
      <c r="CN17" s="48">
        <v>0</v>
      </c>
      <c r="CO17" s="48">
        <v>0</v>
      </c>
      <c r="CP17" s="48">
        <v>0</v>
      </c>
      <c r="CQ17" s="48">
        <v>0</v>
      </c>
      <c r="CR17" s="48">
        <v>0</v>
      </c>
      <c r="CS17" s="48">
        <v>0</v>
      </c>
      <c r="CT17" s="48">
        <v>0</v>
      </c>
      <c r="CU17" s="48">
        <v>0</v>
      </c>
      <c r="CV17" s="48">
        <v>0</v>
      </c>
      <c r="CW17" s="48">
        <v>0</v>
      </c>
      <c r="CX17" s="48">
        <v>0</v>
      </c>
      <c r="CY17" s="48">
        <v>0</v>
      </c>
      <c r="CZ17" s="48">
        <v>0</v>
      </c>
      <c r="DA17" s="48">
        <v>0</v>
      </c>
      <c r="DB17" s="48">
        <v>0</v>
      </c>
      <c r="DC17" s="48">
        <v>0</v>
      </c>
      <c r="DD17" s="48">
        <v>0</v>
      </c>
      <c r="DE17" s="48">
        <v>0</v>
      </c>
      <c r="DF17" s="48">
        <v>0</v>
      </c>
      <c r="DG17" s="48">
        <v>0</v>
      </c>
      <c r="DH17" s="48">
        <v>0</v>
      </c>
      <c r="DI17" s="48">
        <v>0</v>
      </c>
      <c r="DJ17" s="48">
        <v>0</v>
      </c>
      <c r="DK17" s="48">
        <v>0</v>
      </c>
      <c r="DL17" s="48">
        <v>0</v>
      </c>
      <c r="DM17" s="48">
        <v>0</v>
      </c>
      <c r="DN17" s="48">
        <v>0</v>
      </c>
      <c r="DO17" s="48">
        <v>0</v>
      </c>
      <c r="DP17" s="48">
        <v>0</v>
      </c>
      <c r="DQ17" s="48">
        <v>0</v>
      </c>
      <c r="DR17" s="48">
        <v>0</v>
      </c>
      <c r="DS17" s="48">
        <v>0</v>
      </c>
      <c r="DT17" s="48">
        <v>0</v>
      </c>
      <c r="DU17" s="48">
        <v>0</v>
      </c>
      <c r="DV17" s="48">
        <v>0</v>
      </c>
      <c r="DW17" s="48">
        <v>0</v>
      </c>
      <c r="DX17" s="48">
        <v>0</v>
      </c>
      <c r="DY17" s="48">
        <v>0</v>
      </c>
      <c r="DZ17" s="48">
        <v>0</v>
      </c>
      <c r="EA17" s="48">
        <v>0</v>
      </c>
      <c r="EB17" s="48">
        <v>0</v>
      </c>
      <c r="EC17" s="48">
        <v>0</v>
      </c>
      <c r="ED17" s="48">
        <v>0</v>
      </c>
      <c r="EE17" s="48">
        <v>0</v>
      </c>
      <c r="EF17" s="48">
        <v>0</v>
      </c>
      <c r="EG17" s="48">
        <v>0</v>
      </c>
      <c r="EH17" s="48">
        <v>0</v>
      </c>
      <c r="EI17" s="48">
        <v>0</v>
      </c>
      <c r="EJ17" s="48">
        <v>0</v>
      </c>
      <c r="EK17" s="48">
        <v>0</v>
      </c>
      <c r="EL17" s="48">
        <v>0</v>
      </c>
      <c r="EM17" s="48">
        <v>0</v>
      </c>
      <c r="EN17" s="48">
        <v>0</v>
      </c>
      <c r="EO17" s="48">
        <v>0</v>
      </c>
      <c r="EP17" s="48">
        <v>0</v>
      </c>
      <c r="EQ17" s="48">
        <v>0</v>
      </c>
      <c r="ER17" s="48">
        <v>0</v>
      </c>
      <c r="ES17" s="48">
        <v>0</v>
      </c>
      <c r="ET17" s="48">
        <v>0</v>
      </c>
      <c r="EU17" s="48">
        <v>0</v>
      </c>
      <c r="EV17" s="48">
        <v>0</v>
      </c>
      <c r="EW17" s="48">
        <v>0</v>
      </c>
      <c r="EX17" s="48">
        <v>0</v>
      </c>
      <c r="EY17" s="48">
        <v>0</v>
      </c>
      <c r="EZ17" s="48">
        <v>0</v>
      </c>
      <c r="FA17" s="48">
        <v>0</v>
      </c>
      <c r="FB17" s="48">
        <v>0</v>
      </c>
      <c r="FC17" s="48">
        <v>0</v>
      </c>
      <c r="FD17" s="48">
        <v>0</v>
      </c>
      <c r="FE17" s="48">
        <v>0</v>
      </c>
      <c r="FF17" s="48">
        <v>0</v>
      </c>
      <c r="FG17" s="48">
        <v>0</v>
      </c>
      <c r="FH17" s="48">
        <v>0</v>
      </c>
      <c r="FI17" s="48">
        <v>0</v>
      </c>
      <c r="FJ17" s="48">
        <v>0</v>
      </c>
      <c r="FK17" s="48">
        <v>0</v>
      </c>
      <c r="FL17" s="48">
        <v>0</v>
      </c>
      <c r="FM17" s="48">
        <v>0</v>
      </c>
      <c r="FN17" s="48">
        <v>0</v>
      </c>
      <c r="FO17" s="48">
        <v>0</v>
      </c>
      <c r="FP17" s="48">
        <v>0</v>
      </c>
      <c r="FQ17" s="48">
        <v>0</v>
      </c>
      <c r="FR17" s="48">
        <v>0</v>
      </c>
      <c r="FS17" s="48">
        <v>0</v>
      </c>
      <c r="FT17" s="48">
        <v>0</v>
      </c>
      <c r="FU17" s="48">
        <v>0</v>
      </c>
      <c r="FV17" s="48">
        <v>0</v>
      </c>
      <c r="FW17" s="48">
        <v>0</v>
      </c>
      <c r="FX17" s="48">
        <v>0</v>
      </c>
      <c r="FY17" s="48">
        <v>0</v>
      </c>
      <c r="FZ17" s="48">
        <v>0</v>
      </c>
      <c r="GA17" s="48">
        <v>0</v>
      </c>
      <c r="GB17" s="48">
        <v>0</v>
      </c>
      <c r="GC17" s="48">
        <v>0</v>
      </c>
      <c r="GD17" s="48">
        <v>0</v>
      </c>
      <c r="GE17" s="48">
        <v>533.98766517122169</v>
      </c>
      <c r="GF17" s="48">
        <v>303.45769980952099</v>
      </c>
      <c r="GG17" s="48">
        <v>0</v>
      </c>
      <c r="GH17" s="48">
        <v>0</v>
      </c>
      <c r="GI17" s="48">
        <v>0</v>
      </c>
      <c r="GJ17" s="48">
        <v>0</v>
      </c>
      <c r="GK17" s="48">
        <v>0</v>
      </c>
      <c r="GL17" s="48">
        <v>0</v>
      </c>
      <c r="GM17" s="48">
        <v>0</v>
      </c>
      <c r="GN17" s="48">
        <v>0</v>
      </c>
      <c r="GO17" s="48">
        <v>0</v>
      </c>
      <c r="GP17" s="48">
        <v>0</v>
      </c>
      <c r="GQ17" s="48">
        <v>0</v>
      </c>
      <c r="GR17" s="48">
        <v>0</v>
      </c>
      <c r="GS17" s="48">
        <v>0</v>
      </c>
      <c r="GT17" s="48">
        <v>0</v>
      </c>
      <c r="GU17" s="48">
        <v>0</v>
      </c>
      <c r="GV17" s="48">
        <v>0</v>
      </c>
      <c r="GW17" s="48">
        <v>0</v>
      </c>
      <c r="GX17" s="48">
        <v>0</v>
      </c>
      <c r="GY17" s="48">
        <v>0</v>
      </c>
      <c r="GZ17" s="48">
        <v>0</v>
      </c>
      <c r="HA17" s="48">
        <v>0</v>
      </c>
      <c r="HB17" s="48">
        <v>0</v>
      </c>
      <c r="HC17" s="48">
        <v>0</v>
      </c>
      <c r="HD17" s="48">
        <v>0</v>
      </c>
      <c r="HE17" s="48">
        <v>0</v>
      </c>
      <c r="HF17" s="48">
        <v>0</v>
      </c>
      <c r="HG17" s="48">
        <v>0</v>
      </c>
      <c r="HH17" s="48">
        <v>0</v>
      </c>
      <c r="HI17" s="48">
        <v>0</v>
      </c>
      <c r="HJ17" s="48">
        <v>0</v>
      </c>
      <c r="HK17" s="48">
        <v>0</v>
      </c>
      <c r="HL17" s="48">
        <v>0</v>
      </c>
      <c r="HM17" s="48">
        <v>0</v>
      </c>
      <c r="HN17" s="48">
        <v>0</v>
      </c>
      <c r="HO17" s="48">
        <v>0</v>
      </c>
      <c r="HP17" s="48">
        <v>0</v>
      </c>
      <c r="HQ17" s="48">
        <v>0</v>
      </c>
      <c r="HR17" s="48">
        <v>0</v>
      </c>
      <c r="HS17" s="48">
        <v>0</v>
      </c>
      <c r="HT17" s="48">
        <v>0</v>
      </c>
      <c r="HU17" s="48">
        <v>0</v>
      </c>
      <c r="HV17" s="48">
        <v>0</v>
      </c>
      <c r="HW17" s="48">
        <v>0</v>
      </c>
      <c r="HX17" s="48">
        <v>0</v>
      </c>
      <c r="HY17" s="48">
        <v>0</v>
      </c>
      <c r="HZ17" s="48">
        <v>0</v>
      </c>
      <c r="IA17" s="48">
        <v>0</v>
      </c>
      <c r="IB17" s="48">
        <v>0</v>
      </c>
      <c r="IC17" s="48">
        <v>0</v>
      </c>
      <c r="ID17" s="48">
        <v>0</v>
      </c>
      <c r="IE17" s="48">
        <v>0</v>
      </c>
      <c r="IF17" s="48">
        <v>0</v>
      </c>
      <c r="IG17" s="48">
        <v>0</v>
      </c>
      <c r="IH17" s="48">
        <v>0</v>
      </c>
      <c r="II17" s="48">
        <v>0</v>
      </c>
      <c r="IJ17" s="48">
        <v>0</v>
      </c>
      <c r="IK17" s="48">
        <v>0</v>
      </c>
      <c r="IL17" s="48">
        <v>0</v>
      </c>
      <c r="IM17" s="48">
        <v>0</v>
      </c>
      <c r="IN17" s="48">
        <v>0</v>
      </c>
      <c r="IO17" s="48">
        <v>0</v>
      </c>
      <c r="IP17" s="23">
        <v>992.99999999999523</v>
      </c>
      <c r="IQ17" s="25">
        <v>19280</v>
      </c>
      <c r="IR17" s="25">
        <v>0</v>
      </c>
      <c r="IS17" s="26">
        <v>0</v>
      </c>
      <c r="IT17" s="26">
        <v>0</v>
      </c>
      <c r="IU17" s="26">
        <v>0</v>
      </c>
      <c r="IV17" s="9">
        <v>64310</v>
      </c>
      <c r="IW17" s="38">
        <f t="shared" si="4"/>
        <v>84583</v>
      </c>
    </row>
    <row r="18" spans="1:257" ht="30" customHeight="1" x14ac:dyDescent="0.25">
      <c r="A18" s="112" t="b">
        <v>0</v>
      </c>
      <c r="B18" s="113" t="str">
        <f>IFERROR(VLOOKUP(C18,'Bridge matrix'!$D$3:$E$727,2,FALSE)='symmetric IOT 245 2012'!D18,"FALSCH")</f>
        <v>FALSCH</v>
      </c>
      <c r="C18" s="108">
        <v>13</v>
      </c>
      <c r="D18" s="49" t="s">
        <v>1338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30.359032480591871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48">
        <v>0</v>
      </c>
      <c r="CB18" s="48">
        <v>0</v>
      </c>
      <c r="CC18" s="48">
        <v>0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  <c r="CM18" s="48">
        <v>0</v>
      </c>
      <c r="CN18" s="48">
        <v>0</v>
      </c>
      <c r="CO18" s="48">
        <v>0</v>
      </c>
      <c r="CP18" s="48">
        <v>0</v>
      </c>
      <c r="CQ18" s="48">
        <v>0</v>
      </c>
      <c r="CR18" s="48">
        <v>0</v>
      </c>
      <c r="CS18" s="48">
        <v>0</v>
      </c>
      <c r="CT18" s="48">
        <v>0</v>
      </c>
      <c r="CU18" s="48">
        <v>0</v>
      </c>
      <c r="CV18" s="48">
        <v>0</v>
      </c>
      <c r="CW18" s="48">
        <v>0</v>
      </c>
      <c r="CX18" s="48">
        <v>0</v>
      </c>
      <c r="CY18" s="48">
        <v>0</v>
      </c>
      <c r="CZ18" s="48">
        <v>0</v>
      </c>
      <c r="DA18" s="48">
        <v>0</v>
      </c>
      <c r="DB18" s="48">
        <v>0</v>
      </c>
      <c r="DC18" s="48">
        <v>0</v>
      </c>
      <c r="DD18" s="48">
        <v>0</v>
      </c>
      <c r="DE18" s="48">
        <v>0</v>
      </c>
      <c r="DF18" s="48">
        <v>0</v>
      </c>
      <c r="DG18" s="48">
        <v>0</v>
      </c>
      <c r="DH18" s="48">
        <v>0</v>
      </c>
      <c r="DI18" s="48">
        <v>0</v>
      </c>
      <c r="DJ18" s="48">
        <v>0</v>
      </c>
      <c r="DK18" s="48">
        <v>0</v>
      </c>
      <c r="DL18" s="48">
        <v>0</v>
      </c>
      <c r="DM18" s="48">
        <v>0</v>
      </c>
      <c r="DN18" s="48">
        <v>0</v>
      </c>
      <c r="DO18" s="48">
        <v>0</v>
      </c>
      <c r="DP18" s="48">
        <v>0</v>
      </c>
      <c r="DQ18" s="48">
        <v>0</v>
      </c>
      <c r="DR18" s="48">
        <v>0</v>
      </c>
      <c r="DS18" s="48">
        <v>0</v>
      </c>
      <c r="DT18" s="48">
        <v>0</v>
      </c>
      <c r="DU18" s="48">
        <v>0</v>
      </c>
      <c r="DV18" s="48">
        <v>0</v>
      </c>
      <c r="DW18" s="48">
        <v>0</v>
      </c>
      <c r="DX18" s="48">
        <v>0</v>
      </c>
      <c r="DY18" s="48">
        <v>0</v>
      </c>
      <c r="DZ18" s="48">
        <v>0</v>
      </c>
      <c r="EA18" s="48">
        <v>0</v>
      </c>
      <c r="EB18" s="48">
        <v>0</v>
      </c>
      <c r="EC18" s="48">
        <v>0</v>
      </c>
      <c r="ED18" s="48">
        <v>0</v>
      </c>
      <c r="EE18" s="48">
        <v>0</v>
      </c>
      <c r="EF18" s="48">
        <v>0</v>
      </c>
      <c r="EG18" s="48">
        <v>0</v>
      </c>
      <c r="EH18" s="48">
        <v>0</v>
      </c>
      <c r="EI18" s="48">
        <v>0</v>
      </c>
      <c r="EJ18" s="48">
        <v>0</v>
      </c>
      <c r="EK18" s="48">
        <v>0</v>
      </c>
      <c r="EL18" s="48">
        <v>0</v>
      </c>
      <c r="EM18" s="48">
        <v>0</v>
      </c>
      <c r="EN18" s="48">
        <v>0</v>
      </c>
      <c r="EO18" s="48">
        <v>0</v>
      </c>
      <c r="EP18" s="48">
        <v>0</v>
      </c>
      <c r="EQ18" s="48">
        <v>0</v>
      </c>
      <c r="ER18" s="48">
        <v>0</v>
      </c>
      <c r="ES18" s="48">
        <v>0</v>
      </c>
      <c r="ET18" s="48">
        <v>0</v>
      </c>
      <c r="EU18" s="48">
        <v>0</v>
      </c>
      <c r="EV18" s="48">
        <v>0</v>
      </c>
      <c r="EW18" s="48">
        <v>0</v>
      </c>
      <c r="EX18" s="48">
        <v>0</v>
      </c>
      <c r="EY18" s="48">
        <v>0</v>
      </c>
      <c r="EZ18" s="48">
        <v>0</v>
      </c>
      <c r="FA18" s="48">
        <v>0</v>
      </c>
      <c r="FB18" s="48">
        <v>0</v>
      </c>
      <c r="FC18" s="48">
        <v>0</v>
      </c>
      <c r="FD18" s="48">
        <v>0</v>
      </c>
      <c r="FE18" s="48">
        <v>0</v>
      </c>
      <c r="FF18" s="48">
        <v>0</v>
      </c>
      <c r="FG18" s="48">
        <v>0</v>
      </c>
      <c r="FH18" s="48">
        <v>0</v>
      </c>
      <c r="FI18" s="48">
        <v>0</v>
      </c>
      <c r="FJ18" s="48">
        <v>0</v>
      </c>
      <c r="FK18" s="48">
        <v>0</v>
      </c>
      <c r="FL18" s="48">
        <v>0</v>
      </c>
      <c r="FM18" s="48">
        <v>0</v>
      </c>
      <c r="FN18" s="48">
        <v>0</v>
      </c>
      <c r="FO18" s="48">
        <v>0</v>
      </c>
      <c r="FP18" s="48">
        <v>0</v>
      </c>
      <c r="FQ18" s="48">
        <v>0</v>
      </c>
      <c r="FR18" s="48">
        <v>0</v>
      </c>
      <c r="FS18" s="48">
        <v>0</v>
      </c>
      <c r="FT18" s="48">
        <v>0</v>
      </c>
      <c r="FU18" s="48">
        <v>0</v>
      </c>
      <c r="FV18" s="48">
        <v>0</v>
      </c>
      <c r="FW18" s="48">
        <v>0</v>
      </c>
      <c r="FX18" s="48">
        <v>0</v>
      </c>
      <c r="FY18" s="48">
        <v>0</v>
      </c>
      <c r="FZ18" s="48">
        <v>0</v>
      </c>
      <c r="GA18" s="48">
        <v>0</v>
      </c>
      <c r="GB18" s="48">
        <v>0</v>
      </c>
      <c r="GC18" s="48">
        <v>0</v>
      </c>
      <c r="GD18" s="48">
        <v>0</v>
      </c>
      <c r="GE18" s="48">
        <v>447.92924887971316</v>
      </c>
      <c r="GF18" s="48">
        <v>66.711718639692577</v>
      </c>
      <c r="GG18" s="48">
        <v>0</v>
      </c>
      <c r="GH18" s="48">
        <v>0</v>
      </c>
      <c r="GI18" s="48">
        <v>0</v>
      </c>
      <c r="GJ18" s="48">
        <v>0</v>
      </c>
      <c r="GK18" s="48">
        <v>0</v>
      </c>
      <c r="GL18" s="48">
        <v>0</v>
      </c>
      <c r="GM18" s="48">
        <v>0</v>
      </c>
      <c r="GN18" s="48">
        <v>0</v>
      </c>
      <c r="GO18" s="48">
        <v>0</v>
      </c>
      <c r="GP18" s="48">
        <v>0</v>
      </c>
      <c r="GQ18" s="48">
        <v>0</v>
      </c>
      <c r="GR18" s="48">
        <v>0</v>
      </c>
      <c r="GS18" s="48">
        <v>0</v>
      </c>
      <c r="GT18" s="48">
        <v>0</v>
      </c>
      <c r="GU18" s="48">
        <v>0</v>
      </c>
      <c r="GV18" s="48">
        <v>0</v>
      </c>
      <c r="GW18" s="48">
        <v>0</v>
      </c>
      <c r="GX18" s="48">
        <v>0</v>
      </c>
      <c r="GY18" s="48">
        <v>0</v>
      </c>
      <c r="GZ18" s="48">
        <v>0</v>
      </c>
      <c r="HA18" s="48">
        <v>0</v>
      </c>
      <c r="HB18" s="48">
        <v>0</v>
      </c>
      <c r="HC18" s="48">
        <v>0</v>
      </c>
      <c r="HD18" s="48">
        <v>0</v>
      </c>
      <c r="HE18" s="48">
        <v>0</v>
      </c>
      <c r="HF18" s="48">
        <v>0</v>
      </c>
      <c r="HG18" s="48">
        <v>0</v>
      </c>
      <c r="HH18" s="48">
        <v>0</v>
      </c>
      <c r="HI18" s="48">
        <v>0</v>
      </c>
      <c r="HJ18" s="48">
        <v>0</v>
      </c>
      <c r="HK18" s="48">
        <v>0</v>
      </c>
      <c r="HL18" s="48">
        <v>0</v>
      </c>
      <c r="HM18" s="48">
        <v>0</v>
      </c>
      <c r="HN18" s="48">
        <v>0</v>
      </c>
      <c r="HO18" s="48">
        <v>0</v>
      </c>
      <c r="HP18" s="48">
        <v>0</v>
      </c>
      <c r="HQ18" s="48">
        <v>0</v>
      </c>
      <c r="HR18" s="48">
        <v>0</v>
      </c>
      <c r="HS18" s="48">
        <v>0</v>
      </c>
      <c r="HT18" s="48">
        <v>0</v>
      </c>
      <c r="HU18" s="48">
        <v>0</v>
      </c>
      <c r="HV18" s="48">
        <v>0</v>
      </c>
      <c r="HW18" s="48">
        <v>0</v>
      </c>
      <c r="HX18" s="48">
        <v>0</v>
      </c>
      <c r="HY18" s="48">
        <v>0</v>
      </c>
      <c r="HZ18" s="48">
        <v>0</v>
      </c>
      <c r="IA18" s="48">
        <v>0</v>
      </c>
      <c r="IB18" s="48">
        <v>0</v>
      </c>
      <c r="IC18" s="48">
        <v>0</v>
      </c>
      <c r="ID18" s="48">
        <v>0</v>
      </c>
      <c r="IE18" s="48">
        <v>0</v>
      </c>
      <c r="IF18" s="48">
        <v>0</v>
      </c>
      <c r="IG18" s="48">
        <v>0</v>
      </c>
      <c r="IH18" s="48">
        <v>0</v>
      </c>
      <c r="II18" s="48">
        <v>0</v>
      </c>
      <c r="IJ18" s="48">
        <v>0</v>
      </c>
      <c r="IK18" s="48">
        <v>0</v>
      </c>
      <c r="IL18" s="48">
        <v>0</v>
      </c>
      <c r="IM18" s="48">
        <v>0</v>
      </c>
      <c r="IN18" s="48">
        <v>0</v>
      </c>
      <c r="IO18" s="48">
        <v>0</v>
      </c>
      <c r="IP18" s="23">
        <v>544.99999999999761</v>
      </c>
      <c r="IQ18" s="25">
        <v>2230</v>
      </c>
      <c r="IR18" s="25">
        <v>0</v>
      </c>
      <c r="IS18" s="26">
        <v>0</v>
      </c>
      <c r="IT18" s="26">
        <v>0</v>
      </c>
      <c r="IU18" s="26">
        <v>0</v>
      </c>
      <c r="IV18" s="9">
        <v>5144</v>
      </c>
      <c r="IW18" s="38">
        <f t="shared" si="4"/>
        <v>7918.9999999999982</v>
      </c>
    </row>
    <row r="19" spans="1:257" ht="30" customHeight="1" x14ac:dyDescent="0.25">
      <c r="A19" s="112" t="b">
        <v>1</v>
      </c>
      <c r="B19" s="113" t="b">
        <f>IFERROR(VLOOKUP(C19,'Bridge matrix'!$D$3:$E$727,2,FALSE)='symmetric IOT 245 2012'!D19,"FALSCH")</f>
        <v>1</v>
      </c>
      <c r="C19" s="108">
        <v>14</v>
      </c>
      <c r="D19" s="49" t="s">
        <v>1339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103.19678525137604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  <c r="CM19" s="48">
        <v>0</v>
      </c>
      <c r="CN19" s="48">
        <v>0</v>
      </c>
      <c r="CO19" s="48">
        <v>0</v>
      </c>
      <c r="CP19" s="48">
        <v>0</v>
      </c>
      <c r="CQ19" s="48">
        <v>0</v>
      </c>
      <c r="CR19" s="48">
        <v>0</v>
      </c>
      <c r="CS19" s="48">
        <v>0</v>
      </c>
      <c r="CT19" s="48">
        <v>0</v>
      </c>
      <c r="CU19" s="48">
        <v>0</v>
      </c>
      <c r="CV19" s="48">
        <v>0</v>
      </c>
      <c r="CW19" s="48">
        <v>0</v>
      </c>
      <c r="CX19" s="48">
        <v>0</v>
      </c>
      <c r="CY19" s="48">
        <v>0</v>
      </c>
      <c r="CZ19" s="48">
        <v>0</v>
      </c>
      <c r="DA19" s="48">
        <v>0</v>
      </c>
      <c r="DB19" s="48">
        <v>0</v>
      </c>
      <c r="DC19" s="48">
        <v>0</v>
      </c>
      <c r="DD19" s="48">
        <v>0</v>
      </c>
      <c r="DE19" s="48">
        <v>0</v>
      </c>
      <c r="DF19" s="48">
        <v>0</v>
      </c>
      <c r="DG19" s="48">
        <v>0</v>
      </c>
      <c r="DH19" s="48">
        <v>0</v>
      </c>
      <c r="DI19" s="48">
        <v>0</v>
      </c>
      <c r="DJ19" s="48">
        <v>0</v>
      </c>
      <c r="DK19" s="48">
        <v>0</v>
      </c>
      <c r="DL19" s="48">
        <v>0</v>
      </c>
      <c r="DM19" s="48">
        <v>0</v>
      </c>
      <c r="DN19" s="48">
        <v>0</v>
      </c>
      <c r="DO19" s="48">
        <v>0</v>
      </c>
      <c r="DP19" s="48">
        <v>0</v>
      </c>
      <c r="DQ19" s="48">
        <v>0</v>
      </c>
      <c r="DR19" s="48">
        <v>0</v>
      </c>
      <c r="DS19" s="48">
        <v>0</v>
      </c>
      <c r="DT19" s="48">
        <v>0</v>
      </c>
      <c r="DU19" s="48">
        <v>0</v>
      </c>
      <c r="DV19" s="48">
        <v>0</v>
      </c>
      <c r="DW19" s="48">
        <v>0</v>
      </c>
      <c r="DX19" s="48">
        <v>0</v>
      </c>
      <c r="DY19" s="48">
        <v>0</v>
      </c>
      <c r="DZ19" s="48">
        <v>0</v>
      </c>
      <c r="EA19" s="48">
        <v>0</v>
      </c>
      <c r="EB19" s="48">
        <v>0</v>
      </c>
      <c r="EC19" s="48">
        <v>0</v>
      </c>
      <c r="ED19" s="48">
        <v>0</v>
      </c>
      <c r="EE19" s="48">
        <v>0</v>
      </c>
      <c r="EF19" s="48">
        <v>0</v>
      </c>
      <c r="EG19" s="48">
        <v>0</v>
      </c>
      <c r="EH19" s="48">
        <v>0</v>
      </c>
      <c r="EI19" s="48">
        <v>0</v>
      </c>
      <c r="EJ19" s="48">
        <v>0</v>
      </c>
      <c r="EK19" s="48">
        <v>0</v>
      </c>
      <c r="EL19" s="48">
        <v>0</v>
      </c>
      <c r="EM19" s="48">
        <v>0</v>
      </c>
      <c r="EN19" s="48">
        <v>0</v>
      </c>
      <c r="EO19" s="48">
        <v>0</v>
      </c>
      <c r="EP19" s="48">
        <v>0</v>
      </c>
      <c r="EQ19" s="48">
        <v>0</v>
      </c>
      <c r="ER19" s="48">
        <v>0</v>
      </c>
      <c r="ES19" s="48">
        <v>0</v>
      </c>
      <c r="ET19" s="48">
        <v>0</v>
      </c>
      <c r="EU19" s="48">
        <v>0</v>
      </c>
      <c r="EV19" s="48">
        <v>0</v>
      </c>
      <c r="EW19" s="48">
        <v>0</v>
      </c>
      <c r="EX19" s="48">
        <v>0</v>
      </c>
      <c r="EY19" s="48">
        <v>0</v>
      </c>
      <c r="EZ19" s="48">
        <v>0</v>
      </c>
      <c r="FA19" s="48">
        <v>0</v>
      </c>
      <c r="FB19" s="48">
        <v>0</v>
      </c>
      <c r="FC19" s="48">
        <v>0</v>
      </c>
      <c r="FD19" s="48">
        <v>0</v>
      </c>
      <c r="FE19" s="48">
        <v>0</v>
      </c>
      <c r="FF19" s="48">
        <v>0</v>
      </c>
      <c r="FG19" s="48">
        <v>0</v>
      </c>
      <c r="FH19" s="48">
        <v>0</v>
      </c>
      <c r="FI19" s="48">
        <v>0</v>
      </c>
      <c r="FJ19" s="48">
        <v>0</v>
      </c>
      <c r="FK19" s="48">
        <v>0</v>
      </c>
      <c r="FL19" s="48">
        <v>0</v>
      </c>
      <c r="FM19" s="48">
        <v>0</v>
      </c>
      <c r="FN19" s="48">
        <v>0</v>
      </c>
      <c r="FO19" s="48">
        <v>0</v>
      </c>
      <c r="FP19" s="48">
        <v>0</v>
      </c>
      <c r="FQ19" s="48">
        <v>0</v>
      </c>
      <c r="FR19" s="48">
        <v>0</v>
      </c>
      <c r="FS19" s="48">
        <v>0</v>
      </c>
      <c r="FT19" s="48">
        <v>0</v>
      </c>
      <c r="FU19" s="48">
        <v>0</v>
      </c>
      <c r="FV19" s="48">
        <v>0</v>
      </c>
      <c r="FW19" s="48">
        <v>0</v>
      </c>
      <c r="FX19" s="48">
        <v>0</v>
      </c>
      <c r="FY19" s="48">
        <v>0</v>
      </c>
      <c r="FZ19" s="48">
        <v>0</v>
      </c>
      <c r="GA19" s="48">
        <v>0</v>
      </c>
      <c r="GB19" s="48">
        <v>0</v>
      </c>
      <c r="GC19" s="48">
        <v>0</v>
      </c>
      <c r="GD19" s="48">
        <v>0</v>
      </c>
      <c r="GE19" s="48">
        <v>65.654829771361591</v>
      </c>
      <c r="GF19" s="48">
        <v>40.148384977261451</v>
      </c>
      <c r="GG19" s="48">
        <v>0</v>
      </c>
      <c r="GH19" s="48">
        <v>0</v>
      </c>
      <c r="GI19" s="48">
        <v>0</v>
      </c>
      <c r="GJ19" s="48">
        <v>0</v>
      </c>
      <c r="GK19" s="48">
        <v>0</v>
      </c>
      <c r="GL19" s="48">
        <v>0</v>
      </c>
      <c r="GM19" s="48">
        <v>0</v>
      </c>
      <c r="GN19" s="48">
        <v>0</v>
      </c>
      <c r="GO19" s="48">
        <v>0</v>
      </c>
      <c r="GP19" s="48">
        <v>0</v>
      </c>
      <c r="GQ19" s="48">
        <v>0</v>
      </c>
      <c r="GR19" s="48">
        <v>0</v>
      </c>
      <c r="GS19" s="48">
        <v>0</v>
      </c>
      <c r="GT19" s="48">
        <v>0</v>
      </c>
      <c r="GU19" s="48">
        <v>0</v>
      </c>
      <c r="GV19" s="48">
        <v>0</v>
      </c>
      <c r="GW19" s="48">
        <v>0</v>
      </c>
      <c r="GX19" s="48">
        <v>0</v>
      </c>
      <c r="GY19" s="48">
        <v>0</v>
      </c>
      <c r="GZ19" s="48">
        <v>0</v>
      </c>
      <c r="HA19" s="48">
        <v>0</v>
      </c>
      <c r="HB19" s="48">
        <v>0</v>
      </c>
      <c r="HC19" s="48">
        <v>0</v>
      </c>
      <c r="HD19" s="48">
        <v>0</v>
      </c>
      <c r="HE19" s="48">
        <v>0</v>
      </c>
      <c r="HF19" s="48">
        <v>0</v>
      </c>
      <c r="HG19" s="48">
        <v>0</v>
      </c>
      <c r="HH19" s="48">
        <v>0</v>
      </c>
      <c r="HI19" s="48">
        <v>0</v>
      </c>
      <c r="HJ19" s="48">
        <v>0</v>
      </c>
      <c r="HK19" s="48">
        <v>0</v>
      </c>
      <c r="HL19" s="48">
        <v>0</v>
      </c>
      <c r="HM19" s="48">
        <v>0</v>
      </c>
      <c r="HN19" s="48">
        <v>0</v>
      </c>
      <c r="HO19" s="48">
        <v>0</v>
      </c>
      <c r="HP19" s="48">
        <v>0</v>
      </c>
      <c r="HQ19" s="48">
        <v>0</v>
      </c>
      <c r="HR19" s="48">
        <v>0</v>
      </c>
      <c r="HS19" s="48">
        <v>0</v>
      </c>
      <c r="HT19" s="48">
        <v>0</v>
      </c>
      <c r="HU19" s="48">
        <v>0</v>
      </c>
      <c r="HV19" s="48">
        <v>0</v>
      </c>
      <c r="HW19" s="48">
        <v>0</v>
      </c>
      <c r="HX19" s="48">
        <v>0</v>
      </c>
      <c r="HY19" s="48">
        <v>0</v>
      </c>
      <c r="HZ19" s="48">
        <v>0</v>
      </c>
      <c r="IA19" s="48">
        <v>0</v>
      </c>
      <c r="IB19" s="48">
        <v>0</v>
      </c>
      <c r="IC19" s="48">
        <v>0</v>
      </c>
      <c r="ID19" s="48">
        <v>0</v>
      </c>
      <c r="IE19" s="48">
        <v>0</v>
      </c>
      <c r="IF19" s="48">
        <v>0</v>
      </c>
      <c r="IG19" s="48">
        <v>0</v>
      </c>
      <c r="IH19" s="48">
        <v>0</v>
      </c>
      <c r="II19" s="48">
        <v>0</v>
      </c>
      <c r="IJ19" s="48">
        <v>0</v>
      </c>
      <c r="IK19" s="48">
        <v>0</v>
      </c>
      <c r="IL19" s="48">
        <v>0</v>
      </c>
      <c r="IM19" s="48">
        <v>0</v>
      </c>
      <c r="IN19" s="48">
        <v>0</v>
      </c>
      <c r="IO19" s="48">
        <v>0</v>
      </c>
      <c r="IP19" s="23">
        <v>208.99999999999909</v>
      </c>
      <c r="IQ19" s="25">
        <v>2074</v>
      </c>
      <c r="IR19" s="25">
        <v>0</v>
      </c>
      <c r="IS19" s="26">
        <v>0</v>
      </c>
      <c r="IT19" s="26">
        <v>309455</v>
      </c>
      <c r="IU19" s="26">
        <v>0</v>
      </c>
      <c r="IV19" s="9">
        <v>108845</v>
      </c>
      <c r="IW19" s="38">
        <f t="shared" si="4"/>
        <v>420583</v>
      </c>
    </row>
    <row r="20" spans="1:257" ht="30" customHeight="1" x14ac:dyDescent="0.25">
      <c r="A20" s="112" t="b">
        <v>0</v>
      </c>
      <c r="B20" s="113" t="str">
        <f>IFERROR(VLOOKUP(C20,'Bridge matrix'!$D$3:$E$727,2,FALSE)='symmetric IOT 245 2012'!D20,"FALSCH")</f>
        <v>FALSCH</v>
      </c>
      <c r="C20" s="108">
        <v>15</v>
      </c>
      <c r="D20" s="49" t="s">
        <v>1340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  <c r="CL20" s="48">
        <v>0</v>
      </c>
      <c r="CM20" s="48">
        <v>0</v>
      </c>
      <c r="CN20" s="48">
        <v>0</v>
      </c>
      <c r="CO20" s="48">
        <v>0</v>
      </c>
      <c r="CP20" s="48">
        <v>0</v>
      </c>
      <c r="CQ20" s="48">
        <v>0</v>
      </c>
      <c r="CR20" s="48">
        <v>0</v>
      </c>
      <c r="CS20" s="48">
        <v>0</v>
      </c>
      <c r="CT20" s="48">
        <v>0</v>
      </c>
      <c r="CU20" s="48">
        <v>0</v>
      </c>
      <c r="CV20" s="48">
        <v>0</v>
      </c>
      <c r="CW20" s="48">
        <v>0</v>
      </c>
      <c r="CX20" s="48">
        <v>0</v>
      </c>
      <c r="CY20" s="48">
        <v>0</v>
      </c>
      <c r="CZ20" s="48">
        <v>0</v>
      </c>
      <c r="DA20" s="48">
        <v>0</v>
      </c>
      <c r="DB20" s="48">
        <v>0</v>
      </c>
      <c r="DC20" s="48">
        <v>0</v>
      </c>
      <c r="DD20" s="48">
        <v>0</v>
      </c>
      <c r="DE20" s="48">
        <v>0</v>
      </c>
      <c r="DF20" s="48">
        <v>0</v>
      </c>
      <c r="DG20" s="48">
        <v>0</v>
      </c>
      <c r="DH20" s="48">
        <v>0</v>
      </c>
      <c r="DI20" s="48">
        <v>0</v>
      </c>
      <c r="DJ20" s="48">
        <v>0</v>
      </c>
      <c r="DK20" s="48">
        <v>0</v>
      </c>
      <c r="DL20" s="48">
        <v>0</v>
      </c>
      <c r="DM20" s="48">
        <v>0</v>
      </c>
      <c r="DN20" s="48">
        <v>0</v>
      </c>
      <c r="DO20" s="48">
        <v>0</v>
      </c>
      <c r="DP20" s="48">
        <v>0</v>
      </c>
      <c r="DQ20" s="48">
        <v>0</v>
      </c>
      <c r="DR20" s="48">
        <v>0</v>
      </c>
      <c r="DS20" s="48">
        <v>0</v>
      </c>
      <c r="DT20" s="48">
        <v>0</v>
      </c>
      <c r="DU20" s="48">
        <v>0</v>
      </c>
      <c r="DV20" s="48">
        <v>0</v>
      </c>
      <c r="DW20" s="48">
        <v>0</v>
      </c>
      <c r="DX20" s="48">
        <v>0</v>
      </c>
      <c r="DY20" s="48">
        <v>0</v>
      </c>
      <c r="DZ20" s="48">
        <v>0</v>
      </c>
      <c r="EA20" s="48">
        <v>0</v>
      </c>
      <c r="EB20" s="48">
        <v>0</v>
      </c>
      <c r="EC20" s="48">
        <v>0</v>
      </c>
      <c r="ED20" s="48">
        <v>0</v>
      </c>
      <c r="EE20" s="48">
        <v>0</v>
      </c>
      <c r="EF20" s="48">
        <v>0</v>
      </c>
      <c r="EG20" s="48">
        <v>0</v>
      </c>
      <c r="EH20" s="48">
        <v>0</v>
      </c>
      <c r="EI20" s="48">
        <v>0</v>
      </c>
      <c r="EJ20" s="48">
        <v>0</v>
      </c>
      <c r="EK20" s="48">
        <v>0</v>
      </c>
      <c r="EL20" s="48">
        <v>0</v>
      </c>
      <c r="EM20" s="48">
        <v>0</v>
      </c>
      <c r="EN20" s="48">
        <v>0</v>
      </c>
      <c r="EO20" s="48">
        <v>0</v>
      </c>
      <c r="EP20" s="48">
        <v>0</v>
      </c>
      <c r="EQ20" s="48">
        <v>0</v>
      </c>
      <c r="ER20" s="48">
        <v>0</v>
      </c>
      <c r="ES20" s="48">
        <v>0</v>
      </c>
      <c r="ET20" s="48">
        <v>0</v>
      </c>
      <c r="EU20" s="48">
        <v>0</v>
      </c>
      <c r="EV20" s="48">
        <v>0</v>
      </c>
      <c r="EW20" s="48">
        <v>0</v>
      </c>
      <c r="EX20" s="48">
        <v>0</v>
      </c>
      <c r="EY20" s="48">
        <v>0</v>
      </c>
      <c r="EZ20" s="48">
        <v>0</v>
      </c>
      <c r="FA20" s="48">
        <v>0</v>
      </c>
      <c r="FB20" s="48">
        <v>0</v>
      </c>
      <c r="FC20" s="48">
        <v>0</v>
      </c>
      <c r="FD20" s="48">
        <v>0</v>
      </c>
      <c r="FE20" s="48">
        <v>0</v>
      </c>
      <c r="FF20" s="48">
        <v>0</v>
      </c>
      <c r="FG20" s="48">
        <v>0</v>
      </c>
      <c r="FH20" s="48">
        <v>0</v>
      </c>
      <c r="FI20" s="48">
        <v>0</v>
      </c>
      <c r="FJ20" s="48">
        <v>0</v>
      </c>
      <c r="FK20" s="48">
        <v>0</v>
      </c>
      <c r="FL20" s="48">
        <v>0</v>
      </c>
      <c r="FM20" s="48">
        <v>0</v>
      </c>
      <c r="FN20" s="48">
        <v>0</v>
      </c>
      <c r="FO20" s="48">
        <v>0</v>
      </c>
      <c r="FP20" s="48">
        <v>0</v>
      </c>
      <c r="FQ20" s="48">
        <v>0</v>
      </c>
      <c r="FR20" s="48">
        <v>0</v>
      </c>
      <c r="FS20" s="48">
        <v>0</v>
      </c>
      <c r="FT20" s="48">
        <v>0</v>
      </c>
      <c r="FU20" s="48">
        <v>0</v>
      </c>
      <c r="FV20" s="48">
        <v>0</v>
      </c>
      <c r="FW20" s="48">
        <v>0</v>
      </c>
      <c r="FX20" s="48">
        <v>0</v>
      </c>
      <c r="FY20" s="48">
        <v>0</v>
      </c>
      <c r="FZ20" s="48">
        <v>0</v>
      </c>
      <c r="GA20" s="48">
        <v>0</v>
      </c>
      <c r="GB20" s="48">
        <v>0</v>
      </c>
      <c r="GC20" s="48">
        <v>0</v>
      </c>
      <c r="GD20" s="48">
        <v>0</v>
      </c>
      <c r="GE20" s="48">
        <v>24.227457150740584</v>
      </c>
      <c r="GF20" s="48">
        <v>34.772542849259125</v>
      </c>
      <c r="GG20" s="48">
        <v>0</v>
      </c>
      <c r="GH20" s="48">
        <v>0</v>
      </c>
      <c r="GI20" s="48">
        <v>0</v>
      </c>
      <c r="GJ20" s="48">
        <v>0</v>
      </c>
      <c r="GK20" s="48">
        <v>0</v>
      </c>
      <c r="GL20" s="48">
        <v>0</v>
      </c>
      <c r="GM20" s="48">
        <v>0</v>
      </c>
      <c r="GN20" s="48">
        <v>0</v>
      </c>
      <c r="GO20" s="48">
        <v>0</v>
      </c>
      <c r="GP20" s="48">
        <v>0</v>
      </c>
      <c r="GQ20" s="48">
        <v>0</v>
      </c>
      <c r="GR20" s="48">
        <v>0</v>
      </c>
      <c r="GS20" s="48">
        <v>0</v>
      </c>
      <c r="GT20" s="48">
        <v>0</v>
      </c>
      <c r="GU20" s="48">
        <v>0</v>
      </c>
      <c r="GV20" s="48">
        <v>0</v>
      </c>
      <c r="GW20" s="48">
        <v>0</v>
      </c>
      <c r="GX20" s="48">
        <v>0</v>
      </c>
      <c r="GY20" s="48">
        <v>0</v>
      </c>
      <c r="GZ20" s="48">
        <v>0</v>
      </c>
      <c r="HA20" s="48">
        <v>0</v>
      </c>
      <c r="HB20" s="48">
        <v>0</v>
      </c>
      <c r="HC20" s="48">
        <v>0</v>
      </c>
      <c r="HD20" s="48">
        <v>0</v>
      </c>
      <c r="HE20" s="48">
        <v>0</v>
      </c>
      <c r="HF20" s="48">
        <v>0</v>
      </c>
      <c r="HG20" s="48">
        <v>0</v>
      </c>
      <c r="HH20" s="48">
        <v>0</v>
      </c>
      <c r="HI20" s="48">
        <v>0</v>
      </c>
      <c r="HJ20" s="48">
        <v>0</v>
      </c>
      <c r="HK20" s="48">
        <v>0</v>
      </c>
      <c r="HL20" s="48">
        <v>0</v>
      </c>
      <c r="HM20" s="48">
        <v>0</v>
      </c>
      <c r="HN20" s="48">
        <v>0</v>
      </c>
      <c r="HO20" s="48">
        <v>0</v>
      </c>
      <c r="HP20" s="48">
        <v>0</v>
      </c>
      <c r="HQ20" s="48">
        <v>0</v>
      </c>
      <c r="HR20" s="48">
        <v>0</v>
      </c>
      <c r="HS20" s="48">
        <v>0</v>
      </c>
      <c r="HT20" s="48">
        <v>0</v>
      </c>
      <c r="HU20" s="48">
        <v>0</v>
      </c>
      <c r="HV20" s="48">
        <v>0</v>
      </c>
      <c r="HW20" s="48">
        <v>0</v>
      </c>
      <c r="HX20" s="48">
        <v>0</v>
      </c>
      <c r="HY20" s="48">
        <v>0</v>
      </c>
      <c r="HZ20" s="48">
        <v>0</v>
      </c>
      <c r="IA20" s="48">
        <v>0</v>
      </c>
      <c r="IB20" s="48">
        <v>0</v>
      </c>
      <c r="IC20" s="48">
        <v>0</v>
      </c>
      <c r="ID20" s="48">
        <v>0</v>
      </c>
      <c r="IE20" s="48">
        <v>0</v>
      </c>
      <c r="IF20" s="48">
        <v>0</v>
      </c>
      <c r="IG20" s="48">
        <v>0</v>
      </c>
      <c r="IH20" s="48">
        <v>0</v>
      </c>
      <c r="II20" s="48">
        <v>0</v>
      </c>
      <c r="IJ20" s="48">
        <v>0</v>
      </c>
      <c r="IK20" s="48">
        <v>0</v>
      </c>
      <c r="IL20" s="48">
        <v>0</v>
      </c>
      <c r="IM20" s="48">
        <v>0</v>
      </c>
      <c r="IN20" s="48">
        <v>0</v>
      </c>
      <c r="IO20" s="48">
        <v>0</v>
      </c>
      <c r="IP20" s="23">
        <v>58.999999999999709</v>
      </c>
      <c r="IQ20" s="25">
        <v>428</v>
      </c>
      <c r="IR20" s="25">
        <v>0</v>
      </c>
      <c r="IS20" s="26">
        <v>0</v>
      </c>
      <c r="IT20" s="26">
        <v>0</v>
      </c>
      <c r="IU20" s="26">
        <v>0</v>
      </c>
      <c r="IV20" s="9">
        <v>968</v>
      </c>
      <c r="IW20" s="38">
        <f t="shared" si="4"/>
        <v>1454.9999999999998</v>
      </c>
    </row>
    <row r="21" spans="1:257" ht="30" customHeight="1" x14ac:dyDescent="0.25">
      <c r="A21" s="112" t="b">
        <v>1</v>
      </c>
      <c r="B21" s="113" t="b">
        <f>IFERROR(VLOOKUP(C21,'Bridge matrix'!$D$3:$E$727,2,FALSE)='symmetric IOT 245 2012'!D21,"FALSCH")</f>
        <v>1</v>
      </c>
      <c r="C21" s="108">
        <v>16</v>
      </c>
      <c r="D21" s="49" t="s">
        <v>1341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221.83821111629783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48">
        <v>0</v>
      </c>
      <c r="CB21" s="48">
        <v>0</v>
      </c>
      <c r="CC21" s="48">
        <v>0</v>
      </c>
      <c r="CD21" s="48">
        <v>0</v>
      </c>
      <c r="CE21" s="48">
        <v>0</v>
      </c>
      <c r="CF21" s="48">
        <v>0</v>
      </c>
      <c r="CG21" s="48">
        <v>0</v>
      </c>
      <c r="CH21" s="48">
        <v>0</v>
      </c>
      <c r="CI21" s="48">
        <v>0.28304828297509482</v>
      </c>
      <c r="CJ21" s="48">
        <v>0</v>
      </c>
      <c r="CK21" s="48">
        <v>0</v>
      </c>
      <c r="CL21" s="48">
        <v>11.056660680673398</v>
      </c>
      <c r="CM21" s="48">
        <v>4.6907551175855754E-3</v>
      </c>
      <c r="CN21" s="48">
        <v>16.450284066512516</v>
      </c>
      <c r="CO21" s="48">
        <v>0</v>
      </c>
      <c r="CP21" s="48">
        <v>0</v>
      </c>
      <c r="CQ21" s="48">
        <v>0</v>
      </c>
      <c r="CR21" s="48">
        <v>0</v>
      </c>
      <c r="CS21" s="48">
        <v>0</v>
      </c>
      <c r="CT21" s="48">
        <v>2.2020930413564146E-2</v>
      </c>
      <c r="CU21" s="48">
        <v>0.13429321680433956</v>
      </c>
      <c r="CV21" s="48">
        <v>0.31477716022420082</v>
      </c>
      <c r="CW21" s="48">
        <v>0</v>
      </c>
      <c r="CX21" s="48">
        <v>2.0496694979602902E-3</v>
      </c>
      <c r="CY21" s="48">
        <v>0</v>
      </c>
      <c r="CZ21" s="48">
        <v>0</v>
      </c>
      <c r="DA21" s="48">
        <v>4.6545771457569768E-3</v>
      </c>
      <c r="DB21" s="48">
        <v>1269.0469695196048</v>
      </c>
      <c r="DC21" s="48">
        <v>9.8620443561467444E-3</v>
      </c>
      <c r="DD21" s="48">
        <v>0</v>
      </c>
      <c r="DE21" s="48">
        <v>0</v>
      </c>
      <c r="DF21" s="48">
        <v>0</v>
      </c>
      <c r="DG21" s="48">
        <v>0</v>
      </c>
      <c r="DH21" s="48">
        <v>0</v>
      </c>
      <c r="DI21" s="48">
        <v>0</v>
      </c>
      <c r="DJ21" s="48">
        <v>0</v>
      </c>
      <c r="DK21" s="48">
        <v>0</v>
      </c>
      <c r="DL21" s="48">
        <v>5048.2637444942047</v>
      </c>
      <c r="DM21" s="48">
        <v>0</v>
      </c>
      <c r="DN21" s="48">
        <v>0</v>
      </c>
      <c r="DO21" s="48">
        <v>0</v>
      </c>
      <c r="DP21" s="48">
        <v>0</v>
      </c>
      <c r="DQ21" s="48">
        <v>0</v>
      </c>
      <c r="DR21" s="48">
        <v>2.9334896957804449E-8</v>
      </c>
      <c r="DS21" s="48">
        <v>0</v>
      </c>
      <c r="DT21" s="48">
        <v>0</v>
      </c>
      <c r="DU21" s="48">
        <v>0</v>
      </c>
      <c r="DV21" s="48">
        <v>0</v>
      </c>
      <c r="DW21" s="48">
        <v>0</v>
      </c>
      <c r="DX21" s="48">
        <v>0</v>
      </c>
      <c r="DY21" s="48">
        <v>1.1198674705700634E-13</v>
      </c>
      <c r="DZ21" s="48">
        <v>0</v>
      </c>
      <c r="EA21" s="48">
        <v>0</v>
      </c>
      <c r="EB21" s="48">
        <v>3.1172900451838171E-7</v>
      </c>
      <c r="EC21" s="48">
        <v>9.0159215575813999E-9</v>
      </c>
      <c r="ED21" s="48">
        <v>0</v>
      </c>
      <c r="EE21" s="48">
        <v>0</v>
      </c>
      <c r="EF21" s="48">
        <v>0</v>
      </c>
      <c r="EG21" s="48">
        <v>0</v>
      </c>
      <c r="EH21" s="48">
        <v>0</v>
      </c>
      <c r="EI21" s="48">
        <v>3.3106096528264862E-4</v>
      </c>
      <c r="EJ21" s="48">
        <v>6.1517840959539162E-3</v>
      </c>
      <c r="EK21" s="48">
        <v>0</v>
      </c>
      <c r="EL21" s="48">
        <v>0</v>
      </c>
      <c r="EM21" s="48">
        <v>0</v>
      </c>
      <c r="EN21" s="48">
        <v>0</v>
      </c>
      <c r="EO21" s="48">
        <v>0</v>
      </c>
      <c r="EP21" s="48">
        <v>0</v>
      </c>
      <c r="EQ21" s="48">
        <v>0</v>
      </c>
      <c r="ER21" s="48">
        <v>7.7799235278676946E-9</v>
      </c>
      <c r="ES21" s="48">
        <v>1.3604404195053367E-10</v>
      </c>
      <c r="ET21" s="48">
        <v>0</v>
      </c>
      <c r="EU21" s="48">
        <v>0</v>
      </c>
      <c r="EV21" s="48">
        <v>0</v>
      </c>
      <c r="EW21" s="48">
        <v>9.6846781569235806E-9</v>
      </c>
      <c r="EX21" s="48">
        <v>0</v>
      </c>
      <c r="EY21" s="48">
        <v>2.3519773903010864E-6</v>
      </c>
      <c r="EZ21" s="48">
        <v>0</v>
      </c>
      <c r="FA21" s="48">
        <v>1.9713425828691269E-12</v>
      </c>
      <c r="FB21" s="48">
        <v>5.4045638538941614E-14</v>
      </c>
      <c r="FC21" s="48">
        <v>0</v>
      </c>
      <c r="FD21" s="48">
        <v>0</v>
      </c>
      <c r="FE21" s="48">
        <v>0</v>
      </c>
      <c r="FF21" s="48">
        <v>0</v>
      </c>
      <c r="FG21" s="48">
        <v>0</v>
      </c>
      <c r="FH21" s="48">
        <v>0</v>
      </c>
      <c r="FI21" s="48">
        <v>0</v>
      </c>
      <c r="FJ21" s="48">
        <v>0</v>
      </c>
      <c r="FK21" s="48">
        <v>0</v>
      </c>
      <c r="FL21" s="48">
        <v>0</v>
      </c>
      <c r="FM21" s="48">
        <v>1.0308137691389944E-8</v>
      </c>
      <c r="FN21" s="48">
        <v>0</v>
      </c>
      <c r="FO21" s="48">
        <v>0</v>
      </c>
      <c r="FP21" s="48">
        <v>4.3870419961276986E-7</v>
      </c>
      <c r="FQ21" s="48">
        <v>0</v>
      </c>
      <c r="FR21" s="48">
        <v>0</v>
      </c>
      <c r="FS21" s="48">
        <v>0</v>
      </c>
      <c r="FT21" s="48">
        <v>0</v>
      </c>
      <c r="FU21" s="48">
        <v>0</v>
      </c>
      <c r="FV21" s="48">
        <v>3.6611551768471249E-13</v>
      </c>
      <c r="FW21" s="48">
        <v>0</v>
      </c>
      <c r="FX21" s="48">
        <v>0</v>
      </c>
      <c r="FY21" s="48">
        <v>0</v>
      </c>
      <c r="FZ21" s="48">
        <v>0</v>
      </c>
      <c r="GA21" s="48">
        <v>0</v>
      </c>
      <c r="GB21" s="48">
        <v>0</v>
      </c>
      <c r="GC21" s="48">
        <v>0</v>
      </c>
      <c r="GD21" s="48">
        <v>0</v>
      </c>
      <c r="GE21" s="48">
        <v>89.450304731530863</v>
      </c>
      <c r="GF21" s="48">
        <v>12175.699485861476</v>
      </c>
      <c r="GG21" s="48">
        <v>0</v>
      </c>
      <c r="GH21" s="48">
        <v>0</v>
      </c>
      <c r="GI21" s="48">
        <v>0</v>
      </c>
      <c r="GJ21" s="48">
        <v>0</v>
      </c>
      <c r="GK21" s="48">
        <v>0</v>
      </c>
      <c r="GL21" s="48">
        <v>0</v>
      </c>
      <c r="GM21" s="48">
        <v>0</v>
      </c>
      <c r="GN21" s="48">
        <v>0</v>
      </c>
      <c r="GO21" s="48">
        <v>0</v>
      </c>
      <c r="GP21" s="48">
        <v>0</v>
      </c>
      <c r="GQ21" s="48">
        <v>0</v>
      </c>
      <c r="GR21" s="48">
        <v>0</v>
      </c>
      <c r="GS21" s="48">
        <v>0</v>
      </c>
      <c r="GT21" s="48">
        <v>0</v>
      </c>
      <c r="GU21" s="48">
        <v>0</v>
      </c>
      <c r="GV21" s="48">
        <v>0</v>
      </c>
      <c r="GW21" s="48">
        <v>0</v>
      </c>
      <c r="GX21" s="48">
        <v>0</v>
      </c>
      <c r="GY21" s="48">
        <v>0</v>
      </c>
      <c r="GZ21" s="48">
        <v>0</v>
      </c>
      <c r="HA21" s="48">
        <v>0</v>
      </c>
      <c r="HB21" s="48">
        <v>0</v>
      </c>
      <c r="HC21" s="48">
        <v>0</v>
      </c>
      <c r="HD21" s="48">
        <v>0</v>
      </c>
      <c r="HE21" s="48">
        <v>0</v>
      </c>
      <c r="HF21" s="48">
        <v>0</v>
      </c>
      <c r="HG21" s="48">
        <v>0</v>
      </c>
      <c r="HH21" s="48">
        <v>0</v>
      </c>
      <c r="HI21" s="48">
        <v>0</v>
      </c>
      <c r="HJ21" s="48">
        <v>0</v>
      </c>
      <c r="HK21" s="48">
        <v>0</v>
      </c>
      <c r="HL21" s="48">
        <v>0</v>
      </c>
      <c r="HM21" s="48">
        <v>0</v>
      </c>
      <c r="HN21" s="48">
        <v>0</v>
      </c>
      <c r="HO21" s="48">
        <v>0</v>
      </c>
      <c r="HP21" s="48">
        <v>0</v>
      </c>
      <c r="HQ21" s="48">
        <v>0</v>
      </c>
      <c r="HR21" s="48">
        <v>0</v>
      </c>
      <c r="HS21" s="48">
        <v>0</v>
      </c>
      <c r="HT21" s="48">
        <v>0</v>
      </c>
      <c r="HU21" s="48">
        <v>0</v>
      </c>
      <c r="HV21" s="48">
        <v>258.59234010894079</v>
      </c>
      <c r="HW21" s="48">
        <v>0</v>
      </c>
      <c r="HX21" s="48">
        <v>159.60503684365665</v>
      </c>
      <c r="HY21" s="48">
        <v>135.68954242464332</v>
      </c>
      <c r="HZ21" s="48">
        <v>201.32189503561887</v>
      </c>
      <c r="IA21" s="48">
        <v>57.12674730728218</v>
      </c>
      <c r="IB21" s="48">
        <v>2.5569747898328834</v>
      </c>
      <c r="IC21" s="48">
        <v>0</v>
      </c>
      <c r="ID21" s="48">
        <v>0</v>
      </c>
      <c r="IE21" s="48">
        <v>0</v>
      </c>
      <c r="IF21" s="48">
        <v>0</v>
      </c>
      <c r="IG21" s="48">
        <v>452.12422812283211</v>
      </c>
      <c r="IH21" s="48">
        <v>17.234908341651245</v>
      </c>
      <c r="II21" s="48">
        <v>9.2809358732168867</v>
      </c>
      <c r="IJ21" s="48">
        <v>75.657095355332842</v>
      </c>
      <c r="IK21" s="48">
        <v>8.2227526762982439</v>
      </c>
      <c r="IL21" s="48">
        <v>0</v>
      </c>
      <c r="IM21" s="48">
        <v>0</v>
      </c>
      <c r="IN21" s="48">
        <v>0</v>
      </c>
      <c r="IO21" s="48">
        <v>0</v>
      </c>
      <c r="IP21" s="23">
        <v>20209.99999999988</v>
      </c>
      <c r="IQ21" s="25">
        <v>116867</v>
      </c>
      <c r="IR21" s="25">
        <v>0</v>
      </c>
      <c r="IS21" s="26">
        <v>0</v>
      </c>
      <c r="IT21" s="26">
        <v>0</v>
      </c>
      <c r="IU21" s="26">
        <v>0</v>
      </c>
      <c r="IV21" s="9">
        <v>6280</v>
      </c>
      <c r="IW21" s="38">
        <f t="shared" si="4"/>
        <v>143356.99999999988</v>
      </c>
    </row>
    <row r="22" spans="1:257" ht="30" customHeight="1" x14ac:dyDescent="0.25">
      <c r="A22" s="112" t="b">
        <v>1</v>
      </c>
      <c r="B22" s="113" t="b">
        <f>IFERROR(VLOOKUP(C22,'Bridge matrix'!$D$3:$E$727,2,FALSE)='symmetric IOT 245 2012'!D22,"FALSCH")</f>
        <v>1</v>
      </c>
      <c r="C22" s="108">
        <v>17</v>
      </c>
      <c r="D22" s="49" t="s">
        <v>521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43.945741382931878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2.7498829090925325E-2</v>
      </c>
      <c r="CJ22" s="48">
        <v>0</v>
      </c>
      <c r="CK22" s="48">
        <v>0</v>
      </c>
      <c r="CL22" s="48">
        <v>0</v>
      </c>
      <c r="CM22" s="48">
        <v>5.4470419892864268E-4</v>
      </c>
      <c r="CN22" s="48">
        <v>4.4660774265778996E-6</v>
      </c>
      <c r="CO22" s="48">
        <v>0</v>
      </c>
      <c r="CP22" s="48">
        <v>0</v>
      </c>
      <c r="CQ22" s="48">
        <v>0</v>
      </c>
      <c r="CR22" s="48">
        <v>0</v>
      </c>
      <c r="CS22" s="48">
        <v>0</v>
      </c>
      <c r="CT22" s="48">
        <v>5.9784487510744445E-9</v>
      </c>
      <c r="CU22" s="48">
        <v>1.3178487553356535E-2</v>
      </c>
      <c r="CV22" s="48">
        <v>3.0889772296834921E-2</v>
      </c>
      <c r="CW22" s="48">
        <v>0</v>
      </c>
      <c r="CX22" s="48">
        <v>5.5646350177139181E-10</v>
      </c>
      <c r="CY22" s="48">
        <v>0</v>
      </c>
      <c r="CZ22" s="48">
        <v>0</v>
      </c>
      <c r="DA22" s="48">
        <v>4.5220349007903972E-4</v>
      </c>
      <c r="DB22" s="48">
        <v>0</v>
      </c>
      <c r="DC22" s="48">
        <v>2.6774403105024512E-9</v>
      </c>
      <c r="DD22" s="48">
        <v>0</v>
      </c>
      <c r="DE22" s="48">
        <v>0</v>
      </c>
      <c r="DF22" s="48">
        <v>0</v>
      </c>
      <c r="DG22" s="48">
        <v>0</v>
      </c>
      <c r="DH22" s="48">
        <v>0</v>
      </c>
      <c r="DI22" s="48">
        <v>0</v>
      </c>
      <c r="DJ22" s="48">
        <v>0</v>
      </c>
      <c r="DK22" s="48">
        <v>0</v>
      </c>
      <c r="DL22" s="48">
        <v>490.45110062914279</v>
      </c>
      <c r="DM22" s="48">
        <v>0</v>
      </c>
      <c r="DN22" s="48">
        <v>0</v>
      </c>
      <c r="DO22" s="48">
        <v>0</v>
      </c>
      <c r="DP22" s="48">
        <v>0</v>
      </c>
      <c r="DQ22" s="48">
        <v>0</v>
      </c>
      <c r="DR22" s="48">
        <v>2.8786977007235507E-9</v>
      </c>
      <c r="DS22" s="48">
        <v>0</v>
      </c>
      <c r="DT22" s="48">
        <v>0</v>
      </c>
      <c r="DU22" s="48">
        <v>0</v>
      </c>
      <c r="DV22" s="48">
        <v>0</v>
      </c>
      <c r="DW22" s="48">
        <v>0</v>
      </c>
      <c r="DX22" s="48">
        <v>0</v>
      </c>
      <c r="DY22" s="48">
        <v>1.0989504811563595E-14</v>
      </c>
      <c r="DZ22" s="48">
        <v>0</v>
      </c>
      <c r="EA22" s="48">
        <v>0</v>
      </c>
      <c r="EB22" s="48">
        <v>3.0590650100005269E-8</v>
      </c>
      <c r="EC22" s="48">
        <v>8.8475213310093132E-10</v>
      </c>
      <c r="ED22" s="48">
        <v>0</v>
      </c>
      <c r="EE22" s="48">
        <v>0</v>
      </c>
      <c r="EF22" s="48">
        <v>0</v>
      </c>
      <c r="EG22" s="48">
        <v>0</v>
      </c>
      <c r="EH22" s="48">
        <v>0</v>
      </c>
      <c r="EI22" s="48">
        <v>3.2487737759205916E-5</v>
      </c>
      <c r="EJ22" s="48">
        <v>6.036880496919139E-4</v>
      </c>
      <c r="EK22" s="48">
        <v>0</v>
      </c>
      <c r="EL22" s="48">
        <v>0</v>
      </c>
      <c r="EM22" s="48">
        <v>0</v>
      </c>
      <c r="EN22" s="48">
        <v>0</v>
      </c>
      <c r="EO22" s="48">
        <v>0</v>
      </c>
      <c r="EP22" s="48">
        <v>0</v>
      </c>
      <c r="EQ22" s="48">
        <v>0</v>
      </c>
      <c r="ER22" s="48">
        <v>7.634609388160623E-10</v>
      </c>
      <c r="ES22" s="48">
        <v>1.3350299860383477E-11</v>
      </c>
      <c r="ET22" s="48">
        <v>0</v>
      </c>
      <c r="EU22" s="48">
        <v>0</v>
      </c>
      <c r="EV22" s="48">
        <v>0</v>
      </c>
      <c r="EW22" s="48">
        <v>9.5037868320059825E-10</v>
      </c>
      <c r="EX22" s="48">
        <v>0</v>
      </c>
      <c r="EY22" s="48">
        <v>2.3080469365044836E-7</v>
      </c>
      <c r="EZ22" s="48">
        <v>0</v>
      </c>
      <c r="FA22" s="48">
        <v>1.9345216616259539E-13</v>
      </c>
      <c r="FB22" s="48">
        <v>5.3036169044662509E-15</v>
      </c>
      <c r="FC22" s="48">
        <v>0</v>
      </c>
      <c r="FD22" s="48">
        <v>0</v>
      </c>
      <c r="FE22" s="48">
        <v>0</v>
      </c>
      <c r="FF22" s="48">
        <v>0</v>
      </c>
      <c r="FG22" s="48">
        <v>0</v>
      </c>
      <c r="FH22" s="48">
        <v>0</v>
      </c>
      <c r="FI22" s="48">
        <v>0</v>
      </c>
      <c r="FJ22" s="48">
        <v>0</v>
      </c>
      <c r="FK22" s="48">
        <v>0</v>
      </c>
      <c r="FL22" s="48">
        <v>0</v>
      </c>
      <c r="FM22" s="48">
        <v>1.0115601330943583E-9</v>
      </c>
      <c r="FN22" s="48">
        <v>0</v>
      </c>
      <c r="FO22" s="48">
        <v>0</v>
      </c>
      <c r="FP22" s="48">
        <v>4.3051004151799297E-8</v>
      </c>
      <c r="FQ22" s="48">
        <v>0</v>
      </c>
      <c r="FR22" s="48">
        <v>0</v>
      </c>
      <c r="FS22" s="48">
        <v>0</v>
      </c>
      <c r="FT22" s="48">
        <v>0</v>
      </c>
      <c r="FU22" s="48">
        <v>0</v>
      </c>
      <c r="FV22" s="48">
        <v>3.5927717778391489E-14</v>
      </c>
      <c r="FW22" s="48">
        <v>0</v>
      </c>
      <c r="FX22" s="48">
        <v>0</v>
      </c>
      <c r="FY22" s="48">
        <v>0</v>
      </c>
      <c r="FZ22" s="48">
        <v>0</v>
      </c>
      <c r="GA22" s="48">
        <v>0</v>
      </c>
      <c r="GB22" s="48">
        <v>0</v>
      </c>
      <c r="GC22" s="48">
        <v>0</v>
      </c>
      <c r="GD22" s="48">
        <v>0</v>
      </c>
      <c r="GE22" s="48">
        <v>88.2731599911003</v>
      </c>
      <c r="GF22" s="48">
        <v>1146.2567908057686</v>
      </c>
      <c r="GG22" s="48">
        <v>0</v>
      </c>
      <c r="GH22" s="48">
        <v>0</v>
      </c>
      <c r="GI22" s="48">
        <v>0</v>
      </c>
      <c r="GJ22" s="48">
        <v>0</v>
      </c>
      <c r="GK22" s="48">
        <v>0</v>
      </c>
      <c r="GL22" s="48">
        <v>0</v>
      </c>
      <c r="GM22" s="48">
        <v>0</v>
      </c>
      <c r="GN22" s="48">
        <v>0</v>
      </c>
      <c r="GO22" s="48">
        <v>0</v>
      </c>
      <c r="GP22" s="48">
        <v>0</v>
      </c>
      <c r="GQ22" s="48">
        <v>0</v>
      </c>
      <c r="GR22" s="48">
        <v>0</v>
      </c>
      <c r="GS22" s="48">
        <v>0</v>
      </c>
      <c r="GT22" s="48">
        <v>0</v>
      </c>
      <c r="GU22" s="48">
        <v>0</v>
      </c>
      <c r="GV22" s="48">
        <v>0</v>
      </c>
      <c r="GW22" s="48">
        <v>0</v>
      </c>
      <c r="GX22" s="48">
        <v>0</v>
      </c>
      <c r="GY22" s="48">
        <v>0</v>
      </c>
      <c r="GZ22" s="48">
        <v>0</v>
      </c>
      <c r="HA22" s="48">
        <v>0</v>
      </c>
      <c r="HB22" s="48">
        <v>0</v>
      </c>
      <c r="HC22" s="48">
        <v>0</v>
      </c>
      <c r="HD22" s="48">
        <v>0</v>
      </c>
      <c r="HE22" s="48">
        <v>0</v>
      </c>
      <c r="HF22" s="48">
        <v>0</v>
      </c>
      <c r="HG22" s="48">
        <v>0</v>
      </c>
      <c r="HH22" s="48">
        <v>0</v>
      </c>
      <c r="HI22" s="48">
        <v>0</v>
      </c>
      <c r="HJ22" s="48">
        <v>0</v>
      </c>
      <c r="HK22" s="48">
        <v>0</v>
      </c>
      <c r="HL22" s="48">
        <v>0</v>
      </c>
      <c r="HM22" s="48">
        <v>0</v>
      </c>
      <c r="HN22" s="48">
        <v>0</v>
      </c>
      <c r="HO22" s="48">
        <v>0</v>
      </c>
      <c r="HP22" s="48">
        <v>0</v>
      </c>
      <c r="HQ22" s="48">
        <v>0</v>
      </c>
      <c r="HR22" s="48">
        <v>0</v>
      </c>
      <c r="HS22" s="48">
        <v>0</v>
      </c>
      <c r="HT22" s="48">
        <v>0</v>
      </c>
      <c r="HU22" s="48">
        <v>0</v>
      </c>
      <c r="HV22" s="48">
        <v>0</v>
      </c>
      <c r="HW22" s="48">
        <v>0</v>
      </c>
      <c r="HX22" s="48">
        <v>0</v>
      </c>
      <c r="HY22" s="48">
        <v>0</v>
      </c>
      <c r="HZ22" s="48">
        <v>0</v>
      </c>
      <c r="IA22" s="48">
        <v>0</v>
      </c>
      <c r="IB22" s="48">
        <v>0</v>
      </c>
      <c r="IC22" s="48">
        <v>0</v>
      </c>
      <c r="ID22" s="48">
        <v>0</v>
      </c>
      <c r="IE22" s="48">
        <v>0</v>
      </c>
      <c r="IF22" s="48">
        <v>0</v>
      </c>
      <c r="IG22" s="48">
        <v>0</v>
      </c>
      <c r="IH22" s="48">
        <v>0</v>
      </c>
      <c r="II22" s="48">
        <v>0</v>
      </c>
      <c r="IJ22" s="48">
        <v>0</v>
      </c>
      <c r="IK22" s="48">
        <v>2.2323900282491669E-6</v>
      </c>
      <c r="IL22" s="48">
        <v>0</v>
      </c>
      <c r="IM22" s="48">
        <v>0</v>
      </c>
      <c r="IN22" s="48">
        <v>0</v>
      </c>
      <c r="IO22" s="48">
        <v>0</v>
      </c>
      <c r="IP22" s="23">
        <v>1768.9999999999895</v>
      </c>
      <c r="IQ22" s="25">
        <v>15922</v>
      </c>
      <c r="IR22" s="25">
        <v>0</v>
      </c>
      <c r="IS22" s="26">
        <v>0</v>
      </c>
      <c r="IT22" s="26">
        <v>0</v>
      </c>
      <c r="IU22" s="26">
        <v>0</v>
      </c>
      <c r="IV22" s="9">
        <v>0</v>
      </c>
      <c r="IW22" s="38">
        <f t="shared" si="4"/>
        <v>17690.999999999989</v>
      </c>
    </row>
    <row r="23" spans="1:257" ht="30" customHeight="1" x14ac:dyDescent="0.25">
      <c r="A23" s="112" t="b">
        <v>1</v>
      </c>
      <c r="B23" s="113" t="b">
        <f>IFERROR(VLOOKUP(C23,'Bridge matrix'!$D$3:$E$727,2,FALSE)='symmetric IOT 245 2012'!D23,"FALSCH")</f>
        <v>1</v>
      </c>
      <c r="C23" s="108">
        <v>18</v>
      </c>
      <c r="D23" s="49" t="s">
        <v>1342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86.274402647377542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2.0639346624244811E-2</v>
      </c>
      <c r="CJ23" s="48">
        <v>0</v>
      </c>
      <c r="CK23" s="48">
        <v>0</v>
      </c>
      <c r="CL23" s="48">
        <v>0</v>
      </c>
      <c r="CM23" s="48">
        <v>0</v>
      </c>
      <c r="CN23" s="48">
        <v>3.352030726583757E-6</v>
      </c>
      <c r="CO23" s="48">
        <v>0</v>
      </c>
      <c r="CP23" s="48">
        <v>0</v>
      </c>
      <c r="CQ23" s="48">
        <v>0</v>
      </c>
      <c r="CR23" s="48">
        <v>0</v>
      </c>
      <c r="CS23" s="48">
        <v>0</v>
      </c>
      <c r="CT23" s="48">
        <v>4.4871465487026238E-9</v>
      </c>
      <c r="CU23" s="48">
        <v>9.8911619726667014E-3</v>
      </c>
      <c r="CV23" s="48">
        <v>2.3184431434164689E-2</v>
      </c>
      <c r="CW23" s="48">
        <v>0</v>
      </c>
      <c r="CX23" s="48">
        <v>4.1765571395150724E-10</v>
      </c>
      <c r="CY23" s="48">
        <v>0</v>
      </c>
      <c r="CZ23" s="48">
        <v>0</v>
      </c>
      <c r="DA23" s="48">
        <v>2.4742377745493938E-4</v>
      </c>
      <c r="DB23" s="48">
        <v>0</v>
      </c>
      <c r="DC23" s="48">
        <v>2.0095626054282436E-9</v>
      </c>
      <c r="DD23" s="48">
        <v>7.6734093982297624</v>
      </c>
      <c r="DE23" s="48">
        <v>0</v>
      </c>
      <c r="DF23" s="48">
        <v>0</v>
      </c>
      <c r="DG23" s="48">
        <v>0</v>
      </c>
      <c r="DH23" s="48">
        <v>0</v>
      </c>
      <c r="DI23" s="48">
        <v>0</v>
      </c>
      <c r="DJ23" s="48">
        <v>0</v>
      </c>
      <c r="DK23" s="48">
        <v>0</v>
      </c>
      <c r="DL23" s="48">
        <v>368.1098651385027</v>
      </c>
      <c r="DM23" s="48">
        <v>0</v>
      </c>
      <c r="DN23" s="48">
        <v>0</v>
      </c>
      <c r="DO23" s="48">
        <v>0</v>
      </c>
      <c r="DP23" s="48">
        <v>0</v>
      </c>
      <c r="DQ23" s="48">
        <v>0</v>
      </c>
      <c r="DR23" s="48">
        <v>2.1606170748287217E-9</v>
      </c>
      <c r="DS23" s="48">
        <v>0</v>
      </c>
      <c r="DT23" s="48">
        <v>0</v>
      </c>
      <c r="DU23" s="48">
        <v>0</v>
      </c>
      <c r="DV23" s="48">
        <v>0</v>
      </c>
      <c r="DW23" s="48">
        <v>0</v>
      </c>
      <c r="DX23" s="48">
        <v>0</v>
      </c>
      <c r="DY23" s="48">
        <v>8.2482129797125496E-15</v>
      </c>
      <c r="DZ23" s="48">
        <v>0</v>
      </c>
      <c r="EA23" s="48">
        <v>0</v>
      </c>
      <c r="EB23" s="48">
        <v>2.29599241766754E-8</v>
      </c>
      <c r="EC23" s="48">
        <v>6.6405394539639539E-10</v>
      </c>
      <c r="ED23" s="48">
        <v>0</v>
      </c>
      <c r="EE23" s="48">
        <v>0</v>
      </c>
      <c r="EF23" s="48">
        <v>0</v>
      </c>
      <c r="EG23" s="48">
        <v>0</v>
      </c>
      <c r="EH23" s="48">
        <v>0</v>
      </c>
      <c r="EI23" s="48">
        <v>2.438379024913086E-5</v>
      </c>
      <c r="EJ23" s="48">
        <v>4.5310027089908166E-4</v>
      </c>
      <c r="EK23" s="48">
        <v>0</v>
      </c>
      <c r="EL23" s="48">
        <v>0</v>
      </c>
      <c r="EM23" s="48">
        <v>0</v>
      </c>
      <c r="EN23" s="48">
        <v>0</v>
      </c>
      <c r="EO23" s="48">
        <v>0</v>
      </c>
      <c r="EP23" s="48">
        <v>0</v>
      </c>
      <c r="EQ23" s="48">
        <v>0</v>
      </c>
      <c r="ER23" s="48">
        <v>5.7301839646314275E-10</v>
      </c>
      <c r="ES23" s="48">
        <v>1.0020116327316325E-11</v>
      </c>
      <c r="ET23" s="48">
        <v>0</v>
      </c>
      <c r="EU23" s="48">
        <v>0</v>
      </c>
      <c r="EV23" s="48">
        <v>0</v>
      </c>
      <c r="EW23" s="48">
        <v>7.1331019229992183E-10</v>
      </c>
      <c r="EX23" s="48">
        <v>0</v>
      </c>
      <c r="EY23" s="48">
        <v>1.7323130592226786E-7</v>
      </c>
      <c r="EZ23" s="48">
        <v>0</v>
      </c>
      <c r="FA23" s="48">
        <v>1.451962299717851E-13</v>
      </c>
      <c r="FB23" s="48">
        <v>3.9806490411479558E-15</v>
      </c>
      <c r="FC23" s="48">
        <v>0</v>
      </c>
      <c r="FD23" s="48">
        <v>0</v>
      </c>
      <c r="FE23" s="48">
        <v>0</v>
      </c>
      <c r="FF23" s="48">
        <v>0</v>
      </c>
      <c r="FG23" s="48">
        <v>0</v>
      </c>
      <c r="FH23" s="48">
        <v>0</v>
      </c>
      <c r="FI23" s="48">
        <v>0</v>
      </c>
      <c r="FJ23" s="48">
        <v>0</v>
      </c>
      <c r="FK23" s="48">
        <v>0</v>
      </c>
      <c r="FL23" s="48">
        <v>0</v>
      </c>
      <c r="FM23" s="48">
        <v>7.5923015300646354E-10</v>
      </c>
      <c r="FN23" s="48">
        <v>0</v>
      </c>
      <c r="FO23" s="48">
        <v>0</v>
      </c>
      <c r="FP23" s="48">
        <v>3.231208842648545E-8</v>
      </c>
      <c r="FQ23" s="48">
        <v>0</v>
      </c>
      <c r="FR23" s="48">
        <v>0</v>
      </c>
      <c r="FS23" s="48">
        <v>0</v>
      </c>
      <c r="FT23" s="48">
        <v>0</v>
      </c>
      <c r="FU23" s="48">
        <v>0</v>
      </c>
      <c r="FV23" s="48">
        <v>2.6965679818380862E-14</v>
      </c>
      <c r="FW23" s="48">
        <v>0</v>
      </c>
      <c r="FX23" s="48">
        <v>0</v>
      </c>
      <c r="FY23" s="48">
        <v>0</v>
      </c>
      <c r="FZ23" s="48">
        <v>0</v>
      </c>
      <c r="GA23" s="48">
        <v>0</v>
      </c>
      <c r="GB23" s="48">
        <v>0</v>
      </c>
      <c r="GC23" s="48">
        <v>0</v>
      </c>
      <c r="GD23" s="48">
        <v>0</v>
      </c>
      <c r="GE23" s="48">
        <v>88.80774869945256</v>
      </c>
      <c r="GF23" s="48">
        <v>887.26983946610437</v>
      </c>
      <c r="GG23" s="48">
        <v>0</v>
      </c>
      <c r="GH23" s="48">
        <v>0</v>
      </c>
      <c r="GI23" s="48">
        <v>0</v>
      </c>
      <c r="GJ23" s="48">
        <v>0</v>
      </c>
      <c r="GK23" s="48">
        <v>0</v>
      </c>
      <c r="GL23" s="48">
        <v>0</v>
      </c>
      <c r="GM23" s="48">
        <v>0</v>
      </c>
      <c r="GN23" s="48">
        <v>0</v>
      </c>
      <c r="GO23" s="48">
        <v>0</v>
      </c>
      <c r="GP23" s="48">
        <v>0</v>
      </c>
      <c r="GQ23" s="48">
        <v>0</v>
      </c>
      <c r="GR23" s="48">
        <v>0</v>
      </c>
      <c r="GS23" s="48">
        <v>0</v>
      </c>
      <c r="GT23" s="48">
        <v>0</v>
      </c>
      <c r="GU23" s="48">
        <v>0</v>
      </c>
      <c r="GV23" s="48">
        <v>0</v>
      </c>
      <c r="GW23" s="48">
        <v>0</v>
      </c>
      <c r="GX23" s="48">
        <v>0</v>
      </c>
      <c r="GY23" s="48">
        <v>0</v>
      </c>
      <c r="GZ23" s="48">
        <v>0</v>
      </c>
      <c r="HA23" s="48">
        <v>0</v>
      </c>
      <c r="HB23" s="48">
        <v>0</v>
      </c>
      <c r="HC23" s="48">
        <v>0</v>
      </c>
      <c r="HD23" s="48">
        <v>0</v>
      </c>
      <c r="HE23" s="48">
        <v>0</v>
      </c>
      <c r="HF23" s="48">
        <v>0</v>
      </c>
      <c r="HG23" s="48">
        <v>0</v>
      </c>
      <c r="HH23" s="48">
        <v>0</v>
      </c>
      <c r="HI23" s="48">
        <v>0</v>
      </c>
      <c r="HJ23" s="48">
        <v>0</v>
      </c>
      <c r="HK23" s="48">
        <v>0</v>
      </c>
      <c r="HL23" s="48">
        <v>0</v>
      </c>
      <c r="HM23" s="48">
        <v>0</v>
      </c>
      <c r="HN23" s="48">
        <v>0</v>
      </c>
      <c r="HO23" s="48">
        <v>0</v>
      </c>
      <c r="HP23" s="48">
        <v>0</v>
      </c>
      <c r="HQ23" s="48">
        <v>0</v>
      </c>
      <c r="HR23" s="48">
        <v>0</v>
      </c>
      <c r="HS23" s="48">
        <v>0</v>
      </c>
      <c r="HT23" s="48">
        <v>0</v>
      </c>
      <c r="HU23" s="48">
        <v>0</v>
      </c>
      <c r="HV23" s="48">
        <v>24.804780328387185</v>
      </c>
      <c r="HW23" s="48">
        <v>0</v>
      </c>
      <c r="HX23" s="48">
        <v>0</v>
      </c>
      <c r="HY23" s="48">
        <v>0</v>
      </c>
      <c r="HZ23" s="48">
        <v>0</v>
      </c>
      <c r="IA23" s="48">
        <v>0</v>
      </c>
      <c r="IB23" s="48">
        <v>0</v>
      </c>
      <c r="IC23" s="48">
        <v>0</v>
      </c>
      <c r="ID23" s="48">
        <v>0</v>
      </c>
      <c r="IE23" s="48">
        <v>0</v>
      </c>
      <c r="IF23" s="48">
        <v>0</v>
      </c>
      <c r="IG23" s="48">
        <v>0</v>
      </c>
      <c r="IH23" s="48">
        <v>0</v>
      </c>
      <c r="II23" s="48">
        <v>0</v>
      </c>
      <c r="IJ23" s="48">
        <v>56.005509206210455</v>
      </c>
      <c r="IK23" s="48">
        <v>1.6755284903656983E-6</v>
      </c>
      <c r="IL23" s="48">
        <v>0</v>
      </c>
      <c r="IM23" s="48">
        <v>0</v>
      </c>
      <c r="IN23" s="48">
        <v>0</v>
      </c>
      <c r="IO23" s="48">
        <v>0</v>
      </c>
      <c r="IP23" s="23">
        <v>1518.9999999999916</v>
      </c>
      <c r="IQ23" s="25">
        <v>21881</v>
      </c>
      <c r="IR23" s="25">
        <v>0</v>
      </c>
      <c r="IS23" s="26">
        <v>0</v>
      </c>
      <c r="IT23" s="26">
        <v>0</v>
      </c>
      <c r="IU23" s="26">
        <v>0</v>
      </c>
      <c r="IV23" s="9">
        <v>15731</v>
      </c>
      <c r="IW23" s="38">
        <f t="shared" si="4"/>
        <v>39130.999999999993</v>
      </c>
    </row>
    <row r="24" spans="1:257" ht="30" customHeight="1" x14ac:dyDescent="0.25">
      <c r="A24" s="112" t="b">
        <v>1</v>
      </c>
      <c r="B24" s="113" t="b">
        <f>IFERROR(VLOOKUP(C24,'Bridge matrix'!$D$3:$E$727,2,FALSE)='symmetric IOT 245 2012'!D24,"FALSCH")</f>
        <v>1</v>
      </c>
      <c r="C24" s="108">
        <v>19</v>
      </c>
      <c r="D24" s="49" t="s">
        <v>570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24.760513065272907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  <c r="CM24" s="48">
        <v>0</v>
      </c>
      <c r="CN24" s="48">
        <v>0</v>
      </c>
      <c r="CO24" s="48">
        <v>0</v>
      </c>
      <c r="CP24" s="48">
        <v>0</v>
      </c>
      <c r="CQ24" s="48">
        <v>0</v>
      </c>
      <c r="CR24" s="48">
        <v>0</v>
      </c>
      <c r="CS24" s="48">
        <v>0</v>
      </c>
      <c r="CT24" s="48">
        <v>0</v>
      </c>
      <c r="CU24" s="48">
        <v>0</v>
      </c>
      <c r="CV24" s="48">
        <v>0</v>
      </c>
      <c r="CW24" s="48">
        <v>0</v>
      </c>
      <c r="CX24" s="48">
        <v>0</v>
      </c>
      <c r="CY24" s="48">
        <v>0</v>
      </c>
      <c r="CZ24" s="48">
        <v>0</v>
      </c>
      <c r="DA24" s="48">
        <v>0</v>
      </c>
      <c r="DB24" s="48">
        <v>0</v>
      </c>
      <c r="DC24" s="48">
        <v>0</v>
      </c>
      <c r="DD24" s="48">
        <v>0</v>
      </c>
      <c r="DE24" s="48">
        <v>0</v>
      </c>
      <c r="DF24" s="48">
        <v>0</v>
      </c>
      <c r="DG24" s="48">
        <v>0</v>
      </c>
      <c r="DH24" s="48">
        <v>0</v>
      </c>
      <c r="DI24" s="48">
        <v>0</v>
      </c>
      <c r="DJ24" s="48">
        <v>0</v>
      </c>
      <c r="DK24" s="48">
        <v>0</v>
      </c>
      <c r="DL24" s="48">
        <v>0</v>
      </c>
      <c r="DM24" s="48">
        <v>0</v>
      </c>
      <c r="DN24" s="48">
        <v>0</v>
      </c>
      <c r="DO24" s="48">
        <v>0</v>
      </c>
      <c r="DP24" s="48">
        <v>0</v>
      </c>
      <c r="DQ24" s="48">
        <v>0</v>
      </c>
      <c r="DR24" s="48">
        <v>0</v>
      </c>
      <c r="DS24" s="48">
        <v>0</v>
      </c>
      <c r="DT24" s="48">
        <v>0</v>
      </c>
      <c r="DU24" s="48">
        <v>0</v>
      </c>
      <c r="DV24" s="48">
        <v>0</v>
      </c>
      <c r="DW24" s="48">
        <v>0</v>
      </c>
      <c r="DX24" s="48">
        <v>0</v>
      </c>
      <c r="DY24" s="48">
        <v>0</v>
      </c>
      <c r="DZ24" s="48">
        <v>0</v>
      </c>
      <c r="EA24" s="48">
        <v>0</v>
      </c>
      <c r="EB24" s="48">
        <v>0</v>
      </c>
      <c r="EC24" s="48">
        <v>0</v>
      </c>
      <c r="ED24" s="48">
        <v>0</v>
      </c>
      <c r="EE24" s="48">
        <v>0</v>
      </c>
      <c r="EF24" s="48">
        <v>0</v>
      </c>
      <c r="EG24" s="48">
        <v>0</v>
      </c>
      <c r="EH24" s="48">
        <v>0</v>
      </c>
      <c r="EI24" s="48">
        <v>0</v>
      </c>
      <c r="EJ24" s="48">
        <v>0</v>
      </c>
      <c r="EK24" s="48">
        <v>0</v>
      </c>
      <c r="EL24" s="48">
        <v>0</v>
      </c>
      <c r="EM24" s="48">
        <v>0</v>
      </c>
      <c r="EN24" s="48">
        <v>0</v>
      </c>
      <c r="EO24" s="48">
        <v>0</v>
      </c>
      <c r="EP24" s="48">
        <v>0</v>
      </c>
      <c r="EQ24" s="48">
        <v>0</v>
      </c>
      <c r="ER24" s="48">
        <v>0</v>
      </c>
      <c r="ES24" s="48">
        <v>0</v>
      </c>
      <c r="ET24" s="48">
        <v>0</v>
      </c>
      <c r="EU24" s="48">
        <v>0</v>
      </c>
      <c r="EV24" s="48">
        <v>0</v>
      </c>
      <c r="EW24" s="48">
        <v>0</v>
      </c>
      <c r="EX24" s="48">
        <v>0</v>
      </c>
      <c r="EY24" s="48">
        <v>0</v>
      </c>
      <c r="EZ24" s="48">
        <v>0</v>
      </c>
      <c r="FA24" s="48">
        <v>0</v>
      </c>
      <c r="FB24" s="48">
        <v>0</v>
      </c>
      <c r="FC24" s="48">
        <v>0</v>
      </c>
      <c r="FD24" s="48">
        <v>0</v>
      </c>
      <c r="FE24" s="48">
        <v>0</v>
      </c>
      <c r="FF24" s="48">
        <v>0</v>
      </c>
      <c r="FG24" s="48">
        <v>0</v>
      </c>
      <c r="FH24" s="48">
        <v>0</v>
      </c>
      <c r="FI24" s="48">
        <v>0</v>
      </c>
      <c r="FJ24" s="48">
        <v>0</v>
      </c>
      <c r="FK24" s="48">
        <v>0</v>
      </c>
      <c r="FL24" s="48">
        <v>0</v>
      </c>
      <c r="FM24" s="48">
        <v>0</v>
      </c>
      <c r="FN24" s="48">
        <v>0</v>
      </c>
      <c r="FO24" s="48">
        <v>0</v>
      </c>
      <c r="FP24" s="48">
        <v>0</v>
      </c>
      <c r="FQ24" s="48">
        <v>0</v>
      </c>
      <c r="FR24" s="48">
        <v>0</v>
      </c>
      <c r="FS24" s="48">
        <v>0</v>
      </c>
      <c r="FT24" s="48">
        <v>0</v>
      </c>
      <c r="FU24" s="48">
        <v>0</v>
      </c>
      <c r="FV24" s="48">
        <v>0</v>
      </c>
      <c r="FW24" s="48">
        <v>0</v>
      </c>
      <c r="FX24" s="48">
        <v>0</v>
      </c>
      <c r="FY24" s="48">
        <v>0</v>
      </c>
      <c r="FZ24" s="48">
        <v>0</v>
      </c>
      <c r="GA24" s="48">
        <v>0</v>
      </c>
      <c r="GB24" s="48">
        <v>0</v>
      </c>
      <c r="GC24" s="48">
        <v>0</v>
      </c>
      <c r="GD24" s="48">
        <v>0</v>
      </c>
      <c r="GE24" s="48">
        <v>17.490920115510495</v>
      </c>
      <c r="GF24" s="48">
        <v>1437.5548500546938</v>
      </c>
      <c r="GG24" s="48">
        <v>0</v>
      </c>
      <c r="GH24" s="48">
        <v>0</v>
      </c>
      <c r="GI24" s="48">
        <v>0</v>
      </c>
      <c r="GJ24" s="48">
        <v>0</v>
      </c>
      <c r="GK24" s="48">
        <v>0</v>
      </c>
      <c r="GL24" s="48">
        <v>0</v>
      </c>
      <c r="GM24" s="48">
        <v>0</v>
      </c>
      <c r="GN24" s="48">
        <v>0</v>
      </c>
      <c r="GO24" s="48">
        <v>0</v>
      </c>
      <c r="GP24" s="48">
        <v>0</v>
      </c>
      <c r="GQ24" s="48">
        <v>0</v>
      </c>
      <c r="GR24" s="48">
        <v>0</v>
      </c>
      <c r="GS24" s="48">
        <v>0</v>
      </c>
      <c r="GT24" s="48">
        <v>0</v>
      </c>
      <c r="GU24" s="48">
        <v>0</v>
      </c>
      <c r="GV24" s="48">
        <v>0</v>
      </c>
      <c r="GW24" s="48">
        <v>0</v>
      </c>
      <c r="GX24" s="48">
        <v>0</v>
      </c>
      <c r="GY24" s="48">
        <v>0</v>
      </c>
      <c r="GZ24" s="48">
        <v>0</v>
      </c>
      <c r="HA24" s="48">
        <v>0</v>
      </c>
      <c r="HB24" s="48">
        <v>0</v>
      </c>
      <c r="HC24" s="48">
        <v>0</v>
      </c>
      <c r="HD24" s="48">
        <v>0</v>
      </c>
      <c r="HE24" s="48">
        <v>0</v>
      </c>
      <c r="HF24" s="48">
        <v>0</v>
      </c>
      <c r="HG24" s="48">
        <v>0</v>
      </c>
      <c r="HH24" s="48">
        <v>0</v>
      </c>
      <c r="HI24" s="48">
        <v>0</v>
      </c>
      <c r="HJ24" s="48">
        <v>0</v>
      </c>
      <c r="HK24" s="48">
        <v>0</v>
      </c>
      <c r="HL24" s="48">
        <v>0</v>
      </c>
      <c r="HM24" s="48">
        <v>0</v>
      </c>
      <c r="HN24" s="48">
        <v>0</v>
      </c>
      <c r="HO24" s="48">
        <v>0</v>
      </c>
      <c r="HP24" s="48">
        <v>0</v>
      </c>
      <c r="HQ24" s="48">
        <v>0</v>
      </c>
      <c r="HR24" s="48">
        <v>0</v>
      </c>
      <c r="HS24" s="48">
        <v>0</v>
      </c>
      <c r="HT24" s="48">
        <v>0</v>
      </c>
      <c r="HU24" s="48">
        <v>0</v>
      </c>
      <c r="HV24" s="48">
        <v>1.7408221115616411</v>
      </c>
      <c r="HW24" s="48">
        <v>0</v>
      </c>
      <c r="HX24" s="48">
        <v>80.141167142640313</v>
      </c>
      <c r="HY24" s="48">
        <v>68.293366497945229</v>
      </c>
      <c r="HZ24" s="48">
        <v>100.12434697489155</v>
      </c>
      <c r="IA24" s="48">
        <v>28.202940593219076</v>
      </c>
      <c r="IB24" s="48">
        <v>1.818876415748802</v>
      </c>
      <c r="IC24" s="48">
        <v>0</v>
      </c>
      <c r="ID24" s="48">
        <v>0</v>
      </c>
      <c r="IE24" s="48">
        <v>0</v>
      </c>
      <c r="IF24" s="48">
        <v>0</v>
      </c>
      <c r="IG24" s="48">
        <v>22.500957737906909</v>
      </c>
      <c r="IH24" s="48">
        <v>1.935768317116648</v>
      </c>
      <c r="II24" s="48">
        <v>0.90025821154287433</v>
      </c>
      <c r="IJ24" s="48">
        <v>4.5352127619402252</v>
      </c>
      <c r="IK24" s="48">
        <v>0</v>
      </c>
      <c r="IL24" s="48">
        <v>0</v>
      </c>
      <c r="IM24" s="48">
        <v>0</v>
      </c>
      <c r="IN24" s="48">
        <v>0</v>
      </c>
      <c r="IO24" s="48">
        <v>0</v>
      </c>
      <c r="IP24" s="23">
        <v>1789.9999999999907</v>
      </c>
      <c r="IQ24" s="25">
        <v>30119</v>
      </c>
      <c r="IR24" s="25">
        <v>0</v>
      </c>
      <c r="IS24" s="26">
        <v>0</v>
      </c>
      <c r="IT24" s="26">
        <v>0</v>
      </c>
      <c r="IU24" s="26">
        <v>0</v>
      </c>
      <c r="IV24" s="9">
        <v>28186</v>
      </c>
      <c r="IW24" s="38">
        <f t="shared" si="4"/>
        <v>60094.999999999985</v>
      </c>
    </row>
    <row r="25" spans="1:257" ht="30" customHeight="1" x14ac:dyDescent="0.25">
      <c r="A25" s="112" t="b">
        <v>1</v>
      </c>
      <c r="B25" s="113" t="b">
        <f>IFERROR(VLOOKUP(C25,'Bridge matrix'!$D$3:$E$727,2,FALSE)='symmetric IOT 245 2012'!D25,"FALSCH")</f>
        <v>1</v>
      </c>
      <c r="C25" s="108">
        <v>20</v>
      </c>
      <c r="D25" s="49" t="s">
        <v>1343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3.712074959486098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  <c r="CM25" s="48">
        <v>0</v>
      </c>
      <c r="CN25" s="48">
        <v>0</v>
      </c>
      <c r="CO25" s="48">
        <v>0</v>
      </c>
      <c r="CP25" s="48">
        <v>0</v>
      </c>
      <c r="CQ25" s="48">
        <v>0</v>
      </c>
      <c r="CR25" s="48">
        <v>0</v>
      </c>
      <c r="CS25" s="48">
        <v>0</v>
      </c>
      <c r="CT25" s="48">
        <v>0</v>
      </c>
      <c r="CU25" s="48">
        <v>0</v>
      </c>
      <c r="CV25" s="48">
        <v>0</v>
      </c>
      <c r="CW25" s="48">
        <v>0</v>
      </c>
      <c r="CX25" s="48">
        <v>0</v>
      </c>
      <c r="CY25" s="48">
        <v>0</v>
      </c>
      <c r="CZ25" s="48">
        <v>0</v>
      </c>
      <c r="DA25" s="48">
        <v>0</v>
      </c>
      <c r="DB25" s="48">
        <v>0</v>
      </c>
      <c r="DC25" s="48">
        <v>0</v>
      </c>
      <c r="DD25" s="48">
        <v>0</v>
      </c>
      <c r="DE25" s="48">
        <v>0</v>
      </c>
      <c r="DF25" s="48">
        <v>0</v>
      </c>
      <c r="DG25" s="48">
        <v>0</v>
      </c>
      <c r="DH25" s="48">
        <v>0</v>
      </c>
      <c r="DI25" s="48">
        <v>0</v>
      </c>
      <c r="DJ25" s="48">
        <v>0</v>
      </c>
      <c r="DK25" s="48">
        <v>0</v>
      </c>
      <c r="DL25" s="48">
        <v>0</v>
      </c>
      <c r="DM25" s="48">
        <v>0</v>
      </c>
      <c r="DN25" s="48">
        <v>0</v>
      </c>
      <c r="DO25" s="48">
        <v>0</v>
      </c>
      <c r="DP25" s="48">
        <v>0</v>
      </c>
      <c r="DQ25" s="48">
        <v>0</v>
      </c>
      <c r="DR25" s="48">
        <v>0</v>
      </c>
      <c r="DS25" s="48">
        <v>0</v>
      </c>
      <c r="DT25" s="48">
        <v>0</v>
      </c>
      <c r="DU25" s="48">
        <v>0</v>
      </c>
      <c r="DV25" s="48">
        <v>0</v>
      </c>
      <c r="DW25" s="48">
        <v>0</v>
      </c>
      <c r="DX25" s="48">
        <v>0</v>
      </c>
      <c r="DY25" s="48">
        <v>0</v>
      </c>
      <c r="DZ25" s="48">
        <v>0</v>
      </c>
      <c r="EA25" s="48">
        <v>0</v>
      </c>
      <c r="EB25" s="48">
        <v>0</v>
      </c>
      <c r="EC25" s="48">
        <v>0</v>
      </c>
      <c r="ED25" s="48">
        <v>0</v>
      </c>
      <c r="EE25" s="48">
        <v>0</v>
      </c>
      <c r="EF25" s="48">
        <v>0</v>
      </c>
      <c r="EG25" s="48">
        <v>0</v>
      </c>
      <c r="EH25" s="48">
        <v>0</v>
      </c>
      <c r="EI25" s="48">
        <v>0</v>
      </c>
      <c r="EJ25" s="48">
        <v>0</v>
      </c>
      <c r="EK25" s="48">
        <v>0</v>
      </c>
      <c r="EL25" s="48">
        <v>0</v>
      </c>
      <c r="EM25" s="48">
        <v>0</v>
      </c>
      <c r="EN25" s="48">
        <v>0</v>
      </c>
      <c r="EO25" s="48">
        <v>0</v>
      </c>
      <c r="EP25" s="48">
        <v>0</v>
      </c>
      <c r="EQ25" s="48">
        <v>0</v>
      </c>
      <c r="ER25" s="48">
        <v>0</v>
      </c>
      <c r="ES25" s="48">
        <v>0</v>
      </c>
      <c r="ET25" s="48">
        <v>0</v>
      </c>
      <c r="EU25" s="48">
        <v>0</v>
      </c>
      <c r="EV25" s="48">
        <v>0</v>
      </c>
      <c r="EW25" s="48">
        <v>0</v>
      </c>
      <c r="EX25" s="48">
        <v>0</v>
      </c>
      <c r="EY25" s="48">
        <v>0</v>
      </c>
      <c r="EZ25" s="48">
        <v>0</v>
      </c>
      <c r="FA25" s="48">
        <v>0</v>
      </c>
      <c r="FB25" s="48">
        <v>0</v>
      </c>
      <c r="FC25" s="48">
        <v>0</v>
      </c>
      <c r="FD25" s="48">
        <v>0</v>
      </c>
      <c r="FE25" s="48">
        <v>0</v>
      </c>
      <c r="FF25" s="48">
        <v>0</v>
      </c>
      <c r="FG25" s="48">
        <v>0</v>
      </c>
      <c r="FH25" s="48">
        <v>0</v>
      </c>
      <c r="FI25" s="48">
        <v>0</v>
      </c>
      <c r="FJ25" s="48">
        <v>0</v>
      </c>
      <c r="FK25" s="48">
        <v>0</v>
      </c>
      <c r="FL25" s="48">
        <v>0</v>
      </c>
      <c r="FM25" s="48">
        <v>0</v>
      </c>
      <c r="FN25" s="48">
        <v>0</v>
      </c>
      <c r="FO25" s="48">
        <v>0</v>
      </c>
      <c r="FP25" s="48">
        <v>0</v>
      </c>
      <c r="FQ25" s="48">
        <v>0</v>
      </c>
      <c r="FR25" s="48">
        <v>0</v>
      </c>
      <c r="FS25" s="48">
        <v>0</v>
      </c>
      <c r="FT25" s="48">
        <v>0</v>
      </c>
      <c r="FU25" s="48">
        <v>0</v>
      </c>
      <c r="FV25" s="48">
        <v>0</v>
      </c>
      <c r="FW25" s="48">
        <v>0</v>
      </c>
      <c r="FX25" s="48">
        <v>0</v>
      </c>
      <c r="FY25" s="48">
        <v>0</v>
      </c>
      <c r="FZ25" s="48">
        <v>0</v>
      </c>
      <c r="GA25" s="48">
        <v>0</v>
      </c>
      <c r="GB25" s="48">
        <v>0</v>
      </c>
      <c r="GC25" s="48">
        <v>0</v>
      </c>
      <c r="GD25" s="48">
        <v>0</v>
      </c>
      <c r="GE25" s="48">
        <v>17.400413783927103</v>
      </c>
      <c r="GF25" s="48">
        <v>37.472516341870005</v>
      </c>
      <c r="GG25" s="48">
        <v>0</v>
      </c>
      <c r="GH25" s="48">
        <v>0</v>
      </c>
      <c r="GI25" s="48">
        <v>0</v>
      </c>
      <c r="GJ25" s="48">
        <v>0</v>
      </c>
      <c r="GK25" s="48">
        <v>0</v>
      </c>
      <c r="GL25" s="48">
        <v>0</v>
      </c>
      <c r="GM25" s="48">
        <v>0</v>
      </c>
      <c r="GN25" s="48">
        <v>0</v>
      </c>
      <c r="GO25" s="48">
        <v>0</v>
      </c>
      <c r="GP25" s="48">
        <v>0</v>
      </c>
      <c r="GQ25" s="48">
        <v>0</v>
      </c>
      <c r="GR25" s="48">
        <v>0</v>
      </c>
      <c r="GS25" s="48">
        <v>0</v>
      </c>
      <c r="GT25" s="48">
        <v>0</v>
      </c>
      <c r="GU25" s="48">
        <v>0</v>
      </c>
      <c r="GV25" s="48">
        <v>0</v>
      </c>
      <c r="GW25" s="48">
        <v>0</v>
      </c>
      <c r="GX25" s="48">
        <v>0</v>
      </c>
      <c r="GY25" s="48">
        <v>0</v>
      </c>
      <c r="GZ25" s="48">
        <v>0</v>
      </c>
      <c r="HA25" s="48">
        <v>0</v>
      </c>
      <c r="HB25" s="48">
        <v>0</v>
      </c>
      <c r="HC25" s="48">
        <v>0</v>
      </c>
      <c r="HD25" s="48">
        <v>0</v>
      </c>
      <c r="HE25" s="48">
        <v>0</v>
      </c>
      <c r="HF25" s="48">
        <v>0</v>
      </c>
      <c r="HG25" s="48">
        <v>0</v>
      </c>
      <c r="HH25" s="48">
        <v>0</v>
      </c>
      <c r="HI25" s="48">
        <v>0</v>
      </c>
      <c r="HJ25" s="48">
        <v>0</v>
      </c>
      <c r="HK25" s="48">
        <v>0</v>
      </c>
      <c r="HL25" s="48">
        <v>0</v>
      </c>
      <c r="HM25" s="48">
        <v>0</v>
      </c>
      <c r="HN25" s="48">
        <v>0</v>
      </c>
      <c r="HO25" s="48">
        <v>0</v>
      </c>
      <c r="HP25" s="48">
        <v>0</v>
      </c>
      <c r="HQ25" s="48">
        <v>0</v>
      </c>
      <c r="HR25" s="48">
        <v>0</v>
      </c>
      <c r="HS25" s="48">
        <v>0</v>
      </c>
      <c r="HT25" s="48">
        <v>0</v>
      </c>
      <c r="HU25" s="48">
        <v>0</v>
      </c>
      <c r="HV25" s="48">
        <v>0</v>
      </c>
      <c r="HW25" s="48">
        <v>0</v>
      </c>
      <c r="HX25" s="48">
        <v>11.081339783025921</v>
      </c>
      <c r="HY25" s="48">
        <v>9.2332648464658504</v>
      </c>
      <c r="HZ25" s="48">
        <v>13.844469065537485</v>
      </c>
      <c r="IA25" s="48">
        <v>4.612546292628398</v>
      </c>
      <c r="IB25" s="48">
        <v>0</v>
      </c>
      <c r="IC25" s="48">
        <v>0</v>
      </c>
      <c r="ID25" s="48">
        <v>0</v>
      </c>
      <c r="IE25" s="48">
        <v>0</v>
      </c>
      <c r="IF25" s="48">
        <v>0</v>
      </c>
      <c r="IG25" s="48">
        <v>33.767643498790363</v>
      </c>
      <c r="IH25" s="48">
        <v>1.9628694340913657</v>
      </c>
      <c r="II25" s="48">
        <v>0.91286199417674663</v>
      </c>
      <c r="IJ25" s="48">
        <v>0</v>
      </c>
      <c r="IK25" s="48">
        <v>0</v>
      </c>
      <c r="IL25" s="48">
        <v>0</v>
      </c>
      <c r="IM25" s="48">
        <v>0</v>
      </c>
      <c r="IN25" s="48">
        <v>0</v>
      </c>
      <c r="IO25" s="48">
        <v>0</v>
      </c>
      <c r="IP25" s="23">
        <v>133.99999999999935</v>
      </c>
      <c r="IQ25" s="25">
        <v>619</v>
      </c>
      <c r="IR25" s="25">
        <v>0</v>
      </c>
      <c r="IS25" s="26">
        <v>0</v>
      </c>
      <c r="IT25" s="26">
        <v>0</v>
      </c>
      <c r="IU25" s="26">
        <v>0</v>
      </c>
      <c r="IV25" s="9">
        <v>42</v>
      </c>
      <c r="IW25" s="38">
        <f t="shared" si="4"/>
        <v>794.99999999999932</v>
      </c>
    </row>
    <row r="26" spans="1:257" ht="30" customHeight="1" x14ac:dyDescent="0.25">
      <c r="A26" s="112" t="b">
        <v>1</v>
      </c>
      <c r="B26" s="113" t="b">
        <f>IFERROR(VLOOKUP(C26,'Bridge matrix'!$D$3:$E$727,2,FALSE)='symmetric IOT 245 2012'!D26,"FALSCH")</f>
        <v>1</v>
      </c>
      <c r="C26" s="108">
        <v>21</v>
      </c>
      <c r="D26" s="49" t="s">
        <v>1344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26.0855702798892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0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0.18302658240672443</v>
      </c>
      <c r="CJ26" s="48">
        <v>0</v>
      </c>
      <c r="CK26" s="48">
        <v>0</v>
      </c>
      <c r="CL26" s="48">
        <v>0</v>
      </c>
      <c r="CM26" s="48">
        <v>3.6254397459200244E-3</v>
      </c>
      <c r="CN26" s="48">
        <v>2.9725297955327224E-5</v>
      </c>
      <c r="CO26" s="48">
        <v>0</v>
      </c>
      <c r="CP26" s="48">
        <v>0</v>
      </c>
      <c r="CQ26" s="48">
        <v>0</v>
      </c>
      <c r="CR26" s="48">
        <v>0</v>
      </c>
      <c r="CS26" s="48">
        <v>0</v>
      </c>
      <c r="CT26" s="48">
        <v>3.9791332183085525E-8</v>
      </c>
      <c r="CU26" s="48">
        <v>8.7713317909102251E-2</v>
      </c>
      <c r="CV26" s="48">
        <v>0.20559600687424714</v>
      </c>
      <c r="CW26" s="48">
        <v>0</v>
      </c>
      <c r="CX26" s="48">
        <v>3.7037072606450189E-9</v>
      </c>
      <c r="CY26" s="48">
        <v>0</v>
      </c>
      <c r="CZ26" s="48">
        <v>0</v>
      </c>
      <c r="DA26" s="48">
        <v>3.0097739459340406E-3</v>
      </c>
      <c r="DB26" s="48">
        <v>0</v>
      </c>
      <c r="DC26" s="48">
        <v>1.782049512031693E-8</v>
      </c>
      <c r="DD26" s="48">
        <v>0</v>
      </c>
      <c r="DE26" s="48">
        <v>0</v>
      </c>
      <c r="DF26" s="48">
        <v>0</v>
      </c>
      <c r="DG26" s="48">
        <v>0</v>
      </c>
      <c r="DH26" s="48">
        <v>0</v>
      </c>
      <c r="DI26" s="48">
        <v>0</v>
      </c>
      <c r="DJ26" s="48">
        <v>0</v>
      </c>
      <c r="DK26" s="48">
        <v>0</v>
      </c>
      <c r="DL26" s="48">
        <v>3264.3422194071431</v>
      </c>
      <c r="DM26" s="48">
        <v>0</v>
      </c>
      <c r="DN26" s="48">
        <v>0</v>
      </c>
      <c r="DO26" s="48">
        <v>0</v>
      </c>
      <c r="DP26" s="48">
        <v>0</v>
      </c>
      <c r="DQ26" s="48">
        <v>0</v>
      </c>
      <c r="DR26" s="48">
        <v>1.9160023148745591E-8</v>
      </c>
      <c r="DS26" s="48">
        <v>0</v>
      </c>
      <c r="DT26" s="48">
        <v>0</v>
      </c>
      <c r="DU26" s="48">
        <v>0</v>
      </c>
      <c r="DV26" s="48">
        <v>0</v>
      </c>
      <c r="DW26" s="48">
        <v>0</v>
      </c>
      <c r="DX26" s="48">
        <v>0</v>
      </c>
      <c r="DY26" s="48">
        <v>7.3143896467449826E-14</v>
      </c>
      <c r="DZ26" s="48">
        <v>0</v>
      </c>
      <c r="EA26" s="48">
        <v>0</v>
      </c>
      <c r="EB26" s="48">
        <v>2.0360511070820671E-7</v>
      </c>
      <c r="EC26" s="48">
        <v>5.8887292496378202E-9</v>
      </c>
      <c r="ED26" s="48">
        <v>0</v>
      </c>
      <c r="EE26" s="48">
        <v>0</v>
      </c>
      <c r="EF26" s="48">
        <v>0</v>
      </c>
      <c r="EG26" s="48">
        <v>0</v>
      </c>
      <c r="EH26" s="48">
        <v>0</v>
      </c>
      <c r="EI26" s="48">
        <v>2.1623173817810336E-4</v>
      </c>
      <c r="EJ26" s="48">
        <v>4.0180241933048108E-3</v>
      </c>
      <c r="EK26" s="48">
        <v>0</v>
      </c>
      <c r="EL26" s="48">
        <v>0</v>
      </c>
      <c r="EM26" s="48">
        <v>0</v>
      </c>
      <c r="EN26" s="48">
        <v>0</v>
      </c>
      <c r="EO26" s="48">
        <v>0</v>
      </c>
      <c r="EP26" s="48">
        <v>0</v>
      </c>
      <c r="EQ26" s="48">
        <v>0</v>
      </c>
      <c r="ER26" s="48">
        <v>5.081439866784932E-9</v>
      </c>
      <c r="ES26" s="48">
        <v>8.8856865485858721E-11</v>
      </c>
      <c r="ET26" s="48">
        <v>0</v>
      </c>
      <c r="EU26" s="48">
        <v>0</v>
      </c>
      <c r="EV26" s="48">
        <v>0</v>
      </c>
      <c r="EW26" s="48">
        <v>6.3255261452500007E-9</v>
      </c>
      <c r="EX26" s="48">
        <v>0</v>
      </c>
      <c r="EY26" s="48">
        <v>1.5361888370808167E-6</v>
      </c>
      <c r="EZ26" s="48">
        <v>0</v>
      </c>
      <c r="FA26" s="48">
        <v>1.2875780534088981E-12</v>
      </c>
      <c r="FB26" s="48">
        <v>3.5299789427736998E-14</v>
      </c>
      <c r="FC26" s="48">
        <v>0</v>
      </c>
      <c r="FD26" s="48">
        <v>0</v>
      </c>
      <c r="FE26" s="48">
        <v>0</v>
      </c>
      <c r="FF26" s="48">
        <v>0</v>
      </c>
      <c r="FG26" s="48">
        <v>0</v>
      </c>
      <c r="FH26" s="48">
        <v>0</v>
      </c>
      <c r="FI26" s="48">
        <v>0</v>
      </c>
      <c r="FJ26" s="48">
        <v>0</v>
      </c>
      <c r="FK26" s="48">
        <v>0</v>
      </c>
      <c r="FL26" s="48">
        <v>0</v>
      </c>
      <c r="FM26" s="48">
        <v>6.7327373629973885E-9</v>
      </c>
      <c r="FN26" s="48">
        <v>0</v>
      </c>
      <c r="FO26" s="48">
        <v>0</v>
      </c>
      <c r="FP26" s="48">
        <v>2.8653867890257882E-7</v>
      </c>
      <c r="FQ26" s="48">
        <v>0</v>
      </c>
      <c r="FR26" s="48">
        <v>0</v>
      </c>
      <c r="FS26" s="48">
        <v>0</v>
      </c>
      <c r="FT26" s="48">
        <v>0</v>
      </c>
      <c r="FU26" s="48">
        <v>0</v>
      </c>
      <c r="FV26" s="48">
        <v>2.3912754164584867E-13</v>
      </c>
      <c r="FW26" s="48">
        <v>0</v>
      </c>
      <c r="FX26" s="48">
        <v>0</v>
      </c>
      <c r="FY26" s="48">
        <v>0</v>
      </c>
      <c r="FZ26" s="48">
        <v>0</v>
      </c>
      <c r="GA26" s="48">
        <v>0</v>
      </c>
      <c r="GB26" s="48">
        <v>0</v>
      </c>
      <c r="GC26" s="48">
        <v>0</v>
      </c>
      <c r="GD26" s="48">
        <v>0</v>
      </c>
      <c r="GE26" s="48">
        <v>866.50822031338146</v>
      </c>
      <c r="GF26" s="48">
        <v>2274.79432934848</v>
      </c>
      <c r="GG26" s="48">
        <v>0</v>
      </c>
      <c r="GH26" s="48">
        <v>0</v>
      </c>
      <c r="GI26" s="48">
        <v>0</v>
      </c>
      <c r="GJ26" s="48">
        <v>0</v>
      </c>
      <c r="GK26" s="48">
        <v>0</v>
      </c>
      <c r="GL26" s="48">
        <v>0</v>
      </c>
      <c r="GM26" s="48">
        <v>0</v>
      </c>
      <c r="GN26" s="48">
        <v>0</v>
      </c>
      <c r="GO26" s="48">
        <v>0</v>
      </c>
      <c r="GP26" s="48">
        <v>0</v>
      </c>
      <c r="GQ26" s="48">
        <v>0</v>
      </c>
      <c r="GR26" s="48">
        <v>0</v>
      </c>
      <c r="GS26" s="48">
        <v>0</v>
      </c>
      <c r="GT26" s="48">
        <v>0</v>
      </c>
      <c r="GU26" s="48">
        <v>0</v>
      </c>
      <c r="GV26" s="48">
        <v>0</v>
      </c>
      <c r="GW26" s="48">
        <v>0</v>
      </c>
      <c r="GX26" s="48">
        <v>0</v>
      </c>
      <c r="GY26" s="48">
        <v>0</v>
      </c>
      <c r="GZ26" s="48">
        <v>0</v>
      </c>
      <c r="HA26" s="48">
        <v>0</v>
      </c>
      <c r="HB26" s="48">
        <v>0</v>
      </c>
      <c r="HC26" s="48">
        <v>0</v>
      </c>
      <c r="HD26" s="48">
        <v>0</v>
      </c>
      <c r="HE26" s="48">
        <v>0</v>
      </c>
      <c r="HF26" s="48">
        <v>0</v>
      </c>
      <c r="HG26" s="48">
        <v>0</v>
      </c>
      <c r="HH26" s="48">
        <v>0</v>
      </c>
      <c r="HI26" s="48">
        <v>0</v>
      </c>
      <c r="HJ26" s="48">
        <v>0</v>
      </c>
      <c r="HK26" s="48">
        <v>0</v>
      </c>
      <c r="HL26" s="48">
        <v>0</v>
      </c>
      <c r="HM26" s="48">
        <v>0</v>
      </c>
      <c r="HN26" s="48">
        <v>0</v>
      </c>
      <c r="HO26" s="48">
        <v>0</v>
      </c>
      <c r="HP26" s="48">
        <v>0</v>
      </c>
      <c r="HQ26" s="48">
        <v>0</v>
      </c>
      <c r="HR26" s="48">
        <v>0</v>
      </c>
      <c r="HS26" s="48">
        <v>0</v>
      </c>
      <c r="HT26" s="48">
        <v>0</v>
      </c>
      <c r="HU26" s="48">
        <v>0</v>
      </c>
      <c r="HV26" s="48">
        <v>6.3444219479928439</v>
      </c>
      <c r="HW26" s="48">
        <v>0</v>
      </c>
      <c r="HX26" s="48">
        <v>86.294676167908563</v>
      </c>
      <c r="HY26" s="48">
        <v>73.009202334680069</v>
      </c>
      <c r="HZ26" s="48">
        <v>108.14396186937263</v>
      </c>
      <c r="IA26" s="48">
        <v>31.167230786720928</v>
      </c>
      <c r="IB26" s="48">
        <v>1.3257781339219916</v>
      </c>
      <c r="IC26" s="48">
        <v>0</v>
      </c>
      <c r="ID26" s="48">
        <v>0</v>
      </c>
      <c r="IE26" s="48">
        <v>0</v>
      </c>
      <c r="IF26" s="48">
        <v>0</v>
      </c>
      <c r="IG26" s="48">
        <v>24.273386968091291</v>
      </c>
      <c r="IH26" s="48">
        <v>1.4109805839203624</v>
      </c>
      <c r="II26" s="48">
        <v>0.65619777210421359</v>
      </c>
      <c r="IJ26" s="48">
        <v>21.156571994986052</v>
      </c>
      <c r="IK26" s="48">
        <v>1.4858331462706982E-5</v>
      </c>
      <c r="IL26" s="48">
        <v>0</v>
      </c>
      <c r="IM26" s="48">
        <v>0</v>
      </c>
      <c r="IN26" s="48">
        <v>0</v>
      </c>
      <c r="IO26" s="48">
        <v>0</v>
      </c>
      <c r="IP26" s="23">
        <v>6785.9999999999618</v>
      </c>
      <c r="IQ26" s="25">
        <v>20315</v>
      </c>
      <c r="IR26" s="25">
        <v>0</v>
      </c>
      <c r="IS26" s="26">
        <v>0</v>
      </c>
      <c r="IT26" s="26">
        <v>0</v>
      </c>
      <c r="IU26" s="26">
        <v>0</v>
      </c>
      <c r="IV26" s="9">
        <v>158</v>
      </c>
      <c r="IW26" s="38">
        <f t="shared" si="4"/>
        <v>27258.999999999964</v>
      </c>
    </row>
    <row r="27" spans="1:257" ht="30" customHeight="1" x14ac:dyDescent="0.25">
      <c r="A27" s="112" t="b">
        <v>1</v>
      </c>
      <c r="B27" s="113" t="b">
        <f>IFERROR(VLOOKUP(C27,'Bridge matrix'!$D$3:$E$727,2,FALSE)='symmetric IOT 245 2012'!D27,"FALSCH")</f>
        <v>1</v>
      </c>
      <c r="C27" s="108">
        <v>22</v>
      </c>
      <c r="D27" s="49" t="s">
        <v>1345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40.360621083630647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0.18239608695367884</v>
      </c>
      <c r="CJ27" s="48">
        <v>0</v>
      </c>
      <c r="CK27" s="48">
        <v>0</v>
      </c>
      <c r="CL27" s="48">
        <v>1.6759201738814293</v>
      </c>
      <c r="CM27" s="48">
        <v>3.6129507184951208E-3</v>
      </c>
      <c r="CN27" s="48">
        <v>2.4935285631826263</v>
      </c>
      <c r="CO27" s="48">
        <v>0</v>
      </c>
      <c r="CP27" s="48">
        <v>0</v>
      </c>
      <c r="CQ27" s="48">
        <v>0</v>
      </c>
      <c r="CR27" s="48">
        <v>0</v>
      </c>
      <c r="CS27" s="48">
        <v>0</v>
      </c>
      <c r="CT27" s="48">
        <v>3.3379252754581904E-3</v>
      </c>
      <c r="CU27" s="48">
        <v>8.7205875801793578E-2</v>
      </c>
      <c r="CV27" s="48">
        <v>0.2044065857752686</v>
      </c>
      <c r="CW27" s="48">
        <v>0</v>
      </c>
      <c r="CX27" s="48">
        <v>3.1068821775864281E-4</v>
      </c>
      <c r="CY27" s="48">
        <v>0</v>
      </c>
      <c r="CZ27" s="48">
        <v>0</v>
      </c>
      <c r="DA27" s="48">
        <v>2.9994057864941599E-3</v>
      </c>
      <c r="DB27" s="48">
        <v>192.35996798723178</v>
      </c>
      <c r="DC27" s="48">
        <v>1.4948853888478387E-3</v>
      </c>
      <c r="DD27" s="48">
        <v>0</v>
      </c>
      <c r="DE27" s="48">
        <v>0</v>
      </c>
      <c r="DF27" s="48">
        <v>0</v>
      </c>
      <c r="DG27" s="48">
        <v>0</v>
      </c>
      <c r="DH27" s="48">
        <v>0</v>
      </c>
      <c r="DI27" s="48">
        <v>0</v>
      </c>
      <c r="DJ27" s="48">
        <v>0</v>
      </c>
      <c r="DK27" s="48">
        <v>0</v>
      </c>
      <c r="DL27" s="48">
        <v>3253.0971155537854</v>
      </c>
      <c r="DM27" s="48">
        <v>0</v>
      </c>
      <c r="DN27" s="48">
        <v>0</v>
      </c>
      <c r="DO27" s="48">
        <v>0</v>
      </c>
      <c r="DP27" s="48">
        <v>0</v>
      </c>
      <c r="DQ27" s="48">
        <v>0</v>
      </c>
      <c r="DR27" s="48">
        <v>1.9049177923021032E-8</v>
      </c>
      <c r="DS27" s="48">
        <v>0</v>
      </c>
      <c r="DT27" s="48">
        <v>0</v>
      </c>
      <c r="DU27" s="48">
        <v>0</v>
      </c>
      <c r="DV27" s="48">
        <v>0</v>
      </c>
      <c r="DW27" s="48">
        <v>0</v>
      </c>
      <c r="DX27" s="48">
        <v>0</v>
      </c>
      <c r="DY27" s="48">
        <v>7.2720741878785473E-14</v>
      </c>
      <c r="DZ27" s="48">
        <v>0</v>
      </c>
      <c r="EA27" s="48">
        <v>0</v>
      </c>
      <c r="EB27" s="48">
        <v>2.0242720741028735E-7</v>
      </c>
      <c r="EC27" s="48">
        <v>5.85466157039552E-9</v>
      </c>
      <c r="ED27" s="48">
        <v>0</v>
      </c>
      <c r="EE27" s="48">
        <v>0</v>
      </c>
      <c r="EF27" s="48">
        <v>0</v>
      </c>
      <c r="EG27" s="48">
        <v>0</v>
      </c>
      <c r="EH27" s="48">
        <v>0</v>
      </c>
      <c r="EI27" s="48">
        <v>2.1498078688012815E-4</v>
      </c>
      <c r="EJ27" s="48">
        <v>3.9947789813749501E-3</v>
      </c>
      <c r="EK27" s="48">
        <v>0</v>
      </c>
      <c r="EL27" s="48">
        <v>0</v>
      </c>
      <c r="EM27" s="48">
        <v>0</v>
      </c>
      <c r="EN27" s="48">
        <v>0</v>
      </c>
      <c r="EO27" s="48">
        <v>0</v>
      </c>
      <c r="EP27" s="48">
        <v>0</v>
      </c>
      <c r="EQ27" s="48">
        <v>0</v>
      </c>
      <c r="ER27" s="48">
        <v>5.0520425458805295E-9</v>
      </c>
      <c r="ES27" s="48">
        <v>8.8342807687729219E-11</v>
      </c>
      <c r="ET27" s="48">
        <v>0</v>
      </c>
      <c r="EU27" s="48">
        <v>0</v>
      </c>
      <c r="EV27" s="48">
        <v>0</v>
      </c>
      <c r="EW27" s="48">
        <v>6.2889314935654329E-9</v>
      </c>
      <c r="EX27" s="48">
        <v>0</v>
      </c>
      <c r="EY27" s="48">
        <v>1.5273016245195505E-6</v>
      </c>
      <c r="EZ27" s="48">
        <v>0</v>
      </c>
      <c r="FA27" s="48">
        <v>1.2801291125146162E-12</v>
      </c>
      <c r="FB27" s="48">
        <v>3.5095571870337841E-14</v>
      </c>
      <c r="FC27" s="48">
        <v>0</v>
      </c>
      <c r="FD27" s="48">
        <v>0</v>
      </c>
      <c r="FE27" s="48">
        <v>0</v>
      </c>
      <c r="FF27" s="48">
        <v>0</v>
      </c>
      <c r="FG27" s="48">
        <v>0</v>
      </c>
      <c r="FH27" s="48">
        <v>0</v>
      </c>
      <c r="FI27" s="48">
        <v>0</v>
      </c>
      <c r="FJ27" s="48">
        <v>0</v>
      </c>
      <c r="FK27" s="48">
        <v>0</v>
      </c>
      <c r="FL27" s="48">
        <v>0</v>
      </c>
      <c r="FM27" s="48">
        <v>6.6937868989529781E-9</v>
      </c>
      <c r="FN27" s="48">
        <v>0</v>
      </c>
      <c r="FO27" s="48">
        <v>0</v>
      </c>
      <c r="FP27" s="48">
        <v>2.8488098546999801E-7</v>
      </c>
      <c r="FQ27" s="48">
        <v>0</v>
      </c>
      <c r="FR27" s="48">
        <v>0</v>
      </c>
      <c r="FS27" s="48">
        <v>0</v>
      </c>
      <c r="FT27" s="48">
        <v>0</v>
      </c>
      <c r="FU27" s="48">
        <v>0</v>
      </c>
      <c r="FV27" s="48">
        <v>2.3774413275720004E-13</v>
      </c>
      <c r="FW27" s="48">
        <v>0</v>
      </c>
      <c r="FX27" s="48">
        <v>0</v>
      </c>
      <c r="FY27" s="48">
        <v>0</v>
      </c>
      <c r="FZ27" s="48">
        <v>0</v>
      </c>
      <c r="GA27" s="48">
        <v>0</v>
      </c>
      <c r="GB27" s="48">
        <v>0</v>
      </c>
      <c r="GC27" s="48">
        <v>0</v>
      </c>
      <c r="GD27" s="48">
        <v>0</v>
      </c>
      <c r="GE27" s="48">
        <v>15.812742702229473</v>
      </c>
      <c r="GF27" s="48">
        <v>2531.7846003805157</v>
      </c>
      <c r="GG27" s="48">
        <v>0</v>
      </c>
      <c r="GH27" s="48">
        <v>0</v>
      </c>
      <c r="GI27" s="48">
        <v>0</v>
      </c>
      <c r="GJ27" s="48">
        <v>0</v>
      </c>
      <c r="GK27" s="48">
        <v>0</v>
      </c>
      <c r="GL27" s="48">
        <v>0</v>
      </c>
      <c r="GM27" s="48">
        <v>0</v>
      </c>
      <c r="GN27" s="48">
        <v>0</v>
      </c>
      <c r="GO27" s="48">
        <v>0</v>
      </c>
      <c r="GP27" s="48">
        <v>0</v>
      </c>
      <c r="GQ27" s="48">
        <v>0</v>
      </c>
      <c r="GR27" s="48">
        <v>0</v>
      </c>
      <c r="GS27" s="48">
        <v>0</v>
      </c>
      <c r="GT27" s="48">
        <v>0</v>
      </c>
      <c r="GU27" s="48">
        <v>0</v>
      </c>
      <c r="GV27" s="48">
        <v>0</v>
      </c>
      <c r="GW27" s="48">
        <v>0</v>
      </c>
      <c r="GX27" s="48">
        <v>0</v>
      </c>
      <c r="GY27" s="48">
        <v>0</v>
      </c>
      <c r="GZ27" s="48">
        <v>0</v>
      </c>
      <c r="HA27" s="48">
        <v>0</v>
      </c>
      <c r="HB27" s="48">
        <v>0</v>
      </c>
      <c r="HC27" s="48">
        <v>0</v>
      </c>
      <c r="HD27" s="48">
        <v>0</v>
      </c>
      <c r="HE27" s="48">
        <v>0</v>
      </c>
      <c r="HF27" s="48">
        <v>0</v>
      </c>
      <c r="HG27" s="48">
        <v>0</v>
      </c>
      <c r="HH27" s="48">
        <v>0</v>
      </c>
      <c r="HI27" s="48">
        <v>0</v>
      </c>
      <c r="HJ27" s="48">
        <v>0</v>
      </c>
      <c r="HK27" s="48">
        <v>0</v>
      </c>
      <c r="HL27" s="48">
        <v>0</v>
      </c>
      <c r="HM27" s="48">
        <v>0</v>
      </c>
      <c r="HN27" s="48">
        <v>0</v>
      </c>
      <c r="HO27" s="48">
        <v>0</v>
      </c>
      <c r="HP27" s="48">
        <v>0</v>
      </c>
      <c r="HQ27" s="48">
        <v>0</v>
      </c>
      <c r="HR27" s="48">
        <v>0</v>
      </c>
      <c r="HS27" s="48">
        <v>0</v>
      </c>
      <c r="HT27" s="48">
        <v>0</v>
      </c>
      <c r="HU27" s="48">
        <v>0</v>
      </c>
      <c r="HV27" s="48">
        <v>56.187812645052297</v>
      </c>
      <c r="HW27" s="48">
        <v>0</v>
      </c>
      <c r="HX27" s="48">
        <v>84.073554712954675</v>
      </c>
      <c r="HY27" s="48">
        <v>70.789697954081703</v>
      </c>
      <c r="HZ27" s="48">
        <v>105.51112676063349</v>
      </c>
      <c r="IA27" s="48">
        <v>29.680098305542426</v>
      </c>
      <c r="IB27" s="48">
        <v>1.2625191379822018</v>
      </c>
      <c r="IC27" s="48">
        <v>0</v>
      </c>
      <c r="ID27" s="48">
        <v>0</v>
      </c>
      <c r="IE27" s="48">
        <v>0</v>
      </c>
      <c r="IF27" s="48">
        <v>0</v>
      </c>
      <c r="IG27" s="48">
        <v>26.23886614581971</v>
      </c>
      <c r="IH27" s="48">
        <v>2.0154842785620755</v>
      </c>
      <c r="II27" s="48">
        <v>0.62488754670590985</v>
      </c>
      <c r="IJ27" s="48">
        <v>23.295077743178915</v>
      </c>
      <c r="IK27" s="48">
        <v>1.2464021036618433</v>
      </c>
      <c r="IL27" s="48">
        <v>0</v>
      </c>
      <c r="IM27" s="48">
        <v>0</v>
      </c>
      <c r="IN27" s="48">
        <v>0</v>
      </c>
      <c r="IO27" s="48">
        <v>0</v>
      </c>
      <c r="IP27" s="23">
        <v>6438.9999999999591</v>
      </c>
      <c r="IQ27" s="25">
        <v>52992</v>
      </c>
      <c r="IR27" s="25">
        <v>0</v>
      </c>
      <c r="IS27" s="26">
        <v>0</v>
      </c>
      <c r="IT27" s="26">
        <v>0</v>
      </c>
      <c r="IU27" s="26">
        <v>0</v>
      </c>
      <c r="IV27" s="9">
        <v>13240</v>
      </c>
      <c r="IW27" s="38">
        <f t="shared" si="4"/>
        <v>72670.999999999956</v>
      </c>
    </row>
    <row r="28" spans="1:257" ht="30" customHeight="1" x14ac:dyDescent="0.25">
      <c r="A28" s="112" t="b">
        <v>1</v>
      </c>
      <c r="B28" s="113" t="b">
        <f>IFERROR(VLOOKUP(C28,'Bridge matrix'!$D$3:$E$727,2,FALSE)='symmetric IOT 245 2012'!D28,"FALSCH")</f>
        <v>1</v>
      </c>
      <c r="C28" s="108">
        <v>23</v>
      </c>
      <c r="D28" s="49" t="s">
        <v>1346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5.0180657712309076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4.4711755090702798E-2</v>
      </c>
      <c r="CJ28" s="48">
        <v>0</v>
      </c>
      <c r="CK28" s="48">
        <v>0</v>
      </c>
      <c r="CL28" s="48">
        <v>0</v>
      </c>
      <c r="CM28" s="48">
        <v>8.8566246434878453E-4</v>
      </c>
      <c r="CN28" s="48">
        <v>7.2616241023573001E-6</v>
      </c>
      <c r="CO28" s="48">
        <v>0</v>
      </c>
      <c r="CP28" s="48">
        <v>0</v>
      </c>
      <c r="CQ28" s="48">
        <v>0</v>
      </c>
      <c r="CR28" s="48">
        <v>0</v>
      </c>
      <c r="CS28" s="48">
        <v>0</v>
      </c>
      <c r="CT28" s="48">
        <v>9.7206661235103367E-9</v>
      </c>
      <c r="CU28" s="48">
        <v>2.1427578098079846E-2</v>
      </c>
      <c r="CV28" s="48">
        <v>5.0225263380375598E-2</v>
      </c>
      <c r="CW28" s="48">
        <v>0</v>
      </c>
      <c r="CX28" s="48">
        <v>9.0478251731554529E-10</v>
      </c>
      <c r="CY28" s="48">
        <v>0</v>
      </c>
      <c r="CZ28" s="48">
        <v>0</v>
      </c>
      <c r="DA28" s="48">
        <v>7.352608226598034E-4</v>
      </c>
      <c r="DB28" s="48">
        <v>0</v>
      </c>
      <c r="DC28" s="48">
        <v>4.353387376507114E-9</v>
      </c>
      <c r="DD28" s="48">
        <v>0</v>
      </c>
      <c r="DE28" s="48">
        <v>0</v>
      </c>
      <c r="DF28" s="48">
        <v>0</v>
      </c>
      <c r="DG28" s="48">
        <v>0</v>
      </c>
      <c r="DH28" s="48">
        <v>0</v>
      </c>
      <c r="DI28" s="48">
        <v>0</v>
      </c>
      <c r="DJ28" s="48">
        <v>0</v>
      </c>
      <c r="DK28" s="48">
        <v>0</v>
      </c>
      <c r="DL28" s="48">
        <v>797.44957222678545</v>
      </c>
      <c r="DM28" s="48">
        <v>0</v>
      </c>
      <c r="DN28" s="48">
        <v>0</v>
      </c>
      <c r="DO28" s="48">
        <v>0</v>
      </c>
      <c r="DP28" s="48">
        <v>0</v>
      </c>
      <c r="DQ28" s="48">
        <v>0</v>
      </c>
      <c r="DR28" s="48">
        <v>4.6806220784650072E-9</v>
      </c>
      <c r="DS28" s="48">
        <v>0</v>
      </c>
      <c r="DT28" s="48">
        <v>0</v>
      </c>
      <c r="DU28" s="48">
        <v>0</v>
      </c>
      <c r="DV28" s="48">
        <v>0</v>
      </c>
      <c r="DW28" s="48">
        <v>0</v>
      </c>
      <c r="DX28" s="48">
        <v>0</v>
      </c>
      <c r="DY28" s="48">
        <v>1.7868398908115007E-14</v>
      </c>
      <c r="DZ28" s="48">
        <v>0</v>
      </c>
      <c r="EA28" s="48">
        <v>0</v>
      </c>
      <c r="EB28" s="48">
        <v>4.9738905275358876E-8</v>
      </c>
      <c r="EC28" s="48">
        <v>1.4385638224952721E-9</v>
      </c>
      <c r="ED28" s="48">
        <v>0</v>
      </c>
      <c r="EE28" s="48">
        <v>0</v>
      </c>
      <c r="EF28" s="48">
        <v>0</v>
      </c>
      <c r="EG28" s="48">
        <v>0</v>
      </c>
      <c r="EH28" s="48">
        <v>0</v>
      </c>
      <c r="EI28" s="48">
        <v>5.2823477295618663E-5</v>
      </c>
      <c r="EJ28" s="48">
        <v>9.8156732927644143E-4</v>
      </c>
      <c r="EK28" s="48">
        <v>0</v>
      </c>
      <c r="EL28" s="48">
        <v>0</v>
      </c>
      <c r="EM28" s="48">
        <v>0</v>
      </c>
      <c r="EN28" s="48">
        <v>0</v>
      </c>
      <c r="EO28" s="48">
        <v>0</v>
      </c>
      <c r="EP28" s="48">
        <v>0</v>
      </c>
      <c r="EQ28" s="48">
        <v>0</v>
      </c>
      <c r="ER28" s="48">
        <v>1.2413502554887556E-9</v>
      </c>
      <c r="ES28" s="48">
        <v>2.1706936530686424E-11</v>
      </c>
      <c r="ET28" s="48">
        <v>0</v>
      </c>
      <c r="EU28" s="48">
        <v>0</v>
      </c>
      <c r="EV28" s="48">
        <v>0</v>
      </c>
      <c r="EW28" s="48">
        <v>1.5452693926052551E-9</v>
      </c>
      <c r="EX28" s="48">
        <v>0</v>
      </c>
      <c r="EY28" s="48">
        <v>3.7527717642672496E-7</v>
      </c>
      <c r="EZ28" s="48">
        <v>0</v>
      </c>
      <c r="FA28" s="48">
        <v>3.1454378826923516E-13</v>
      </c>
      <c r="FB28" s="48">
        <v>8.6234224498548208E-15</v>
      </c>
      <c r="FC28" s="48">
        <v>0</v>
      </c>
      <c r="FD28" s="48">
        <v>0</v>
      </c>
      <c r="FE28" s="48">
        <v>0</v>
      </c>
      <c r="FF28" s="48">
        <v>0</v>
      </c>
      <c r="FG28" s="48">
        <v>0</v>
      </c>
      <c r="FH28" s="48">
        <v>0</v>
      </c>
      <c r="FI28" s="48">
        <v>0</v>
      </c>
      <c r="FJ28" s="48">
        <v>0</v>
      </c>
      <c r="FK28" s="48">
        <v>0</v>
      </c>
      <c r="FL28" s="48">
        <v>0</v>
      </c>
      <c r="FM28" s="48">
        <v>1.6447474465507068E-9</v>
      </c>
      <c r="FN28" s="48">
        <v>0</v>
      </c>
      <c r="FO28" s="48">
        <v>0</v>
      </c>
      <c r="FP28" s="48">
        <v>6.9998833320480997E-8</v>
      </c>
      <c r="FQ28" s="48">
        <v>0</v>
      </c>
      <c r="FR28" s="48">
        <v>0</v>
      </c>
      <c r="FS28" s="48">
        <v>0</v>
      </c>
      <c r="FT28" s="48">
        <v>0</v>
      </c>
      <c r="FU28" s="48">
        <v>0</v>
      </c>
      <c r="FV28" s="48">
        <v>5.8416717052343278E-14</v>
      </c>
      <c r="FW28" s="48">
        <v>0</v>
      </c>
      <c r="FX28" s="48">
        <v>0</v>
      </c>
      <c r="FY28" s="48">
        <v>0</v>
      </c>
      <c r="FZ28" s="48">
        <v>0</v>
      </c>
      <c r="GA28" s="48">
        <v>0</v>
      </c>
      <c r="GB28" s="48">
        <v>0</v>
      </c>
      <c r="GC28" s="48">
        <v>0</v>
      </c>
      <c r="GD28" s="48">
        <v>0</v>
      </c>
      <c r="GE28" s="48">
        <v>81.162164945475993</v>
      </c>
      <c r="GF28" s="48">
        <v>233.75659056108441</v>
      </c>
      <c r="GG28" s="48">
        <v>0</v>
      </c>
      <c r="GH28" s="48">
        <v>0</v>
      </c>
      <c r="GI28" s="48">
        <v>0</v>
      </c>
      <c r="GJ28" s="48">
        <v>0</v>
      </c>
      <c r="GK28" s="48">
        <v>0</v>
      </c>
      <c r="GL28" s="48">
        <v>0</v>
      </c>
      <c r="GM28" s="48">
        <v>0</v>
      </c>
      <c r="GN28" s="48">
        <v>0</v>
      </c>
      <c r="GO28" s="48">
        <v>0</v>
      </c>
      <c r="GP28" s="48">
        <v>0</v>
      </c>
      <c r="GQ28" s="48">
        <v>0</v>
      </c>
      <c r="GR28" s="48">
        <v>0</v>
      </c>
      <c r="GS28" s="48">
        <v>0</v>
      </c>
      <c r="GT28" s="48">
        <v>0</v>
      </c>
      <c r="GU28" s="48">
        <v>0</v>
      </c>
      <c r="GV28" s="48">
        <v>0</v>
      </c>
      <c r="GW28" s="48">
        <v>0</v>
      </c>
      <c r="GX28" s="48">
        <v>0</v>
      </c>
      <c r="GY28" s="48">
        <v>0</v>
      </c>
      <c r="GZ28" s="48">
        <v>0</v>
      </c>
      <c r="HA28" s="48">
        <v>0</v>
      </c>
      <c r="HB28" s="48">
        <v>0</v>
      </c>
      <c r="HC28" s="48">
        <v>0</v>
      </c>
      <c r="HD28" s="48">
        <v>0</v>
      </c>
      <c r="HE28" s="48">
        <v>0</v>
      </c>
      <c r="HF28" s="48">
        <v>0</v>
      </c>
      <c r="HG28" s="48">
        <v>0</v>
      </c>
      <c r="HH28" s="48">
        <v>0</v>
      </c>
      <c r="HI28" s="48">
        <v>0</v>
      </c>
      <c r="HJ28" s="48">
        <v>0</v>
      </c>
      <c r="HK28" s="48">
        <v>0</v>
      </c>
      <c r="HL28" s="48">
        <v>0</v>
      </c>
      <c r="HM28" s="48">
        <v>0</v>
      </c>
      <c r="HN28" s="48">
        <v>0</v>
      </c>
      <c r="HO28" s="48">
        <v>0</v>
      </c>
      <c r="HP28" s="48">
        <v>0</v>
      </c>
      <c r="HQ28" s="48">
        <v>0</v>
      </c>
      <c r="HR28" s="48">
        <v>0</v>
      </c>
      <c r="HS28" s="48">
        <v>0</v>
      </c>
      <c r="HT28" s="48">
        <v>0</v>
      </c>
      <c r="HU28" s="48">
        <v>0</v>
      </c>
      <c r="HV28" s="48">
        <v>0</v>
      </c>
      <c r="HW28" s="48">
        <v>0</v>
      </c>
      <c r="HX28" s="48">
        <v>63.521459963460202</v>
      </c>
      <c r="HY28" s="48">
        <v>54.17311635828478</v>
      </c>
      <c r="HZ28" s="48">
        <v>80.294173175035212</v>
      </c>
      <c r="IA28" s="48">
        <v>22.396621377331911</v>
      </c>
      <c r="IB28" s="48">
        <v>1.243799850815168</v>
      </c>
      <c r="IC28" s="48">
        <v>0</v>
      </c>
      <c r="ID28" s="48">
        <v>0</v>
      </c>
      <c r="IE28" s="48">
        <v>0</v>
      </c>
      <c r="IF28" s="48">
        <v>0</v>
      </c>
      <c r="IG28" s="48">
        <v>20.926048182265436</v>
      </c>
      <c r="IH28" s="48">
        <v>1.3237338849386335</v>
      </c>
      <c r="II28" s="48">
        <v>0.61562238067239827</v>
      </c>
      <c r="IJ28" s="48">
        <v>0</v>
      </c>
      <c r="IK28" s="48">
        <v>3.629757320937816E-6</v>
      </c>
      <c r="IL28" s="48">
        <v>0</v>
      </c>
      <c r="IM28" s="48">
        <v>0</v>
      </c>
      <c r="IN28" s="48">
        <v>0</v>
      </c>
      <c r="IO28" s="48">
        <v>0</v>
      </c>
      <c r="IP28" s="23">
        <v>1361.9999999999914</v>
      </c>
      <c r="IQ28" s="25">
        <v>3810</v>
      </c>
      <c r="IR28" s="25">
        <v>0</v>
      </c>
      <c r="IS28" s="26">
        <v>0</v>
      </c>
      <c r="IT28" s="26">
        <v>0</v>
      </c>
      <c r="IU28" s="26">
        <v>0</v>
      </c>
      <c r="IV28" s="9">
        <v>48</v>
      </c>
      <c r="IW28" s="38">
        <f t="shared" si="4"/>
        <v>5219.9999999999909</v>
      </c>
    </row>
    <row r="29" spans="1:257" ht="30" customHeight="1" x14ac:dyDescent="0.25">
      <c r="A29" s="112" t="b">
        <v>1</v>
      </c>
      <c r="B29" s="113" t="b">
        <f>IFERROR(VLOOKUP(C29,'Bridge matrix'!$D$3:$E$727,2,FALSE)='symmetric IOT 245 2012'!D29,"FALSCH")</f>
        <v>1</v>
      </c>
      <c r="C29" s="108">
        <v>24</v>
      </c>
      <c r="D29" s="49" t="s">
        <v>1347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4.0553780700275013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2.1969961476885218E-2</v>
      </c>
      <c r="CJ29" s="48">
        <v>0</v>
      </c>
      <c r="CK29" s="48">
        <v>0</v>
      </c>
      <c r="CL29" s="48">
        <v>0</v>
      </c>
      <c r="CM29" s="48">
        <v>4.3518690294741086E-4</v>
      </c>
      <c r="CN29" s="48">
        <v>3.5681355264353132E-6</v>
      </c>
      <c r="CO29" s="48">
        <v>0</v>
      </c>
      <c r="CP29" s="48">
        <v>0</v>
      </c>
      <c r="CQ29" s="48">
        <v>0</v>
      </c>
      <c r="CR29" s="48">
        <v>0</v>
      </c>
      <c r="CS29" s="48">
        <v>0</v>
      </c>
      <c r="CT29" s="48">
        <v>4.7764320552827671E-9</v>
      </c>
      <c r="CU29" s="48">
        <v>1.0528843352330246E-2</v>
      </c>
      <c r="CV29" s="48">
        <v>2.4679127432926891E-2</v>
      </c>
      <c r="CW29" s="48">
        <v>0</v>
      </c>
      <c r="CX29" s="48">
        <v>4.4458190044334049E-10</v>
      </c>
      <c r="CY29" s="48">
        <v>0</v>
      </c>
      <c r="CZ29" s="48">
        <v>0</v>
      </c>
      <c r="DA29" s="48">
        <v>3.6128422864477859E-4</v>
      </c>
      <c r="DB29" s="48">
        <v>0</v>
      </c>
      <c r="DC29" s="48">
        <v>2.139118734252231E-9</v>
      </c>
      <c r="DD29" s="48">
        <v>0</v>
      </c>
      <c r="DE29" s="48">
        <v>0</v>
      </c>
      <c r="DF29" s="48">
        <v>0</v>
      </c>
      <c r="DG29" s="48">
        <v>0</v>
      </c>
      <c r="DH29" s="48">
        <v>0</v>
      </c>
      <c r="DI29" s="48">
        <v>0</v>
      </c>
      <c r="DJ29" s="48">
        <v>0</v>
      </c>
      <c r="DK29" s="48">
        <v>0</v>
      </c>
      <c r="DL29" s="48">
        <v>391.84183993761837</v>
      </c>
      <c r="DM29" s="48">
        <v>0</v>
      </c>
      <c r="DN29" s="48">
        <v>0</v>
      </c>
      <c r="DO29" s="48">
        <v>0</v>
      </c>
      <c r="DP29" s="48">
        <v>0</v>
      </c>
      <c r="DQ29" s="48">
        <v>0</v>
      </c>
      <c r="DR29" s="48">
        <v>2.2999116573063663E-9</v>
      </c>
      <c r="DS29" s="48">
        <v>0</v>
      </c>
      <c r="DT29" s="48">
        <v>0</v>
      </c>
      <c r="DU29" s="48">
        <v>0</v>
      </c>
      <c r="DV29" s="48">
        <v>0</v>
      </c>
      <c r="DW29" s="48">
        <v>0</v>
      </c>
      <c r="DX29" s="48">
        <v>0</v>
      </c>
      <c r="DY29" s="48">
        <v>8.779973742219165E-15</v>
      </c>
      <c r="DZ29" s="48">
        <v>0</v>
      </c>
      <c r="EA29" s="48">
        <v>0</v>
      </c>
      <c r="EB29" s="48">
        <v>2.4440146234145678E-8</v>
      </c>
      <c r="EC29" s="48">
        <v>7.0686538021483199E-10</v>
      </c>
      <c r="ED29" s="48">
        <v>0</v>
      </c>
      <c r="EE29" s="48">
        <v>0</v>
      </c>
      <c r="EF29" s="48">
        <v>0</v>
      </c>
      <c r="EG29" s="48">
        <v>0</v>
      </c>
      <c r="EH29" s="48">
        <v>0</v>
      </c>
      <c r="EI29" s="48">
        <v>2.5955808688466928E-5</v>
      </c>
      <c r="EJ29" s="48">
        <v>4.8231156140987147E-4</v>
      </c>
      <c r="EK29" s="48">
        <v>0</v>
      </c>
      <c r="EL29" s="48">
        <v>0</v>
      </c>
      <c r="EM29" s="48">
        <v>0</v>
      </c>
      <c r="EN29" s="48">
        <v>0</v>
      </c>
      <c r="EO29" s="48">
        <v>0</v>
      </c>
      <c r="EP29" s="48">
        <v>0</v>
      </c>
      <c r="EQ29" s="48">
        <v>0</v>
      </c>
      <c r="ER29" s="48">
        <v>6.0996078630965026E-10</v>
      </c>
      <c r="ES29" s="48">
        <v>1.0666111370330411E-11</v>
      </c>
      <c r="ET29" s="48">
        <v>0</v>
      </c>
      <c r="EU29" s="48">
        <v>0</v>
      </c>
      <c r="EV29" s="48">
        <v>0</v>
      </c>
      <c r="EW29" s="48">
        <v>7.5929716822963131E-10</v>
      </c>
      <c r="EX29" s="48">
        <v>0</v>
      </c>
      <c r="EY29" s="48">
        <v>1.8439949611738348E-7</v>
      </c>
      <c r="EZ29" s="48">
        <v>0</v>
      </c>
      <c r="FA29" s="48">
        <v>1.5455700401493725E-13</v>
      </c>
      <c r="FB29" s="48">
        <v>4.2372807472639937E-15</v>
      </c>
      <c r="FC29" s="48">
        <v>0</v>
      </c>
      <c r="FD29" s="48">
        <v>0</v>
      </c>
      <c r="FE29" s="48">
        <v>0</v>
      </c>
      <c r="FF29" s="48">
        <v>0</v>
      </c>
      <c r="FG29" s="48">
        <v>0</v>
      </c>
      <c r="FH29" s="48">
        <v>0</v>
      </c>
      <c r="FI29" s="48">
        <v>0</v>
      </c>
      <c r="FJ29" s="48">
        <v>0</v>
      </c>
      <c r="FK29" s="48">
        <v>0</v>
      </c>
      <c r="FL29" s="48">
        <v>0</v>
      </c>
      <c r="FM29" s="48">
        <v>8.0817758029449984E-10</v>
      </c>
      <c r="FN29" s="48">
        <v>0</v>
      </c>
      <c r="FO29" s="48">
        <v>0</v>
      </c>
      <c r="FP29" s="48">
        <v>3.4395242780296514E-8</v>
      </c>
      <c r="FQ29" s="48">
        <v>0</v>
      </c>
      <c r="FR29" s="48">
        <v>0</v>
      </c>
      <c r="FS29" s="48">
        <v>0</v>
      </c>
      <c r="FT29" s="48">
        <v>0</v>
      </c>
      <c r="FU29" s="48">
        <v>0</v>
      </c>
      <c r="FV29" s="48">
        <v>2.8704152199852998E-14</v>
      </c>
      <c r="FW29" s="48">
        <v>0</v>
      </c>
      <c r="FX29" s="48">
        <v>0</v>
      </c>
      <c r="FY29" s="48">
        <v>0</v>
      </c>
      <c r="FZ29" s="48">
        <v>0</v>
      </c>
      <c r="GA29" s="48">
        <v>0</v>
      </c>
      <c r="GB29" s="48">
        <v>0</v>
      </c>
      <c r="GC29" s="48">
        <v>0</v>
      </c>
      <c r="GD29" s="48">
        <v>0</v>
      </c>
      <c r="GE29" s="48">
        <v>108.48599901778714</v>
      </c>
      <c r="GF29" s="48">
        <v>726.67065554159024</v>
      </c>
      <c r="GG29" s="48">
        <v>0</v>
      </c>
      <c r="GH29" s="48">
        <v>0</v>
      </c>
      <c r="GI29" s="48">
        <v>0</v>
      </c>
      <c r="GJ29" s="48">
        <v>0</v>
      </c>
      <c r="GK29" s="48">
        <v>0</v>
      </c>
      <c r="GL29" s="48">
        <v>0</v>
      </c>
      <c r="GM29" s="48">
        <v>0</v>
      </c>
      <c r="GN29" s="48">
        <v>0</v>
      </c>
      <c r="GO29" s="48">
        <v>0</v>
      </c>
      <c r="GP29" s="48">
        <v>0</v>
      </c>
      <c r="GQ29" s="48">
        <v>0</v>
      </c>
      <c r="GR29" s="48">
        <v>0</v>
      </c>
      <c r="GS29" s="48">
        <v>0</v>
      </c>
      <c r="GT29" s="48">
        <v>0</v>
      </c>
      <c r="GU29" s="48">
        <v>0</v>
      </c>
      <c r="GV29" s="48">
        <v>0</v>
      </c>
      <c r="GW29" s="48">
        <v>0</v>
      </c>
      <c r="GX29" s="48">
        <v>0</v>
      </c>
      <c r="GY29" s="48">
        <v>0</v>
      </c>
      <c r="GZ29" s="48">
        <v>0</v>
      </c>
      <c r="HA29" s="48">
        <v>0</v>
      </c>
      <c r="HB29" s="48">
        <v>0</v>
      </c>
      <c r="HC29" s="48">
        <v>0</v>
      </c>
      <c r="HD29" s="48">
        <v>0</v>
      </c>
      <c r="HE29" s="48">
        <v>0</v>
      </c>
      <c r="HF29" s="48">
        <v>0</v>
      </c>
      <c r="HG29" s="48">
        <v>0</v>
      </c>
      <c r="HH29" s="48">
        <v>0</v>
      </c>
      <c r="HI29" s="48">
        <v>0</v>
      </c>
      <c r="HJ29" s="48">
        <v>0</v>
      </c>
      <c r="HK29" s="48">
        <v>0</v>
      </c>
      <c r="HL29" s="48">
        <v>0</v>
      </c>
      <c r="HM29" s="48">
        <v>0</v>
      </c>
      <c r="HN29" s="48">
        <v>0</v>
      </c>
      <c r="HO29" s="48">
        <v>0</v>
      </c>
      <c r="HP29" s="48">
        <v>0</v>
      </c>
      <c r="HQ29" s="48">
        <v>0</v>
      </c>
      <c r="HR29" s="48">
        <v>0</v>
      </c>
      <c r="HS29" s="48">
        <v>0</v>
      </c>
      <c r="HT29" s="48">
        <v>0</v>
      </c>
      <c r="HU29" s="48">
        <v>0</v>
      </c>
      <c r="HV29" s="48">
        <v>0</v>
      </c>
      <c r="HW29" s="48">
        <v>0</v>
      </c>
      <c r="HX29" s="48">
        <v>38.265396553858537</v>
      </c>
      <c r="HY29" s="48">
        <v>32.890593489849422</v>
      </c>
      <c r="HZ29" s="48">
        <v>48.310093684617229</v>
      </c>
      <c r="IA29" s="48">
        <v>14.08349245163002</v>
      </c>
      <c r="IB29" s="48">
        <v>0.6703962370741442</v>
      </c>
      <c r="IC29" s="48">
        <v>0</v>
      </c>
      <c r="ID29" s="48">
        <v>0</v>
      </c>
      <c r="IE29" s="48">
        <v>0</v>
      </c>
      <c r="IF29" s="48">
        <v>0</v>
      </c>
      <c r="IG29" s="48">
        <v>18.577077738257191</v>
      </c>
      <c r="IH29" s="48">
        <v>1.4269598356500699</v>
      </c>
      <c r="II29" s="48">
        <v>0.66362916379338377</v>
      </c>
      <c r="IJ29" s="48">
        <v>0</v>
      </c>
      <c r="IK29" s="48">
        <v>1.783549501684138E-6</v>
      </c>
      <c r="IL29" s="48">
        <v>0</v>
      </c>
      <c r="IM29" s="48">
        <v>0</v>
      </c>
      <c r="IN29" s="48">
        <v>0</v>
      </c>
      <c r="IO29" s="48">
        <v>0</v>
      </c>
      <c r="IP29" s="23">
        <v>1385.9999999999923</v>
      </c>
      <c r="IQ29" s="25">
        <v>3332</v>
      </c>
      <c r="IR29" s="25">
        <v>0</v>
      </c>
      <c r="IS29" s="26">
        <v>0</v>
      </c>
      <c r="IT29" s="26">
        <v>0</v>
      </c>
      <c r="IU29" s="26">
        <v>0</v>
      </c>
      <c r="IV29" s="9">
        <v>1</v>
      </c>
      <c r="IW29" s="38">
        <f t="shared" si="4"/>
        <v>4718.9999999999927</v>
      </c>
    </row>
    <row r="30" spans="1:257" ht="30" customHeight="1" x14ac:dyDescent="0.25">
      <c r="A30" s="112" t="b">
        <v>1</v>
      </c>
      <c r="B30" s="113" t="b">
        <f>IFERROR(VLOOKUP(C30,'Bridge matrix'!$D$3:$E$727,2,FALSE)='symmetric IOT 245 2012'!D30,"FALSCH")</f>
        <v>1</v>
      </c>
      <c r="C30" s="108">
        <v>25</v>
      </c>
      <c r="D30" s="49" t="s">
        <v>583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0.72406135309898612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  <c r="CM30" s="48">
        <v>0</v>
      </c>
      <c r="CN30" s="48">
        <v>0</v>
      </c>
      <c r="CO30" s="48">
        <v>0</v>
      </c>
      <c r="CP30" s="48">
        <v>0</v>
      </c>
      <c r="CQ30" s="48">
        <v>0</v>
      </c>
      <c r="CR30" s="48">
        <v>0</v>
      </c>
      <c r="CS30" s="48">
        <v>0</v>
      </c>
      <c r="CT30" s="48">
        <v>0</v>
      </c>
      <c r="CU30" s="48">
        <v>0</v>
      </c>
      <c r="CV30" s="48">
        <v>0</v>
      </c>
      <c r="CW30" s="48">
        <v>0</v>
      </c>
      <c r="CX30" s="48">
        <v>0</v>
      </c>
      <c r="CY30" s="48">
        <v>0</v>
      </c>
      <c r="CZ30" s="48">
        <v>0</v>
      </c>
      <c r="DA30" s="48">
        <v>0</v>
      </c>
      <c r="DB30" s="48">
        <v>0</v>
      </c>
      <c r="DC30" s="48">
        <v>0</v>
      </c>
      <c r="DD30" s="48">
        <v>0</v>
      </c>
      <c r="DE30" s="48">
        <v>0</v>
      </c>
      <c r="DF30" s="48">
        <v>0</v>
      </c>
      <c r="DG30" s="48">
        <v>0</v>
      </c>
      <c r="DH30" s="48">
        <v>0</v>
      </c>
      <c r="DI30" s="48">
        <v>0</v>
      </c>
      <c r="DJ30" s="48">
        <v>0</v>
      </c>
      <c r="DK30" s="48">
        <v>0</v>
      </c>
      <c r="DL30" s="48">
        <v>0</v>
      </c>
      <c r="DM30" s="48">
        <v>0</v>
      </c>
      <c r="DN30" s="48">
        <v>0</v>
      </c>
      <c r="DO30" s="48">
        <v>0</v>
      </c>
      <c r="DP30" s="48">
        <v>0</v>
      </c>
      <c r="DQ30" s="48">
        <v>0</v>
      </c>
      <c r="DR30" s="48">
        <v>0</v>
      </c>
      <c r="DS30" s="48">
        <v>0</v>
      </c>
      <c r="DT30" s="48">
        <v>0</v>
      </c>
      <c r="DU30" s="48">
        <v>0</v>
      </c>
      <c r="DV30" s="48">
        <v>0</v>
      </c>
      <c r="DW30" s="48">
        <v>0</v>
      </c>
      <c r="DX30" s="48">
        <v>0</v>
      </c>
      <c r="DY30" s="48">
        <v>0</v>
      </c>
      <c r="DZ30" s="48">
        <v>0</v>
      </c>
      <c r="EA30" s="48">
        <v>0</v>
      </c>
      <c r="EB30" s="48">
        <v>0</v>
      </c>
      <c r="EC30" s="48">
        <v>0</v>
      </c>
      <c r="ED30" s="48">
        <v>0</v>
      </c>
      <c r="EE30" s="48">
        <v>0</v>
      </c>
      <c r="EF30" s="48">
        <v>0</v>
      </c>
      <c r="EG30" s="48">
        <v>0</v>
      </c>
      <c r="EH30" s="48">
        <v>0</v>
      </c>
      <c r="EI30" s="48">
        <v>0</v>
      </c>
      <c r="EJ30" s="48">
        <v>0</v>
      </c>
      <c r="EK30" s="48">
        <v>0</v>
      </c>
      <c r="EL30" s="48">
        <v>0</v>
      </c>
      <c r="EM30" s="48">
        <v>0</v>
      </c>
      <c r="EN30" s="48">
        <v>0</v>
      </c>
      <c r="EO30" s="48">
        <v>0</v>
      </c>
      <c r="EP30" s="48">
        <v>0</v>
      </c>
      <c r="EQ30" s="48">
        <v>0</v>
      </c>
      <c r="ER30" s="48">
        <v>0</v>
      </c>
      <c r="ES30" s="48">
        <v>0</v>
      </c>
      <c r="ET30" s="48">
        <v>0</v>
      </c>
      <c r="EU30" s="48">
        <v>0</v>
      </c>
      <c r="EV30" s="48">
        <v>0</v>
      </c>
      <c r="EW30" s="48">
        <v>0</v>
      </c>
      <c r="EX30" s="48">
        <v>0</v>
      </c>
      <c r="EY30" s="48">
        <v>0</v>
      </c>
      <c r="EZ30" s="48">
        <v>0</v>
      </c>
      <c r="FA30" s="48">
        <v>0</v>
      </c>
      <c r="FB30" s="48">
        <v>0</v>
      </c>
      <c r="FC30" s="48">
        <v>0</v>
      </c>
      <c r="FD30" s="48">
        <v>0</v>
      </c>
      <c r="FE30" s="48">
        <v>0</v>
      </c>
      <c r="FF30" s="48">
        <v>0</v>
      </c>
      <c r="FG30" s="48">
        <v>0</v>
      </c>
      <c r="FH30" s="48">
        <v>0</v>
      </c>
      <c r="FI30" s="48">
        <v>0</v>
      </c>
      <c r="FJ30" s="48">
        <v>0</v>
      </c>
      <c r="FK30" s="48">
        <v>0</v>
      </c>
      <c r="FL30" s="48">
        <v>0</v>
      </c>
      <c r="FM30" s="48">
        <v>0</v>
      </c>
      <c r="FN30" s="48">
        <v>0</v>
      </c>
      <c r="FO30" s="48">
        <v>0</v>
      </c>
      <c r="FP30" s="48">
        <v>0</v>
      </c>
      <c r="FQ30" s="48">
        <v>0</v>
      </c>
      <c r="FR30" s="48">
        <v>0</v>
      </c>
      <c r="FS30" s="48">
        <v>0</v>
      </c>
      <c r="FT30" s="48">
        <v>0</v>
      </c>
      <c r="FU30" s="48">
        <v>0</v>
      </c>
      <c r="FV30" s="48">
        <v>0</v>
      </c>
      <c r="FW30" s="48">
        <v>0</v>
      </c>
      <c r="FX30" s="48">
        <v>0</v>
      </c>
      <c r="FY30" s="48">
        <v>0</v>
      </c>
      <c r="FZ30" s="48">
        <v>0</v>
      </c>
      <c r="GA30" s="48">
        <v>0</v>
      </c>
      <c r="GB30" s="48">
        <v>0</v>
      </c>
      <c r="GC30" s="48">
        <v>0</v>
      </c>
      <c r="GD30" s="48">
        <v>0</v>
      </c>
      <c r="GE30" s="48">
        <v>6.9150159847836834</v>
      </c>
      <c r="GF30" s="48">
        <v>45.310603100922457</v>
      </c>
      <c r="GG30" s="48">
        <v>0</v>
      </c>
      <c r="GH30" s="48">
        <v>0</v>
      </c>
      <c r="GI30" s="48">
        <v>0</v>
      </c>
      <c r="GJ30" s="48">
        <v>0</v>
      </c>
      <c r="GK30" s="48">
        <v>0</v>
      </c>
      <c r="GL30" s="48">
        <v>0</v>
      </c>
      <c r="GM30" s="48">
        <v>0</v>
      </c>
      <c r="GN30" s="48">
        <v>0</v>
      </c>
      <c r="GO30" s="48">
        <v>0</v>
      </c>
      <c r="GP30" s="48">
        <v>0</v>
      </c>
      <c r="GQ30" s="48">
        <v>0</v>
      </c>
      <c r="GR30" s="48">
        <v>0</v>
      </c>
      <c r="GS30" s="48">
        <v>0</v>
      </c>
      <c r="GT30" s="48">
        <v>0</v>
      </c>
      <c r="GU30" s="48">
        <v>0</v>
      </c>
      <c r="GV30" s="48">
        <v>0</v>
      </c>
      <c r="GW30" s="48">
        <v>0</v>
      </c>
      <c r="GX30" s="48">
        <v>0</v>
      </c>
      <c r="GY30" s="48">
        <v>0</v>
      </c>
      <c r="GZ30" s="48">
        <v>0</v>
      </c>
      <c r="HA30" s="48">
        <v>0</v>
      </c>
      <c r="HB30" s="48">
        <v>0</v>
      </c>
      <c r="HC30" s="48">
        <v>0</v>
      </c>
      <c r="HD30" s="48">
        <v>0</v>
      </c>
      <c r="HE30" s="48">
        <v>0</v>
      </c>
      <c r="HF30" s="48">
        <v>0</v>
      </c>
      <c r="HG30" s="48">
        <v>0</v>
      </c>
      <c r="HH30" s="48">
        <v>0</v>
      </c>
      <c r="HI30" s="48">
        <v>0</v>
      </c>
      <c r="HJ30" s="48">
        <v>0</v>
      </c>
      <c r="HK30" s="48">
        <v>0</v>
      </c>
      <c r="HL30" s="48">
        <v>0</v>
      </c>
      <c r="HM30" s="48">
        <v>0</v>
      </c>
      <c r="HN30" s="48">
        <v>0</v>
      </c>
      <c r="HO30" s="48">
        <v>0</v>
      </c>
      <c r="HP30" s="48">
        <v>0</v>
      </c>
      <c r="HQ30" s="48">
        <v>0</v>
      </c>
      <c r="HR30" s="48">
        <v>0</v>
      </c>
      <c r="HS30" s="48">
        <v>0</v>
      </c>
      <c r="HT30" s="48">
        <v>0</v>
      </c>
      <c r="HU30" s="48">
        <v>0</v>
      </c>
      <c r="HV30" s="48">
        <v>0</v>
      </c>
      <c r="HW30" s="48">
        <v>0</v>
      </c>
      <c r="HX30" s="48">
        <v>0.72038773920512245</v>
      </c>
      <c r="HY30" s="48">
        <v>0.72029529841685391</v>
      </c>
      <c r="HZ30" s="48">
        <v>1.4400259847127515</v>
      </c>
      <c r="IA30" s="48">
        <v>0.71965777296684275</v>
      </c>
      <c r="IB30" s="48">
        <v>0</v>
      </c>
      <c r="IC30" s="48">
        <v>0</v>
      </c>
      <c r="ID30" s="48">
        <v>0</v>
      </c>
      <c r="IE30" s="48">
        <v>0</v>
      </c>
      <c r="IF30" s="48">
        <v>0</v>
      </c>
      <c r="IG30" s="48">
        <v>24.206568803952365</v>
      </c>
      <c r="IH30" s="48">
        <v>1.5312521066947693</v>
      </c>
      <c r="II30" s="48">
        <v>0.71213185524578659</v>
      </c>
      <c r="IJ30" s="48">
        <v>0</v>
      </c>
      <c r="IK30" s="48">
        <v>0</v>
      </c>
      <c r="IL30" s="48">
        <v>0</v>
      </c>
      <c r="IM30" s="48">
        <v>0</v>
      </c>
      <c r="IN30" s="48">
        <v>0</v>
      </c>
      <c r="IO30" s="48">
        <v>0</v>
      </c>
      <c r="IP30" s="23">
        <v>82.999999999999616</v>
      </c>
      <c r="IQ30" s="25">
        <v>1102</v>
      </c>
      <c r="IR30" s="25">
        <v>0</v>
      </c>
      <c r="IS30" s="26">
        <v>0</v>
      </c>
      <c r="IT30" s="26">
        <v>0</v>
      </c>
      <c r="IU30" s="26">
        <v>0</v>
      </c>
      <c r="IV30" s="9">
        <v>10</v>
      </c>
      <c r="IW30" s="38">
        <f t="shared" si="4"/>
        <v>1194.9999999999995</v>
      </c>
    </row>
    <row r="31" spans="1:257" ht="30" customHeight="1" x14ac:dyDescent="0.25">
      <c r="A31" s="112" t="b">
        <v>1</v>
      </c>
      <c r="B31" s="113" t="b">
        <f>IFERROR(VLOOKUP(C31,'Bridge matrix'!$D$3:$E$727,2,FALSE)='symmetric IOT 245 2012'!D31,"FALSCH")</f>
        <v>1</v>
      </c>
      <c r="C31" s="108">
        <v>26</v>
      </c>
      <c r="D31" s="49" t="s">
        <v>1348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23.680277028134689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  <c r="CM31" s="48">
        <v>0</v>
      </c>
      <c r="CN31" s="48">
        <v>0</v>
      </c>
      <c r="CO31" s="48">
        <v>0</v>
      </c>
      <c r="CP31" s="48">
        <v>0</v>
      </c>
      <c r="CQ31" s="48">
        <v>0</v>
      </c>
      <c r="CR31" s="48">
        <v>0</v>
      </c>
      <c r="CS31" s="48">
        <v>0</v>
      </c>
      <c r="CT31" s="48">
        <v>0</v>
      </c>
      <c r="CU31" s="48">
        <v>0</v>
      </c>
      <c r="CV31" s="48">
        <v>0</v>
      </c>
      <c r="CW31" s="48">
        <v>0</v>
      </c>
      <c r="CX31" s="48">
        <v>0</v>
      </c>
      <c r="CY31" s="48">
        <v>0</v>
      </c>
      <c r="CZ31" s="48">
        <v>0</v>
      </c>
      <c r="DA31" s="48">
        <v>0</v>
      </c>
      <c r="DB31" s="48">
        <v>0</v>
      </c>
      <c r="DC31" s="48">
        <v>0</v>
      </c>
      <c r="DD31" s="48">
        <v>0</v>
      </c>
      <c r="DE31" s="48">
        <v>0</v>
      </c>
      <c r="DF31" s="48">
        <v>0</v>
      </c>
      <c r="DG31" s="48">
        <v>0</v>
      </c>
      <c r="DH31" s="48">
        <v>0</v>
      </c>
      <c r="DI31" s="48">
        <v>0</v>
      </c>
      <c r="DJ31" s="48">
        <v>0</v>
      </c>
      <c r="DK31" s="48">
        <v>0</v>
      </c>
      <c r="DL31" s="48">
        <v>0</v>
      </c>
      <c r="DM31" s="48">
        <v>0</v>
      </c>
      <c r="DN31" s="48">
        <v>0</v>
      </c>
      <c r="DO31" s="48">
        <v>0</v>
      </c>
      <c r="DP31" s="48">
        <v>0</v>
      </c>
      <c r="DQ31" s="48">
        <v>0</v>
      </c>
      <c r="DR31" s="48">
        <v>0</v>
      </c>
      <c r="DS31" s="48">
        <v>0</v>
      </c>
      <c r="DT31" s="48">
        <v>0</v>
      </c>
      <c r="DU31" s="48">
        <v>0</v>
      </c>
      <c r="DV31" s="48">
        <v>0</v>
      </c>
      <c r="DW31" s="48">
        <v>0</v>
      </c>
      <c r="DX31" s="48">
        <v>0</v>
      </c>
      <c r="DY31" s="48">
        <v>0</v>
      </c>
      <c r="DZ31" s="48">
        <v>0</v>
      </c>
      <c r="EA31" s="48">
        <v>0</v>
      </c>
      <c r="EB31" s="48">
        <v>0</v>
      </c>
      <c r="EC31" s="48">
        <v>0</v>
      </c>
      <c r="ED31" s="48">
        <v>0</v>
      </c>
      <c r="EE31" s="48">
        <v>0</v>
      </c>
      <c r="EF31" s="48">
        <v>0</v>
      </c>
      <c r="EG31" s="48">
        <v>0</v>
      </c>
      <c r="EH31" s="48">
        <v>0</v>
      </c>
      <c r="EI31" s="48">
        <v>0</v>
      </c>
      <c r="EJ31" s="48">
        <v>0</v>
      </c>
      <c r="EK31" s="48">
        <v>0</v>
      </c>
      <c r="EL31" s="48">
        <v>0</v>
      </c>
      <c r="EM31" s="48">
        <v>0</v>
      </c>
      <c r="EN31" s="48">
        <v>0</v>
      </c>
      <c r="EO31" s="48">
        <v>0</v>
      </c>
      <c r="EP31" s="48">
        <v>0</v>
      </c>
      <c r="EQ31" s="48">
        <v>0</v>
      </c>
      <c r="ER31" s="48">
        <v>0</v>
      </c>
      <c r="ES31" s="48">
        <v>0</v>
      </c>
      <c r="ET31" s="48">
        <v>0</v>
      </c>
      <c r="EU31" s="48">
        <v>0</v>
      </c>
      <c r="EV31" s="48">
        <v>0</v>
      </c>
      <c r="EW31" s="48">
        <v>0</v>
      </c>
      <c r="EX31" s="48">
        <v>0</v>
      </c>
      <c r="EY31" s="48">
        <v>0</v>
      </c>
      <c r="EZ31" s="48">
        <v>0</v>
      </c>
      <c r="FA31" s="48">
        <v>0</v>
      </c>
      <c r="FB31" s="48">
        <v>0</v>
      </c>
      <c r="FC31" s="48">
        <v>0</v>
      </c>
      <c r="FD31" s="48">
        <v>0</v>
      </c>
      <c r="FE31" s="48">
        <v>0</v>
      </c>
      <c r="FF31" s="48">
        <v>0</v>
      </c>
      <c r="FG31" s="48">
        <v>0</v>
      </c>
      <c r="FH31" s="48">
        <v>0</v>
      </c>
      <c r="FI31" s="48">
        <v>0</v>
      </c>
      <c r="FJ31" s="48">
        <v>0</v>
      </c>
      <c r="FK31" s="48">
        <v>0</v>
      </c>
      <c r="FL31" s="48">
        <v>0</v>
      </c>
      <c r="FM31" s="48">
        <v>0</v>
      </c>
      <c r="FN31" s="48">
        <v>0</v>
      </c>
      <c r="FO31" s="48">
        <v>0</v>
      </c>
      <c r="FP31" s="48">
        <v>0</v>
      </c>
      <c r="FQ31" s="48">
        <v>0</v>
      </c>
      <c r="FR31" s="48">
        <v>0</v>
      </c>
      <c r="FS31" s="48">
        <v>0</v>
      </c>
      <c r="FT31" s="48">
        <v>0</v>
      </c>
      <c r="FU31" s="48">
        <v>0</v>
      </c>
      <c r="FV31" s="48">
        <v>0</v>
      </c>
      <c r="FW31" s="48">
        <v>0</v>
      </c>
      <c r="FX31" s="48">
        <v>0</v>
      </c>
      <c r="FY31" s="48">
        <v>0</v>
      </c>
      <c r="FZ31" s="48">
        <v>0</v>
      </c>
      <c r="GA31" s="48">
        <v>0</v>
      </c>
      <c r="GB31" s="48">
        <v>0</v>
      </c>
      <c r="GC31" s="48">
        <v>0</v>
      </c>
      <c r="GD31" s="48">
        <v>0</v>
      </c>
      <c r="GE31" s="48">
        <v>118.44710160729501</v>
      </c>
      <c r="GF31" s="48">
        <v>1107.3217790595743</v>
      </c>
      <c r="GG31" s="48">
        <v>0</v>
      </c>
      <c r="GH31" s="48">
        <v>0</v>
      </c>
      <c r="GI31" s="48">
        <v>0</v>
      </c>
      <c r="GJ31" s="48">
        <v>0</v>
      </c>
      <c r="GK31" s="48">
        <v>0</v>
      </c>
      <c r="GL31" s="48">
        <v>0</v>
      </c>
      <c r="GM31" s="48">
        <v>0</v>
      </c>
      <c r="GN31" s="48">
        <v>0</v>
      </c>
      <c r="GO31" s="48">
        <v>0</v>
      </c>
      <c r="GP31" s="48">
        <v>0</v>
      </c>
      <c r="GQ31" s="48">
        <v>0</v>
      </c>
      <c r="GR31" s="48">
        <v>0</v>
      </c>
      <c r="GS31" s="48">
        <v>0</v>
      </c>
      <c r="GT31" s="48">
        <v>0</v>
      </c>
      <c r="GU31" s="48">
        <v>0</v>
      </c>
      <c r="GV31" s="48">
        <v>0</v>
      </c>
      <c r="GW31" s="48">
        <v>0</v>
      </c>
      <c r="GX31" s="48">
        <v>0</v>
      </c>
      <c r="GY31" s="48">
        <v>0</v>
      </c>
      <c r="GZ31" s="48">
        <v>0</v>
      </c>
      <c r="HA31" s="48">
        <v>0</v>
      </c>
      <c r="HB31" s="48">
        <v>0</v>
      </c>
      <c r="HC31" s="48">
        <v>0</v>
      </c>
      <c r="HD31" s="48">
        <v>0</v>
      </c>
      <c r="HE31" s="48">
        <v>0</v>
      </c>
      <c r="HF31" s="48">
        <v>0</v>
      </c>
      <c r="HG31" s="48">
        <v>0</v>
      </c>
      <c r="HH31" s="48">
        <v>0</v>
      </c>
      <c r="HI31" s="48">
        <v>0</v>
      </c>
      <c r="HJ31" s="48">
        <v>0</v>
      </c>
      <c r="HK31" s="48">
        <v>0</v>
      </c>
      <c r="HL31" s="48">
        <v>0</v>
      </c>
      <c r="HM31" s="48">
        <v>0</v>
      </c>
      <c r="HN31" s="48">
        <v>0</v>
      </c>
      <c r="HO31" s="48">
        <v>0</v>
      </c>
      <c r="HP31" s="48">
        <v>0</v>
      </c>
      <c r="HQ31" s="48">
        <v>0</v>
      </c>
      <c r="HR31" s="48">
        <v>0</v>
      </c>
      <c r="HS31" s="48">
        <v>0</v>
      </c>
      <c r="HT31" s="48">
        <v>0</v>
      </c>
      <c r="HU31" s="48">
        <v>0</v>
      </c>
      <c r="HV31" s="48">
        <v>2.9978104211704353</v>
      </c>
      <c r="HW31" s="48">
        <v>0</v>
      </c>
      <c r="HX31" s="48">
        <v>41.559339376194423</v>
      </c>
      <c r="HY31" s="48">
        <v>36.065741443016485</v>
      </c>
      <c r="HZ31" s="48">
        <v>53.293678672358595</v>
      </c>
      <c r="IA31" s="48">
        <v>14.883534369203831</v>
      </c>
      <c r="IB31" s="48">
        <v>0.78305626946878271</v>
      </c>
      <c r="IC31" s="48">
        <v>0</v>
      </c>
      <c r="ID31" s="48">
        <v>0</v>
      </c>
      <c r="IE31" s="48">
        <v>0</v>
      </c>
      <c r="IF31" s="48">
        <v>0</v>
      </c>
      <c r="IG31" s="48">
        <v>23.248879415658049</v>
      </c>
      <c r="IH31" s="48">
        <v>1.6667603184388826</v>
      </c>
      <c r="II31" s="48">
        <v>0.77515199008084801</v>
      </c>
      <c r="IJ31" s="48">
        <v>13.276890029398063</v>
      </c>
      <c r="IK31" s="48">
        <v>0</v>
      </c>
      <c r="IL31" s="48">
        <v>0</v>
      </c>
      <c r="IM31" s="48">
        <v>0</v>
      </c>
      <c r="IN31" s="48">
        <v>0</v>
      </c>
      <c r="IO31" s="48">
        <v>0</v>
      </c>
      <c r="IP31" s="23">
        <v>1437.9999999999923</v>
      </c>
      <c r="IQ31" s="25">
        <v>13416</v>
      </c>
      <c r="IR31" s="25">
        <v>0</v>
      </c>
      <c r="IS31" s="26">
        <v>0</v>
      </c>
      <c r="IT31" s="26">
        <v>0</v>
      </c>
      <c r="IU31" s="26">
        <v>0</v>
      </c>
      <c r="IV31" s="9">
        <v>2812</v>
      </c>
      <c r="IW31" s="38">
        <f t="shared" si="4"/>
        <v>17665.999999999993</v>
      </c>
    </row>
    <row r="32" spans="1:257" ht="30" customHeight="1" x14ac:dyDescent="0.25">
      <c r="A32" s="112" t="b">
        <v>1</v>
      </c>
      <c r="B32" s="113" t="b">
        <f>IFERROR(VLOOKUP(C32,'Bridge matrix'!$D$3:$E$727,2,FALSE)='symmetric IOT 245 2012'!D32,"FALSCH")</f>
        <v>1</v>
      </c>
      <c r="C32" s="108">
        <v>27</v>
      </c>
      <c r="D32" s="49" t="s">
        <v>1349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44.386569636944216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5.2954751348211267E-2</v>
      </c>
      <c r="CJ32" s="48">
        <v>0</v>
      </c>
      <c r="CK32" s="48">
        <v>0</v>
      </c>
      <c r="CL32" s="48">
        <v>0</v>
      </c>
      <c r="CM32" s="48">
        <v>1.0489419501178599E-3</v>
      </c>
      <c r="CN32" s="48">
        <v>8.6003669045071416E-6</v>
      </c>
      <c r="CO32" s="48">
        <v>0</v>
      </c>
      <c r="CP32" s="48">
        <v>0</v>
      </c>
      <c r="CQ32" s="48">
        <v>0</v>
      </c>
      <c r="CR32" s="48">
        <v>0</v>
      </c>
      <c r="CS32" s="48">
        <v>0</v>
      </c>
      <c r="CT32" s="48">
        <v>1.1512754452721251E-8</v>
      </c>
      <c r="CU32" s="48">
        <v>2.5377936246885117E-2</v>
      </c>
      <c r="CV32" s="48">
        <v>5.9484722268467925E-2</v>
      </c>
      <c r="CW32" s="48">
        <v>0</v>
      </c>
      <c r="CX32" s="48">
        <v>1.0715869491469864E-9</v>
      </c>
      <c r="CY32" s="48">
        <v>0</v>
      </c>
      <c r="CZ32" s="48">
        <v>0</v>
      </c>
      <c r="DA32" s="48">
        <v>8.7081247338750248E-4</v>
      </c>
      <c r="DB32" s="48">
        <v>0</v>
      </c>
      <c r="DC32" s="48">
        <v>5.1559717478706825E-9</v>
      </c>
      <c r="DD32" s="48">
        <v>0</v>
      </c>
      <c r="DE32" s="48">
        <v>0</v>
      </c>
      <c r="DF32" s="48">
        <v>0</v>
      </c>
      <c r="DG32" s="48">
        <v>0</v>
      </c>
      <c r="DH32" s="48">
        <v>0</v>
      </c>
      <c r="DI32" s="48">
        <v>0</v>
      </c>
      <c r="DJ32" s="48">
        <v>0</v>
      </c>
      <c r="DK32" s="48">
        <v>0</v>
      </c>
      <c r="DL32" s="48">
        <v>944.4662533228925</v>
      </c>
      <c r="DM32" s="48">
        <v>0</v>
      </c>
      <c r="DN32" s="48">
        <v>0</v>
      </c>
      <c r="DO32" s="48">
        <v>0</v>
      </c>
      <c r="DP32" s="48">
        <v>0</v>
      </c>
      <c r="DQ32" s="48">
        <v>0</v>
      </c>
      <c r="DR32" s="48">
        <v>5.5435349790507764E-9</v>
      </c>
      <c r="DS32" s="48">
        <v>0</v>
      </c>
      <c r="DT32" s="48">
        <v>0</v>
      </c>
      <c r="DU32" s="48">
        <v>0</v>
      </c>
      <c r="DV32" s="48">
        <v>0</v>
      </c>
      <c r="DW32" s="48">
        <v>0</v>
      </c>
      <c r="DX32" s="48">
        <v>0</v>
      </c>
      <c r="DY32" s="48">
        <v>2.1162591789348792E-14</v>
      </c>
      <c r="DZ32" s="48">
        <v>0</v>
      </c>
      <c r="EA32" s="48">
        <v>0</v>
      </c>
      <c r="EB32" s="48">
        <v>5.8908699867533436E-8</v>
      </c>
      <c r="EC32" s="48">
        <v>1.7037754247005595E-9</v>
      </c>
      <c r="ED32" s="48">
        <v>0</v>
      </c>
      <c r="EE32" s="48">
        <v>0</v>
      </c>
      <c r="EF32" s="48">
        <v>0</v>
      </c>
      <c r="EG32" s="48">
        <v>0</v>
      </c>
      <c r="EH32" s="48">
        <v>0</v>
      </c>
      <c r="EI32" s="48">
        <v>6.2561939245346876E-5</v>
      </c>
      <c r="EJ32" s="48">
        <v>1.1625277010020598E-3</v>
      </c>
      <c r="EK32" s="48">
        <v>0</v>
      </c>
      <c r="EL32" s="48">
        <v>0</v>
      </c>
      <c r="EM32" s="48">
        <v>0</v>
      </c>
      <c r="EN32" s="48">
        <v>0</v>
      </c>
      <c r="EO32" s="48">
        <v>0</v>
      </c>
      <c r="EP32" s="48">
        <v>0</v>
      </c>
      <c r="EQ32" s="48">
        <v>0</v>
      </c>
      <c r="ER32" s="48">
        <v>1.4702038419671531E-9</v>
      </c>
      <c r="ES32" s="48">
        <v>2.570879680705992E-11</v>
      </c>
      <c r="ET32" s="48">
        <v>0</v>
      </c>
      <c r="EU32" s="48">
        <v>0</v>
      </c>
      <c r="EV32" s="48">
        <v>0</v>
      </c>
      <c r="EW32" s="48">
        <v>1.8301530835775239E-9</v>
      </c>
      <c r="EX32" s="48">
        <v>0</v>
      </c>
      <c r="EY32" s="48">
        <v>4.444627486445573E-7</v>
      </c>
      <c r="EZ32" s="48">
        <v>0</v>
      </c>
      <c r="FA32" s="48">
        <v>3.7253263850036796E-13</v>
      </c>
      <c r="FB32" s="48">
        <v>1.02132244792511E-14</v>
      </c>
      <c r="FC32" s="48">
        <v>0</v>
      </c>
      <c r="FD32" s="48">
        <v>0</v>
      </c>
      <c r="FE32" s="48">
        <v>0</v>
      </c>
      <c r="FF32" s="48">
        <v>0</v>
      </c>
      <c r="FG32" s="48">
        <v>0</v>
      </c>
      <c r="FH32" s="48">
        <v>0</v>
      </c>
      <c r="FI32" s="48">
        <v>0</v>
      </c>
      <c r="FJ32" s="48">
        <v>0</v>
      </c>
      <c r="FK32" s="48">
        <v>0</v>
      </c>
      <c r="FL32" s="48">
        <v>0</v>
      </c>
      <c r="FM32" s="48">
        <v>1.9479707715792369E-9</v>
      </c>
      <c r="FN32" s="48">
        <v>0</v>
      </c>
      <c r="FO32" s="48">
        <v>0</v>
      </c>
      <c r="FP32" s="48">
        <v>8.290371974062242E-8</v>
      </c>
      <c r="FQ32" s="48">
        <v>0</v>
      </c>
      <c r="FR32" s="48">
        <v>0</v>
      </c>
      <c r="FS32" s="48">
        <v>0</v>
      </c>
      <c r="FT32" s="48">
        <v>0</v>
      </c>
      <c r="FU32" s="48">
        <v>0</v>
      </c>
      <c r="FV32" s="48">
        <v>6.918634081373592E-14</v>
      </c>
      <c r="FW32" s="48">
        <v>0</v>
      </c>
      <c r="FX32" s="48">
        <v>0</v>
      </c>
      <c r="FY32" s="48">
        <v>0</v>
      </c>
      <c r="FZ32" s="48">
        <v>0</v>
      </c>
      <c r="GA32" s="48">
        <v>0</v>
      </c>
      <c r="GB32" s="48">
        <v>0</v>
      </c>
      <c r="GC32" s="48">
        <v>0</v>
      </c>
      <c r="GD32" s="48">
        <v>0</v>
      </c>
      <c r="GE32" s="48">
        <v>1.987951766285887</v>
      </c>
      <c r="GF32" s="48">
        <v>1090.6165597352704</v>
      </c>
      <c r="GG32" s="48">
        <v>0</v>
      </c>
      <c r="GH32" s="48">
        <v>0</v>
      </c>
      <c r="GI32" s="48">
        <v>0</v>
      </c>
      <c r="GJ32" s="48">
        <v>0</v>
      </c>
      <c r="GK32" s="48">
        <v>0</v>
      </c>
      <c r="GL32" s="48">
        <v>0</v>
      </c>
      <c r="GM32" s="48">
        <v>0</v>
      </c>
      <c r="GN32" s="48">
        <v>0</v>
      </c>
      <c r="GO32" s="48">
        <v>0</v>
      </c>
      <c r="GP32" s="48">
        <v>0</v>
      </c>
      <c r="GQ32" s="48">
        <v>0</v>
      </c>
      <c r="GR32" s="48">
        <v>0</v>
      </c>
      <c r="GS32" s="48">
        <v>0</v>
      </c>
      <c r="GT32" s="48">
        <v>0</v>
      </c>
      <c r="GU32" s="48">
        <v>0</v>
      </c>
      <c r="GV32" s="48">
        <v>0</v>
      </c>
      <c r="GW32" s="48">
        <v>0</v>
      </c>
      <c r="GX32" s="48">
        <v>0</v>
      </c>
      <c r="GY32" s="48">
        <v>0</v>
      </c>
      <c r="GZ32" s="48">
        <v>0</v>
      </c>
      <c r="HA32" s="48">
        <v>0</v>
      </c>
      <c r="HB32" s="48">
        <v>0</v>
      </c>
      <c r="HC32" s="48">
        <v>0</v>
      </c>
      <c r="HD32" s="48">
        <v>0</v>
      </c>
      <c r="HE32" s="48">
        <v>0</v>
      </c>
      <c r="HF32" s="48">
        <v>0</v>
      </c>
      <c r="HG32" s="48">
        <v>0</v>
      </c>
      <c r="HH32" s="48">
        <v>0</v>
      </c>
      <c r="HI32" s="48">
        <v>0</v>
      </c>
      <c r="HJ32" s="48">
        <v>0</v>
      </c>
      <c r="HK32" s="48">
        <v>0</v>
      </c>
      <c r="HL32" s="48">
        <v>0</v>
      </c>
      <c r="HM32" s="48">
        <v>0</v>
      </c>
      <c r="HN32" s="48">
        <v>0</v>
      </c>
      <c r="HO32" s="48">
        <v>0</v>
      </c>
      <c r="HP32" s="48">
        <v>0</v>
      </c>
      <c r="HQ32" s="48">
        <v>0</v>
      </c>
      <c r="HR32" s="48">
        <v>0</v>
      </c>
      <c r="HS32" s="48">
        <v>0</v>
      </c>
      <c r="HT32" s="48">
        <v>0</v>
      </c>
      <c r="HU32" s="48">
        <v>0</v>
      </c>
      <c r="HV32" s="48">
        <v>9.2760379125920025</v>
      </c>
      <c r="HW32" s="48">
        <v>0</v>
      </c>
      <c r="HX32" s="48">
        <v>0</v>
      </c>
      <c r="HY32" s="48">
        <v>0</v>
      </c>
      <c r="HZ32" s="48">
        <v>0</v>
      </c>
      <c r="IA32" s="48">
        <v>0</v>
      </c>
      <c r="IB32" s="48">
        <v>0</v>
      </c>
      <c r="IC32" s="48">
        <v>0</v>
      </c>
      <c r="ID32" s="48">
        <v>0</v>
      </c>
      <c r="IE32" s="48">
        <v>0</v>
      </c>
      <c r="IF32" s="48">
        <v>0</v>
      </c>
      <c r="IG32" s="48">
        <v>0</v>
      </c>
      <c r="IH32" s="48">
        <v>0</v>
      </c>
      <c r="II32" s="48">
        <v>0</v>
      </c>
      <c r="IJ32" s="48">
        <v>101.12565185623535</v>
      </c>
      <c r="IK32" s="48">
        <v>4.2989342734295734E-6</v>
      </c>
      <c r="IL32" s="48">
        <v>0</v>
      </c>
      <c r="IM32" s="48">
        <v>0</v>
      </c>
      <c r="IN32" s="48">
        <v>0</v>
      </c>
      <c r="IO32" s="48">
        <v>0</v>
      </c>
      <c r="IP32" s="23">
        <v>2191.9999999999859</v>
      </c>
      <c r="IQ32" s="25">
        <v>24097</v>
      </c>
      <c r="IR32" s="25">
        <v>0</v>
      </c>
      <c r="IS32" s="26">
        <v>0</v>
      </c>
      <c r="IT32" s="26">
        <v>0</v>
      </c>
      <c r="IU32" s="26">
        <v>0</v>
      </c>
      <c r="IV32" s="9">
        <v>115</v>
      </c>
      <c r="IW32" s="38">
        <f t="shared" si="4"/>
        <v>26403.999999999985</v>
      </c>
    </row>
    <row r="33" spans="1:257" ht="30" customHeight="1" x14ac:dyDescent="0.25">
      <c r="A33" s="112" t="b">
        <v>1</v>
      </c>
      <c r="B33" s="113" t="b">
        <f>IFERROR(VLOOKUP(C33,'Bridge matrix'!$D$3:$E$727,2,FALSE)='symmetric IOT 245 2012'!D33,"FALSCH")</f>
        <v>1</v>
      </c>
      <c r="C33" s="108">
        <v>28</v>
      </c>
      <c r="D33" s="49" t="s">
        <v>1350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16.945703673643095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3.4504053555315863E-2</v>
      </c>
      <c r="CJ33" s="48">
        <v>0</v>
      </c>
      <c r="CK33" s="48">
        <v>0</v>
      </c>
      <c r="CL33" s="48">
        <v>0</v>
      </c>
      <c r="CM33" s="48">
        <v>6.8346556827910809E-4</v>
      </c>
      <c r="CN33" s="48">
        <v>5.6037940451684146E-6</v>
      </c>
      <c r="CO33" s="48">
        <v>0</v>
      </c>
      <c r="CP33" s="48">
        <v>0</v>
      </c>
      <c r="CQ33" s="48">
        <v>0</v>
      </c>
      <c r="CR33" s="48">
        <v>0</v>
      </c>
      <c r="CS33" s="48">
        <v>0</v>
      </c>
      <c r="CT33" s="48">
        <v>7.5014363412606728E-9</v>
      </c>
      <c r="CU33" s="48">
        <v>1.6535658257141303E-2</v>
      </c>
      <c r="CV33" s="48">
        <v>3.8758826934679511E-2</v>
      </c>
      <c r="CW33" s="48">
        <v>0</v>
      </c>
      <c r="CX33" s="48">
        <v>6.9822050979744765E-10</v>
      </c>
      <c r="CY33" s="48">
        <v>0</v>
      </c>
      <c r="CZ33" s="48">
        <v>0</v>
      </c>
      <c r="DA33" s="48">
        <v>5.6740064778747006E-4</v>
      </c>
      <c r="DB33" s="48">
        <v>0</v>
      </c>
      <c r="DC33" s="48">
        <v>3.3595082743077611E-9</v>
      </c>
      <c r="DD33" s="48">
        <v>0</v>
      </c>
      <c r="DE33" s="48">
        <v>0</v>
      </c>
      <c r="DF33" s="48">
        <v>0</v>
      </c>
      <c r="DG33" s="48">
        <v>0</v>
      </c>
      <c r="DH33" s="48">
        <v>0</v>
      </c>
      <c r="DI33" s="48">
        <v>0</v>
      </c>
      <c r="DJ33" s="48">
        <v>0</v>
      </c>
      <c r="DK33" s="48">
        <v>0</v>
      </c>
      <c r="DL33" s="48">
        <v>615.39169491242205</v>
      </c>
      <c r="DM33" s="48">
        <v>0</v>
      </c>
      <c r="DN33" s="48">
        <v>0</v>
      </c>
      <c r="DO33" s="48">
        <v>0</v>
      </c>
      <c r="DP33" s="48">
        <v>0</v>
      </c>
      <c r="DQ33" s="48">
        <v>0</v>
      </c>
      <c r="DR33" s="48">
        <v>3.6120352363696984E-9</v>
      </c>
      <c r="DS33" s="48">
        <v>0</v>
      </c>
      <c r="DT33" s="48">
        <v>0</v>
      </c>
      <c r="DU33" s="48">
        <v>0</v>
      </c>
      <c r="DV33" s="48">
        <v>0</v>
      </c>
      <c r="DW33" s="48">
        <v>0</v>
      </c>
      <c r="DX33" s="48">
        <v>0</v>
      </c>
      <c r="DY33" s="48">
        <v>1.3789040300982255E-14</v>
      </c>
      <c r="DZ33" s="48">
        <v>0</v>
      </c>
      <c r="EA33" s="48">
        <v>0</v>
      </c>
      <c r="EB33" s="48">
        <v>3.8383504470407704E-8</v>
      </c>
      <c r="EC33" s="48">
        <v>1.1101394493109016E-9</v>
      </c>
      <c r="ED33" s="48">
        <v>0</v>
      </c>
      <c r="EE33" s="48">
        <v>0</v>
      </c>
      <c r="EF33" s="48">
        <v>0</v>
      </c>
      <c r="EG33" s="48">
        <v>0</v>
      </c>
      <c r="EH33" s="48">
        <v>0</v>
      </c>
      <c r="EI33" s="48">
        <v>4.0763868157012434E-5</v>
      </c>
      <c r="EJ33" s="48">
        <v>7.5747533570976388E-4</v>
      </c>
      <c r="EK33" s="48">
        <v>0</v>
      </c>
      <c r="EL33" s="48">
        <v>0</v>
      </c>
      <c r="EM33" s="48">
        <v>0</v>
      </c>
      <c r="EN33" s="48">
        <v>0</v>
      </c>
      <c r="EO33" s="48">
        <v>0</v>
      </c>
      <c r="EP33" s="48">
        <v>0</v>
      </c>
      <c r="EQ33" s="48">
        <v>0</v>
      </c>
      <c r="ER33" s="48">
        <v>9.5794977426854168E-10</v>
      </c>
      <c r="ES33" s="48">
        <v>1.6751239110548487E-11</v>
      </c>
      <c r="ET33" s="48">
        <v>0</v>
      </c>
      <c r="EU33" s="48">
        <v>0</v>
      </c>
      <c r="EV33" s="48">
        <v>0</v>
      </c>
      <c r="EW33" s="48">
        <v>1.1924841190349256E-9</v>
      </c>
      <c r="EX33" s="48">
        <v>0</v>
      </c>
      <c r="EY33" s="48">
        <v>2.8960133117672888E-7</v>
      </c>
      <c r="EZ33" s="48">
        <v>0</v>
      </c>
      <c r="FA33" s="48">
        <v>2.4273338619602434E-13</v>
      </c>
      <c r="FB33" s="48">
        <v>6.6546935908980939E-15</v>
      </c>
      <c r="FC33" s="48">
        <v>0</v>
      </c>
      <c r="FD33" s="48">
        <v>0</v>
      </c>
      <c r="FE33" s="48">
        <v>0</v>
      </c>
      <c r="FF33" s="48">
        <v>0</v>
      </c>
      <c r="FG33" s="48">
        <v>0</v>
      </c>
      <c r="FH33" s="48">
        <v>0</v>
      </c>
      <c r="FI33" s="48">
        <v>0</v>
      </c>
      <c r="FJ33" s="48">
        <v>0</v>
      </c>
      <c r="FK33" s="48">
        <v>0</v>
      </c>
      <c r="FL33" s="48">
        <v>0</v>
      </c>
      <c r="FM33" s="48">
        <v>1.2692513158034156E-9</v>
      </c>
      <c r="FN33" s="48">
        <v>0</v>
      </c>
      <c r="FO33" s="48">
        <v>0</v>
      </c>
      <c r="FP33" s="48">
        <v>5.4018087386637512E-8</v>
      </c>
      <c r="FQ33" s="48">
        <v>0</v>
      </c>
      <c r="FR33" s="48">
        <v>0</v>
      </c>
      <c r="FS33" s="48">
        <v>0</v>
      </c>
      <c r="FT33" s="48">
        <v>0</v>
      </c>
      <c r="FU33" s="48">
        <v>0</v>
      </c>
      <c r="FV33" s="48">
        <v>4.5080170295504938E-14</v>
      </c>
      <c r="FW33" s="48">
        <v>0</v>
      </c>
      <c r="FX33" s="48">
        <v>0</v>
      </c>
      <c r="FY33" s="48">
        <v>0</v>
      </c>
      <c r="FZ33" s="48">
        <v>0</v>
      </c>
      <c r="GA33" s="48">
        <v>0</v>
      </c>
      <c r="GB33" s="48">
        <v>0</v>
      </c>
      <c r="GC33" s="48">
        <v>0</v>
      </c>
      <c r="GD33" s="48">
        <v>0</v>
      </c>
      <c r="GE33" s="48">
        <v>63.130541393758172</v>
      </c>
      <c r="GF33" s="48">
        <v>1130.5145977024652</v>
      </c>
      <c r="GG33" s="48">
        <v>0</v>
      </c>
      <c r="GH33" s="48">
        <v>0</v>
      </c>
      <c r="GI33" s="48">
        <v>0</v>
      </c>
      <c r="GJ33" s="48">
        <v>0</v>
      </c>
      <c r="GK33" s="48">
        <v>0</v>
      </c>
      <c r="GL33" s="48">
        <v>0</v>
      </c>
      <c r="GM33" s="48">
        <v>0</v>
      </c>
      <c r="GN33" s="48">
        <v>0</v>
      </c>
      <c r="GO33" s="48">
        <v>0</v>
      </c>
      <c r="GP33" s="48">
        <v>0</v>
      </c>
      <c r="GQ33" s="48">
        <v>0</v>
      </c>
      <c r="GR33" s="48">
        <v>0</v>
      </c>
      <c r="GS33" s="48">
        <v>0</v>
      </c>
      <c r="GT33" s="48">
        <v>0</v>
      </c>
      <c r="GU33" s="48">
        <v>0</v>
      </c>
      <c r="GV33" s="48">
        <v>0</v>
      </c>
      <c r="GW33" s="48">
        <v>0</v>
      </c>
      <c r="GX33" s="48">
        <v>0</v>
      </c>
      <c r="GY33" s="48">
        <v>0</v>
      </c>
      <c r="GZ33" s="48">
        <v>0</v>
      </c>
      <c r="HA33" s="48">
        <v>0</v>
      </c>
      <c r="HB33" s="48">
        <v>0</v>
      </c>
      <c r="HC33" s="48">
        <v>0</v>
      </c>
      <c r="HD33" s="48">
        <v>0</v>
      </c>
      <c r="HE33" s="48">
        <v>0</v>
      </c>
      <c r="HF33" s="48">
        <v>0</v>
      </c>
      <c r="HG33" s="48">
        <v>0</v>
      </c>
      <c r="HH33" s="48">
        <v>0</v>
      </c>
      <c r="HI33" s="48">
        <v>0</v>
      </c>
      <c r="HJ33" s="48">
        <v>0</v>
      </c>
      <c r="HK33" s="48">
        <v>0</v>
      </c>
      <c r="HL33" s="48">
        <v>0</v>
      </c>
      <c r="HM33" s="48">
        <v>0</v>
      </c>
      <c r="HN33" s="48">
        <v>0</v>
      </c>
      <c r="HO33" s="48">
        <v>0</v>
      </c>
      <c r="HP33" s="48">
        <v>0</v>
      </c>
      <c r="HQ33" s="48">
        <v>0</v>
      </c>
      <c r="HR33" s="48">
        <v>0</v>
      </c>
      <c r="HS33" s="48">
        <v>0</v>
      </c>
      <c r="HT33" s="48">
        <v>0</v>
      </c>
      <c r="HU33" s="48">
        <v>0</v>
      </c>
      <c r="HV33" s="48">
        <v>2.6805921470588276</v>
      </c>
      <c r="HW33" s="48">
        <v>0</v>
      </c>
      <c r="HX33" s="48">
        <v>25.24188841646016</v>
      </c>
      <c r="HY33" s="48">
        <v>22.434354982345344</v>
      </c>
      <c r="HZ33" s="48">
        <v>32.703944966936341</v>
      </c>
      <c r="IA33" s="48">
        <v>9.3393744089100323</v>
      </c>
      <c r="IB33" s="48">
        <v>0.93359449809155903</v>
      </c>
      <c r="IC33" s="48">
        <v>0</v>
      </c>
      <c r="ID33" s="48">
        <v>0</v>
      </c>
      <c r="IE33" s="48">
        <v>0</v>
      </c>
      <c r="IF33" s="48">
        <v>0</v>
      </c>
      <c r="IG33" s="48">
        <v>86.85082264708916</v>
      </c>
      <c r="IH33" s="48">
        <v>5.9615572607093767</v>
      </c>
      <c r="II33" s="48">
        <v>1.8483413295832165</v>
      </c>
      <c r="IJ33" s="48">
        <v>0.93113520975067166</v>
      </c>
      <c r="IK33" s="48">
        <v>2.8010830874424891E-6</v>
      </c>
      <c r="IL33" s="48">
        <v>0</v>
      </c>
      <c r="IM33" s="48">
        <v>0</v>
      </c>
      <c r="IN33" s="48">
        <v>0</v>
      </c>
      <c r="IO33" s="48">
        <v>0</v>
      </c>
      <c r="IP33" s="23">
        <v>2014.9999999999886</v>
      </c>
      <c r="IQ33" s="25">
        <v>10598</v>
      </c>
      <c r="IR33" s="25">
        <v>0</v>
      </c>
      <c r="IS33" s="26">
        <v>0</v>
      </c>
      <c r="IT33" s="26">
        <v>0</v>
      </c>
      <c r="IU33" s="26">
        <v>0</v>
      </c>
      <c r="IV33" s="9">
        <v>7</v>
      </c>
      <c r="IW33" s="38">
        <f t="shared" si="4"/>
        <v>12619.999999999989</v>
      </c>
    </row>
    <row r="34" spans="1:257" ht="30" customHeight="1" x14ac:dyDescent="0.25">
      <c r="A34" s="112" t="b">
        <v>1</v>
      </c>
      <c r="B34" s="113" t="b">
        <f>IFERROR(VLOOKUP(C34,'Bridge matrix'!$D$3:$E$727,2,FALSE)='symmetric IOT 245 2012'!D34,"FALSCH")</f>
        <v>1</v>
      </c>
      <c r="C34" s="108">
        <v>29</v>
      </c>
      <c r="D34" s="49" t="s">
        <v>1351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37.682222759930944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0.49165345310742792</v>
      </c>
      <c r="CJ34" s="48">
        <v>0</v>
      </c>
      <c r="CK34" s="48">
        <v>0</v>
      </c>
      <c r="CL34" s="48">
        <v>0</v>
      </c>
      <c r="CM34" s="48">
        <v>9.7388037665123457E-3</v>
      </c>
      <c r="CN34" s="48">
        <v>7.9849304905377504E-5</v>
      </c>
      <c r="CO34" s="48">
        <v>0</v>
      </c>
      <c r="CP34" s="48">
        <v>0</v>
      </c>
      <c r="CQ34" s="48">
        <v>0</v>
      </c>
      <c r="CR34" s="48">
        <v>0</v>
      </c>
      <c r="CS34" s="48">
        <v>0</v>
      </c>
      <c r="CT34" s="48">
        <v>1.0688909564013117E-7</v>
      </c>
      <c r="CU34" s="48">
        <v>0.23561908366779019</v>
      </c>
      <c r="CV34" s="48">
        <v>0.55228035947366272</v>
      </c>
      <c r="CW34" s="48">
        <v>0</v>
      </c>
      <c r="CX34" s="48">
        <v>9.9490491493123749E-9</v>
      </c>
      <c r="CY34" s="48">
        <v>0</v>
      </c>
      <c r="CZ34" s="48">
        <v>0</v>
      </c>
      <c r="DA34" s="48">
        <v>8.0849772428295413E-3</v>
      </c>
      <c r="DB34" s="48">
        <v>0</v>
      </c>
      <c r="DC34" s="48">
        <v>4.7870139117376604E-8</v>
      </c>
      <c r="DD34" s="48">
        <v>0</v>
      </c>
      <c r="DE34" s="48">
        <v>0</v>
      </c>
      <c r="DF34" s="48">
        <v>0</v>
      </c>
      <c r="DG34" s="48">
        <v>0</v>
      </c>
      <c r="DH34" s="48">
        <v>0</v>
      </c>
      <c r="DI34" s="48">
        <v>0</v>
      </c>
      <c r="DJ34" s="48">
        <v>0</v>
      </c>
      <c r="DK34" s="48">
        <v>0</v>
      </c>
      <c r="DL34" s="48">
        <v>8768.8088975479641</v>
      </c>
      <c r="DM34" s="48">
        <v>0</v>
      </c>
      <c r="DN34" s="48">
        <v>0</v>
      </c>
      <c r="DO34" s="48">
        <v>0</v>
      </c>
      <c r="DP34" s="48">
        <v>0</v>
      </c>
      <c r="DQ34" s="48">
        <v>0</v>
      </c>
      <c r="DR34" s="48">
        <v>5.146843381343126E-8</v>
      </c>
      <c r="DS34" s="48">
        <v>0</v>
      </c>
      <c r="DT34" s="48">
        <v>0</v>
      </c>
      <c r="DU34" s="48">
        <v>0</v>
      </c>
      <c r="DV34" s="48">
        <v>0</v>
      </c>
      <c r="DW34" s="48">
        <v>0</v>
      </c>
      <c r="DX34" s="48">
        <v>0</v>
      </c>
      <c r="DY34" s="48">
        <v>1.9648211095391499E-13</v>
      </c>
      <c r="DZ34" s="48">
        <v>0</v>
      </c>
      <c r="EA34" s="48">
        <v>0</v>
      </c>
      <c r="EB34" s="48">
        <v>5.46932333181848E-7</v>
      </c>
      <c r="EC34" s="48">
        <v>1.5818544125821819E-8</v>
      </c>
      <c r="ED34" s="48">
        <v>0</v>
      </c>
      <c r="EE34" s="48">
        <v>0</v>
      </c>
      <c r="EF34" s="48">
        <v>0</v>
      </c>
      <c r="EG34" s="48">
        <v>0</v>
      </c>
      <c r="EH34" s="48">
        <v>0</v>
      </c>
      <c r="EI34" s="48">
        <v>5.8085049367549897E-4</v>
      </c>
      <c r="EJ34" s="48">
        <v>1.0793380083542E-2</v>
      </c>
      <c r="EK34" s="48">
        <v>0</v>
      </c>
      <c r="EL34" s="48">
        <v>0</v>
      </c>
      <c r="EM34" s="48">
        <v>0</v>
      </c>
      <c r="EN34" s="48">
        <v>0</v>
      </c>
      <c r="EO34" s="48">
        <v>0</v>
      </c>
      <c r="EP34" s="48">
        <v>0</v>
      </c>
      <c r="EQ34" s="48">
        <v>0</v>
      </c>
      <c r="ER34" s="48">
        <v>1.364997053657912E-8</v>
      </c>
      <c r="ES34" s="48">
        <v>2.386909277000155E-10</v>
      </c>
      <c r="ET34" s="48">
        <v>0</v>
      </c>
      <c r="EU34" s="48">
        <v>0</v>
      </c>
      <c r="EV34" s="48">
        <v>0</v>
      </c>
      <c r="EW34" s="48">
        <v>1.6991885720307303E-8</v>
      </c>
      <c r="EX34" s="48">
        <v>0</v>
      </c>
      <c r="EY34" s="48">
        <v>4.1265729624863294E-6</v>
      </c>
      <c r="EZ34" s="48">
        <v>0</v>
      </c>
      <c r="FA34" s="48">
        <v>3.4587445592852115E-12</v>
      </c>
      <c r="FB34" s="48">
        <v>9.4823730727511462E-14</v>
      </c>
      <c r="FC34" s="48">
        <v>0</v>
      </c>
      <c r="FD34" s="48">
        <v>0</v>
      </c>
      <c r="FE34" s="48">
        <v>0</v>
      </c>
      <c r="FF34" s="48">
        <v>0</v>
      </c>
      <c r="FG34" s="48">
        <v>0</v>
      </c>
      <c r="FH34" s="48">
        <v>0</v>
      </c>
      <c r="FI34" s="48">
        <v>0</v>
      </c>
      <c r="FJ34" s="48">
        <v>0</v>
      </c>
      <c r="FK34" s="48">
        <v>0</v>
      </c>
      <c r="FL34" s="48">
        <v>0</v>
      </c>
      <c r="FM34" s="48">
        <v>1.8085753063055804E-8</v>
      </c>
      <c r="FN34" s="48">
        <v>0</v>
      </c>
      <c r="FO34" s="48">
        <v>0</v>
      </c>
      <c r="FP34" s="48">
        <v>7.6971185867543862E-7</v>
      </c>
      <c r="FQ34" s="48">
        <v>0</v>
      </c>
      <c r="FR34" s="48">
        <v>0</v>
      </c>
      <c r="FS34" s="48">
        <v>0</v>
      </c>
      <c r="FT34" s="48">
        <v>0</v>
      </c>
      <c r="FU34" s="48">
        <v>0</v>
      </c>
      <c r="FV34" s="48">
        <v>6.4235413259266695E-13</v>
      </c>
      <c r="FW34" s="48">
        <v>0</v>
      </c>
      <c r="FX34" s="48">
        <v>0</v>
      </c>
      <c r="FY34" s="48">
        <v>0</v>
      </c>
      <c r="FZ34" s="48">
        <v>0</v>
      </c>
      <c r="GA34" s="48">
        <v>0</v>
      </c>
      <c r="GB34" s="48">
        <v>0</v>
      </c>
      <c r="GC34" s="48">
        <v>0</v>
      </c>
      <c r="GD34" s="48">
        <v>0</v>
      </c>
      <c r="GE34" s="48">
        <v>6.1976327199756733</v>
      </c>
      <c r="GF34" s="48">
        <v>1945.9551785671731</v>
      </c>
      <c r="GG34" s="48">
        <v>0</v>
      </c>
      <c r="GH34" s="48">
        <v>0</v>
      </c>
      <c r="GI34" s="48">
        <v>0</v>
      </c>
      <c r="GJ34" s="48">
        <v>0</v>
      </c>
      <c r="GK34" s="48">
        <v>0</v>
      </c>
      <c r="GL34" s="48">
        <v>0</v>
      </c>
      <c r="GM34" s="48">
        <v>0</v>
      </c>
      <c r="GN34" s="48">
        <v>0</v>
      </c>
      <c r="GO34" s="48">
        <v>0</v>
      </c>
      <c r="GP34" s="48">
        <v>0</v>
      </c>
      <c r="GQ34" s="48">
        <v>0</v>
      </c>
      <c r="GR34" s="48">
        <v>0</v>
      </c>
      <c r="GS34" s="48">
        <v>0</v>
      </c>
      <c r="GT34" s="48">
        <v>0</v>
      </c>
      <c r="GU34" s="48">
        <v>0</v>
      </c>
      <c r="GV34" s="48">
        <v>0</v>
      </c>
      <c r="GW34" s="48">
        <v>0</v>
      </c>
      <c r="GX34" s="48">
        <v>0</v>
      </c>
      <c r="GY34" s="48">
        <v>0</v>
      </c>
      <c r="GZ34" s="48">
        <v>0</v>
      </c>
      <c r="HA34" s="48">
        <v>0</v>
      </c>
      <c r="HB34" s="48">
        <v>0</v>
      </c>
      <c r="HC34" s="48">
        <v>0</v>
      </c>
      <c r="HD34" s="48">
        <v>0</v>
      </c>
      <c r="HE34" s="48">
        <v>0</v>
      </c>
      <c r="HF34" s="48">
        <v>0</v>
      </c>
      <c r="HG34" s="48">
        <v>0</v>
      </c>
      <c r="HH34" s="48">
        <v>0</v>
      </c>
      <c r="HI34" s="48">
        <v>0</v>
      </c>
      <c r="HJ34" s="48">
        <v>0</v>
      </c>
      <c r="HK34" s="48">
        <v>0</v>
      </c>
      <c r="HL34" s="48">
        <v>0</v>
      </c>
      <c r="HM34" s="48">
        <v>0</v>
      </c>
      <c r="HN34" s="48">
        <v>0</v>
      </c>
      <c r="HO34" s="48">
        <v>0</v>
      </c>
      <c r="HP34" s="48">
        <v>0</v>
      </c>
      <c r="HQ34" s="48">
        <v>0</v>
      </c>
      <c r="HR34" s="48">
        <v>0</v>
      </c>
      <c r="HS34" s="48">
        <v>0</v>
      </c>
      <c r="HT34" s="48">
        <v>0</v>
      </c>
      <c r="HU34" s="48">
        <v>0</v>
      </c>
      <c r="HV34" s="48">
        <v>1.2531356172185417</v>
      </c>
      <c r="HW34" s="48">
        <v>0</v>
      </c>
      <c r="HX34" s="48">
        <v>0</v>
      </c>
      <c r="HY34" s="48">
        <v>0</v>
      </c>
      <c r="HZ34" s="48">
        <v>0</v>
      </c>
      <c r="IA34" s="48">
        <v>0</v>
      </c>
      <c r="IB34" s="48">
        <v>0</v>
      </c>
      <c r="IC34" s="48">
        <v>0</v>
      </c>
      <c r="ID34" s="48">
        <v>0</v>
      </c>
      <c r="IE34" s="48">
        <v>0</v>
      </c>
      <c r="IF34" s="48">
        <v>0</v>
      </c>
      <c r="IG34" s="48">
        <v>0</v>
      </c>
      <c r="IH34" s="48">
        <v>0</v>
      </c>
      <c r="II34" s="48">
        <v>0</v>
      </c>
      <c r="IJ34" s="48">
        <v>9.7940563932920774</v>
      </c>
      <c r="IK34" s="48">
        <v>3.991305456833038E-5</v>
      </c>
      <c r="IL34" s="48">
        <v>0</v>
      </c>
      <c r="IM34" s="48">
        <v>0</v>
      </c>
      <c r="IN34" s="48">
        <v>0</v>
      </c>
      <c r="IO34" s="48">
        <v>0</v>
      </c>
      <c r="IP34" s="23">
        <v>10770.999999999929</v>
      </c>
      <c r="IQ34" s="25">
        <v>17384</v>
      </c>
      <c r="IR34" s="25">
        <v>0</v>
      </c>
      <c r="IS34" s="26">
        <v>0</v>
      </c>
      <c r="IT34" s="26">
        <v>0</v>
      </c>
      <c r="IU34" s="26">
        <v>0</v>
      </c>
      <c r="IV34" s="9">
        <v>741</v>
      </c>
      <c r="IW34" s="38">
        <f t="shared" si="4"/>
        <v>28895.999999999927</v>
      </c>
    </row>
    <row r="35" spans="1:257" ht="30" customHeight="1" x14ac:dyDescent="0.25">
      <c r="A35" s="112" t="b">
        <v>1</v>
      </c>
      <c r="B35" s="113" t="b">
        <f>IFERROR(VLOOKUP(C35,'Bridge matrix'!$D$3:$E$727,2,FALSE)='symmetric IOT 245 2012'!D35,"FALSCH")</f>
        <v>1</v>
      </c>
      <c r="C35" s="108">
        <v>30</v>
      </c>
      <c r="D35" s="49" t="s">
        <v>1352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15.658225911799684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0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48">
        <v>0</v>
      </c>
      <c r="CB35" s="48">
        <v>0</v>
      </c>
      <c r="CC35" s="48">
        <v>0</v>
      </c>
      <c r="CD35" s="48">
        <v>0</v>
      </c>
      <c r="CE35" s="48">
        <v>0</v>
      </c>
      <c r="CF35" s="48">
        <v>0</v>
      </c>
      <c r="CG35" s="48">
        <v>0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  <c r="CM35" s="48">
        <v>0</v>
      </c>
      <c r="CN35" s="48">
        <v>0</v>
      </c>
      <c r="CO35" s="48">
        <v>0</v>
      </c>
      <c r="CP35" s="48">
        <v>0</v>
      </c>
      <c r="CQ35" s="48">
        <v>0</v>
      </c>
      <c r="CR35" s="48">
        <v>0</v>
      </c>
      <c r="CS35" s="48">
        <v>0</v>
      </c>
      <c r="CT35" s="48">
        <v>0</v>
      </c>
      <c r="CU35" s="48">
        <v>0</v>
      </c>
      <c r="CV35" s="48">
        <v>0</v>
      </c>
      <c r="CW35" s="48">
        <v>0</v>
      </c>
      <c r="CX35" s="48">
        <v>0</v>
      </c>
      <c r="CY35" s="48">
        <v>0</v>
      </c>
      <c r="CZ35" s="48">
        <v>0</v>
      </c>
      <c r="DA35" s="48">
        <v>0</v>
      </c>
      <c r="DB35" s="48">
        <v>0</v>
      </c>
      <c r="DC35" s="48">
        <v>0</v>
      </c>
      <c r="DD35" s="48">
        <v>0</v>
      </c>
      <c r="DE35" s="48">
        <v>0</v>
      </c>
      <c r="DF35" s="48">
        <v>0</v>
      </c>
      <c r="DG35" s="48">
        <v>0</v>
      </c>
      <c r="DH35" s="48">
        <v>0</v>
      </c>
      <c r="DI35" s="48">
        <v>0</v>
      </c>
      <c r="DJ35" s="48">
        <v>0</v>
      </c>
      <c r="DK35" s="48">
        <v>0</v>
      </c>
      <c r="DL35" s="48">
        <v>0</v>
      </c>
      <c r="DM35" s="48">
        <v>0</v>
      </c>
      <c r="DN35" s="48">
        <v>0</v>
      </c>
      <c r="DO35" s="48">
        <v>0</v>
      </c>
      <c r="DP35" s="48">
        <v>0</v>
      </c>
      <c r="DQ35" s="48">
        <v>0</v>
      </c>
      <c r="DR35" s="48">
        <v>0</v>
      </c>
      <c r="DS35" s="48">
        <v>0</v>
      </c>
      <c r="DT35" s="48">
        <v>0</v>
      </c>
      <c r="DU35" s="48">
        <v>0</v>
      </c>
      <c r="DV35" s="48">
        <v>0</v>
      </c>
      <c r="DW35" s="48">
        <v>0</v>
      </c>
      <c r="DX35" s="48">
        <v>0</v>
      </c>
      <c r="DY35" s="48">
        <v>0</v>
      </c>
      <c r="DZ35" s="48">
        <v>0</v>
      </c>
      <c r="EA35" s="48">
        <v>0</v>
      </c>
      <c r="EB35" s="48">
        <v>0</v>
      </c>
      <c r="EC35" s="48">
        <v>0</v>
      </c>
      <c r="ED35" s="48">
        <v>0</v>
      </c>
      <c r="EE35" s="48">
        <v>0</v>
      </c>
      <c r="EF35" s="48">
        <v>0</v>
      </c>
      <c r="EG35" s="48">
        <v>0</v>
      </c>
      <c r="EH35" s="48">
        <v>0</v>
      </c>
      <c r="EI35" s="48">
        <v>0</v>
      </c>
      <c r="EJ35" s="48">
        <v>0</v>
      </c>
      <c r="EK35" s="48">
        <v>0</v>
      </c>
      <c r="EL35" s="48">
        <v>0</v>
      </c>
      <c r="EM35" s="48">
        <v>0</v>
      </c>
      <c r="EN35" s="48">
        <v>0</v>
      </c>
      <c r="EO35" s="48">
        <v>0</v>
      </c>
      <c r="EP35" s="48">
        <v>0</v>
      </c>
      <c r="EQ35" s="48">
        <v>0</v>
      </c>
      <c r="ER35" s="48">
        <v>0</v>
      </c>
      <c r="ES35" s="48">
        <v>0</v>
      </c>
      <c r="ET35" s="48">
        <v>0</v>
      </c>
      <c r="EU35" s="48">
        <v>0</v>
      </c>
      <c r="EV35" s="48">
        <v>0</v>
      </c>
      <c r="EW35" s="48">
        <v>0</v>
      </c>
      <c r="EX35" s="48">
        <v>0</v>
      </c>
      <c r="EY35" s="48">
        <v>0</v>
      </c>
      <c r="EZ35" s="48">
        <v>0</v>
      </c>
      <c r="FA35" s="48">
        <v>0</v>
      </c>
      <c r="FB35" s="48">
        <v>0</v>
      </c>
      <c r="FC35" s="48">
        <v>0</v>
      </c>
      <c r="FD35" s="48">
        <v>0</v>
      </c>
      <c r="FE35" s="48">
        <v>0</v>
      </c>
      <c r="FF35" s="48">
        <v>0</v>
      </c>
      <c r="FG35" s="48">
        <v>0</v>
      </c>
      <c r="FH35" s="48">
        <v>0</v>
      </c>
      <c r="FI35" s="48">
        <v>0</v>
      </c>
      <c r="FJ35" s="48">
        <v>0</v>
      </c>
      <c r="FK35" s="48">
        <v>0</v>
      </c>
      <c r="FL35" s="48">
        <v>0</v>
      </c>
      <c r="FM35" s="48">
        <v>0</v>
      </c>
      <c r="FN35" s="48">
        <v>0</v>
      </c>
      <c r="FO35" s="48">
        <v>0</v>
      </c>
      <c r="FP35" s="48">
        <v>0</v>
      </c>
      <c r="FQ35" s="48">
        <v>0</v>
      </c>
      <c r="FR35" s="48">
        <v>0</v>
      </c>
      <c r="FS35" s="48">
        <v>0</v>
      </c>
      <c r="FT35" s="48">
        <v>0</v>
      </c>
      <c r="FU35" s="48">
        <v>0</v>
      </c>
      <c r="FV35" s="48">
        <v>0</v>
      </c>
      <c r="FW35" s="48">
        <v>0</v>
      </c>
      <c r="FX35" s="48">
        <v>0</v>
      </c>
      <c r="FY35" s="48">
        <v>0</v>
      </c>
      <c r="FZ35" s="48">
        <v>0</v>
      </c>
      <c r="GA35" s="48">
        <v>0</v>
      </c>
      <c r="GB35" s="48">
        <v>0</v>
      </c>
      <c r="GC35" s="48">
        <v>0</v>
      </c>
      <c r="GD35" s="48">
        <v>0</v>
      </c>
      <c r="GE35" s="48">
        <v>0</v>
      </c>
      <c r="GF35" s="48">
        <v>3548.3417740881805</v>
      </c>
      <c r="GG35" s="48">
        <v>0</v>
      </c>
      <c r="GH35" s="48">
        <v>0</v>
      </c>
      <c r="GI35" s="48">
        <v>0</v>
      </c>
      <c r="GJ35" s="48">
        <v>0</v>
      </c>
      <c r="GK35" s="48">
        <v>0</v>
      </c>
      <c r="GL35" s="48">
        <v>0</v>
      </c>
      <c r="GM35" s="48">
        <v>0</v>
      </c>
      <c r="GN35" s="48">
        <v>0</v>
      </c>
      <c r="GO35" s="48">
        <v>0</v>
      </c>
      <c r="GP35" s="48">
        <v>0</v>
      </c>
      <c r="GQ35" s="48">
        <v>0</v>
      </c>
      <c r="GR35" s="48">
        <v>0</v>
      </c>
      <c r="GS35" s="48">
        <v>0</v>
      </c>
      <c r="GT35" s="48">
        <v>0</v>
      </c>
      <c r="GU35" s="48">
        <v>0</v>
      </c>
      <c r="GV35" s="48">
        <v>0</v>
      </c>
      <c r="GW35" s="48">
        <v>0</v>
      </c>
      <c r="GX35" s="48">
        <v>0</v>
      </c>
      <c r="GY35" s="48">
        <v>0</v>
      </c>
      <c r="GZ35" s="48">
        <v>0</v>
      </c>
      <c r="HA35" s="48">
        <v>0</v>
      </c>
      <c r="HB35" s="48">
        <v>0</v>
      </c>
      <c r="HC35" s="48">
        <v>0</v>
      </c>
      <c r="HD35" s="48">
        <v>0</v>
      </c>
      <c r="HE35" s="48">
        <v>0</v>
      </c>
      <c r="HF35" s="48">
        <v>0</v>
      </c>
      <c r="HG35" s="48">
        <v>0</v>
      </c>
      <c r="HH35" s="48">
        <v>0</v>
      </c>
      <c r="HI35" s="48">
        <v>0</v>
      </c>
      <c r="HJ35" s="48">
        <v>0</v>
      </c>
      <c r="HK35" s="48">
        <v>0</v>
      </c>
      <c r="HL35" s="48">
        <v>0</v>
      </c>
      <c r="HM35" s="48">
        <v>0</v>
      </c>
      <c r="HN35" s="48">
        <v>0</v>
      </c>
      <c r="HO35" s="48">
        <v>0</v>
      </c>
      <c r="HP35" s="48">
        <v>0</v>
      </c>
      <c r="HQ35" s="48">
        <v>0</v>
      </c>
      <c r="HR35" s="48">
        <v>0</v>
      </c>
      <c r="HS35" s="48">
        <v>0</v>
      </c>
      <c r="HT35" s="48">
        <v>0</v>
      </c>
      <c r="HU35" s="48">
        <v>0</v>
      </c>
      <c r="HV35" s="48">
        <v>0</v>
      </c>
      <c r="HW35" s="48">
        <v>0</v>
      </c>
      <c r="HX35" s="48">
        <v>0</v>
      </c>
      <c r="HY35" s="48">
        <v>0</v>
      </c>
      <c r="HZ35" s="48">
        <v>0</v>
      </c>
      <c r="IA35" s="48">
        <v>0</v>
      </c>
      <c r="IB35" s="48">
        <v>0</v>
      </c>
      <c r="IC35" s="48">
        <v>0</v>
      </c>
      <c r="ID35" s="48">
        <v>0</v>
      </c>
      <c r="IE35" s="48">
        <v>0</v>
      </c>
      <c r="IF35" s="48">
        <v>0</v>
      </c>
      <c r="IG35" s="48">
        <v>0</v>
      </c>
      <c r="IH35" s="48">
        <v>0</v>
      </c>
      <c r="II35" s="48">
        <v>0</v>
      </c>
      <c r="IJ35" s="48">
        <v>0</v>
      </c>
      <c r="IK35" s="48">
        <v>0</v>
      </c>
      <c r="IL35" s="48">
        <v>0</v>
      </c>
      <c r="IM35" s="48">
        <v>0</v>
      </c>
      <c r="IN35" s="48">
        <v>0</v>
      </c>
      <c r="IO35" s="48">
        <v>0</v>
      </c>
      <c r="IP35" s="23">
        <v>3563.99999999998</v>
      </c>
      <c r="IQ35" s="25">
        <v>45531</v>
      </c>
      <c r="IR35" s="25">
        <v>0</v>
      </c>
      <c r="IS35" s="26">
        <v>0</v>
      </c>
      <c r="IT35" s="26">
        <v>0</v>
      </c>
      <c r="IU35" s="26">
        <v>0</v>
      </c>
      <c r="IV35" s="9">
        <v>384</v>
      </c>
      <c r="IW35" s="38">
        <f t="shared" si="4"/>
        <v>49478.999999999978</v>
      </c>
    </row>
    <row r="36" spans="1:257" ht="30" customHeight="1" x14ac:dyDescent="0.25">
      <c r="A36" s="112" t="b">
        <v>1</v>
      </c>
      <c r="B36" s="113" t="b">
        <f>IFERROR(VLOOKUP(C36,'Bridge matrix'!$D$3:$E$727,2,FALSE)='symmetric IOT 245 2012'!D36,"FALSCH")</f>
        <v>1</v>
      </c>
      <c r="C36" s="108">
        <v>31</v>
      </c>
      <c r="D36" s="49" t="s">
        <v>1353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15.420153977691132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  <c r="CM36" s="48">
        <v>0</v>
      </c>
      <c r="CN36" s="48">
        <v>0</v>
      </c>
      <c r="CO36" s="48">
        <v>0</v>
      </c>
      <c r="CP36" s="48">
        <v>0</v>
      </c>
      <c r="CQ36" s="48">
        <v>0</v>
      </c>
      <c r="CR36" s="48">
        <v>0</v>
      </c>
      <c r="CS36" s="48">
        <v>0</v>
      </c>
      <c r="CT36" s="48">
        <v>0</v>
      </c>
      <c r="CU36" s="48">
        <v>0</v>
      </c>
      <c r="CV36" s="48">
        <v>0</v>
      </c>
      <c r="CW36" s="48">
        <v>0</v>
      </c>
      <c r="CX36" s="48">
        <v>0</v>
      </c>
      <c r="CY36" s="48">
        <v>0</v>
      </c>
      <c r="CZ36" s="48">
        <v>0</v>
      </c>
      <c r="DA36" s="48">
        <v>0</v>
      </c>
      <c r="DB36" s="48">
        <v>0</v>
      </c>
      <c r="DC36" s="48">
        <v>0</v>
      </c>
      <c r="DD36" s="48">
        <v>0</v>
      </c>
      <c r="DE36" s="48">
        <v>0</v>
      </c>
      <c r="DF36" s="48">
        <v>0</v>
      </c>
      <c r="DG36" s="48">
        <v>0</v>
      </c>
      <c r="DH36" s="48">
        <v>0</v>
      </c>
      <c r="DI36" s="48">
        <v>0</v>
      </c>
      <c r="DJ36" s="48">
        <v>0</v>
      </c>
      <c r="DK36" s="48">
        <v>0</v>
      </c>
      <c r="DL36" s="48">
        <v>0</v>
      </c>
      <c r="DM36" s="48">
        <v>0</v>
      </c>
      <c r="DN36" s="48">
        <v>0</v>
      </c>
      <c r="DO36" s="48">
        <v>0</v>
      </c>
      <c r="DP36" s="48">
        <v>0</v>
      </c>
      <c r="DQ36" s="48">
        <v>0</v>
      </c>
      <c r="DR36" s="48">
        <v>0</v>
      </c>
      <c r="DS36" s="48">
        <v>0</v>
      </c>
      <c r="DT36" s="48">
        <v>0</v>
      </c>
      <c r="DU36" s="48">
        <v>0</v>
      </c>
      <c r="DV36" s="48">
        <v>0</v>
      </c>
      <c r="DW36" s="48">
        <v>0</v>
      </c>
      <c r="DX36" s="48">
        <v>0</v>
      </c>
      <c r="DY36" s="48">
        <v>0</v>
      </c>
      <c r="DZ36" s="48">
        <v>0</v>
      </c>
      <c r="EA36" s="48">
        <v>0</v>
      </c>
      <c r="EB36" s="48">
        <v>0</v>
      </c>
      <c r="EC36" s="48">
        <v>0</v>
      </c>
      <c r="ED36" s="48">
        <v>0</v>
      </c>
      <c r="EE36" s="48">
        <v>0</v>
      </c>
      <c r="EF36" s="48">
        <v>0</v>
      </c>
      <c r="EG36" s="48">
        <v>0</v>
      </c>
      <c r="EH36" s="48">
        <v>0</v>
      </c>
      <c r="EI36" s="48">
        <v>0</v>
      </c>
      <c r="EJ36" s="48">
        <v>0</v>
      </c>
      <c r="EK36" s="48">
        <v>0</v>
      </c>
      <c r="EL36" s="48">
        <v>0</v>
      </c>
      <c r="EM36" s="48">
        <v>0</v>
      </c>
      <c r="EN36" s="48">
        <v>0</v>
      </c>
      <c r="EO36" s="48">
        <v>0</v>
      </c>
      <c r="EP36" s="48">
        <v>0</v>
      </c>
      <c r="EQ36" s="48">
        <v>0</v>
      </c>
      <c r="ER36" s="48">
        <v>0</v>
      </c>
      <c r="ES36" s="48">
        <v>0</v>
      </c>
      <c r="ET36" s="48">
        <v>0</v>
      </c>
      <c r="EU36" s="48">
        <v>0</v>
      </c>
      <c r="EV36" s="48">
        <v>0</v>
      </c>
      <c r="EW36" s="48">
        <v>0</v>
      </c>
      <c r="EX36" s="48">
        <v>0</v>
      </c>
      <c r="EY36" s="48">
        <v>0</v>
      </c>
      <c r="EZ36" s="48">
        <v>0</v>
      </c>
      <c r="FA36" s="48">
        <v>0</v>
      </c>
      <c r="FB36" s="48">
        <v>0</v>
      </c>
      <c r="FC36" s="48">
        <v>0</v>
      </c>
      <c r="FD36" s="48">
        <v>0</v>
      </c>
      <c r="FE36" s="48">
        <v>0</v>
      </c>
      <c r="FF36" s="48">
        <v>0</v>
      </c>
      <c r="FG36" s="48">
        <v>0</v>
      </c>
      <c r="FH36" s="48">
        <v>0</v>
      </c>
      <c r="FI36" s="48">
        <v>0</v>
      </c>
      <c r="FJ36" s="48">
        <v>0</v>
      </c>
      <c r="FK36" s="48">
        <v>0</v>
      </c>
      <c r="FL36" s="48">
        <v>0</v>
      </c>
      <c r="FM36" s="48">
        <v>0</v>
      </c>
      <c r="FN36" s="48">
        <v>0</v>
      </c>
      <c r="FO36" s="48">
        <v>0</v>
      </c>
      <c r="FP36" s="48">
        <v>0</v>
      </c>
      <c r="FQ36" s="48">
        <v>0</v>
      </c>
      <c r="FR36" s="48">
        <v>0</v>
      </c>
      <c r="FS36" s="48">
        <v>0</v>
      </c>
      <c r="FT36" s="48">
        <v>0</v>
      </c>
      <c r="FU36" s="48">
        <v>0</v>
      </c>
      <c r="FV36" s="48">
        <v>0</v>
      </c>
      <c r="FW36" s="48">
        <v>0</v>
      </c>
      <c r="FX36" s="48">
        <v>0</v>
      </c>
      <c r="FY36" s="48">
        <v>0</v>
      </c>
      <c r="FZ36" s="48">
        <v>0</v>
      </c>
      <c r="GA36" s="48">
        <v>0</v>
      </c>
      <c r="GB36" s="48">
        <v>0</v>
      </c>
      <c r="GC36" s="48">
        <v>0</v>
      </c>
      <c r="GD36" s="48">
        <v>0</v>
      </c>
      <c r="GE36" s="48">
        <v>10.069138601584376</v>
      </c>
      <c r="GF36" s="48">
        <v>526.51070742072159</v>
      </c>
      <c r="GG36" s="48">
        <v>0</v>
      </c>
      <c r="GH36" s="48">
        <v>0</v>
      </c>
      <c r="GI36" s="48">
        <v>0</v>
      </c>
      <c r="GJ36" s="48">
        <v>0</v>
      </c>
      <c r="GK36" s="48">
        <v>0</v>
      </c>
      <c r="GL36" s="48">
        <v>0</v>
      </c>
      <c r="GM36" s="48">
        <v>0</v>
      </c>
      <c r="GN36" s="48">
        <v>0</v>
      </c>
      <c r="GO36" s="48">
        <v>0</v>
      </c>
      <c r="GP36" s="48">
        <v>0</v>
      </c>
      <c r="GQ36" s="48">
        <v>0</v>
      </c>
      <c r="GR36" s="48">
        <v>0</v>
      </c>
      <c r="GS36" s="48">
        <v>0</v>
      </c>
      <c r="GT36" s="48">
        <v>0</v>
      </c>
      <c r="GU36" s="48">
        <v>0</v>
      </c>
      <c r="GV36" s="48">
        <v>0</v>
      </c>
      <c r="GW36" s="48">
        <v>0</v>
      </c>
      <c r="GX36" s="48">
        <v>0</v>
      </c>
      <c r="GY36" s="48">
        <v>0</v>
      </c>
      <c r="GZ36" s="48">
        <v>0</v>
      </c>
      <c r="HA36" s="48">
        <v>0</v>
      </c>
      <c r="HB36" s="48">
        <v>0</v>
      </c>
      <c r="HC36" s="48">
        <v>0</v>
      </c>
      <c r="HD36" s="48">
        <v>0</v>
      </c>
      <c r="HE36" s="48">
        <v>0</v>
      </c>
      <c r="HF36" s="48">
        <v>0</v>
      </c>
      <c r="HG36" s="48">
        <v>0</v>
      </c>
      <c r="HH36" s="48">
        <v>0</v>
      </c>
      <c r="HI36" s="48">
        <v>0</v>
      </c>
      <c r="HJ36" s="48">
        <v>0</v>
      </c>
      <c r="HK36" s="48">
        <v>0</v>
      </c>
      <c r="HL36" s="48">
        <v>0</v>
      </c>
      <c r="HM36" s="48">
        <v>0</v>
      </c>
      <c r="HN36" s="48">
        <v>0</v>
      </c>
      <c r="HO36" s="48">
        <v>0</v>
      </c>
      <c r="HP36" s="48">
        <v>0</v>
      </c>
      <c r="HQ36" s="48">
        <v>0</v>
      </c>
      <c r="HR36" s="48">
        <v>0</v>
      </c>
      <c r="HS36" s="48">
        <v>0</v>
      </c>
      <c r="HT36" s="48">
        <v>0</v>
      </c>
      <c r="HU36" s="48">
        <v>0</v>
      </c>
      <c r="HV36" s="48">
        <v>0</v>
      </c>
      <c r="HW36" s="48">
        <v>0</v>
      </c>
      <c r="HX36" s="48">
        <v>0</v>
      </c>
      <c r="HY36" s="48">
        <v>0</v>
      </c>
      <c r="HZ36" s="48">
        <v>0</v>
      </c>
      <c r="IA36" s="48">
        <v>0</v>
      </c>
      <c r="IB36" s="48">
        <v>0</v>
      </c>
      <c r="IC36" s="48">
        <v>0</v>
      </c>
      <c r="ID36" s="48">
        <v>0</v>
      </c>
      <c r="IE36" s="48">
        <v>0</v>
      </c>
      <c r="IF36" s="48">
        <v>0</v>
      </c>
      <c r="IG36" s="48">
        <v>0</v>
      </c>
      <c r="IH36" s="48">
        <v>0</v>
      </c>
      <c r="II36" s="48">
        <v>0</v>
      </c>
      <c r="IJ36" s="48">
        <v>0</v>
      </c>
      <c r="IK36" s="48">
        <v>0</v>
      </c>
      <c r="IL36" s="48">
        <v>0</v>
      </c>
      <c r="IM36" s="48">
        <v>0</v>
      </c>
      <c r="IN36" s="48">
        <v>0</v>
      </c>
      <c r="IO36" s="48">
        <v>0</v>
      </c>
      <c r="IP36" s="23">
        <v>551.99999999999704</v>
      </c>
      <c r="IQ36" s="25">
        <v>6018</v>
      </c>
      <c r="IR36" s="25">
        <v>0</v>
      </c>
      <c r="IS36" s="26">
        <v>0</v>
      </c>
      <c r="IT36" s="26">
        <v>0</v>
      </c>
      <c r="IU36" s="26">
        <v>0</v>
      </c>
      <c r="IV36" s="9">
        <v>35410</v>
      </c>
      <c r="IW36" s="38">
        <f t="shared" si="4"/>
        <v>41980</v>
      </c>
    </row>
    <row r="37" spans="1:257" ht="30" customHeight="1" x14ac:dyDescent="0.25">
      <c r="A37" s="112" t="b">
        <v>1</v>
      </c>
      <c r="B37" s="113" t="b">
        <f>IFERROR(VLOOKUP(C37,'Bridge matrix'!$D$3:$E$727,2,FALSE)='symmetric IOT 245 2012'!D37,"FALSCH")</f>
        <v>1</v>
      </c>
      <c r="C37" s="108">
        <v>32</v>
      </c>
      <c r="D37" s="49" t="s">
        <v>1354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4.2864933877850442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0.11339630926233006</v>
      </c>
      <c r="CJ37" s="48">
        <v>0</v>
      </c>
      <c r="CK37" s="48">
        <v>0</v>
      </c>
      <c r="CL37" s="48">
        <v>0</v>
      </c>
      <c r="CM37" s="48">
        <v>2.2461845773129778E-3</v>
      </c>
      <c r="CN37" s="48">
        <v>1.8416664047010726E-5</v>
      </c>
      <c r="CO37" s="48">
        <v>0</v>
      </c>
      <c r="CP37" s="48">
        <v>0</v>
      </c>
      <c r="CQ37" s="48">
        <v>0</v>
      </c>
      <c r="CR37" s="48">
        <v>0</v>
      </c>
      <c r="CS37" s="48">
        <v>0</v>
      </c>
      <c r="CT37" s="48">
        <v>2.4653196004972704E-8</v>
      </c>
      <c r="CU37" s="48">
        <v>5.434383570547506E-2</v>
      </c>
      <c r="CV37" s="48">
        <v>0.12737946626137486</v>
      </c>
      <c r="CW37" s="48">
        <v>0</v>
      </c>
      <c r="CX37" s="48">
        <v>2.2946761526253933E-9</v>
      </c>
      <c r="CY37" s="48">
        <v>0</v>
      </c>
      <c r="CZ37" s="48">
        <v>0</v>
      </c>
      <c r="DA37" s="48">
        <v>1.8647414637530751E-3</v>
      </c>
      <c r="DB37" s="48">
        <v>0</v>
      </c>
      <c r="DC37" s="48">
        <v>1.1040900995357557E-8</v>
      </c>
      <c r="DD37" s="48">
        <v>0</v>
      </c>
      <c r="DE37" s="48">
        <v>0</v>
      </c>
      <c r="DF37" s="48">
        <v>0</v>
      </c>
      <c r="DG37" s="48">
        <v>0</v>
      </c>
      <c r="DH37" s="48">
        <v>0</v>
      </c>
      <c r="DI37" s="48">
        <v>0</v>
      </c>
      <c r="DJ37" s="48">
        <v>0</v>
      </c>
      <c r="DK37" s="48">
        <v>0</v>
      </c>
      <c r="DL37" s="48">
        <v>2022.4622837975878</v>
      </c>
      <c r="DM37" s="48">
        <v>0</v>
      </c>
      <c r="DN37" s="48">
        <v>0</v>
      </c>
      <c r="DO37" s="48">
        <v>0</v>
      </c>
      <c r="DP37" s="48">
        <v>0</v>
      </c>
      <c r="DQ37" s="48">
        <v>0</v>
      </c>
      <c r="DR37" s="48">
        <v>1.1870821614427594E-8</v>
      </c>
      <c r="DS37" s="48">
        <v>0</v>
      </c>
      <c r="DT37" s="48">
        <v>0</v>
      </c>
      <c r="DU37" s="48">
        <v>0</v>
      </c>
      <c r="DV37" s="48">
        <v>0</v>
      </c>
      <c r="DW37" s="48">
        <v>0</v>
      </c>
      <c r="DX37" s="48">
        <v>0</v>
      </c>
      <c r="DY37" s="48">
        <v>4.5317176310724043E-14</v>
      </c>
      <c r="DZ37" s="48">
        <v>0</v>
      </c>
      <c r="EA37" s="48">
        <v>0</v>
      </c>
      <c r="EB37" s="48">
        <v>1.2614598271824761E-7</v>
      </c>
      <c r="EC37" s="48">
        <v>3.6484326723106803E-9</v>
      </c>
      <c r="ED37" s="48">
        <v>0</v>
      </c>
      <c r="EE37" s="48">
        <v>0</v>
      </c>
      <c r="EF37" s="48">
        <v>0</v>
      </c>
      <c r="EG37" s="48">
        <v>0</v>
      </c>
      <c r="EH37" s="48">
        <v>0</v>
      </c>
      <c r="EI37" s="48">
        <v>1.3396896085994076E-4</v>
      </c>
      <c r="EJ37" s="48">
        <v>2.4894149694332885E-3</v>
      </c>
      <c r="EK37" s="48">
        <v>0</v>
      </c>
      <c r="EL37" s="48">
        <v>0</v>
      </c>
      <c r="EM37" s="48">
        <v>0</v>
      </c>
      <c r="EN37" s="48">
        <v>0</v>
      </c>
      <c r="EO37" s="48">
        <v>0</v>
      </c>
      <c r="EP37" s="48">
        <v>0</v>
      </c>
      <c r="EQ37" s="48">
        <v>0</v>
      </c>
      <c r="ER37" s="48">
        <v>3.1482668749799394E-9</v>
      </c>
      <c r="ES37" s="48">
        <v>5.5052334290570503E-11</v>
      </c>
      <c r="ET37" s="48">
        <v>0</v>
      </c>
      <c r="EU37" s="48">
        <v>0</v>
      </c>
      <c r="EV37" s="48">
        <v>0</v>
      </c>
      <c r="EW37" s="48">
        <v>3.9190554157851295E-9</v>
      </c>
      <c r="EX37" s="48">
        <v>0</v>
      </c>
      <c r="EY37" s="48">
        <v>9.5176417635253077E-7</v>
      </c>
      <c r="EZ37" s="48">
        <v>0</v>
      </c>
      <c r="FA37" s="48">
        <v>7.9773439040284353E-13</v>
      </c>
      <c r="FB37" s="48">
        <v>2.1870406944208571E-14</v>
      </c>
      <c r="FC37" s="48">
        <v>0</v>
      </c>
      <c r="FD37" s="48">
        <v>0</v>
      </c>
      <c r="FE37" s="48">
        <v>0</v>
      </c>
      <c r="FF37" s="48">
        <v>0</v>
      </c>
      <c r="FG37" s="48">
        <v>0</v>
      </c>
      <c r="FH37" s="48">
        <v>0</v>
      </c>
      <c r="FI37" s="48">
        <v>0</v>
      </c>
      <c r="FJ37" s="48">
        <v>0</v>
      </c>
      <c r="FK37" s="48">
        <v>0</v>
      </c>
      <c r="FL37" s="48">
        <v>0</v>
      </c>
      <c r="FM37" s="48">
        <v>4.171347998510408E-9</v>
      </c>
      <c r="FN37" s="48">
        <v>0</v>
      </c>
      <c r="FO37" s="48">
        <v>0</v>
      </c>
      <c r="FP37" s="48">
        <v>1.7752846729253257E-7</v>
      </c>
      <c r="FQ37" s="48">
        <v>0</v>
      </c>
      <c r="FR37" s="48">
        <v>0</v>
      </c>
      <c r="FS37" s="48">
        <v>0</v>
      </c>
      <c r="FT37" s="48">
        <v>0</v>
      </c>
      <c r="FU37" s="48">
        <v>0</v>
      </c>
      <c r="FV37" s="48">
        <v>1.481543298740904E-13</v>
      </c>
      <c r="FW37" s="48">
        <v>0</v>
      </c>
      <c r="FX37" s="48">
        <v>0</v>
      </c>
      <c r="FY37" s="48">
        <v>0</v>
      </c>
      <c r="FZ37" s="48">
        <v>0</v>
      </c>
      <c r="GA37" s="48">
        <v>0</v>
      </c>
      <c r="GB37" s="48">
        <v>0</v>
      </c>
      <c r="GC37" s="48">
        <v>0</v>
      </c>
      <c r="GD37" s="48">
        <v>0</v>
      </c>
      <c r="GE37" s="48">
        <v>4.5247745514436835</v>
      </c>
      <c r="GF37" s="48">
        <v>963.42456539940031</v>
      </c>
      <c r="GG37" s="48">
        <v>0</v>
      </c>
      <c r="GH37" s="48">
        <v>0</v>
      </c>
      <c r="GI37" s="48">
        <v>0</v>
      </c>
      <c r="GJ37" s="48">
        <v>0</v>
      </c>
      <c r="GK37" s="48">
        <v>0</v>
      </c>
      <c r="GL37" s="48">
        <v>0</v>
      </c>
      <c r="GM37" s="48">
        <v>0</v>
      </c>
      <c r="GN37" s="48">
        <v>0</v>
      </c>
      <c r="GO37" s="48">
        <v>0</v>
      </c>
      <c r="GP37" s="48">
        <v>0</v>
      </c>
      <c r="GQ37" s="48">
        <v>0</v>
      </c>
      <c r="GR37" s="48">
        <v>0</v>
      </c>
      <c r="GS37" s="48">
        <v>0</v>
      </c>
      <c r="GT37" s="48">
        <v>0</v>
      </c>
      <c r="GU37" s="48">
        <v>0</v>
      </c>
      <c r="GV37" s="48">
        <v>0</v>
      </c>
      <c r="GW37" s="48">
        <v>0</v>
      </c>
      <c r="GX37" s="48">
        <v>0</v>
      </c>
      <c r="GY37" s="48">
        <v>0</v>
      </c>
      <c r="GZ37" s="48">
        <v>0</v>
      </c>
      <c r="HA37" s="48">
        <v>0</v>
      </c>
      <c r="HB37" s="48">
        <v>0</v>
      </c>
      <c r="HC37" s="48">
        <v>0</v>
      </c>
      <c r="HD37" s="48">
        <v>0</v>
      </c>
      <c r="HE37" s="48">
        <v>0</v>
      </c>
      <c r="HF37" s="48">
        <v>0</v>
      </c>
      <c r="HG37" s="48">
        <v>0</v>
      </c>
      <c r="HH37" s="48">
        <v>0</v>
      </c>
      <c r="HI37" s="48">
        <v>0</v>
      </c>
      <c r="HJ37" s="48">
        <v>0</v>
      </c>
      <c r="HK37" s="48">
        <v>0</v>
      </c>
      <c r="HL37" s="48">
        <v>0</v>
      </c>
      <c r="HM37" s="48">
        <v>0</v>
      </c>
      <c r="HN37" s="48">
        <v>0</v>
      </c>
      <c r="HO37" s="48">
        <v>0</v>
      </c>
      <c r="HP37" s="48">
        <v>0</v>
      </c>
      <c r="HQ37" s="48">
        <v>0</v>
      </c>
      <c r="HR37" s="48">
        <v>0</v>
      </c>
      <c r="HS37" s="48">
        <v>0</v>
      </c>
      <c r="HT37" s="48">
        <v>0</v>
      </c>
      <c r="HU37" s="48">
        <v>0</v>
      </c>
      <c r="HV37" s="48">
        <v>0</v>
      </c>
      <c r="HW37" s="48">
        <v>0</v>
      </c>
      <c r="HX37" s="48">
        <v>0</v>
      </c>
      <c r="HY37" s="48">
        <v>0</v>
      </c>
      <c r="HZ37" s="48">
        <v>0</v>
      </c>
      <c r="IA37" s="48">
        <v>0</v>
      </c>
      <c r="IB37" s="48">
        <v>0</v>
      </c>
      <c r="IC37" s="48">
        <v>0</v>
      </c>
      <c r="ID37" s="48">
        <v>0</v>
      </c>
      <c r="IE37" s="48">
        <v>0</v>
      </c>
      <c r="IF37" s="48">
        <v>0</v>
      </c>
      <c r="IG37" s="48">
        <v>0</v>
      </c>
      <c r="IH37" s="48">
        <v>0</v>
      </c>
      <c r="II37" s="48">
        <v>0</v>
      </c>
      <c r="IJ37" s="48">
        <v>0</v>
      </c>
      <c r="IK37" s="48">
        <v>9.2056570554497478E-6</v>
      </c>
      <c r="IL37" s="48">
        <v>0</v>
      </c>
      <c r="IM37" s="48">
        <v>0</v>
      </c>
      <c r="IN37" s="48">
        <v>0</v>
      </c>
      <c r="IO37" s="48">
        <v>0</v>
      </c>
      <c r="IP37" s="23">
        <v>2994.99999999998</v>
      </c>
      <c r="IQ37" s="25">
        <v>13146</v>
      </c>
      <c r="IR37" s="25">
        <v>0</v>
      </c>
      <c r="IS37" s="26">
        <v>0</v>
      </c>
      <c r="IT37" s="26">
        <v>5445</v>
      </c>
      <c r="IU37" s="26">
        <v>0</v>
      </c>
      <c r="IV37" s="9">
        <v>5283</v>
      </c>
      <c r="IW37" s="38">
        <f t="shared" si="4"/>
        <v>26868.999999999978</v>
      </c>
    </row>
    <row r="38" spans="1:257" ht="30" customHeight="1" x14ac:dyDescent="0.25">
      <c r="A38" s="112" t="b">
        <v>1</v>
      </c>
      <c r="B38" s="113" t="b">
        <f>IFERROR(VLOOKUP(C38,'Bridge matrix'!$D$3:$E$727,2,FALSE)='symmetric IOT 245 2012'!D38,"FALSCH")</f>
        <v>1</v>
      </c>
      <c r="C38" s="108">
        <v>33</v>
      </c>
      <c r="D38" s="49" t="s">
        <v>1355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2.958733284132278E-2</v>
      </c>
      <c r="CJ38" s="48">
        <v>0</v>
      </c>
      <c r="CK38" s="48">
        <v>0</v>
      </c>
      <c r="CL38" s="48">
        <v>0</v>
      </c>
      <c r="CM38" s="48">
        <v>5.860738426526768E-4</v>
      </c>
      <c r="CN38" s="48">
        <v>4.8052707581969195E-6</v>
      </c>
      <c r="CO38" s="48">
        <v>0</v>
      </c>
      <c r="CP38" s="48">
        <v>0</v>
      </c>
      <c r="CQ38" s="48">
        <v>0</v>
      </c>
      <c r="CR38" s="48">
        <v>0</v>
      </c>
      <c r="CS38" s="48">
        <v>0</v>
      </c>
      <c r="CT38" s="48">
        <v>6.4325049073163196E-9</v>
      </c>
      <c r="CU38" s="48">
        <v>1.4179378194508756E-2</v>
      </c>
      <c r="CV38" s="48">
        <v>3.3235814198384485E-2</v>
      </c>
      <c r="CW38" s="48">
        <v>0</v>
      </c>
      <c r="CX38" s="48">
        <v>5.9872625072575979E-10</v>
      </c>
      <c r="CY38" s="48">
        <v>0</v>
      </c>
      <c r="CZ38" s="48">
        <v>0</v>
      </c>
      <c r="DA38" s="48">
        <v>4.8654781368096954E-4</v>
      </c>
      <c r="DB38" s="48">
        <v>0</v>
      </c>
      <c r="DC38" s="48">
        <v>2.8807887553202424E-9</v>
      </c>
      <c r="DD38" s="48">
        <v>0</v>
      </c>
      <c r="DE38" s="48">
        <v>0</v>
      </c>
      <c r="DF38" s="48">
        <v>0</v>
      </c>
      <c r="DG38" s="48">
        <v>0</v>
      </c>
      <c r="DH38" s="48">
        <v>0</v>
      </c>
      <c r="DI38" s="48">
        <v>0</v>
      </c>
      <c r="DJ38" s="48">
        <v>0</v>
      </c>
      <c r="DK38" s="48">
        <v>0</v>
      </c>
      <c r="DL38" s="48">
        <v>527.70028530037348</v>
      </c>
      <c r="DM38" s="48">
        <v>0</v>
      </c>
      <c r="DN38" s="48">
        <v>0</v>
      </c>
      <c r="DO38" s="48">
        <v>0</v>
      </c>
      <c r="DP38" s="48">
        <v>0</v>
      </c>
      <c r="DQ38" s="48">
        <v>0</v>
      </c>
      <c r="DR38" s="48">
        <v>3.0973314077931309E-9</v>
      </c>
      <c r="DS38" s="48">
        <v>0</v>
      </c>
      <c r="DT38" s="48">
        <v>0</v>
      </c>
      <c r="DU38" s="48">
        <v>0</v>
      </c>
      <c r="DV38" s="48">
        <v>0</v>
      </c>
      <c r="DW38" s="48">
        <v>0</v>
      </c>
      <c r="DX38" s="48">
        <v>0</v>
      </c>
      <c r="DY38" s="48">
        <v>1.1824144786162934E-14</v>
      </c>
      <c r="DZ38" s="48">
        <v>0</v>
      </c>
      <c r="EA38" s="48">
        <v>0</v>
      </c>
      <c r="EB38" s="48">
        <v>3.291397402226056E-8</v>
      </c>
      <c r="EC38" s="48">
        <v>9.51948017770915E-10</v>
      </c>
      <c r="ED38" s="48">
        <v>0</v>
      </c>
      <c r="EE38" s="48">
        <v>0</v>
      </c>
      <c r="EF38" s="48">
        <v>0</v>
      </c>
      <c r="EG38" s="48">
        <v>0</v>
      </c>
      <c r="EH38" s="48">
        <v>0</v>
      </c>
      <c r="EI38" s="48">
        <v>3.495514325955213E-5</v>
      </c>
      <c r="EJ38" s="48">
        <v>6.4953744755837507E-4</v>
      </c>
      <c r="EK38" s="48">
        <v>0</v>
      </c>
      <c r="EL38" s="48">
        <v>0</v>
      </c>
      <c r="EM38" s="48">
        <v>0</v>
      </c>
      <c r="EN38" s="48">
        <v>0</v>
      </c>
      <c r="EO38" s="48">
        <v>0</v>
      </c>
      <c r="EP38" s="48">
        <v>0</v>
      </c>
      <c r="EQ38" s="48">
        <v>0</v>
      </c>
      <c r="ER38" s="48">
        <v>8.2144489983226123E-10</v>
      </c>
      <c r="ES38" s="48">
        <v>1.4364239444325359E-11</v>
      </c>
      <c r="ET38" s="48">
        <v>0</v>
      </c>
      <c r="EU38" s="48">
        <v>0</v>
      </c>
      <c r="EV38" s="48">
        <v>0</v>
      </c>
      <c r="EW38" s="48">
        <v>1.0225588272205195E-9</v>
      </c>
      <c r="EX38" s="48">
        <v>0</v>
      </c>
      <c r="EY38" s="48">
        <v>2.4833403887109094E-7</v>
      </c>
      <c r="EZ38" s="48">
        <v>0</v>
      </c>
      <c r="FA38" s="48">
        <v>2.081446308205333E-13</v>
      </c>
      <c r="FB38" s="48">
        <v>5.7064203750803811E-15</v>
      </c>
      <c r="FC38" s="48">
        <v>0</v>
      </c>
      <c r="FD38" s="48">
        <v>0</v>
      </c>
      <c r="FE38" s="48">
        <v>0</v>
      </c>
      <c r="FF38" s="48">
        <v>0</v>
      </c>
      <c r="FG38" s="48">
        <v>0</v>
      </c>
      <c r="FH38" s="48">
        <v>0</v>
      </c>
      <c r="FI38" s="48">
        <v>0</v>
      </c>
      <c r="FJ38" s="48">
        <v>0</v>
      </c>
      <c r="FK38" s="48">
        <v>0</v>
      </c>
      <c r="FL38" s="48">
        <v>0</v>
      </c>
      <c r="FM38" s="48">
        <v>1.0883869363278568E-9</v>
      </c>
      <c r="FN38" s="48">
        <v>0</v>
      </c>
      <c r="FO38" s="48">
        <v>0</v>
      </c>
      <c r="FP38" s="48">
        <v>4.6320677319777319E-8</v>
      </c>
      <c r="FQ38" s="48">
        <v>0</v>
      </c>
      <c r="FR38" s="48">
        <v>0</v>
      </c>
      <c r="FS38" s="48">
        <v>0</v>
      </c>
      <c r="FT38" s="48">
        <v>0</v>
      </c>
      <c r="FU38" s="48">
        <v>0</v>
      </c>
      <c r="FV38" s="48">
        <v>3.8656385718225779E-14</v>
      </c>
      <c r="FW38" s="48">
        <v>0</v>
      </c>
      <c r="FX38" s="48">
        <v>0</v>
      </c>
      <c r="FY38" s="48">
        <v>0</v>
      </c>
      <c r="FZ38" s="48">
        <v>0</v>
      </c>
      <c r="GA38" s="48">
        <v>0</v>
      </c>
      <c r="GB38" s="48">
        <v>0</v>
      </c>
      <c r="GC38" s="48">
        <v>0</v>
      </c>
      <c r="GD38" s="48">
        <v>0</v>
      </c>
      <c r="GE38" s="48">
        <v>10.574794399680226</v>
      </c>
      <c r="GF38" s="48">
        <v>1306.6461531087689</v>
      </c>
      <c r="GG38" s="48">
        <v>0</v>
      </c>
      <c r="GH38" s="48">
        <v>0</v>
      </c>
      <c r="GI38" s="48">
        <v>0</v>
      </c>
      <c r="GJ38" s="48">
        <v>0</v>
      </c>
      <c r="GK38" s="48">
        <v>0</v>
      </c>
      <c r="GL38" s="48">
        <v>0</v>
      </c>
      <c r="GM38" s="48">
        <v>0</v>
      </c>
      <c r="GN38" s="48">
        <v>0</v>
      </c>
      <c r="GO38" s="48">
        <v>0</v>
      </c>
      <c r="GP38" s="48">
        <v>0</v>
      </c>
      <c r="GQ38" s="48">
        <v>0</v>
      </c>
      <c r="GR38" s="48">
        <v>0</v>
      </c>
      <c r="GS38" s="48">
        <v>0</v>
      </c>
      <c r="GT38" s="48">
        <v>0</v>
      </c>
      <c r="GU38" s="48">
        <v>0</v>
      </c>
      <c r="GV38" s="48">
        <v>0</v>
      </c>
      <c r="GW38" s="48">
        <v>0</v>
      </c>
      <c r="GX38" s="48">
        <v>0</v>
      </c>
      <c r="GY38" s="48">
        <v>0</v>
      </c>
      <c r="GZ38" s="48">
        <v>0</v>
      </c>
      <c r="HA38" s="48">
        <v>0</v>
      </c>
      <c r="HB38" s="48">
        <v>0</v>
      </c>
      <c r="HC38" s="48">
        <v>0</v>
      </c>
      <c r="HD38" s="48">
        <v>0</v>
      </c>
      <c r="HE38" s="48">
        <v>0</v>
      </c>
      <c r="HF38" s="48">
        <v>0</v>
      </c>
      <c r="HG38" s="48">
        <v>0</v>
      </c>
      <c r="HH38" s="48">
        <v>0</v>
      </c>
      <c r="HI38" s="48">
        <v>0</v>
      </c>
      <c r="HJ38" s="48">
        <v>0</v>
      </c>
      <c r="HK38" s="48">
        <v>0</v>
      </c>
      <c r="HL38" s="48">
        <v>0</v>
      </c>
      <c r="HM38" s="48">
        <v>0</v>
      </c>
      <c r="HN38" s="48">
        <v>0</v>
      </c>
      <c r="HO38" s="48">
        <v>0</v>
      </c>
      <c r="HP38" s="48">
        <v>0</v>
      </c>
      <c r="HQ38" s="48">
        <v>0</v>
      </c>
      <c r="HR38" s="48">
        <v>0</v>
      </c>
      <c r="HS38" s="48">
        <v>0</v>
      </c>
      <c r="HT38" s="48">
        <v>0</v>
      </c>
      <c r="HU38" s="48">
        <v>0</v>
      </c>
      <c r="HV38" s="48">
        <v>0</v>
      </c>
      <c r="HW38" s="48">
        <v>0</v>
      </c>
      <c r="HX38" s="48">
        <v>0</v>
      </c>
      <c r="HY38" s="48">
        <v>0</v>
      </c>
      <c r="HZ38" s="48">
        <v>0</v>
      </c>
      <c r="IA38" s="48">
        <v>0</v>
      </c>
      <c r="IB38" s="48">
        <v>0</v>
      </c>
      <c r="IC38" s="48">
        <v>0</v>
      </c>
      <c r="ID38" s="48">
        <v>0</v>
      </c>
      <c r="IE38" s="48">
        <v>0</v>
      </c>
      <c r="IF38" s="48">
        <v>0</v>
      </c>
      <c r="IG38" s="48">
        <v>0</v>
      </c>
      <c r="IH38" s="48">
        <v>0</v>
      </c>
      <c r="II38" s="48">
        <v>0</v>
      </c>
      <c r="IJ38" s="48">
        <v>0</v>
      </c>
      <c r="IK38" s="48">
        <v>2.4019374271922991E-6</v>
      </c>
      <c r="IL38" s="48">
        <v>0</v>
      </c>
      <c r="IM38" s="48">
        <v>0</v>
      </c>
      <c r="IN38" s="48">
        <v>0</v>
      </c>
      <c r="IO38" s="48">
        <v>0</v>
      </c>
      <c r="IP38" s="23">
        <v>1844.9999999999891</v>
      </c>
      <c r="IQ38" s="25">
        <v>31338</v>
      </c>
      <c r="IR38" s="25">
        <v>0</v>
      </c>
      <c r="IS38" s="26">
        <v>0</v>
      </c>
      <c r="IT38" s="26">
        <v>16106</v>
      </c>
      <c r="IU38" s="26">
        <v>0</v>
      </c>
      <c r="IV38" s="9">
        <v>30192</v>
      </c>
      <c r="IW38" s="38">
        <f t="shared" si="4"/>
        <v>79480.999999999985</v>
      </c>
    </row>
    <row r="39" spans="1:257" ht="30" customHeight="1" x14ac:dyDescent="0.25">
      <c r="A39" s="112" t="b">
        <v>1</v>
      </c>
      <c r="B39" s="113" t="b">
        <f>IFERROR(VLOOKUP(C39,'Bridge matrix'!$D$3:$E$727,2,FALSE)='symmetric IOT 245 2012'!D39,"FALSCH")</f>
        <v>1</v>
      </c>
      <c r="C39" s="108">
        <v>34</v>
      </c>
      <c r="D39" s="49" t="s">
        <v>1356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7.467520275885442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7.2460839088049093E-3</v>
      </c>
      <c r="CJ39" s="48">
        <v>0</v>
      </c>
      <c r="CK39" s="48">
        <v>0</v>
      </c>
      <c r="CL39" s="48">
        <v>0</v>
      </c>
      <c r="CM39" s="48">
        <v>1.4353237797378853E-4</v>
      </c>
      <c r="CN39" s="48">
        <v>1.1768345360887488E-6</v>
      </c>
      <c r="CO39" s="48">
        <v>0</v>
      </c>
      <c r="CP39" s="48">
        <v>0</v>
      </c>
      <c r="CQ39" s="48">
        <v>0</v>
      </c>
      <c r="CR39" s="48">
        <v>0</v>
      </c>
      <c r="CS39" s="48">
        <v>0</v>
      </c>
      <c r="CT39" s="48">
        <v>1.5753522141446797E-9</v>
      </c>
      <c r="CU39" s="48">
        <v>3.4725997345928946E-3</v>
      </c>
      <c r="CV39" s="48">
        <v>8.1396150085752995E-3</v>
      </c>
      <c r="CW39" s="48">
        <v>0</v>
      </c>
      <c r="CX39" s="48">
        <v>1.4663101518578992E-10</v>
      </c>
      <c r="CY39" s="48">
        <v>0</v>
      </c>
      <c r="CZ39" s="48">
        <v>0</v>
      </c>
      <c r="DA39" s="48">
        <v>1.1915796204022646E-4</v>
      </c>
      <c r="DB39" s="48">
        <v>0</v>
      </c>
      <c r="DC39" s="48">
        <v>7.0551939090089743E-10</v>
      </c>
      <c r="DD39" s="48">
        <v>0</v>
      </c>
      <c r="DE39" s="48">
        <v>0</v>
      </c>
      <c r="DF39" s="48">
        <v>0</v>
      </c>
      <c r="DG39" s="48">
        <v>0</v>
      </c>
      <c r="DH39" s="48">
        <v>0</v>
      </c>
      <c r="DI39" s="48">
        <v>0</v>
      </c>
      <c r="DJ39" s="48">
        <v>0</v>
      </c>
      <c r="DK39" s="48">
        <v>0</v>
      </c>
      <c r="DL39" s="48">
        <v>129.23640554198229</v>
      </c>
      <c r="DM39" s="48">
        <v>0</v>
      </c>
      <c r="DN39" s="48">
        <v>0</v>
      </c>
      <c r="DO39" s="48">
        <v>0</v>
      </c>
      <c r="DP39" s="48">
        <v>0</v>
      </c>
      <c r="DQ39" s="48">
        <v>0</v>
      </c>
      <c r="DR39" s="48">
        <v>7.5855175573313048E-10</v>
      </c>
      <c r="DS39" s="48">
        <v>0</v>
      </c>
      <c r="DT39" s="48">
        <v>0</v>
      </c>
      <c r="DU39" s="48">
        <v>0</v>
      </c>
      <c r="DV39" s="48">
        <v>0</v>
      </c>
      <c r="DW39" s="48">
        <v>0</v>
      </c>
      <c r="DX39" s="48">
        <v>0</v>
      </c>
      <c r="DY39" s="48">
        <v>2.8957914432467071E-15</v>
      </c>
      <c r="DZ39" s="48">
        <v>0</v>
      </c>
      <c r="EA39" s="48">
        <v>0</v>
      </c>
      <c r="EB39" s="48">
        <v>8.0607947602641104E-9</v>
      </c>
      <c r="EC39" s="48">
        <v>2.3313677006920686E-10</v>
      </c>
      <c r="ED39" s="48">
        <v>0</v>
      </c>
      <c r="EE39" s="48">
        <v>0</v>
      </c>
      <c r="EF39" s="48">
        <v>0</v>
      </c>
      <c r="EG39" s="48">
        <v>0</v>
      </c>
      <c r="EH39" s="48">
        <v>0</v>
      </c>
      <c r="EI39" s="48">
        <v>8.5606871853369468E-6</v>
      </c>
      <c r="EJ39" s="48">
        <v>1.5907492818499505E-4</v>
      </c>
      <c r="EK39" s="48">
        <v>0</v>
      </c>
      <c r="EL39" s="48">
        <v>0</v>
      </c>
      <c r="EM39" s="48">
        <v>0</v>
      </c>
      <c r="EN39" s="48">
        <v>0</v>
      </c>
      <c r="EO39" s="48">
        <v>0</v>
      </c>
      <c r="EP39" s="48">
        <v>0</v>
      </c>
      <c r="EQ39" s="48">
        <v>0</v>
      </c>
      <c r="ER39" s="48">
        <v>2.0117591208935385E-10</v>
      </c>
      <c r="ES39" s="48">
        <v>3.5178731674785663E-12</v>
      </c>
      <c r="ET39" s="48">
        <v>0</v>
      </c>
      <c r="EU39" s="48">
        <v>0</v>
      </c>
      <c r="EV39" s="48">
        <v>0</v>
      </c>
      <c r="EW39" s="48">
        <v>2.5042970596459414E-10</v>
      </c>
      <c r="EX39" s="48">
        <v>0</v>
      </c>
      <c r="EY39" s="48">
        <v>6.0818232340265791E-8</v>
      </c>
      <c r="EZ39" s="48">
        <v>0</v>
      </c>
      <c r="FA39" s="48">
        <v>5.0975647861923866E-14</v>
      </c>
      <c r="FB39" s="48">
        <v>1.3975305269489041E-15</v>
      </c>
      <c r="FC39" s="48">
        <v>0</v>
      </c>
      <c r="FD39" s="48">
        <v>0</v>
      </c>
      <c r="FE39" s="48">
        <v>0</v>
      </c>
      <c r="FF39" s="48">
        <v>0</v>
      </c>
      <c r="FG39" s="48">
        <v>0</v>
      </c>
      <c r="FH39" s="48">
        <v>0</v>
      </c>
      <c r="FI39" s="48">
        <v>0</v>
      </c>
      <c r="FJ39" s="48">
        <v>0</v>
      </c>
      <c r="FK39" s="48">
        <v>0</v>
      </c>
      <c r="FL39" s="48">
        <v>0</v>
      </c>
      <c r="FM39" s="48">
        <v>2.6655133493020103E-10</v>
      </c>
      <c r="FN39" s="48">
        <v>0</v>
      </c>
      <c r="FO39" s="48">
        <v>0</v>
      </c>
      <c r="FP39" s="48">
        <v>1.1344162597279171E-8</v>
      </c>
      <c r="FQ39" s="48">
        <v>0</v>
      </c>
      <c r="FR39" s="48">
        <v>0</v>
      </c>
      <c r="FS39" s="48">
        <v>0</v>
      </c>
      <c r="FT39" s="48">
        <v>0</v>
      </c>
      <c r="FU39" s="48">
        <v>0</v>
      </c>
      <c r="FV39" s="48">
        <v>9.4671397394152366E-15</v>
      </c>
      <c r="FW39" s="48">
        <v>0</v>
      </c>
      <c r="FX39" s="48">
        <v>0</v>
      </c>
      <c r="FY39" s="48">
        <v>0</v>
      </c>
      <c r="FZ39" s="48">
        <v>0</v>
      </c>
      <c r="GA39" s="48">
        <v>0</v>
      </c>
      <c r="GB39" s="48">
        <v>0</v>
      </c>
      <c r="GC39" s="48">
        <v>0</v>
      </c>
      <c r="GD39" s="48">
        <v>0</v>
      </c>
      <c r="GE39" s="48">
        <v>0</v>
      </c>
      <c r="GF39" s="48">
        <v>1842.2767837080687</v>
      </c>
      <c r="GG39" s="48">
        <v>0</v>
      </c>
      <c r="GH39" s="48">
        <v>0</v>
      </c>
      <c r="GI39" s="48">
        <v>0</v>
      </c>
      <c r="GJ39" s="48">
        <v>0</v>
      </c>
      <c r="GK39" s="48">
        <v>0</v>
      </c>
      <c r="GL39" s="48">
        <v>0</v>
      </c>
      <c r="GM39" s="48">
        <v>0</v>
      </c>
      <c r="GN39" s="48">
        <v>0</v>
      </c>
      <c r="GO39" s="48">
        <v>0</v>
      </c>
      <c r="GP39" s="48">
        <v>0</v>
      </c>
      <c r="GQ39" s="48">
        <v>0</v>
      </c>
      <c r="GR39" s="48">
        <v>0</v>
      </c>
      <c r="GS39" s="48">
        <v>0</v>
      </c>
      <c r="GT39" s="48">
        <v>0</v>
      </c>
      <c r="GU39" s="48">
        <v>0</v>
      </c>
      <c r="GV39" s="48">
        <v>0</v>
      </c>
      <c r="GW39" s="48">
        <v>0</v>
      </c>
      <c r="GX39" s="48">
        <v>0</v>
      </c>
      <c r="GY39" s="48">
        <v>0</v>
      </c>
      <c r="GZ39" s="48">
        <v>0</v>
      </c>
      <c r="HA39" s="48">
        <v>0</v>
      </c>
      <c r="HB39" s="48">
        <v>0</v>
      </c>
      <c r="HC39" s="48">
        <v>0</v>
      </c>
      <c r="HD39" s="48">
        <v>0</v>
      </c>
      <c r="HE39" s="48">
        <v>0</v>
      </c>
      <c r="HF39" s="48">
        <v>0</v>
      </c>
      <c r="HG39" s="48">
        <v>0</v>
      </c>
      <c r="HH39" s="48">
        <v>0</v>
      </c>
      <c r="HI39" s="48">
        <v>0</v>
      </c>
      <c r="HJ39" s="48">
        <v>0</v>
      </c>
      <c r="HK39" s="48">
        <v>0</v>
      </c>
      <c r="HL39" s="48">
        <v>0</v>
      </c>
      <c r="HM39" s="48">
        <v>0</v>
      </c>
      <c r="HN39" s="48">
        <v>0</v>
      </c>
      <c r="HO39" s="48">
        <v>0</v>
      </c>
      <c r="HP39" s="48">
        <v>0</v>
      </c>
      <c r="HQ39" s="48">
        <v>0</v>
      </c>
      <c r="HR39" s="48">
        <v>0</v>
      </c>
      <c r="HS39" s="48">
        <v>0</v>
      </c>
      <c r="HT39" s="48">
        <v>0</v>
      </c>
      <c r="HU39" s="48">
        <v>0</v>
      </c>
      <c r="HV39" s="48">
        <v>0</v>
      </c>
      <c r="HW39" s="48">
        <v>0</v>
      </c>
      <c r="HX39" s="48">
        <v>0</v>
      </c>
      <c r="HY39" s="48">
        <v>0</v>
      </c>
      <c r="HZ39" s="48">
        <v>0</v>
      </c>
      <c r="IA39" s="48">
        <v>0</v>
      </c>
      <c r="IB39" s="48">
        <v>0</v>
      </c>
      <c r="IC39" s="48">
        <v>0</v>
      </c>
      <c r="ID39" s="48">
        <v>0</v>
      </c>
      <c r="IE39" s="48">
        <v>0</v>
      </c>
      <c r="IF39" s="48">
        <v>0</v>
      </c>
      <c r="IG39" s="48">
        <v>0</v>
      </c>
      <c r="IH39" s="48">
        <v>0</v>
      </c>
      <c r="II39" s="48">
        <v>0</v>
      </c>
      <c r="IJ39" s="48">
        <v>0</v>
      </c>
      <c r="IK39" s="48">
        <v>5.8824633617621789E-7</v>
      </c>
      <c r="IL39" s="48">
        <v>0</v>
      </c>
      <c r="IM39" s="48">
        <v>0</v>
      </c>
      <c r="IN39" s="48">
        <v>0</v>
      </c>
      <c r="IO39" s="48">
        <v>0</v>
      </c>
      <c r="IP39" s="23">
        <v>1978.9999999999889</v>
      </c>
      <c r="IQ39" s="25">
        <v>18690</v>
      </c>
      <c r="IR39" s="25">
        <v>0</v>
      </c>
      <c r="IS39" s="26">
        <v>0</v>
      </c>
      <c r="IT39" s="26">
        <v>5282</v>
      </c>
      <c r="IU39" s="26">
        <v>0</v>
      </c>
      <c r="IV39" s="9">
        <v>116</v>
      </c>
      <c r="IW39" s="38">
        <f t="shared" si="4"/>
        <v>26066.999999999989</v>
      </c>
    </row>
    <row r="40" spans="1:257" ht="30" customHeight="1" x14ac:dyDescent="0.25">
      <c r="A40" s="112" t="b">
        <v>1</v>
      </c>
      <c r="B40" s="113" t="b">
        <f>IFERROR(VLOOKUP(C40,'Bridge matrix'!$D$3:$E$727,2,FALSE)='symmetric IOT 245 2012'!D40,"FALSCH")</f>
        <v>1</v>
      </c>
      <c r="C40" s="108">
        <v>35</v>
      </c>
      <c r="D40" s="49" t="s">
        <v>1357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1.690322399404679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48">
        <v>0</v>
      </c>
      <c r="CB40" s="48">
        <v>0</v>
      </c>
      <c r="CC40" s="48">
        <v>0</v>
      </c>
      <c r="CD40" s="48">
        <v>0</v>
      </c>
      <c r="CE40" s="48">
        <v>0</v>
      </c>
      <c r="CF40" s="48">
        <v>0</v>
      </c>
      <c r="CG40" s="48">
        <v>0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  <c r="CM40" s="48">
        <v>0</v>
      </c>
      <c r="CN40" s="48">
        <v>0</v>
      </c>
      <c r="CO40" s="48">
        <v>0</v>
      </c>
      <c r="CP40" s="48">
        <v>0</v>
      </c>
      <c r="CQ40" s="48">
        <v>0</v>
      </c>
      <c r="CR40" s="48">
        <v>0</v>
      </c>
      <c r="CS40" s="48">
        <v>0</v>
      </c>
      <c r="CT40" s="48">
        <v>0</v>
      </c>
      <c r="CU40" s="48">
        <v>0</v>
      </c>
      <c r="CV40" s="48">
        <v>0</v>
      </c>
      <c r="CW40" s="48">
        <v>0</v>
      </c>
      <c r="CX40" s="48">
        <v>0</v>
      </c>
      <c r="CY40" s="48">
        <v>0</v>
      </c>
      <c r="CZ40" s="48">
        <v>0</v>
      </c>
      <c r="DA40" s="48">
        <v>0</v>
      </c>
      <c r="DB40" s="48">
        <v>0</v>
      </c>
      <c r="DC40" s="48">
        <v>0</v>
      </c>
      <c r="DD40" s="48">
        <v>0</v>
      </c>
      <c r="DE40" s="48">
        <v>0</v>
      </c>
      <c r="DF40" s="48">
        <v>0</v>
      </c>
      <c r="DG40" s="48">
        <v>0</v>
      </c>
      <c r="DH40" s="48">
        <v>0</v>
      </c>
      <c r="DI40" s="48">
        <v>0</v>
      </c>
      <c r="DJ40" s="48">
        <v>0</v>
      </c>
      <c r="DK40" s="48">
        <v>0</v>
      </c>
      <c r="DL40" s="48">
        <v>0</v>
      </c>
      <c r="DM40" s="48">
        <v>0</v>
      </c>
      <c r="DN40" s="48">
        <v>0</v>
      </c>
      <c r="DO40" s="48">
        <v>0</v>
      </c>
      <c r="DP40" s="48">
        <v>0</v>
      </c>
      <c r="DQ40" s="48">
        <v>0</v>
      </c>
      <c r="DR40" s="48">
        <v>0</v>
      </c>
      <c r="DS40" s="48">
        <v>0</v>
      </c>
      <c r="DT40" s="48">
        <v>0</v>
      </c>
      <c r="DU40" s="48">
        <v>0</v>
      </c>
      <c r="DV40" s="48">
        <v>0</v>
      </c>
      <c r="DW40" s="48">
        <v>0</v>
      </c>
      <c r="DX40" s="48">
        <v>0</v>
      </c>
      <c r="DY40" s="48">
        <v>0</v>
      </c>
      <c r="DZ40" s="48">
        <v>0</v>
      </c>
      <c r="EA40" s="48">
        <v>0</v>
      </c>
      <c r="EB40" s="48">
        <v>0</v>
      </c>
      <c r="EC40" s="48">
        <v>0</v>
      </c>
      <c r="ED40" s="48">
        <v>0</v>
      </c>
      <c r="EE40" s="48">
        <v>0</v>
      </c>
      <c r="EF40" s="48">
        <v>0</v>
      </c>
      <c r="EG40" s="48">
        <v>0</v>
      </c>
      <c r="EH40" s="48">
        <v>0</v>
      </c>
      <c r="EI40" s="48">
        <v>0</v>
      </c>
      <c r="EJ40" s="48">
        <v>0</v>
      </c>
      <c r="EK40" s="48">
        <v>0</v>
      </c>
      <c r="EL40" s="48">
        <v>0</v>
      </c>
      <c r="EM40" s="48">
        <v>0</v>
      </c>
      <c r="EN40" s="48">
        <v>0</v>
      </c>
      <c r="EO40" s="48">
        <v>0</v>
      </c>
      <c r="EP40" s="48">
        <v>0</v>
      </c>
      <c r="EQ40" s="48">
        <v>0</v>
      </c>
      <c r="ER40" s="48">
        <v>0</v>
      </c>
      <c r="ES40" s="48">
        <v>0</v>
      </c>
      <c r="ET40" s="48">
        <v>0</v>
      </c>
      <c r="EU40" s="48">
        <v>0</v>
      </c>
      <c r="EV40" s="48">
        <v>0</v>
      </c>
      <c r="EW40" s="48">
        <v>0</v>
      </c>
      <c r="EX40" s="48">
        <v>0</v>
      </c>
      <c r="EY40" s="48">
        <v>0</v>
      </c>
      <c r="EZ40" s="48">
        <v>0</v>
      </c>
      <c r="FA40" s="48">
        <v>0</v>
      </c>
      <c r="FB40" s="48">
        <v>0</v>
      </c>
      <c r="FC40" s="48">
        <v>0</v>
      </c>
      <c r="FD40" s="48">
        <v>0</v>
      </c>
      <c r="FE40" s="48">
        <v>0</v>
      </c>
      <c r="FF40" s="48">
        <v>0</v>
      </c>
      <c r="FG40" s="48">
        <v>0</v>
      </c>
      <c r="FH40" s="48">
        <v>0</v>
      </c>
      <c r="FI40" s="48">
        <v>0</v>
      </c>
      <c r="FJ40" s="48">
        <v>0</v>
      </c>
      <c r="FK40" s="48">
        <v>0</v>
      </c>
      <c r="FL40" s="48">
        <v>0</v>
      </c>
      <c r="FM40" s="48">
        <v>0</v>
      </c>
      <c r="FN40" s="48">
        <v>0</v>
      </c>
      <c r="FO40" s="48">
        <v>0</v>
      </c>
      <c r="FP40" s="48">
        <v>0</v>
      </c>
      <c r="FQ40" s="48">
        <v>0</v>
      </c>
      <c r="FR40" s="48">
        <v>0</v>
      </c>
      <c r="FS40" s="48">
        <v>0</v>
      </c>
      <c r="FT40" s="48">
        <v>0</v>
      </c>
      <c r="FU40" s="48">
        <v>0</v>
      </c>
      <c r="FV40" s="48">
        <v>0</v>
      </c>
      <c r="FW40" s="48">
        <v>0</v>
      </c>
      <c r="FX40" s="48">
        <v>0</v>
      </c>
      <c r="FY40" s="48">
        <v>0</v>
      </c>
      <c r="FZ40" s="48">
        <v>0</v>
      </c>
      <c r="GA40" s="48">
        <v>0</v>
      </c>
      <c r="GB40" s="48">
        <v>0</v>
      </c>
      <c r="GC40" s="48">
        <v>0</v>
      </c>
      <c r="GD40" s="48">
        <v>0</v>
      </c>
      <c r="GE40" s="48">
        <v>23.809247276954846</v>
      </c>
      <c r="GF40" s="48">
        <v>204.50043032363922</v>
      </c>
      <c r="GG40" s="48">
        <v>0</v>
      </c>
      <c r="GH40" s="48">
        <v>0</v>
      </c>
      <c r="GI40" s="48">
        <v>0</v>
      </c>
      <c r="GJ40" s="48">
        <v>0</v>
      </c>
      <c r="GK40" s="48">
        <v>0</v>
      </c>
      <c r="GL40" s="48">
        <v>0</v>
      </c>
      <c r="GM40" s="48">
        <v>0</v>
      </c>
      <c r="GN40" s="48">
        <v>0</v>
      </c>
      <c r="GO40" s="48">
        <v>0</v>
      </c>
      <c r="GP40" s="48">
        <v>0</v>
      </c>
      <c r="GQ40" s="48">
        <v>0</v>
      </c>
      <c r="GR40" s="48">
        <v>0</v>
      </c>
      <c r="GS40" s="48">
        <v>0</v>
      </c>
      <c r="GT40" s="48">
        <v>0</v>
      </c>
      <c r="GU40" s="48">
        <v>0</v>
      </c>
      <c r="GV40" s="48">
        <v>0</v>
      </c>
      <c r="GW40" s="48">
        <v>0</v>
      </c>
      <c r="GX40" s="48">
        <v>0</v>
      </c>
      <c r="GY40" s="48">
        <v>0</v>
      </c>
      <c r="GZ40" s="48">
        <v>0</v>
      </c>
      <c r="HA40" s="48">
        <v>0</v>
      </c>
      <c r="HB40" s="48">
        <v>0</v>
      </c>
      <c r="HC40" s="48">
        <v>0</v>
      </c>
      <c r="HD40" s="48">
        <v>0</v>
      </c>
      <c r="HE40" s="48">
        <v>0</v>
      </c>
      <c r="HF40" s="48">
        <v>0</v>
      </c>
      <c r="HG40" s="48">
        <v>0</v>
      </c>
      <c r="HH40" s="48">
        <v>0</v>
      </c>
      <c r="HI40" s="48">
        <v>0</v>
      </c>
      <c r="HJ40" s="48">
        <v>0</v>
      </c>
      <c r="HK40" s="48">
        <v>0</v>
      </c>
      <c r="HL40" s="48">
        <v>0</v>
      </c>
      <c r="HM40" s="48">
        <v>0</v>
      </c>
      <c r="HN40" s="48">
        <v>0</v>
      </c>
      <c r="HO40" s="48">
        <v>0</v>
      </c>
      <c r="HP40" s="48">
        <v>0</v>
      </c>
      <c r="HQ40" s="48">
        <v>0</v>
      </c>
      <c r="HR40" s="48">
        <v>0</v>
      </c>
      <c r="HS40" s="48">
        <v>0</v>
      </c>
      <c r="HT40" s="48">
        <v>0</v>
      </c>
      <c r="HU40" s="48">
        <v>0</v>
      </c>
      <c r="HV40" s="48">
        <v>0</v>
      </c>
      <c r="HW40" s="48">
        <v>0</v>
      </c>
      <c r="HX40" s="48">
        <v>0</v>
      </c>
      <c r="HY40" s="48">
        <v>0</v>
      </c>
      <c r="HZ40" s="48">
        <v>0</v>
      </c>
      <c r="IA40" s="48">
        <v>0</v>
      </c>
      <c r="IB40" s="48">
        <v>0</v>
      </c>
      <c r="IC40" s="48">
        <v>0</v>
      </c>
      <c r="ID40" s="48">
        <v>0</v>
      </c>
      <c r="IE40" s="48">
        <v>0</v>
      </c>
      <c r="IF40" s="48">
        <v>0</v>
      </c>
      <c r="IG40" s="48">
        <v>0</v>
      </c>
      <c r="IH40" s="48">
        <v>0</v>
      </c>
      <c r="II40" s="48">
        <v>0</v>
      </c>
      <c r="IJ40" s="48">
        <v>0</v>
      </c>
      <c r="IK40" s="48">
        <v>0</v>
      </c>
      <c r="IL40" s="48">
        <v>0</v>
      </c>
      <c r="IM40" s="48">
        <v>0</v>
      </c>
      <c r="IN40" s="48">
        <v>0</v>
      </c>
      <c r="IO40" s="48">
        <v>0</v>
      </c>
      <c r="IP40" s="23">
        <v>229.99999999999875</v>
      </c>
      <c r="IQ40" s="25">
        <v>1066</v>
      </c>
      <c r="IR40" s="25">
        <v>0</v>
      </c>
      <c r="IS40" s="26">
        <v>0</v>
      </c>
      <c r="IT40" s="26">
        <v>468</v>
      </c>
      <c r="IU40" s="26">
        <v>0</v>
      </c>
      <c r="IV40" s="9">
        <v>545</v>
      </c>
      <c r="IW40" s="38">
        <f t="shared" si="4"/>
        <v>2308.9999999999986</v>
      </c>
    </row>
    <row r="41" spans="1:257" ht="30" customHeight="1" x14ac:dyDescent="0.25">
      <c r="A41" s="112" t="b">
        <v>1</v>
      </c>
      <c r="B41" s="113" t="b">
        <f>IFERROR(VLOOKUP(C41,'Bridge matrix'!$D$3:$E$727,2,FALSE)='symmetric IOT 245 2012'!D41,"FALSCH")</f>
        <v>1</v>
      </c>
      <c r="C41" s="108">
        <v>36</v>
      </c>
      <c r="D41" s="49" t="s">
        <v>1358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57.3371774530682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48">
        <v>0</v>
      </c>
      <c r="CB41" s="48">
        <v>0</v>
      </c>
      <c r="CC41" s="48">
        <v>0</v>
      </c>
      <c r="CD41" s="48">
        <v>0</v>
      </c>
      <c r="CE41" s="48">
        <v>0</v>
      </c>
      <c r="CF41" s="48">
        <v>0</v>
      </c>
      <c r="CG41" s="48">
        <v>0</v>
      </c>
      <c r="CH41" s="48">
        <v>0</v>
      </c>
      <c r="CI41" s="48">
        <v>7.1149639159248865E-3</v>
      </c>
      <c r="CJ41" s="48">
        <v>0</v>
      </c>
      <c r="CK41" s="48">
        <v>0</v>
      </c>
      <c r="CL41" s="48">
        <v>0</v>
      </c>
      <c r="CM41" s="48">
        <v>7.7135760240089088E-5</v>
      </c>
      <c r="CN41" s="48">
        <v>1.1535573158131064E-6</v>
      </c>
      <c r="CO41" s="48">
        <v>0</v>
      </c>
      <c r="CP41" s="48">
        <v>0</v>
      </c>
      <c r="CQ41" s="48">
        <v>0</v>
      </c>
      <c r="CR41" s="48">
        <v>0</v>
      </c>
      <c r="CS41" s="48">
        <v>0</v>
      </c>
      <c r="CT41" s="48">
        <v>1.5441925061518777E-9</v>
      </c>
      <c r="CU41" s="48">
        <v>1.5767521001082965E-3</v>
      </c>
      <c r="CV41" s="48">
        <v>3.6958348326167614E-3</v>
      </c>
      <c r="CW41" s="48">
        <v>0</v>
      </c>
      <c r="CX41" s="48">
        <v>0</v>
      </c>
      <c r="CY41" s="48">
        <v>0</v>
      </c>
      <c r="CZ41" s="48">
        <v>0</v>
      </c>
      <c r="DA41" s="48">
        <v>5.4104296852852699E-5</v>
      </c>
      <c r="DB41" s="48">
        <v>0</v>
      </c>
      <c r="DC41" s="48">
        <v>6.915645571777805E-10</v>
      </c>
      <c r="DD41" s="48">
        <v>0</v>
      </c>
      <c r="DE41" s="48">
        <v>0</v>
      </c>
      <c r="DF41" s="48">
        <v>0</v>
      </c>
      <c r="DG41" s="48">
        <v>0</v>
      </c>
      <c r="DH41" s="48">
        <v>0</v>
      </c>
      <c r="DI41" s="48">
        <v>0</v>
      </c>
      <c r="DJ41" s="48">
        <v>0</v>
      </c>
      <c r="DK41" s="48">
        <v>0</v>
      </c>
      <c r="DL41" s="48">
        <v>58.680466919017825</v>
      </c>
      <c r="DM41" s="48">
        <v>0</v>
      </c>
      <c r="DN41" s="48">
        <v>602.66414784829749</v>
      </c>
      <c r="DO41" s="48">
        <v>0</v>
      </c>
      <c r="DP41" s="48">
        <v>0</v>
      </c>
      <c r="DQ41" s="48">
        <v>0</v>
      </c>
      <c r="DR41" s="48">
        <v>3.4442439823352152E-10</v>
      </c>
      <c r="DS41" s="48">
        <v>0</v>
      </c>
      <c r="DT41" s="48">
        <v>0</v>
      </c>
      <c r="DU41" s="48">
        <v>0</v>
      </c>
      <c r="DV41" s="48">
        <v>0</v>
      </c>
      <c r="DW41" s="48">
        <v>0</v>
      </c>
      <c r="DX41" s="48">
        <v>0</v>
      </c>
      <c r="DY41" s="48">
        <v>1.31484927391154E-15</v>
      </c>
      <c r="DZ41" s="48">
        <v>0</v>
      </c>
      <c r="EA41" s="48">
        <v>0</v>
      </c>
      <c r="EB41" s="48">
        <v>3.6600460859847517E-9</v>
      </c>
      <c r="EC41" s="48">
        <v>1.0585697169679199E-10</v>
      </c>
      <c r="ED41" s="48">
        <v>0</v>
      </c>
      <c r="EE41" s="48">
        <v>0</v>
      </c>
      <c r="EF41" s="48">
        <v>0</v>
      </c>
      <c r="EG41" s="48">
        <v>0</v>
      </c>
      <c r="EH41" s="48">
        <v>0</v>
      </c>
      <c r="EI41" s="48">
        <v>3.8870248601895594E-6</v>
      </c>
      <c r="EJ41" s="48">
        <v>7.2228804429046148E-5</v>
      </c>
      <c r="EK41" s="48">
        <v>0</v>
      </c>
      <c r="EL41" s="48">
        <v>0</v>
      </c>
      <c r="EM41" s="48">
        <v>0</v>
      </c>
      <c r="EN41" s="48">
        <v>0</v>
      </c>
      <c r="EO41" s="48">
        <v>0</v>
      </c>
      <c r="EP41" s="48">
        <v>0</v>
      </c>
      <c r="EQ41" s="48">
        <v>0</v>
      </c>
      <c r="ER41" s="48">
        <v>9.1344976709582679E-11</v>
      </c>
      <c r="ES41" s="48">
        <v>1.5973087394671248E-12</v>
      </c>
      <c r="ET41" s="48">
        <v>0</v>
      </c>
      <c r="EU41" s="48">
        <v>0</v>
      </c>
      <c r="EV41" s="48">
        <v>0</v>
      </c>
      <c r="EW41" s="48">
        <v>1.1370891982616277E-10</v>
      </c>
      <c r="EX41" s="48">
        <v>0</v>
      </c>
      <c r="EY41" s="48">
        <v>2.7614836979946631E-8</v>
      </c>
      <c r="EZ41" s="48">
        <v>0</v>
      </c>
      <c r="FA41" s="48">
        <v>2.314575993886956E-14</v>
      </c>
      <c r="FB41" s="48">
        <v>6.3455605648442651E-16</v>
      </c>
      <c r="FC41" s="48">
        <v>0</v>
      </c>
      <c r="FD41" s="48">
        <v>0</v>
      </c>
      <c r="FE41" s="48">
        <v>0</v>
      </c>
      <c r="FF41" s="48">
        <v>0</v>
      </c>
      <c r="FG41" s="48">
        <v>0</v>
      </c>
      <c r="FH41" s="48">
        <v>0</v>
      </c>
      <c r="FI41" s="48">
        <v>0</v>
      </c>
      <c r="FJ41" s="48">
        <v>0</v>
      </c>
      <c r="FK41" s="48">
        <v>0</v>
      </c>
      <c r="FL41" s="48">
        <v>0</v>
      </c>
      <c r="FM41" s="48">
        <v>1.2102902990837663E-10</v>
      </c>
      <c r="FN41" s="48">
        <v>0</v>
      </c>
      <c r="FO41" s="48">
        <v>0</v>
      </c>
      <c r="FP41" s="48">
        <v>5.1508764517390641E-9</v>
      </c>
      <c r="FQ41" s="48">
        <v>0</v>
      </c>
      <c r="FR41" s="48">
        <v>0</v>
      </c>
      <c r="FS41" s="48">
        <v>0</v>
      </c>
      <c r="FT41" s="48">
        <v>0</v>
      </c>
      <c r="FU41" s="48">
        <v>0</v>
      </c>
      <c r="FV41" s="48">
        <v>4.2986043906645854E-15</v>
      </c>
      <c r="FW41" s="48">
        <v>0</v>
      </c>
      <c r="FX41" s="48">
        <v>0</v>
      </c>
      <c r="FY41" s="48">
        <v>0</v>
      </c>
      <c r="FZ41" s="48">
        <v>0</v>
      </c>
      <c r="GA41" s="48">
        <v>0</v>
      </c>
      <c r="GB41" s="48">
        <v>0</v>
      </c>
      <c r="GC41" s="48">
        <v>0</v>
      </c>
      <c r="GD41" s="48">
        <v>0</v>
      </c>
      <c r="GE41" s="48">
        <v>439.50319660238154</v>
      </c>
      <c r="GF41" s="48">
        <v>1099.8024145008806</v>
      </c>
      <c r="GG41" s="48">
        <v>0</v>
      </c>
      <c r="GH41" s="48">
        <v>0</v>
      </c>
      <c r="GI41" s="48">
        <v>0</v>
      </c>
      <c r="GJ41" s="48">
        <v>0</v>
      </c>
      <c r="GK41" s="48">
        <v>0</v>
      </c>
      <c r="GL41" s="48">
        <v>0</v>
      </c>
      <c r="GM41" s="48">
        <v>0</v>
      </c>
      <c r="GN41" s="48">
        <v>0</v>
      </c>
      <c r="GO41" s="48">
        <v>0</v>
      </c>
      <c r="GP41" s="48">
        <v>0</v>
      </c>
      <c r="GQ41" s="48">
        <v>0</v>
      </c>
      <c r="GR41" s="48">
        <v>0</v>
      </c>
      <c r="GS41" s="48">
        <v>0</v>
      </c>
      <c r="GT41" s="48">
        <v>0</v>
      </c>
      <c r="GU41" s="48">
        <v>0</v>
      </c>
      <c r="GV41" s="48">
        <v>0</v>
      </c>
      <c r="GW41" s="48">
        <v>0</v>
      </c>
      <c r="GX41" s="48">
        <v>0</v>
      </c>
      <c r="GY41" s="48">
        <v>0</v>
      </c>
      <c r="GZ41" s="48">
        <v>0</v>
      </c>
      <c r="HA41" s="48">
        <v>0</v>
      </c>
      <c r="HB41" s="48">
        <v>0</v>
      </c>
      <c r="HC41" s="48">
        <v>0</v>
      </c>
      <c r="HD41" s="48">
        <v>0</v>
      </c>
      <c r="HE41" s="48">
        <v>0</v>
      </c>
      <c r="HF41" s="48">
        <v>0</v>
      </c>
      <c r="HG41" s="48">
        <v>0</v>
      </c>
      <c r="HH41" s="48">
        <v>0</v>
      </c>
      <c r="HI41" s="48">
        <v>0</v>
      </c>
      <c r="HJ41" s="48">
        <v>0</v>
      </c>
      <c r="HK41" s="48">
        <v>0</v>
      </c>
      <c r="HL41" s="48">
        <v>0</v>
      </c>
      <c r="HM41" s="48">
        <v>0</v>
      </c>
      <c r="HN41" s="48">
        <v>0</v>
      </c>
      <c r="HO41" s="48">
        <v>0</v>
      </c>
      <c r="HP41" s="48">
        <v>0</v>
      </c>
      <c r="HQ41" s="48">
        <v>0</v>
      </c>
      <c r="HR41" s="48">
        <v>0</v>
      </c>
      <c r="HS41" s="48">
        <v>0</v>
      </c>
      <c r="HT41" s="48">
        <v>0</v>
      </c>
      <c r="HU41" s="48">
        <v>0</v>
      </c>
      <c r="HV41" s="48">
        <v>0</v>
      </c>
      <c r="HW41" s="48">
        <v>0</v>
      </c>
      <c r="HX41" s="48">
        <v>0</v>
      </c>
      <c r="HY41" s="48">
        <v>0</v>
      </c>
      <c r="HZ41" s="48">
        <v>0</v>
      </c>
      <c r="IA41" s="48">
        <v>0</v>
      </c>
      <c r="IB41" s="48">
        <v>0</v>
      </c>
      <c r="IC41" s="48">
        <v>0</v>
      </c>
      <c r="ID41" s="48">
        <v>0</v>
      </c>
      <c r="IE41" s="48">
        <v>0</v>
      </c>
      <c r="IF41" s="48">
        <v>0</v>
      </c>
      <c r="IG41" s="48">
        <v>0</v>
      </c>
      <c r="IH41" s="48">
        <v>0</v>
      </c>
      <c r="II41" s="48">
        <v>0</v>
      </c>
      <c r="IJ41" s="48">
        <v>0</v>
      </c>
      <c r="IK41" s="48">
        <v>5.7661110698841552E-7</v>
      </c>
      <c r="IL41" s="48">
        <v>0</v>
      </c>
      <c r="IM41" s="48">
        <v>0</v>
      </c>
      <c r="IN41" s="48">
        <v>0</v>
      </c>
      <c r="IO41" s="48">
        <v>0</v>
      </c>
      <c r="IP41" s="23">
        <v>2257.9999999999886</v>
      </c>
      <c r="IQ41" s="25">
        <v>19697</v>
      </c>
      <c r="IR41" s="25">
        <v>0</v>
      </c>
      <c r="IS41" s="26">
        <v>0</v>
      </c>
      <c r="IT41" s="26">
        <v>5742</v>
      </c>
      <c r="IU41" s="26">
        <v>0</v>
      </c>
      <c r="IV41" s="9">
        <v>638</v>
      </c>
      <c r="IW41" s="38">
        <f t="shared" si="4"/>
        <v>28334.999999999989</v>
      </c>
    </row>
    <row r="42" spans="1:257" ht="30" customHeight="1" x14ac:dyDescent="0.25">
      <c r="A42" s="112" t="b">
        <v>1</v>
      </c>
      <c r="B42" s="113" t="b">
        <f>IFERROR(VLOOKUP(C42,'Bridge matrix'!$D$3:$E$727,2,FALSE)='symmetric IOT 245 2012'!D42,"FALSCH")</f>
        <v>1</v>
      </c>
      <c r="C42" s="108">
        <v>37</v>
      </c>
      <c r="D42" s="49" t="s">
        <v>1359</v>
      </c>
      <c r="E42" s="48">
        <v>0</v>
      </c>
      <c r="F42" s="48">
        <v>0</v>
      </c>
      <c r="G42" s="48">
        <v>0</v>
      </c>
      <c r="H42" s="48">
        <v>0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19.374696151954055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  <c r="CM42" s="48">
        <v>0</v>
      </c>
      <c r="CN42" s="48">
        <v>0</v>
      </c>
      <c r="CO42" s="48">
        <v>0</v>
      </c>
      <c r="CP42" s="48">
        <v>0</v>
      </c>
      <c r="CQ42" s="48">
        <v>0</v>
      </c>
      <c r="CR42" s="48">
        <v>0</v>
      </c>
      <c r="CS42" s="48">
        <v>0</v>
      </c>
      <c r="CT42" s="48">
        <v>0</v>
      </c>
      <c r="CU42" s="48">
        <v>0</v>
      </c>
      <c r="CV42" s="48">
        <v>0</v>
      </c>
      <c r="CW42" s="48">
        <v>0</v>
      </c>
      <c r="CX42" s="48">
        <v>0</v>
      </c>
      <c r="CY42" s="48">
        <v>0</v>
      </c>
      <c r="CZ42" s="48">
        <v>0</v>
      </c>
      <c r="DA42" s="48">
        <v>0</v>
      </c>
      <c r="DB42" s="48">
        <v>0</v>
      </c>
      <c r="DC42" s="48">
        <v>0</v>
      </c>
      <c r="DD42" s="48">
        <v>0</v>
      </c>
      <c r="DE42" s="48">
        <v>0</v>
      </c>
      <c r="DF42" s="48">
        <v>0</v>
      </c>
      <c r="DG42" s="48">
        <v>0</v>
      </c>
      <c r="DH42" s="48">
        <v>0</v>
      </c>
      <c r="DI42" s="48">
        <v>0</v>
      </c>
      <c r="DJ42" s="48">
        <v>0</v>
      </c>
      <c r="DK42" s="48">
        <v>0</v>
      </c>
      <c r="DL42" s="48">
        <v>0</v>
      </c>
      <c r="DM42" s="48">
        <v>0</v>
      </c>
      <c r="DN42" s="48">
        <v>0</v>
      </c>
      <c r="DO42" s="48">
        <v>0</v>
      </c>
      <c r="DP42" s="48">
        <v>0</v>
      </c>
      <c r="DQ42" s="48">
        <v>0</v>
      </c>
      <c r="DR42" s="48">
        <v>0</v>
      </c>
      <c r="DS42" s="48">
        <v>0</v>
      </c>
      <c r="DT42" s="48">
        <v>0</v>
      </c>
      <c r="DU42" s="48">
        <v>0</v>
      </c>
      <c r="DV42" s="48">
        <v>0</v>
      </c>
      <c r="DW42" s="48">
        <v>0</v>
      </c>
      <c r="DX42" s="48">
        <v>0</v>
      </c>
      <c r="DY42" s="48">
        <v>0</v>
      </c>
      <c r="DZ42" s="48">
        <v>0</v>
      </c>
      <c r="EA42" s="48">
        <v>0</v>
      </c>
      <c r="EB42" s="48">
        <v>0</v>
      </c>
      <c r="EC42" s="48">
        <v>0</v>
      </c>
      <c r="ED42" s="48">
        <v>0</v>
      </c>
      <c r="EE42" s="48">
        <v>0</v>
      </c>
      <c r="EF42" s="48">
        <v>0</v>
      </c>
      <c r="EG42" s="48">
        <v>0</v>
      </c>
      <c r="EH42" s="48">
        <v>0</v>
      </c>
      <c r="EI42" s="48">
        <v>0</v>
      </c>
      <c r="EJ42" s="48">
        <v>0</v>
      </c>
      <c r="EK42" s="48">
        <v>0</v>
      </c>
      <c r="EL42" s="48">
        <v>0</v>
      </c>
      <c r="EM42" s="48">
        <v>0</v>
      </c>
      <c r="EN42" s="48">
        <v>0</v>
      </c>
      <c r="EO42" s="48">
        <v>0</v>
      </c>
      <c r="EP42" s="48">
        <v>0</v>
      </c>
      <c r="EQ42" s="48">
        <v>0</v>
      </c>
      <c r="ER42" s="48">
        <v>0</v>
      </c>
      <c r="ES42" s="48">
        <v>0</v>
      </c>
      <c r="ET42" s="48">
        <v>0</v>
      </c>
      <c r="EU42" s="48">
        <v>0</v>
      </c>
      <c r="EV42" s="48">
        <v>0</v>
      </c>
      <c r="EW42" s="48">
        <v>0</v>
      </c>
      <c r="EX42" s="48">
        <v>0</v>
      </c>
      <c r="EY42" s="48">
        <v>0</v>
      </c>
      <c r="EZ42" s="48">
        <v>0</v>
      </c>
      <c r="FA42" s="48">
        <v>0</v>
      </c>
      <c r="FB42" s="48">
        <v>0</v>
      </c>
      <c r="FC42" s="48">
        <v>0</v>
      </c>
      <c r="FD42" s="48">
        <v>0</v>
      </c>
      <c r="FE42" s="48">
        <v>0</v>
      </c>
      <c r="FF42" s="48">
        <v>0</v>
      </c>
      <c r="FG42" s="48">
        <v>0</v>
      </c>
      <c r="FH42" s="48">
        <v>0</v>
      </c>
      <c r="FI42" s="48">
        <v>0</v>
      </c>
      <c r="FJ42" s="48">
        <v>0</v>
      </c>
      <c r="FK42" s="48">
        <v>0</v>
      </c>
      <c r="FL42" s="48">
        <v>0</v>
      </c>
      <c r="FM42" s="48">
        <v>0</v>
      </c>
      <c r="FN42" s="48">
        <v>0</v>
      </c>
      <c r="FO42" s="48">
        <v>0</v>
      </c>
      <c r="FP42" s="48">
        <v>0</v>
      </c>
      <c r="FQ42" s="48">
        <v>0</v>
      </c>
      <c r="FR42" s="48">
        <v>0</v>
      </c>
      <c r="FS42" s="48">
        <v>0</v>
      </c>
      <c r="FT42" s="48">
        <v>0</v>
      </c>
      <c r="FU42" s="48">
        <v>0</v>
      </c>
      <c r="FV42" s="48">
        <v>0</v>
      </c>
      <c r="FW42" s="48">
        <v>0</v>
      </c>
      <c r="FX42" s="48">
        <v>0</v>
      </c>
      <c r="FY42" s="48">
        <v>0</v>
      </c>
      <c r="FZ42" s="48">
        <v>0</v>
      </c>
      <c r="GA42" s="48">
        <v>0</v>
      </c>
      <c r="GB42" s="48">
        <v>0</v>
      </c>
      <c r="GC42" s="48">
        <v>0</v>
      </c>
      <c r="GD42" s="48">
        <v>0</v>
      </c>
      <c r="GE42" s="48">
        <v>8.7900103692404716</v>
      </c>
      <c r="GF42" s="48">
        <v>595.8352934788021</v>
      </c>
      <c r="GG42" s="48">
        <v>0</v>
      </c>
      <c r="GH42" s="48">
        <v>0</v>
      </c>
      <c r="GI42" s="48">
        <v>0</v>
      </c>
      <c r="GJ42" s="48">
        <v>0</v>
      </c>
      <c r="GK42" s="48">
        <v>0</v>
      </c>
      <c r="GL42" s="48">
        <v>0</v>
      </c>
      <c r="GM42" s="48">
        <v>0</v>
      </c>
      <c r="GN42" s="48">
        <v>0</v>
      </c>
      <c r="GO42" s="48">
        <v>0</v>
      </c>
      <c r="GP42" s="48">
        <v>0</v>
      </c>
      <c r="GQ42" s="48">
        <v>0</v>
      </c>
      <c r="GR42" s="48">
        <v>0</v>
      </c>
      <c r="GS42" s="48">
        <v>0</v>
      </c>
      <c r="GT42" s="48">
        <v>0</v>
      </c>
      <c r="GU42" s="48">
        <v>0</v>
      </c>
      <c r="GV42" s="48">
        <v>0</v>
      </c>
      <c r="GW42" s="48">
        <v>0</v>
      </c>
      <c r="GX42" s="48">
        <v>0</v>
      </c>
      <c r="GY42" s="48">
        <v>0</v>
      </c>
      <c r="GZ42" s="48">
        <v>0</v>
      </c>
      <c r="HA42" s="48">
        <v>0</v>
      </c>
      <c r="HB42" s="48">
        <v>0</v>
      </c>
      <c r="HC42" s="48">
        <v>0</v>
      </c>
      <c r="HD42" s="48">
        <v>0</v>
      </c>
      <c r="HE42" s="48">
        <v>0</v>
      </c>
      <c r="HF42" s="48">
        <v>0</v>
      </c>
      <c r="HG42" s="48">
        <v>0</v>
      </c>
      <c r="HH42" s="48">
        <v>0</v>
      </c>
      <c r="HI42" s="48">
        <v>0</v>
      </c>
      <c r="HJ42" s="48">
        <v>0</v>
      </c>
      <c r="HK42" s="48">
        <v>0</v>
      </c>
      <c r="HL42" s="48">
        <v>0</v>
      </c>
      <c r="HM42" s="48">
        <v>0</v>
      </c>
      <c r="HN42" s="48">
        <v>0</v>
      </c>
      <c r="HO42" s="48">
        <v>0</v>
      </c>
      <c r="HP42" s="48">
        <v>0</v>
      </c>
      <c r="HQ42" s="48">
        <v>0</v>
      </c>
      <c r="HR42" s="48">
        <v>0</v>
      </c>
      <c r="HS42" s="48">
        <v>0</v>
      </c>
      <c r="HT42" s="48">
        <v>0</v>
      </c>
      <c r="HU42" s="48">
        <v>0</v>
      </c>
      <c r="HV42" s="48">
        <v>0</v>
      </c>
      <c r="HW42" s="48">
        <v>0</v>
      </c>
      <c r="HX42" s="48">
        <v>0</v>
      </c>
      <c r="HY42" s="48">
        <v>0</v>
      </c>
      <c r="HZ42" s="48">
        <v>0</v>
      </c>
      <c r="IA42" s="48">
        <v>0</v>
      </c>
      <c r="IB42" s="48">
        <v>0</v>
      </c>
      <c r="IC42" s="48">
        <v>0</v>
      </c>
      <c r="ID42" s="48">
        <v>0</v>
      </c>
      <c r="IE42" s="48">
        <v>0</v>
      </c>
      <c r="IF42" s="48">
        <v>0</v>
      </c>
      <c r="IG42" s="48">
        <v>0</v>
      </c>
      <c r="IH42" s="48">
        <v>0</v>
      </c>
      <c r="II42" s="48">
        <v>0</v>
      </c>
      <c r="IJ42" s="48">
        <v>0</v>
      </c>
      <c r="IK42" s="48">
        <v>0</v>
      </c>
      <c r="IL42" s="48">
        <v>0</v>
      </c>
      <c r="IM42" s="48">
        <v>0</v>
      </c>
      <c r="IN42" s="48">
        <v>0</v>
      </c>
      <c r="IO42" s="48">
        <v>0</v>
      </c>
      <c r="IP42" s="23">
        <v>623.99999999999659</v>
      </c>
      <c r="IQ42" s="25">
        <v>13177</v>
      </c>
      <c r="IR42" s="25">
        <v>0</v>
      </c>
      <c r="IS42" s="26">
        <v>0</v>
      </c>
      <c r="IT42" s="26">
        <v>3676</v>
      </c>
      <c r="IU42" s="26">
        <v>0</v>
      </c>
      <c r="IV42" s="9">
        <v>663</v>
      </c>
      <c r="IW42" s="38">
        <f t="shared" si="4"/>
        <v>18139.999999999996</v>
      </c>
    </row>
    <row r="43" spans="1:257" ht="30" customHeight="1" x14ac:dyDescent="0.25">
      <c r="A43" s="112" t="b">
        <v>1</v>
      </c>
      <c r="B43" s="113" t="b">
        <f>IFERROR(VLOOKUP(C43,'Bridge matrix'!$D$3:$E$727,2,FALSE)='symmetric IOT 245 2012'!D43,"FALSCH")</f>
        <v>1</v>
      </c>
      <c r="C43" s="108">
        <v>38</v>
      </c>
      <c r="D43" s="49" t="s">
        <v>1360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58.072472169902561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0.6453691035916399</v>
      </c>
      <c r="CJ43" s="48">
        <v>0</v>
      </c>
      <c r="CK43" s="48">
        <v>0</v>
      </c>
      <c r="CL43" s="48">
        <v>0</v>
      </c>
      <c r="CM43" s="48">
        <v>1.2783644693482227E-2</v>
      </c>
      <c r="CN43" s="48">
        <v>1.0481422230129082E-4</v>
      </c>
      <c r="CO43" s="48">
        <v>0</v>
      </c>
      <c r="CP43" s="48">
        <v>0</v>
      </c>
      <c r="CQ43" s="48">
        <v>0</v>
      </c>
      <c r="CR43" s="48">
        <v>0</v>
      </c>
      <c r="CS43" s="48">
        <v>0</v>
      </c>
      <c r="CT43" s="48">
        <v>1.4030801451916091E-7</v>
      </c>
      <c r="CU43" s="48">
        <v>0.30928548524307731</v>
      </c>
      <c r="CV43" s="48">
        <v>0.72495103669475469</v>
      </c>
      <c r="CW43" s="48">
        <v>0</v>
      </c>
      <c r="CX43" s="48">
        <v>1.3059623380043538E-8</v>
      </c>
      <c r="CY43" s="48">
        <v>0</v>
      </c>
      <c r="CZ43" s="48">
        <v>0</v>
      </c>
      <c r="DA43" s="48">
        <v>1.0612748639891275E-2</v>
      </c>
      <c r="DB43" s="48">
        <v>0</v>
      </c>
      <c r="DC43" s="48">
        <v>6.2836757426857781E-8</v>
      </c>
      <c r="DD43" s="48">
        <v>0</v>
      </c>
      <c r="DE43" s="48">
        <v>0</v>
      </c>
      <c r="DF43" s="48">
        <v>0</v>
      </c>
      <c r="DG43" s="48">
        <v>0</v>
      </c>
      <c r="DH43" s="48">
        <v>0</v>
      </c>
      <c r="DI43" s="48">
        <v>0</v>
      </c>
      <c r="DJ43" s="48">
        <v>0</v>
      </c>
      <c r="DK43" s="48">
        <v>0</v>
      </c>
      <c r="DL43" s="48">
        <v>11510.380537366811</v>
      </c>
      <c r="DM43" s="48">
        <v>0</v>
      </c>
      <c r="DN43" s="48">
        <v>0</v>
      </c>
      <c r="DO43" s="48">
        <v>0</v>
      </c>
      <c r="DP43" s="48">
        <v>0</v>
      </c>
      <c r="DQ43" s="48">
        <v>0</v>
      </c>
      <c r="DR43" s="48">
        <v>6.7560060411458056E-8</v>
      </c>
      <c r="DS43" s="48">
        <v>0</v>
      </c>
      <c r="DT43" s="48">
        <v>0</v>
      </c>
      <c r="DU43" s="48">
        <v>0</v>
      </c>
      <c r="DV43" s="48">
        <v>0</v>
      </c>
      <c r="DW43" s="48">
        <v>0</v>
      </c>
      <c r="DX43" s="48">
        <v>0</v>
      </c>
      <c r="DY43" s="48">
        <v>2.579123222193951E-13</v>
      </c>
      <c r="DZ43" s="48">
        <v>0</v>
      </c>
      <c r="EA43" s="48">
        <v>0</v>
      </c>
      <c r="EB43" s="48">
        <v>7.1793094782501133E-7</v>
      </c>
      <c r="EC43" s="48">
        <v>2.0764218329156705E-8</v>
      </c>
      <c r="ED43" s="48">
        <v>0</v>
      </c>
      <c r="EE43" s="48">
        <v>0</v>
      </c>
      <c r="EF43" s="48">
        <v>0</v>
      </c>
      <c r="EG43" s="48">
        <v>0</v>
      </c>
      <c r="EH43" s="48">
        <v>0</v>
      </c>
      <c r="EI43" s="48">
        <v>7.6245363488215245E-4</v>
      </c>
      <c r="EJ43" s="48">
        <v>1.4167934721527008E-2</v>
      </c>
      <c r="EK43" s="48">
        <v>0</v>
      </c>
      <c r="EL43" s="48">
        <v>0</v>
      </c>
      <c r="EM43" s="48">
        <v>0</v>
      </c>
      <c r="EN43" s="48">
        <v>0</v>
      </c>
      <c r="EO43" s="48">
        <v>0</v>
      </c>
      <c r="EP43" s="48">
        <v>0</v>
      </c>
      <c r="EQ43" s="48">
        <v>0</v>
      </c>
      <c r="ER43" s="48">
        <v>1.7917639332270736E-8</v>
      </c>
      <c r="ES43" s="48">
        <v>3.1331774255139189E-10</v>
      </c>
      <c r="ET43" s="48">
        <v>0</v>
      </c>
      <c r="EU43" s="48">
        <v>0</v>
      </c>
      <c r="EV43" s="48">
        <v>0</v>
      </c>
      <c r="EW43" s="48">
        <v>2.2304405646572766E-8</v>
      </c>
      <c r="EX43" s="48">
        <v>0</v>
      </c>
      <c r="EY43" s="48">
        <v>5.416747664179207E-6</v>
      </c>
      <c r="EZ43" s="48">
        <v>0</v>
      </c>
      <c r="FA43" s="48">
        <v>4.540122441264791E-12</v>
      </c>
      <c r="FB43" s="48">
        <v>1.2447040839853001E-13</v>
      </c>
      <c r="FC43" s="48">
        <v>0</v>
      </c>
      <c r="FD43" s="48">
        <v>0</v>
      </c>
      <c r="FE43" s="48">
        <v>0</v>
      </c>
      <c r="FF43" s="48">
        <v>0</v>
      </c>
      <c r="FG43" s="48">
        <v>0</v>
      </c>
      <c r="FH43" s="48">
        <v>0</v>
      </c>
      <c r="FI43" s="48">
        <v>0</v>
      </c>
      <c r="FJ43" s="48">
        <v>0</v>
      </c>
      <c r="FK43" s="48">
        <v>0</v>
      </c>
      <c r="FL43" s="48">
        <v>0</v>
      </c>
      <c r="FM43" s="48">
        <v>2.3740271055380473E-8</v>
      </c>
      <c r="FN43" s="48">
        <v>0</v>
      </c>
      <c r="FO43" s="48">
        <v>0</v>
      </c>
      <c r="FP43" s="48">
        <v>1.0103625818502733E-6</v>
      </c>
      <c r="FQ43" s="48">
        <v>0</v>
      </c>
      <c r="FR43" s="48">
        <v>0</v>
      </c>
      <c r="FS43" s="48">
        <v>0</v>
      </c>
      <c r="FT43" s="48">
        <v>0</v>
      </c>
      <c r="FU43" s="48">
        <v>0</v>
      </c>
      <c r="FV43" s="48">
        <v>8.431864113219894E-13</v>
      </c>
      <c r="FW43" s="48">
        <v>0</v>
      </c>
      <c r="FX43" s="48">
        <v>0</v>
      </c>
      <c r="FY43" s="48">
        <v>0</v>
      </c>
      <c r="FZ43" s="48">
        <v>0</v>
      </c>
      <c r="GA43" s="48">
        <v>0</v>
      </c>
      <c r="GB43" s="48">
        <v>0</v>
      </c>
      <c r="GC43" s="48">
        <v>0</v>
      </c>
      <c r="GD43" s="48">
        <v>0</v>
      </c>
      <c r="GE43" s="48">
        <v>10.710986096622969</v>
      </c>
      <c r="GF43" s="48">
        <v>863.1179072393943</v>
      </c>
      <c r="GG43" s="48">
        <v>0</v>
      </c>
      <c r="GH43" s="48">
        <v>0</v>
      </c>
      <c r="GI43" s="48">
        <v>0</v>
      </c>
      <c r="GJ43" s="48">
        <v>0</v>
      </c>
      <c r="GK43" s="48">
        <v>0</v>
      </c>
      <c r="GL43" s="48">
        <v>0</v>
      </c>
      <c r="GM43" s="48">
        <v>0</v>
      </c>
      <c r="GN43" s="48">
        <v>0</v>
      </c>
      <c r="GO43" s="48">
        <v>0</v>
      </c>
      <c r="GP43" s="48">
        <v>0</v>
      </c>
      <c r="GQ43" s="48">
        <v>0</v>
      </c>
      <c r="GR43" s="48">
        <v>0</v>
      </c>
      <c r="GS43" s="48">
        <v>0</v>
      </c>
      <c r="GT43" s="48">
        <v>0</v>
      </c>
      <c r="GU43" s="48">
        <v>0</v>
      </c>
      <c r="GV43" s="48">
        <v>0</v>
      </c>
      <c r="GW43" s="48">
        <v>0</v>
      </c>
      <c r="GX43" s="48">
        <v>0</v>
      </c>
      <c r="GY43" s="48">
        <v>0</v>
      </c>
      <c r="GZ43" s="48">
        <v>0</v>
      </c>
      <c r="HA43" s="48">
        <v>0</v>
      </c>
      <c r="HB43" s="48">
        <v>0</v>
      </c>
      <c r="HC43" s="48">
        <v>0</v>
      </c>
      <c r="HD43" s="48">
        <v>0</v>
      </c>
      <c r="HE43" s="48">
        <v>0</v>
      </c>
      <c r="HF43" s="48">
        <v>0</v>
      </c>
      <c r="HG43" s="48">
        <v>0</v>
      </c>
      <c r="HH43" s="48">
        <v>0</v>
      </c>
      <c r="HI43" s="48">
        <v>0</v>
      </c>
      <c r="HJ43" s="48">
        <v>0</v>
      </c>
      <c r="HK43" s="48">
        <v>0</v>
      </c>
      <c r="HL43" s="48">
        <v>0</v>
      </c>
      <c r="HM43" s="48">
        <v>0</v>
      </c>
      <c r="HN43" s="48">
        <v>0</v>
      </c>
      <c r="HO43" s="48">
        <v>0</v>
      </c>
      <c r="HP43" s="48">
        <v>0</v>
      </c>
      <c r="HQ43" s="48">
        <v>0</v>
      </c>
      <c r="HR43" s="48">
        <v>0</v>
      </c>
      <c r="HS43" s="48">
        <v>0</v>
      </c>
      <c r="HT43" s="48">
        <v>0</v>
      </c>
      <c r="HU43" s="48">
        <v>0</v>
      </c>
      <c r="HV43" s="48">
        <v>0</v>
      </c>
      <c r="HW43" s="48">
        <v>0</v>
      </c>
      <c r="HX43" s="48">
        <v>0</v>
      </c>
      <c r="HY43" s="48">
        <v>0</v>
      </c>
      <c r="HZ43" s="48">
        <v>0</v>
      </c>
      <c r="IA43" s="48">
        <v>0</v>
      </c>
      <c r="IB43" s="48">
        <v>0</v>
      </c>
      <c r="IC43" s="48">
        <v>0</v>
      </c>
      <c r="ID43" s="48">
        <v>0</v>
      </c>
      <c r="IE43" s="48">
        <v>0</v>
      </c>
      <c r="IF43" s="48">
        <v>0</v>
      </c>
      <c r="IG43" s="48">
        <v>0</v>
      </c>
      <c r="IH43" s="48">
        <v>0</v>
      </c>
      <c r="II43" s="48">
        <v>0</v>
      </c>
      <c r="IJ43" s="48">
        <v>0</v>
      </c>
      <c r="IK43" s="48">
        <v>5.2391887183062848E-5</v>
      </c>
      <c r="IL43" s="48">
        <v>0</v>
      </c>
      <c r="IM43" s="48">
        <v>0</v>
      </c>
      <c r="IN43" s="48">
        <v>0</v>
      </c>
      <c r="IO43" s="48">
        <v>0</v>
      </c>
      <c r="IP43" s="23">
        <v>12443.999999999911</v>
      </c>
      <c r="IQ43" s="25">
        <v>41436</v>
      </c>
      <c r="IR43" s="25">
        <v>0</v>
      </c>
      <c r="IS43" s="26">
        <v>0</v>
      </c>
      <c r="IT43" s="26">
        <v>13837</v>
      </c>
      <c r="IU43" s="26">
        <v>0</v>
      </c>
      <c r="IV43" s="9">
        <v>566</v>
      </c>
      <c r="IW43" s="38">
        <f t="shared" si="4"/>
        <v>68282.999999999913</v>
      </c>
    </row>
    <row r="44" spans="1:257" ht="30" customHeight="1" x14ac:dyDescent="0.25">
      <c r="A44" s="112" t="b">
        <v>1</v>
      </c>
      <c r="B44" s="113" t="b">
        <f>IFERROR(VLOOKUP(C44,'Bridge matrix'!$D$3:$E$727,2,FALSE)='symmetric IOT 245 2012'!D44,"FALSCH")</f>
        <v>1</v>
      </c>
      <c r="C44" s="108">
        <v>39</v>
      </c>
      <c r="D44" s="49" t="s">
        <v>1361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3.817239772937655</v>
      </c>
      <c r="AR44" s="48">
        <v>0</v>
      </c>
      <c r="AS44" s="48">
        <v>0</v>
      </c>
      <c r="AT44" s="48">
        <v>0</v>
      </c>
      <c r="AU44" s="48">
        <v>0</v>
      </c>
      <c r="AV44" s="48">
        <v>0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0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5.943885778622568E-2</v>
      </c>
      <c r="CJ44" s="48">
        <v>0</v>
      </c>
      <c r="CK44" s="48">
        <v>0</v>
      </c>
      <c r="CL44" s="48">
        <v>0</v>
      </c>
      <c r="CM44" s="48">
        <v>0</v>
      </c>
      <c r="CN44" s="48">
        <v>9.6534488847831824E-6</v>
      </c>
      <c r="CO44" s="48">
        <v>0</v>
      </c>
      <c r="CP44" s="48">
        <v>0</v>
      </c>
      <c r="CQ44" s="48">
        <v>0</v>
      </c>
      <c r="CR44" s="48">
        <v>0</v>
      </c>
      <c r="CS44" s="48">
        <v>0</v>
      </c>
      <c r="CT44" s="48">
        <v>1.2922447131198727E-8</v>
      </c>
      <c r="CU44" s="48">
        <v>2.8485367319876182E-2</v>
      </c>
      <c r="CV44" s="48">
        <v>6.676839862997537E-2</v>
      </c>
      <c r="CW44" s="48">
        <v>0</v>
      </c>
      <c r="CX44" s="48">
        <v>10.517311118781512</v>
      </c>
      <c r="CY44" s="48">
        <v>0</v>
      </c>
      <c r="CZ44" s="48">
        <v>0</v>
      </c>
      <c r="DA44" s="48">
        <v>9.7744012475472586E-4</v>
      </c>
      <c r="DB44" s="48">
        <v>0</v>
      </c>
      <c r="DC44" s="48">
        <v>5.7873007363641318E-9</v>
      </c>
      <c r="DD44" s="48">
        <v>36.923141372435573</v>
      </c>
      <c r="DE44" s="48">
        <v>0</v>
      </c>
      <c r="DF44" s="48">
        <v>0</v>
      </c>
      <c r="DG44" s="48">
        <v>0</v>
      </c>
      <c r="DH44" s="48">
        <v>0</v>
      </c>
      <c r="DI44" s="48">
        <v>0</v>
      </c>
      <c r="DJ44" s="48">
        <v>0</v>
      </c>
      <c r="DK44" s="48">
        <v>0</v>
      </c>
      <c r="DL44" s="48">
        <v>1060.1125278826385</v>
      </c>
      <c r="DM44" s="48">
        <v>0</v>
      </c>
      <c r="DN44" s="48">
        <v>0</v>
      </c>
      <c r="DO44" s="48">
        <v>0</v>
      </c>
      <c r="DP44" s="48">
        <v>0</v>
      </c>
      <c r="DQ44" s="48">
        <v>0</v>
      </c>
      <c r="DR44" s="48">
        <v>6.2223196004846496E-9</v>
      </c>
      <c r="DS44" s="48">
        <v>0</v>
      </c>
      <c r="DT44" s="48">
        <v>0</v>
      </c>
      <c r="DU44" s="48">
        <v>0</v>
      </c>
      <c r="DV44" s="48">
        <v>0</v>
      </c>
      <c r="DW44" s="48">
        <v>0</v>
      </c>
      <c r="DX44" s="48">
        <v>0</v>
      </c>
      <c r="DY44" s="48">
        <v>2.3753870082094858E-14</v>
      </c>
      <c r="DZ44" s="48">
        <v>0</v>
      </c>
      <c r="EA44" s="48">
        <v>0</v>
      </c>
      <c r="EB44" s="48">
        <v>6.6121844492732927E-8</v>
      </c>
      <c r="EC44" s="48">
        <v>1.9123961984548826E-9</v>
      </c>
      <c r="ED44" s="48">
        <v>0</v>
      </c>
      <c r="EE44" s="48">
        <v>0</v>
      </c>
      <c r="EF44" s="48">
        <v>0</v>
      </c>
      <c r="EG44" s="48">
        <v>0</v>
      </c>
      <c r="EH44" s="48">
        <v>0</v>
      </c>
      <c r="EI44" s="48">
        <v>7.0222409037149969E-5</v>
      </c>
      <c r="EJ44" s="48">
        <v>1.3048747644576265E-3</v>
      </c>
      <c r="EK44" s="48">
        <v>0</v>
      </c>
      <c r="EL44" s="48">
        <v>0</v>
      </c>
      <c r="EM44" s="48">
        <v>0</v>
      </c>
      <c r="EN44" s="48">
        <v>0</v>
      </c>
      <c r="EO44" s="48">
        <v>0</v>
      </c>
      <c r="EP44" s="48">
        <v>0</v>
      </c>
      <c r="EQ44" s="48">
        <v>0</v>
      </c>
      <c r="ER44" s="48">
        <v>1.6502246702061037E-9</v>
      </c>
      <c r="ES44" s="48">
        <v>2.8856740488149252E-11</v>
      </c>
      <c r="ET44" s="48">
        <v>0</v>
      </c>
      <c r="EU44" s="48">
        <v>0</v>
      </c>
      <c r="EV44" s="48">
        <v>0</v>
      </c>
      <c r="EW44" s="48">
        <v>2.0542483175206373E-9</v>
      </c>
      <c r="EX44" s="48">
        <v>0</v>
      </c>
      <c r="EY44" s="48">
        <v>4.9888550952191645E-7</v>
      </c>
      <c r="EZ44" s="48">
        <v>0</v>
      </c>
      <c r="FA44" s="48">
        <v>4.1814783294792543E-13</v>
      </c>
      <c r="FB44" s="48">
        <v>1.1463794690851851E-14</v>
      </c>
      <c r="FC44" s="48">
        <v>0</v>
      </c>
      <c r="FD44" s="48">
        <v>0</v>
      </c>
      <c r="FE44" s="48">
        <v>0</v>
      </c>
      <c r="FF44" s="48">
        <v>0</v>
      </c>
      <c r="FG44" s="48">
        <v>0</v>
      </c>
      <c r="FH44" s="48">
        <v>0</v>
      </c>
      <c r="FI44" s="48">
        <v>0</v>
      </c>
      <c r="FJ44" s="48">
        <v>0</v>
      </c>
      <c r="FK44" s="48">
        <v>0</v>
      </c>
      <c r="FL44" s="48">
        <v>0</v>
      </c>
      <c r="FM44" s="48">
        <v>2.1864923300698966E-9</v>
      </c>
      <c r="FN44" s="48">
        <v>0</v>
      </c>
      <c r="FO44" s="48">
        <v>0</v>
      </c>
      <c r="FP44" s="48">
        <v>9.3054962626661685E-8</v>
      </c>
      <c r="FQ44" s="48">
        <v>0</v>
      </c>
      <c r="FR44" s="48">
        <v>0</v>
      </c>
      <c r="FS44" s="48">
        <v>0</v>
      </c>
      <c r="FT44" s="48">
        <v>0</v>
      </c>
      <c r="FU44" s="48">
        <v>0</v>
      </c>
      <c r="FV44" s="48">
        <v>7.7657943200141173E-14</v>
      </c>
      <c r="FW44" s="48">
        <v>0</v>
      </c>
      <c r="FX44" s="48">
        <v>0</v>
      </c>
      <c r="FY44" s="48">
        <v>0</v>
      </c>
      <c r="FZ44" s="48">
        <v>0</v>
      </c>
      <c r="GA44" s="48">
        <v>0</v>
      </c>
      <c r="GB44" s="48">
        <v>0</v>
      </c>
      <c r="GC44" s="48">
        <v>0</v>
      </c>
      <c r="GD44" s="48">
        <v>0</v>
      </c>
      <c r="GE44" s="48">
        <v>293.26121129728591</v>
      </c>
      <c r="GF44" s="48">
        <v>881.21150822527375</v>
      </c>
      <c r="GG44" s="48">
        <v>0</v>
      </c>
      <c r="GH44" s="48">
        <v>0</v>
      </c>
      <c r="GI44" s="48">
        <v>0</v>
      </c>
      <c r="GJ44" s="48">
        <v>0</v>
      </c>
      <c r="GK44" s="48">
        <v>0</v>
      </c>
      <c r="GL44" s="48">
        <v>0</v>
      </c>
      <c r="GM44" s="48">
        <v>0</v>
      </c>
      <c r="GN44" s="48">
        <v>0</v>
      </c>
      <c r="GO44" s="48">
        <v>0</v>
      </c>
      <c r="GP44" s="48">
        <v>0</v>
      </c>
      <c r="GQ44" s="48">
        <v>0</v>
      </c>
      <c r="GR44" s="48">
        <v>0</v>
      </c>
      <c r="GS44" s="48">
        <v>0</v>
      </c>
      <c r="GT44" s="48">
        <v>0</v>
      </c>
      <c r="GU44" s="48">
        <v>0</v>
      </c>
      <c r="GV44" s="48">
        <v>0</v>
      </c>
      <c r="GW44" s="48">
        <v>0</v>
      </c>
      <c r="GX44" s="48">
        <v>0</v>
      </c>
      <c r="GY44" s="48">
        <v>0</v>
      </c>
      <c r="GZ44" s="48">
        <v>0</v>
      </c>
      <c r="HA44" s="48">
        <v>0</v>
      </c>
      <c r="HB44" s="48">
        <v>0</v>
      </c>
      <c r="HC44" s="48">
        <v>0</v>
      </c>
      <c r="HD44" s="48">
        <v>0</v>
      </c>
      <c r="HE44" s="48">
        <v>0</v>
      </c>
      <c r="HF44" s="48">
        <v>0</v>
      </c>
      <c r="HG44" s="48">
        <v>0</v>
      </c>
      <c r="HH44" s="48">
        <v>0</v>
      </c>
      <c r="HI44" s="48">
        <v>0</v>
      </c>
      <c r="HJ44" s="48">
        <v>0</v>
      </c>
      <c r="HK44" s="48">
        <v>0</v>
      </c>
      <c r="HL44" s="48">
        <v>0</v>
      </c>
      <c r="HM44" s="48">
        <v>0</v>
      </c>
      <c r="HN44" s="48">
        <v>0</v>
      </c>
      <c r="HO44" s="48">
        <v>0</v>
      </c>
      <c r="HP44" s="48">
        <v>0</v>
      </c>
      <c r="HQ44" s="48">
        <v>0</v>
      </c>
      <c r="HR44" s="48">
        <v>0</v>
      </c>
      <c r="HS44" s="48">
        <v>0</v>
      </c>
      <c r="HT44" s="48">
        <v>0</v>
      </c>
      <c r="HU44" s="48">
        <v>0</v>
      </c>
      <c r="HV44" s="48">
        <v>0</v>
      </c>
      <c r="HW44" s="48">
        <v>0</v>
      </c>
      <c r="HX44" s="48">
        <v>0</v>
      </c>
      <c r="HY44" s="48">
        <v>0</v>
      </c>
      <c r="HZ44" s="48">
        <v>0</v>
      </c>
      <c r="IA44" s="48">
        <v>0</v>
      </c>
      <c r="IB44" s="48">
        <v>0</v>
      </c>
      <c r="IC44" s="48">
        <v>0</v>
      </c>
      <c r="ID44" s="48">
        <v>0</v>
      </c>
      <c r="IE44" s="48">
        <v>0</v>
      </c>
      <c r="IF44" s="48">
        <v>0</v>
      </c>
      <c r="IG44" s="48">
        <v>0</v>
      </c>
      <c r="IH44" s="48">
        <v>0</v>
      </c>
      <c r="II44" s="48">
        <v>0</v>
      </c>
      <c r="IJ44" s="48">
        <v>0</v>
      </c>
      <c r="IK44" s="48">
        <v>4.8253223064060858E-6</v>
      </c>
      <c r="IL44" s="48">
        <v>0</v>
      </c>
      <c r="IM44" s="48">
        <v>0</v>
      </c>
      <c r="IN44" s="48">
        <v>0</v>
      </c>
      <c r="IO44" s="48">
        <v>0</v>
      </c>
      <c r="IP44" s="23">
        <v>2285.9999999999854</v>
      </c>
      <c r="IQ44" s="25">
        <v>24847</v>
      </c>
      <c r="IR44" s="25">
        <v>0</v>
      </c>
      <c r="IS44" s="26">
        <v>0</v>
      </c>
      <c r="IT44" s="26">
        <v>0</v>
      </c>
      <c r="IU44" s="26">
        <v>0</v>
      </c>
      <c r="IV44" s="9">
        <v>0</v>
      </c>
      <c r="IW44" s="38">
        <f t="shared" si="4"/>
        <v>27132.999999999985</v>
      </c>
    </row>
    <row r="45" spans="1:257" ht="30" customHeight="1" x14ac:dyDescent="0.25">
      <c r="A45" s="112" t="b">
        <v>1</v>
      </c>
      <c r="B45" s="113" t="b">
        <f>IFERROR(VLOOKUP(C45,'Bridge matrix'!$D$3:$E$727,2,FALSE)='symmetric IOT 245 2012'!D45,"FALSCH")</f>
        <v>1</v>
      </c>
      <c r="C45" s="108">
        <v>40</v>
      </c>
      <c r="D45" s="49" t="s">
        <v>1362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3.5521837501922599E-3</v>
      </c>
      <c r="CJ45" s="48">
        <v>0</v>
      </c>
      <c r="CK45" s="48">
        <v>0</v>
      </c>
      <c r="CL45" s="48">
        <v>0</v>
      </c>
      <c r="CM45" s="48">
        <v>0</v>
      </c>
      <c r="CN45" s="48">
        <v>5.2896909374590944E-7</v>
      </c>
      <c r="CO45" s="48">
        <v>0</v>
      </c>
      <c r="CP45" s="48">
        <v>0</v>
      </c>
      <c r="CQ45" s="48">
        <v>0</v>
      </c>
      <c r="CR45" s="48">
        <v>0</v>
      </c>
      <c r="CS45" s="48">
        <v>0</v>
      </c>
      <c r="CT45" s="48">
        <v>7.0809668436164713E-10</v>
      </c>
      <c r="CU45" s="48">
        <v>1.7023446231569216E-3</v>
      </c>
      <c r="CV45" s="48">
        <v>3.9902179644784267E-3</v>
      </c>
      <c r="CW45" s="48">
        <v>0</v>
      </c>
      <c r="CX45" s="48">
        <v>5.8444614405147712</v>
      </c>
      <c r="CY45" s="48">
        <v>4.7588575914125215</v>
      </c>
      <c r="CZ45" s="48">
        <v>0</v>
      </c>
      <c r="DA45" s="48">
        <v>5.841384884206841E-5</v>
      </c>
      <c r="DB45" s="48">
        <v>0</v>
      </c>
      <c r="DC45" s="48">
        <v>3.1712015698090277E-10</v>
      </c>
      <c r="DD45" s="48">
        <v>568.69927626726144</v>
      </c>
      <c r="DE45" s="48">
        <v>0</v>
      </c>
      <c r="DF45" s="48">
        <v>0</v>
      </c>
      <c r="DG45" s="48">
        <v>0</v>
      </c>
      <c r="DH45" s="48">
        <v>0</v>
      </c>
      <c r="DI45" s="48">
        <v>0</v>
      </c>
      <c r="DJ45" s="48">
        <v>0</v>
      </c>
      <c r="DK45" s="48">
        <v>0</v>
      </c>
      <c r="DL45" s="48">
        <v>63.354523096602527</v>
      </c>
      <c r="DM45" s="48">
        <v>25.992023505103916</v>
      </c>
      <c r="DN45" s="48">
        <v>0</v>
      </c>
      <c r="DO45" s="48">
        <v>0</v>
      </c>
      <c r="DP45" s="48">
        <v>0</v>
      </c>
      <c r="DQ45" s="48">
        <v>0</v>
      </c>
      <c r="DR45" s="48">
        <v>3.718587229892537E-10</v>
      </c>
      <c r="DS45" s="48">
        <v>0</v>
      </c>
      <c r="DT45" s="48">
        <v>0</v>
      </c>
      <c r="DU45" s="48">
        <v>0</v>
      </c>
      <c r="DV45" s="48">
        <v>0</v>
      </c>
      <c r="DW45" s="48">
        <v>0</v>
      </c>
      <c r="DX45" s="48">
        <v>0</v>
      </c>
      <c r="DY45" s="48">
        <v>1.4195805361866077E-15</v>
      </c>
      <c r="DZ45" s="48">
        <v>0</v>
      </c>
      <c r="EA45" s="48">
        <v>0</v>
      </c>
      <c r="EB45" s="48">
        <v>3.951578548431769E-9</v>
      </c>
      <c r="EC45" s="48">
        <v>1.1428876269093373E-10</v>
      </c>
      <c r="ED45" s="48">
        <v>0</v>
      </c>
      <c r="EE45" s="48">
        <v>0</v>
      </c>
      <c r="EF45" s="48">
        <v>0</v>
      </c>
      <c r="EG45" s="48">
        <v>0</v>
      </c>
      <c r="EH45" s="48">
        <v>0</v>
      </c>
      <c r="EI45" s="48">
        <v>4.1966367892368831E-6</v>
      </c>
      <c r="EJ45" s="48">
        <v>7.7982021935087034E-5</v>
      </c>
      <c r="EK45" s="48">
        <v>0</v>
      </c>
      <c r="EL45" s="48">
        <v>0</v>
      </c>
      <c r="EM45" s="48">
        <v>0</v>
      </c>
      <c r="EN45" s="48">
        <v>0</v>
      </c>
      <c r="EO45" s="48">
        <v>0</v>
      </c>
      <c r="EP45" s="48">
        <v>0</v>
      </c>
      <c r="EQ45" s="48">
        <v>0</v>
      </c>
      <c r="ER45" s="48">
        <v>9.8620848479143804E-11</v>
      </c>
      <c r="ES45" s="48">
        <v>1.7245386538357317E-12</v>
      </c>
      <c r="ET45" s="48">
        <v>0</v>
      </c>
      <c r="EU45" s="48">
        <v>0</v>
      </c>
      <c r="EV45" s="48">
        <v>0</v>
      </c>
      <c r="EW45" s="48">
        <v>1.2276613949507652E-10</v>
      </c>
      <c r="EX45" s="48">
        <v>0</v>
      </c>
      <c r="EY45" s="48">
        <v>2.9814432623199452E-8</v>
      </c>
      <c r="EZ45" s="48">
        <v>0</v>
      </c>
      <c r="FA45" s="48">
        <v>2.4989381639706882E-14</v>
      </c>
      <c r="FB45" s="48">
        <v>6.8510014400724814E-16</v>
      </c>
      <c r="FC45" s="48">
        <v>0</v>
      </c>
      <c r="FD45" s="48">
        <v>0</v>
      </c>
      <c r="FE45" s="48">
        <v>0</v>
      </c>
      <c r="FF45" s="48">
        <v>0</v>
      </c>
      <c r="FG45" s="48">
        <v>0</v>
      </c>
      <c r="FH45" s="48">
        <v>0</v>
      </c>
      <c r="FI45" s="48">
        <v>0</v>
      </c>
      <c r="FJ45" s="48">
        <v>0</v>
      </c>
      <c r="FK45" s="48">
        <v>0</v>
      </c>
      <c r="FL45" s="48">
        <v>0</v>
      </c>
      <c r="FM45" s="48">
        <v>1.3066931592878339E-10</v>
      </c>
      <c r="FN45" s="48">
        <v>0</v>
      </c>
      <c r="FO45" s="48">
        <v>0</v>
      </c>
      <c r="FP45" s="48">
        <v>5.5611575412275377E-9</v>
      </c>
      <c r="FQ45" s="48">
        <v>0</v>
      </c>
      <c r="FR45" s="48">
        <v>0</v>
      </c>
      <c r="FS45" s="48">
        <v>0</v>
      </c>
      <c r="FT45" s="48">
        <v>0</v>
      </c>
      <c r="FU45" s="48">
        <v>0</v>
      </c>
      <c r="FV45" s="48">
        <v>4.6409997304103784E-15</v>
      </c>
      <c r="FW45" s="48">
        <v>0</v>
      </c>
      <c r="FX45" s="48">
        <v>0</v>
      </c>
      <c r="FY45" s="48">
        <v>0</v>
      </c>
      <c r="FZ45" s="48">
        <v>0</v>
      </c>
      <c r="GA45" s="48">
        <v>0</v>
      </c>
      <c r="GB45" s="48">
        <v>0</v>
      </c>
      <c r="GC45" s="48">
        <v>0</v>
      </c>
      <c r="GD45" s="48">
        <v>0</v>
      </c>
      <c r="GE45" s="48">
        <v>0</v>
      </c>
      <c r="GF45" s="48">
        <v>2262.9934424819348</v>
      </c>
      <c r="GG45" s="48">
        <v>0</v>
      </c>
      <c r="GH45" s="48">
        <v>0</v>
      </c>
      <c r="GI45" s="48">
        <v>0</v>
      </c>
      <c r="GJ45" s="48">
        <v>0</v>
      </c>
      <c r="GK45" s="48">
        <v>0</v>
      </c>
      <c r="GL45" s="48">
        <v>0</v>
      </c>
      <c r="GM45" s="48">
        <v>0</v>
      </c>
      <c r="GN45" s="48">
        <v>0</v>
      </c>
      <c r="GO45" s="48">
        <v>0</v>
      </c>
      <c r="GP45" s="48">
        <v>0</v>
      </c>
      <c r="GQ45" s="48">
        <v>0</v>
      </c>
      <c r="GR45" s="48">
        <v>0</v>
      </c>
      <c r="GS45" s="48">
        <v>0</v>
      </c>
      <c r="GT45" s="48">
        <v>0</v>
      </c>
      <c r="GU45" s="48">
        <v>0</v>
      </c>
      <c r="GV45" s="48">
        <v>0</v>
      </c>
      <c r="GW45" s="48">
        <v>0</v>
      </c>
      <c r="GX45" s="48">
        <v>0</v>
      </c>
      <c r="GY45" s="48">
        <v>0</v>
      </c>
      <c r="GZ45" s="48">
        <v>0</v>
      </c>
      <c r="HA45" s="48">
        <v>0</v>
      </c>
      <c r="HB45" s="48">
        <v>0</v>
      </c>
      <c r="HC45" s="48">
        <v>0</v>
      </c>
      <c r="HD45" s="48">
        <v>0</v>
      </c>
      <c r="HE45" s="48">
        <v>0</v>
      </c>
      <c r="HF45" s="48">
        <v>0</v>
      </c>
      <c r="HG45" s="48">
        <v>0</v>
      </c>
      <c r="HH45" s="48">
        <v>0</v>
      </c>
      <c r="HI45" s="48">
        <v>0</v>
      </c>
      <c r="HJ45" s="48">
        <v>0</v>
      </c>
      <c r="HK45" s="48">
        <v>0</v>
      </c>
      <c r="HL45" s="48">
        <v>0</v>
      </c>
      <c r="HM45" s="48">
        <v>0</v>
      </c>
      <c r="HN45" s="48">
        <v>0</v>
      </c>
      <c r="HO45" s="48">
        <v>0</v>
      </c>
      <c r="HP45" s="48">
        <v>0</v>
      </c>
      <c r="HQ45" s="48">
        <v>0</v>
      </c>
      <c r="HR45" s="48">
        <v>0</v>
      </c>
      <c r="HS45" s="48">
        <v>0</v>
      </c>
      <c r="HT45" s="48">
        <v>0</v>
      </c>
      <c r="HU45" s="48">
        <v>0</v>
      </c>
      <c r="HV45" s="48">
        <v>16.908075428600675</v>
      </c>
      <c r="HW45" s="48">
        <v>0</v>
      </c>
      <c r="HX45" s="48">
        <v>0</v>
      </c>
      <c r="HY45" s="48">
        <v>0</v>
      </c>
      <c r="HZ45" s="48">
        <v>0</v>
      </c>
      <c r="IA45" s="48">
        <v>0</v>
      </c>
      <c r="IB45" s="48">
        <v>0</v>
      </c>
      <c r="IC45" s="48">
        <v>0</v>
      </c>
      <c r="ID45" s="48">
        <v>0</v>
      </c>
      <c r="IE45" s="48">
        <v>0</v>
      </c>
      <c r="IF45" s="48">
        <v>0</v>
      </c>
      <c r="IG45" s="48">
        <v>0</v>
      </c>
      <c r="IH45" s="48">
        <v>0</v>
      </c>
      <c r="II45" s="48">
        <v>0</v>
      </c>
      <c r="IJ45" s="48">
        <v>2494.4399540151308</v>
      </c>
      <c r="IK45" s="48">
        <v>2.644077156170572E-7</v>
      </c>
      <c r="IL45" s="48">
        <v>0</v>
      </c>
      <c r="IM45" s="48">
        <v>0</v>
      </c>
      <c r="IN45" s="48">
        <v>0</v>
      </c>
      <c r="IO45" s="48">
        <v>0</v>
      </c>
      <c r="IP45" s="23">
        <v>5442.9999999999754</v>
      </c>
      <c r="IQ45" s="25">
        <v>29205</v>
      </c>
      <c r="IR45" s="25">
        <v>0</v>
      </c>
      <c r="IS45" s="26">
        <v>0</v>
      </c>
      <c r="IT45" s="26">
        <v>8872</v>
      </c>
      <c r="IU45" s="26">
        <v>0</v>
      </c>
      <c r="IV45" s="9">
        <v>262</v>
      </c>
      <c r="IW45" s="38">
        <f t="shared" si="4"/>
        <v>43781.999999999978</v>
      </c>
    </row>
    <row r="46" spans="1:257" ht="30" customHeight="1" x14ac:dyDescent="0.25">
      <c r="A46" s="112" t="b">
        <v>1</v>
      </c>
      <c r="B46" s="113" t="b">
        <f>IFERROR(VLOOKUP(C46,'Bridge matrix'!$D$3:$E$727,2,FALSE)='symmetric IOT 245 2012'!D46,"FALSCH")</f>
        <v>1</v>
      </c>
      <c r="C46" s="108">
        <v>41</v>
      </c>
      <c r="D46" s="49" t="s">
        <v>1363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34.950773169868178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  <c r="BW46" s="48">
        <v>0</v>
      </c>
      <c r="BX46" s="48">
        <v>0</v>
      </c>
      <c r="BY46" s="48">
        <v>0</v>
      </c>
      <c r="BZ46" s="48">
        <v>0</v>
      </c>
      <c r="CA46" s="48">
        <v>0</v>
      </c>
      <c r="CB46" s="48">
        <v>0</v>
      </c>
      <c r="CC46" s="48">
        <v>0</v>
      </c>
      <c r="CD46" s="48">
        <v>0</v>
      </c>
      <c r="CE46" s="48">
        <v>0</v>
      </c>
      <c r="CF46" s="48">
        <v>0</v>
      </c>
      <c r="CG46" s="48">
        <v>0</v>
      </c>
      <c r="CH46" s="48">
        <v>0</v>
      </c>
      <c r="CI46" s="48">
        <v>2.1873481495261984E-2</v>
      </c>
      <c r="CJ46" s="48">
        <v>0</v>
      </c>
      <c r="CK46" s="48">
        <v>0</v>
      </c>
      <c r="CL46" s="48">
        <v>0</v>
      </c>
      <c r="CM46" s="48">
        <v>0</v>
      </c>
      <c r="CN46" s="48">
        <v>0</v>
      </c>
      <c r="CO46" s="48">
        <v>0</v>
      </c>
      <c r="CP46" s="48">
        <v>0</v>
      </c>
      <c r="CQ46" s="48">
        <v>0</v>
      </c>
      <c r="CR46" s="48">
        <v>0.37741750698129434</v>
      </c>
      <c r="CS46" s="48">
        <v>0</v>
      </c>
      <c r="CT46" s="48">
        <v>0</v>
      </c>
      <c r="CU46" s="48">
        <v>1.0237425401878452E-2</v>
      </c>
      <c r="CV46" s="48">
        <v>2.3996057080868622E-2</v>
      </c>
      <c r="CW46" s="48">
        <v>0</v>
      </c>
      <c r="CX46" s="48">
        <v>0</v>
      </c>
      <c r="CY46" s="48">
        <v>343.05781009014862</v>
      </c>
      <c r="CZ46" s="48">
        <v>0</v>
      </c>
      <c r="DA46" s="48">
        <v>3.5128458234755098E-4</v>
      </c>
      <c r="DB46" s="48">
        <v>0</v>
      </c>
      <c r="DC46" s="48">
        <v>0</v>
      </c>
      <c r="DD46" s="48">
        <v>577.61320005131608</v>
      </c>
      <c r="DE46" s="48">
        <v>0</v>
      </c>
      <c r="DF46" s="48">
        <v>0</v>
      </c>
      <c r="DG46" s="48">
        <v>0</v>
      </c>
      <c r="DH46" s="48">
        <v>2.0964145180752349</v>
      </c>
      <c r="DI46" s="48">
        <v>0</v>
      </c>
      <c r="DJ46" s="48">
        <v>78.490920892311607</v>
      </c>
      <c r="DK46" s="48">
        <v>0</v>
      </c>
      <c r="DL46" s="48">
        <v>380.99641826358123</v>
      </c>
      <c r="DM46" s="48">
        <v>0</v>
      </c>
      <c r="DN46" s="48">
        <v>80.611585520998972</v>
      </c>
      <c r="DO46" s="48">
        <v>0</v>
      </c>
      <c r="DP46" s="48">
        <v>0</v>
      </c>
      <c r="DQ46" s="48">
        <v>0</v>
      </c>
      <c r="DR46" s="48">
        <v>2.2362545661175127E-9</v>
      </c>
      <c r="DS46" s="48">
        <v>0</v>
      </c>
      <c r="DT46" s="48">
        <v>0</v>
      </c>
      <c r="DU46" s="48">
        <v>0</v>
      </c>
      <c r="DV46" s="48">
        <v>0</v>
      </c>
      <c r="DW46" s="48">
        <v>0</v>
      </c>
      <c r="DX46" s="48">
        <v>0</v>
      </c>
      <c r="DY46" s="48">
        <v>8.5369611085083827E-15</v>
      </c>
      <c r="DZ46" s="48">
        <v>0</v>
      </c>
      <c r="EA46" s="48">
        <v>0</v>
      </c>
      <c r="EB46" s="48">
        <v>2.3763690417873987E-8</v>
      </c>
      <c r="EC46" s="48">
        <v>6.8730071831851914E-10</v>
      </c>
      <c r="ED46" s="48">
        <v>0</v>
      </c>
      <c r="EE46" s="48">
        <v>0</v>
      </c>
      <c r="EF46" s="48">
        <v>0</v>
      </c>
      <c r="EG46" s="48">
        <v>0</v>
      </c>
      <c r="EH46" s="48">
        <v>0</v>
      </c>
      <c r="EI46" s="48">
        <v>2.5237402276936655E-5</v>
      </c>
      <c r="EJ46" s="48">
        <v>4.6896211342191483E-4</v>
      </c>
      <c r="EK46" s="48">
        <v>0</v>
      </c>
      <c r="EL46" s="48">
        <v>0</v>
      </c>
      <c r="EM46" s="48">
        <v>0</v>
      </c>
      <c r="EN46" s="48">
        <v>0</v>
      </c>
      <c r="EO46" s="48">
        <v>0</v>
      </c>
      <c r="EP46" s="48">
        <v>0</v>
      </c>
      <c r="EQ46" s="48">
        <v>0</v>
      </c>
      <c r="ER46" s="48">
        <v>5.9307825550791967E-10</v>
      </c>
      <c r="ES46" s="48">
        <v>1.0370894107539211E-11</v>
      </c>
      <c r="ET46" s="48">
        <v>0</v>
      </c>
      <c r="EU46" s="48">
        <v>0</v>
      </c>
      <c r="EV46" s="48">
        <v>0</v>
      </c>
      <c r="EW46" s="48">
        <v>7.3828129619651111E-10</v>
      </c>
      <c r="EX46" s="48">
        <v>0</v>
      </c>
      <c r="EY46" s="48">
        <v>1.7929567593271121E-7</v>
      </c>
      <c r="EZ46" s="48">
        <v>0</v>
      </c>
      <c r="FA46" s="48">
        <v>1.5027916609572909E-13</v>
      </c>
      <c r="FB46" s="48">
        <v>4.120001039556768E-15</v>
      </c>
      <c r="FC46" s="48">
        <v>0</v>
      </c>
      <c r="FD46" s="48">
        <v>0</v>
      </c>
      <c r="FE46" s="48">
        <v>0</v>
      </c>
      <c r="FF46" s="48">
        <v>0</v>
      </c>
      <c r="FG46" s="48">
        <v>0</v>
      </c>
      <c r="FH46" s="48">
        <v>0</v>
      </c>
      <c r="FI46" s="48">
        <v>0</v>
      </c>
      <c r="FJ46" s="48">
        <v>0</v>
      </c>
      <c r="FK46" s="48">
        <v>0</v>
      </c>
      <c r="FL46" s="48">
        <v>0</v>
      </c>
      <c r="FM46" s="48">
        <v>7.8580879331863619E-10</v>
      </c>
      <c r="FN46" s="48">
        <v>0</v>
      </c>
      <c r="FO46" s="48">
        <v>0</v>
      </c>
      <c r="FP46" s="48">
        <v>3.3443249211686028E-8</v>
      </c>
      <c r="FQ46" s="48">
        <v>0</v>
      </c>
      <c r="FR46" s="48">
        <v>0</v>
      </c>
      <c r="FS46" s="48">
        <v>0</v>
      </c>
      <c r="FT46" s="48">
        <v>0</v>
      </c>
      <c r="FU46" s="48">
        <v>0</v>
      </c>
      <c r="FV46" s="48">
        <v>2.7909676973693867E-14</v>
      </c>
      <c r="FW46" s="48">
        <v>0</v>
      </c>
      <c r="FX46" s="48">
        <v>0</v>
      </c>
      <c r="FY46" s="48">
        <v>0</v>
      </c>
      <c r="FZ46" s="48">
        <v>0</v>
      </c>
      <c r="GA46" s="48">
        <v>0</v>
      </c>
      <c r="GB46" s="48">
        <v>0</v>
      </c>
      <c r="GC46" s="48">
        <v>0</v>
      </c>
      <c r="GD46" s="48">
        <v>0</v>
      </c>
      <c r="GE46" s="48">
        <v>0</v>
      </c>
      <c r="GF46" s="48">
        <v>291.54998426917547</v>
      </c>
      <c r="GG46" s="48">
        <v>0</v>
      </c>
      <c r="GH46" s="48">
        <v>0</v>
      </c>
      <c r="GI46" s="48">
        <v>0</v>
      </c>
      <c r="GJ46" s="48">
        <v>0</v>
      </c>
      <c r="GK46" s="48">
        <v>0</v>
      </c>
      <c r="GL46" s="48">
        <v>0</v>
      </c>
      <c r="GM46" s="48">
        <v>0</v>
      </c>
      <c r="GN46" s="48">
        <v>0</v>
      </c>
      <c r="GO46" s="48">
        <v>0</v>
      </c>
      <c r="GP46" s="48">
        <v>0</v>
      </c>
      <c r="GQ46" s="48">
        <v>0</v>
      </c>
      <c r="GR46" s="48">
        <v>0</v>
      </c>
      <c r="GS46" s="48">
        <v>0</v>
      </c>
      <c r="GT46" s="48">
        <v>0</v>
      </c>
      <c r="GU46" s="48">
        <v>0</v>
      </c>
      <c r="GV46" s="48">
        <v>0</v>
      </c>
      <c r="GW46" s="48">
        <v>0</v>
      </c>
      <c r="GX46" s="48">
        <v>0</v>
      </c>
      <c r="GY46" s="48">
        <v>0</v>
      </c>
      <c r="GZ46" s="48">
        <v>0</v>
      </c>
      <c r="HA46" s="48">
        <v>0</v>
      </c>
      <c r="HB46" s="48">
        <v>0</v>
      </c>
      <c r="HC46" s="48">
        <v>0</v>
      </c>
      <c r="HD46" s="48">
        <v>0</v>
      </c>
      <c r="HE46" s="48">
        <v>0</v>
      </c>
      <c r="HF46" s="48">
        <v>0</v>
      </c>
      <c r="HG46" s="48">
        <v>0</v>
      </c>
      <c r="HH46" s="48">
        <v>0</v>
      </c>
      <c r="HI46" s="48">
        <v>0</v>
      </c>
      <c r="HJ46" s="48">
        <v>0</v>
      </c>
      <c r="HK46" s="48">
        <v>0</v>
      </c>
      <c r="HL46" s="48">
        <v>0</v>
      </c>
      <c r="HM46" s="48">
        <v>0</v>
      </c>
      <c r="HN46" s="48">
        <v>0</v>
      </c>
      <c r="HO46" s="48">
        <v>0</v>
      </c>
      <c r="HP46" s="48">
        <v>0</v>
      </c>
      <c r="HQ46" s="48">
        <v>0</v>
      </c>
      <c r="HR46" s="48">
        <v>0</v>
      </c>
      <c r="HS46" s="48">
        <v>0</v>
      </c>
      <c r="HT46" s="48">
        <v>0</v>
      </c>
      <c r="HU46" s="48">
        <v>0</v>
      </c>
      <c r="HV46" s="48">
        <v>11.381651352321704</v>
      </c>
      <c r="HW46" s="48">
        <v>0</v>
      </c>
      <c r="HX46" s="48">
        <v>0</v>
      </c>
      <c r="HY46" s="48">
        <v>0</v>
      </c>
      <c r="HZ46" s="48">
        <v>0</v>
      </c>
      <c r="IA46" s="48">
        <v>0</v>
      </c>
      <c r="IB46" s="48">
        <v>0</v>
      </c>
      <c r="IC46" s="48">
        <v>0</v>
      </c>
      <c r="ID46" s="48">
        <v>0</v>
      </c>
      <c r="IE46" s="48">
        <v>0</v>
      </c>
      <c r="IF46" s="48">
        <v>0</v>
      </c>
      <c r="IG46" s="48">
        <v>0</v>
      </c>
      <c r="IH46" s="48">
        <v>0</v>
      </c>
      <c r="II46" s="48">
        <v>0</v>
      </c>
      <c r="IJ46" s="48">
        <v>185.81687167557746</v>
      </c>
      <c r="IK46" s="48">
        <v>0</v>
      </c>
      <c r="IL46" s="48">
        <v>0</v>
      </c>
      <c r="IM46" s="48">
        <v>0</v>
      </c>
      <c r="IN46" s="48">
        <v>0</v>
      </c>
      <c r="IO46" s="48">
        <v>0</v>
      </c>
      <c r="IP46" s="23">
        <v>1986.9999999999861</v>
      </c>
      <c r="IQ46" s="25">
        <v>34547</v>
      </c>
      <c r="IR46" s="25">
        <v>0</v>
      </c>
      <c r="IS46" s="26">
        <v>0</v>
      </c>
      <c r="IT46" s="26">
        <v>0</v>
      </c>
      <c r="IU46" s="26">
        <v>0</v>
      </c>
      <c r="IV46" s="9">
        <v>1980</v>
      </c>
      <c r="IW46" s="38">
        <f t="shared" si="4"/>
        <v>38513.999999999985</v>
      </c>
    </row>
    <row r="47" spans="1:257" ht="30" customHeight="1" x14ac:dyDescent="0.25">
      <c r="A47" s="112" t="b">
        <v>1</v>
      </c>
      <c r="B47" s="113" t="str">
        <f>IFERROR(VLOOKUP(C47,'Bridge matrix'!$D$3:$E$727,2,FALSE)='symmetric IOT 245 2012'!D47,"FALSCH")</f>
        <v>FALSCH</v>
      </c>
      <c r="C47" s="108">
        <v>42</v>
      </c>
      <c r="D47" s="49" t="s">
        <v>1364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2836.7944362085404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48">
        <v>0</v>
      </c>
      <c r="CB47" s="48">
        <v>0</v>
      </c>
      <c r="CC47" s="48">
        <v>0</v>
      </c>
      <c r="CD47" s="48">
        <v>0</v>
      </c>
      <c r="CE47" s="48">
        <v>0</v>
      </c>
      <c r="CF47" s="48">
        <v>0</v>
      </c>
      <c r="CG47" s="48">
        <v>0</v>
      </c>
      <c r="CH47" s="48">
        <v>0</v>
      </c>
      <c r="CI47" s="48">
        <v>7.5220411067699675E-7</v>
      </c>
      <c r="CJ47" s="48">
        <v>0</v>
      </c>
      <c r="CK47" s="48">
        <v>0</v>
      </c>
      <c r="CL47" s="48">
        <v>57.984279389333764</v>
      </c>
      <c r="CM47" s="48">
        <v>1.4899861233450021E-8</v>
      </c>
      <c r="CN47" s="48">
        <v>86.269268800052345</v>
      </c>
      <c r="CO47" s="48">
        <v>0</v>
      </c>
      <c r="CP47" s="48">
        <v>0</v>
      </c>
      <c r="CQ47" s="48">
        <v>0</v>
      </c>
      <c r="CR47" s="48">
        <v>0</v>
      </c>
      <c r="CS47" s="48">
        <v>0</v>
      </c>
      <c r="CT47" s="48">
        <v>188556.75241455561</v>
      </c>
      <c r="CU47" s="48">
        <v>0</v>
      </c>
      <c r="CV47" s="48">
        <v>8.4496011167338674E-7</v>
      </c>
      <c r="CW47" s="48">
        <v>0</v>
      </c>
      <c r="CX47" s="48">
        <v>1.074896264136618E-2</v>
      </c>
      <c r="CY47" s="48">
        <v>0</v>
      </c>
      <c r="CZ47" s="48">
        <v>0</v>
      </c>
      <c r="DA47" s="48">
        <v>1.2369593009768849E-8</v>
      </c>
      <c r="DB47" s="48">
        <v>0</v>
      </c>
      <c r="DC47" s="48">
        <v>5.1718946131173608E-2</v>
      </c>
      <c r="DD47" s="48">
        <v>0</v>
      </c>
      <c r="DE47" s="48">
        <v>0</v>
      </c>
      <c r="DF47" s="48">
        <v>0</v>
      </c>
      <c r="DG47" s="48">
        <v>0</v>
      </c>
      <c r="DH47" s="48">
        <v>0</v>
      </c>
      <c r="DI47" s="48">
        <v>0</v>
      </c>
      <c r="DJ47" s="48">
        <v>0</v>
      </c>
      <c r="DK47" s="48">
        <v>0</v>
      </c>
      <c r="DL47" s="48">
        <v>1.341581973397706E-2</v>
      </c>
      <c r="DM47" s="48">
        <v>0</v>
      </c>
      <c r="DN47" s="48">
        <v>0</v>
      </c>
      <c r="DO47" s="48">
        <v>0</v>
      </c>
      <c r="DP47" s="48">
        <v>0</v>
      </c>
      <c r="DQ47" s="48">
        <v>0</v>
      </c>
      <c r="DR47" s="48">
        <v>7.8744016216866657E-14</v>
      </c>
      <c r="DS47" s="48">
        <v>0</v>
      </c>
      <c r="DT47" s="48">
        <v>0</v>
      </c>
      <c r="DU47" s="48">
        <v>0</v>
      </c>
      <c r="DV47" s="48">
        <v>0</v>
      </c>
      <c r="DW47" s="48">
        <v>0</v>
      </c>
      <c r="DX47" s="48">
        <v>0</v>
      </c>
      <c r="DY47" s="48">
        <v>3.0060737008946526E-19</v>
      </c>
      <c r="DZ47" s="48">
        <v>0</v>
      </c>
      <c r="EA47" s="48">
        <v>0</v>
      </c>
      <c r="EB47" s="48">
        <v>8.3677791070380951E-13</v>
      </c>
      <c r="EC47" s="48">
        <v>2.4201546518516402E-14</v>
      </c>
      <c r="ED47" s="48">
        <v>0</v>
      </c>
      <c r="EE47" s="48">
        <v>0</v>
      </c>
      <c r="EF47" s="48">
        <v>0</v>
      </c>
      <c r="EG47" s="48">
        <v>0</v>
      </c>
      <c r="EH47" s="48">
        <v>0</v>
      </c>
      <c r="EI47" s="48">
        <v>8.8867092516078766E-10</v>
      </c>
      <c r="EJ47" s="48">
        <v>1.6513307931888975E-8</v>
      </c>
      <c r="EK47" s="48">
        <v>0</v>
      </c>
      <c r="EL47" s="48">
        <v>0</v>
      </c>
      <c r="EM47" s="48">
        <v>1.6115936218001421E-3</v>
      </c>
      <c r="EN47" s="48">
        <v>0</v>
      </c>
      <c r="EO47" s="48">
        <v>0</v>
      </c>
      <c r="EP47" s="48">
        <v>0</v>
      </c>
      <c r="EQ47" s="48">
        <v>0</v>
      </c>
      <c r="ER47" s="48">
        <v>2.0883742162980743E-14</v>
      </c>
      <c r="ES47" s="48">
        <v>3.65184655701028E-16</v>
      </c>
      <c r="ET47" s="48">
        <v>0</v>
      </c>
      <c r="EU47" s="48">
        <v>0</v>
      </c>
      <c r="EV47" s="48">
        <v>0</v>
      </c>
      <c r="EW47" s="48">
        <v>2.5996697889918299E-14</v>
      </c>
      <c r="EX47" s="48">
        <v>0</v>
      </c>
      <c r="EY47" s="48">
        <v>6.3134411561074271E-12</v>
      </c>
      <c r="EZ47" s="48">
        <v>0</v>
      </c>
      <c r="FA47" s="48">
        <v>5.2916985710818519E-18</v>
      </c>
      <c r="FB47" s="48">
        <v>1.450753566198943E-19</v>
      </c>
      <c r="FC47" s="48">
        <v>0</v>
      </c>
      <c r="FD47" s="48">
        <v>0</v>
      </c>
      <c r="FE47" s="48">
        <v>0</v>
      </c>
      <c r="FF47" s="48">
        <v>0</v>
      </c>
      <c r="FG47" s="48">
        <v>0</v>
      </c>
      <c r="FH47" s="48">
        <v>0</v>
      </c>
      <c r="FI47" s="48">
        <v>0</v>
      </c>
      <c r="FJ47" s="48">
        <v>0</v>
      </c>
      <c r="FK47" s="48">
        <v>0</v>
      </c>
      <c r="FL47" s="48">
        <v>0</v>
      </c>
      <c r="FM47" s="48">
        <v>2.7670257806054941E-14</v>
      </c>
      <c r="FN47" s="48">
        <v>0</v>
      </c>
      <c r="FO47" s="48">
        <v>0</v>
      </c>
      <c r="FP47" s="48">
        <v>1.1776189518717494E-12</v>
      </c>
      <c r="FQ47" s="48">
        <v>0</v>
      </c>
      <c r="FR47" s="48">
        <v>0</v>
      </c>
      <c r="FS47" s="48">
        <v>0</v>
      </c>
      <c r="FT47" s="48">
        <v>0</v>
      </c>
      <c r="FU47" s="48">
        <v>0</v>
      </c>
      <c r="FV47" s="48">
        <v>9.8276828117991889E-19</v>
      </c>
      <c r="FW47" s="48">
        <v>0</v>
      </c>
      <c r="FX47" s="48">
        <v>0</v>
      </c>
      <c r="FY47" s="48">
        <v>0</v>
      </c>
      <c r="FZ47" s="48">
        <v>0</v>
      </c>
      <c r="GA47" s="48">
        <v>0</v>
      </c>
      <c r="GB47" s="48">
        <v>0</v>
      </c>
      <c r="GC47" s="48">
        <v>0</v>
      </c>
      <c r="GD47" s="48">
        <v>0</v>
      </c>
      <c r="GE47" s="48">
        <v>0</v>
      </c>
      <c r="GF47" s="48">
        <v>0</v>
      </c>
      <c r="GG47" s="48">
        <v>0</v>
      </c>
      <c r="GH47" s="48">
        <v>0</v>
      </c>
      <c r="GI47" s="48">
        <v>0</v>
      </c>
      <c r="GJ47" s="48">
        <v>0</v>
      </c>
      <c r="GK47" s="48">
        <v>0</v>
      </c>
      <c r="GL47" s="48">
        <v>0</v>
      </c>
      <c r="GM47" s="48">
        <v>0</v>
      </c>
      <c r="GN47" s="48">
        <v>0</v>
      </c>
      <c r="GO47" s="48">
        <v>0</v>
      </c>
      <c r="GP47" s="48">
        <v>0</v>
      </c>
      <c r="GQ47" s="48">
        <v>0</v>
      </c>
      <c r="GR47" s="48">
        <v>0</v>
      </c>
      <c r="GS47" s="48">
        <v>0</v>
      </c>
      <c r="GT47" s="48">
        <v>0</v>
      </c>
      <c r="GU47" s="48">
        <v>0</v>
      </c>
      <c r="GV47" s="48">
        <v>0</v>
      </c>
      <c r="GW47" s="48">
        <v>0</v>
      </c>
      <c r="GX47" s="48">
        <v>0</v>
      </c>
      <c r="GY47" s="48">
        <v>0</v>
      </c>
      <c r="GZ47" s="48">
        <v>0</v>
      </c>
      <c r="HA47" s="48">
        <v>0</v>
      </c>
      <c r="HB47" s="48">
        <v>0</v>
      </c>
      <c r="HC47" s="48">
        <v>0</v>
      </c>
      <c r="HD47" s="48">
        <v>0</v>
      </c>
      <c r="HE47" s="48">
        <v>0</v>
      </c>
      <c r="HF47" s="48">
        <v>0</v>
      </c>
      <c r="HG47" s="48">
        <v>0</v>
      </c>
      <c r="HH47" s="48">
        <v>0</v>
      </c>
      <c r="HI47" s="48">
        <v>0</v>
      </c>
      <c r="HJ47" s="48">
        <v>0</v>
      </c>
      <c r="HK47" s="48">
        <v>0</v>
      </c>
      <c r="HL47" s="48">
        <v>0</v>
      </c>
      <c r="HM47" s="48">
        <v>0</v>
      </c>
      <c r="HN47" s="48">
        <v>0</v>
      </c>
      <c r="HO47" s="48">
        <v>0</v>
      </c>
      <c r="HP47" s="48">
        <v>0</v>
      </c>
      <c r="HQ47" s="48">
        <v>0</v>
      </c>
      <c r="HR47" s="48">
        <v>0</v>
      </c>
      <c r="HS47" s="48">
        <v>0</v>
      </c>
      <c r="HT47" s="48">
        <v>0</v>
      </c>
      <c r="HU47" s="48">
        <v>0</v>
      </c>
      <c r="HV47" s="48">
        <v>0</v>
      </c>
      <c r="HW47" s="48">
        <v>0</v>
      </c>
      <c r="HX47" s="48">
        <v>0</v>
      </c>
      <c r="HY47" s="48">
        <v>0</v>
      </c>
      <c r="HZ47" s="48">
        <v>0</v>
      </c>
      <c r="IA47" s="48">
        <v>0</v>
      </c>
      <c r="IB47" s="48">
        <v>0</v>
      </c>
      <c r="IC47" s="48">
        <v>0</v>
      </c>
      <c r="ID47" s="48">
        <v>0</v>
      </c>
      <c r="IE47" s="48">
        <v>0</v>
      </c>
      <c r="IF47" s="48">
        <v>0</v>
      </c>
      <c r="IG47" s="48">
        <v>0</v>
      </c>
      <c r="IH47" s="48">
        <v>0</v>
      </c>
      <c r="II47" s="48">
        <v>0</v>
      </c>
      <c r="IJ47" s="48">
        <v>0</v>
      </c>
      <c r="IK47" s="48">
        <v>43.122104034177497</v>
      </c>
      <c r="IL47" s="48">
        <v>0</v>
      </c>
      <c r="IM47" s="48">
        <v>0</v>
      </c>
      <c r="IN47" s="48">
        <v>0</v>
      </c>
      <c r="IO47" s="48">
        <v>0</v>
      </c>
      <c r="IP47" s="23">
        <v>191580.99999995169</v>
      </c>
      <c r="IQ47" s="25">
        <v>0</v>
      </c>
      <c r="IR47" s="25">
        <v>0</v>
      </c>
      <c r="IS47" s="26">
        <v>0</v>
      </c>
      <c r="IT47" s="26">
        <v>10965</v>
      </c>
      <c r="IU47" s="26">
        <v>0</v>
      </c>
      <c r="IV47" s="9">
        <v>49940</v>
      </c>
      <c r="IW47" s="38">
        <f t="shared" si="4"/>
        <v>252485.99999995169</v>
      </c>
    </row>
    <row r="48" spans="1:257" ht="30" customHeight="1" x14ac:dyDescent="0.25">
      <c r="A48" s="112" t="b">
        <v>1</v>
      </c>
      <c r="B48" s="113" t="b">
        <f>IFERROR(VLOOKUP(C48,'Bridge matrix'!$D$3:$E$727,2,FALSE)='symmetric IOT 245 2012'!D48,"FALSCH")</f>
        <v>1</v>
      </c>
      <c r="C48" s="108">
        <v>43</v>
      </c>
      <c r="D48" s="49" t="s">
        <v>548</v>
      </c>
      <c r="E48" s="48">
        <v>0</v>
      </c>
      <c r="F48" s="48">
        <v>0</v>
      </c>
      <c r="G48" s="48">
        <v>0</v>
      </c>
      <c r="H48" s="48">
        <v>0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0</v>
      </c>
      <c r="R48" s="48">
        <v>0</v>
      </c>
      <c r="S48" s="48">
        <v>0</v>
      </c>
      <c r="T48" s="48">
        <v>0</v>
      </c>
      <c r="U48" s="48">
        <v>0</v>
      </c>
      <c r="V48" s="48">
        <v>0</v>
      </c>
      <c r="W48" s="48">
        <v>0</v>
      </c>
      <c r="X48" s="48">
        <v>0</v>
      </c>
      <c r="Y48" s="48">
        <v>0</v>
      </c>
      <c r="Z48" s="48">
        <v>0</v>
      </c>
      <c r="AA48" s="48">
        <v>0</v>
      </c>
      <c r="AB48" s="48">
        <v>0</v>
      </c>
      <c r="AC48" s="48">
        <v>0</v>
      </c>
      <c r="AD48" s="48">
        <v>0</v>
      </c>
      <c r="AE48" s="48">
        <v>0</v>
      </c>
      <c r="AF48" s="48">
        <v>0</v>
      </c>
      <c r="AG48" s="48">
        <v>0</v>
      </c>
      <c r="AH48" s="48">
        <v>0</v>
      </c>
      <c r="AI48" s="48">
        <v>0</v>
      </c>
      <c r="AJ48" s="48">
        <v>0</v>
      </c>
      <c r="AK48" s="48">
        <v>0</v>
      </c>
      <c r="AL48" s="48">
        <v>0</v>
      </c>
      <c r="AM48" s="48">
        <v>0</v>
      </c>
      <c r="AN48" s="48">
        <v>0</v>
      </c>
      <c r="AO48" s="48">
        <v>0</v>
      </c>
      <c r="AP48" s="48">
        <v>0</v>
      </c>
      <c r="AQ48" s="48">
        <v>0</v>
      </c>
      <c r="AR48" s="48">
        <v>0</v>
      </c>
      <c r="AS48" s="48">
        <v>0</v>
      </c>
      <c r="AT48" s="48">
        <v>0</v>
      </c>
      <c r="AU48" s="48">
        <v>93.374021553592399</v>
      </c>
      <c r="AV48" s="48">
        <v>0</v>
      </c>
      <c r="AW48" s="48">
        <v>0</v>
      </c>
      <c r="AX48" s="48">
        <v>0</v>
      </c>
      <c r="AY48" s="48">
        <v>0</v>
      </c>
      <c r="AZ48" s="48">
        <v>0</v>
      </c>
      <c r="BA48" s="48">
        <v>0</v>
      </c>
      <c r="BB48" s="48">
        <v>0</v>
      </c>
      <c r="BC48" s="48">
        <v>0</v>
      </c>
      <c r="BD48" s="48">
        <v>0</v>
      </c>
      <c r="BE48" s="48">
        <v>0</v>
      </c>
      <c r="BF48" s="48">
        <v>0</v>
      </c>
      <c r="BG48" s="48">
        <v>0</v>
      </c>
      <c r="BH48" s="48">
        <v>0</v>
      </c>
      <c r="BI48" s="48">
        <v>0</v>
      </c>
      <c r="BJ48" s="48">
        <v>0</v>
      </c>
      <c r="BK48" s="48">
        <v>0</v>
      </c>
      <c r="BL48" s="48">
        <v>0</v>
      </c>
      <c r="BM48" s="48">
        <v>0</v>
      </c>
      <c r="BN48" s="48">
        <v>0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0</v>
      </c>
      <c r="BU48" s="48">
        <v>0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48">
        <v>0</v>
      </c>
      <c r="CB48" s="48">
        <v>0</v>
      </c>
      <c r="CC48" s="48">
        <v>0</v>
      </c>
      <c r="CD48" s="48">
        <v>0</v>
      </c>
      <c r="CE48" s="48">
        <v>0</v>
      </c>
      <c r="CF48" s="48">
        <v>0</v>
      </c>
      <c r="CG48" s="48">
        <v>0</v>
      </c>
      <c r="CH48" s="48">
        <v>0</v>
      </c>
      <c r="CI48" s="48">
        <v>0</v>
      </c>
      <c r="CJ48" s="48">
        <v>0</v>
      </c>
      <c r="CK48" s="48">
        <v>0</v>
      </c>
      <c r="CL48" s="48">
        <v>4.3414364654000271E-12</v>
      </c>
      <c r="CM48" s="48">
        <v>2.6541009690706928E-4</v>
      </c>
      <c r="CN48" s="48">
        <v>0</v>
      </c>
      <c r="CO48" s="48">
        <v>0</v>
      </c>
      <c r="CP48" s="48">
        <v>0</v>
      </c>
      <c r="CQ48" s="48">
        <v>0</v>
      </c>
      <c r="CR48" s="48">
        <v>6.8184608880341516E-14</v>
      </c>
      <c r="CS48" s="48">
        <v>0</v>
      </c>
      <c r="CT48" s="48">
        <v>0</v>
      </c>
      <c r="CU48" s="48">
        <v>0</v>
      </c>
      <c r="CV48" s="48">
        <v>31956.497827796436</v>
      </c>
      <c r="CW48" s="48">
        <v>0</v>
      </c>
      <c r="CX48" s="48">
        <v>0</v>
      </c>
      <c r="CY48" s="48">
        <v>0</v>
      </c>
      <c r="CZ48" s="48">
        <v>7.5360808935250101E-7</v>
      </c>
      <c r="DA48" s="48">
        <v>0</v>
      </c>
      <c r="DB48" s="48">
        <v>0</v>
      </c>
      <c r="DC48" s="48">
        <v>0</v>
      </c>
      <c r="DD48" s="48">
        <v>0.12786533067244277</v>
      </c>
      <c r="DE48" s="48">
        <v>4.8057256858646549E-6</v>
      </c>
      <c r="DF48" s="48">
        <v>0</v>
      </c>
      <c r="DG48" s="48">
        <v>0</v>
      </c>
      <c r="DH48" s="48">
        <v>0</v>
      </c>
      <c r="DI48" s="48">
        <v>0</v>
      </c>
      <c r="DJ48" s="48">
        <v>1.4180245067342267E-11</v>
      </c>
      <c r="DK48" s="48">
        <v>1.4147886885414611E-5</v>
      </c>
      <c r="DL48" s="48">
        <v>0</v>
      </c>
      <c r="DM48" s="48">
        <v>0</v>
      </c>
      <c r="DN48" s="48">
        <v>0</v>
      </c>
      <c r="DO48" s="48">
        <v>0</v>
      </c>
      <c r="DP48" s="48">
        <v>0</v>
      </c>
      <c r="DQ48" s="48">
        <v>0</v>
      </c>
      <c r="DR48" s="48">
        <v>0</v>
      </c>
      <c r="DS48" s="48">
        <v>0</v>
      </c>
      <c r="DT48" s="48">
        <v>0</v>
      </c>
      <c r="DU48" s="48">
        <v>0</v>
      </c>
      <c r="DV48" s="48">
        <v>0</v>
      </c>
      <c r="DW48" s="48">
        <v>0</v>
      </c>
      <c r="DX48" s="48">
        <v>0</v>
      </c>
      <c r="DY48" s="48">
        <v>0</v>
      </c>
      <c r="DZ48" s="48">
        <v>0</v>
      </c>
      <c r="EA48" s="48">
        <v>0</v>
      </c>
      <c r="EB48" s="48">
        <v>0</v>
      </c>
      <c r="EC48" s="48">
        <v>0</v>
      </c>
      <c r="ED48" s="48">
        <v>0</v>
      </c>
      <c r="EE48" s="48">
        <v>0</v>
      </c>
      <c r="EF48" s="48">
        <v>0</v>
      </c>
      <c r="EG48" s="48">
        <v>0</v>
      </c>
      <c r="EH48" s="48">
        <v>0</v>
      </c>
      <c r="EI48" s="48">
        <v>0</v>
      </c>
      <c r="EJ48" s="48">
        <v>0</v>
      </c>
      <c r="EK48" s="48">
        <v>0</v>
      </c>
      <c r="EL48" s="48">
        <v>4.4663433361665473E-12</v>
      </c>
      <c r="EM48" s="48">
        <v>6.7889230562827577E-12</v>
      </c>
      <c r="EN48" s="48">
        <v>2.0171218570610917E-7</v>
      </c>
      <c r="EO48" s="48">
        <v>0</v>
      </c>
      <c r="EP48" s="48">
        <v>1.2306200536604627E-11</v>
      </c>
      <c r="EQ48" s="48">
        <v>0</v>
      </c>
      <c r="ER48" s="48">
        <v>0</v>
      </c>
      <c r="ES48" s="48">
        <v>0</v>
      </c>
      <c r="ET48" s="48">
        <v>1.4601191744960192E-12</v>
      </c>
      <c r="EU48" s="48">
        <v>0</v>
      </c>
      <c r="EV48" s="48">
        <v>0</v>
      </c>
      <c r="EW48" s="48">
        <v>0</v>
      </c>
      <c r="EX48" s="48">
        <v>2.3041550650868147E-13</v>
      </c>
      <c r="EY48" s="48">
        <v>0</v>
      </c>
      <c r="EZ48" s="48">
        <v>0</v>
      </c>
      <c r="FA48" s="48">
        <v>0</v>
      </c>
      <c r="FB48" s="48">
        <v>0</v>
      </c>
      <c r="FC48" s="48">
        <v>0</v>
      </c>
      <c r="FD48" s="48">
        <v>1.2022256128319818E-17</v>
      </c>
      <c r="FE48" s="48">
        <v>0</v>
      </c>
      <c r="FF48" s="48">
        <v>0</v>
      </c>
      <c r="FG48" s="48">
        <v>3.0857740589964286E-18</v>
      </c>
      <c r="FH48" s="48">
        <v>2.2119630165443528E-18</v>
      </c>
      <c r="FI48" s="48">
        <v>3.4256642749128109E-18</v>
      </c>
      <c r="FJ48" s="48">
        <v>0</v>
      </c>
      <c r="FK48" s="48">
        <v>0</v>
      </c>
      <c r="FL48" s="48">
        <v>0</v>
      </c>
      <c r="FM48" s="48">
        <v>0</v>
      </c>
      <c r="FN48" s="48">
        <v>0</v>
      </c>
      <c r="FO48" s="48">
        <v>0</v>
      </c>
      <c r="FP48" s="48">
        <v>0</v>
      </c>
      <c r="FQ48" s="48">
        <v>1.9920906808001132E-18</v>
      </c>
      <c r="FR48" s="48">
        <v>5.8994216243903078E-19</v>
      </c>
      <c r="FS48" s="48">
        <v>0</v>
      </c>
      <c r="FT48" s="48">
        <v>1.6068872124604985E-19</v>
      </c>
      <c r="FU48" s="48">
        <v>0</v>
      </c>
      <c r="FV48" s="48">
        <v>0</v>
      </c>
      <c r="FW48" s="48">
        <v>0</v>
      </c>
      <c r="FX48" s="48">
        <v>0</v>
      </c>
      <c r="FY48" s="48">
        <v>0</v>
      </c>
      <c r="FZ48" s="48">
        <v>0</v>
      </c>
      <c r="GA48" s="48">
        <v>0</v>
      </c>
      <c r="GB48" s="48">
        <v>0</v>
      </c>
      <c r="GC48" s="48">
        <v>0</v>
      </c>
      <c r="GD48" s="48">
        <v>0</v>
      </c>
      <c r="GE48" s="48">
        <v>0</v>
      </c>
      <c r="GF48" s="48">
        <v>0</v>
      </c>
      <c r="GG48" s="48">
        <v>0</v>
      </c>
      <c r="GH48" s="48">
        <v>0</v>
      </c>
      <c r="GI48" s="48">
        <v>0</v>
      </c>
      <c r="GJ48" s="48">
        <v>0</v>
      </c>
      <c r="GK48" s="48">
        <v>0</v>
      </c>
      <c r="GL48" s="48">
        <v>0</v>
      </c>
      <c r="GM48" s="48">
        <v>0</v>
      </c>
      <c r="GN48" s="48">
        <v>0</v>
      </c>
      <c r="GO48" s="48">
        <v>0</v>
      </c>
      <c r="GP48" s="48">
        <v>0</v>
      </c>
      <c r="GQ48" s="48">
        <v>0</v>
      </c>
      <c r="GR48" s="48">
        <v>0</v>
      </c>
      <c r="GS48" s="48">
        <v>0</v>
      </c>
      <c r="GT48" s="48">
        <v>1.4670103488445811E-21</v>
      </c>
      <c r="GU48" s="48">
        <v>0</v>
      </c>
      <c r="GV48" s="48">
        <v>0</v>
      </c>
      <c r="GW48" s="48">
        <v>0</v>
      </c>
      <c r="GX48" s="48">
        <v>2.1448052602428274E-19</v>
      </c>
      <c r="GY48" s="48">
        <v>0</v>
      </c>
      <c r="GZ48" s="48">
        <v>0</v>
      </c>
      <c r="HA48" s="48">
        <v>0</v>
      </c>
      <c r="HB48" s="48">
        <v>0</v>
      </c>
      <c r="HC48" s="48">
        <v>0</v>
      </c>
      <c r="HD48" s="48">
        <v>0</v>
      </c>
      <c r="HE48" s="48">
        <v>0</v>
      </c>
      <c r="HF48" s="48">
        <v>0</v>
      </c>
      <c r="HG48" s="48">
        <v>0</v>
      </c>
      <c r="HH48" s="48">
        <v>0</v>
      </c>
      <c r="HI48" s="48">
        <v>0</v>
      </c>
      <c r="HJ48" s="48">
        <v>0</v>
      </c>
      <c r="HK48" s="48">
        <v>0</v>
      </c>
      <c r="HL48" s="48">
        <v>0</v>
      </c>
      <c r="HM48" s="48">
        <v>0</v>
      </c>
      <c r="HN48" s="48">
        <v>0</v>
      </c>
      <c r="HO48" s="48">
        <v>0</v>
      </c>
      <c r="HP48" s="48">
        <v>0</v>
      </c>
      <c r="HQ48" s="48">
        <v>0</v>
      </c>
      <c r="HR48" s="48">
        <v>0</v>
      </c>
      <c r="HS48" s="48">
        <v>0</v>
      </c>
      <c r="HT48" s="48">
        <v>0</v>
      </c>
      <c r="HU48" s="48">
        <v>0</v>
      </c>
      <c r="HV48" s="48">
        <v>1.1353749131434274E-18</v>
      </c>
      <c r="HW48" s="48">
        <v>0</v>
      </c>
      <c r="HX48" s="48">
        <v>0</v>
      </c>
      <c r="HY48" s="48">
        <v>0</v>
      </c>
      <c r="HZ48" s="48">
        <v>0</v>
      </c>
      <c r="IA48" s="48">
        <v>0</v>
      </c>
      <c r="IB48" s="48">
        <v>0</v>
      </c>
      <c r="IC48" s="48">
        <v>0</v>
      </c>
      <c r="ID48" s="48">
        <v>0</v>
      </c>
      <c r="IE48" s="48">
        <v>0</v>
      </c>
      <c r="IF48" s="48">
        <v>0</v>
      </c>
      <c r="IG48" s="48">
        <v>0</v>
      </c>
      <c r="IH48" s="48">
        <v>0</v>
      </c>
      <c r="II48" s="48">
        <v>0</v>
      </c>
      <c r="IJ48" s="48">
        <v>0</v>
      </c>
      <c r="IK48" s="48">
        <v>0</v>
      </c>
      <c r="IL48" s="48">
        <v>0</v>
      </c>
      <c r="IM48" s="48">
        <v>0</v>
      </c>
      <c r="IN48" s="48">
        <v>0</v>
      </c>
      <c r="IO48" s="48">
        <v>0</v>
      </c>
      <c r="IP48" s="23">
        <v>32049.999999999774</v>
      </c>
      <c r="IQ48" s="25">
        <v>0</v>
      </c>
      <c r="IR48" s="25">
        <v>0</v>
      </c>
      <c r="IS48" s="26">
        <v>0</v>
      </c>
      <c r="IT48" s="26">
        <v>0</v>
      </c>
      <c r="IU48" s="26">
        <v>0</v>
      </c>
      <c r="IV48" s="9">
        <v>55</v>
      </c>
      <c r="IW48" s="38">
        <f t="shared" si="4"/>
        <v>32104.999999999774</v>
      </c>
    </row>
    <row r="49" spans="1:257" ht="30" customHeight="1" x14ac:dyDescent="0.25">
      <c r="A49" s="112" t="b">
        <v>1</v>
      </c>
      <c r="B49" s="113" t="b">
        <f>IFERROR(VLOOKUP(C49,'Bridge matrix'!$D$3:$E$727,2,FALSE)='symmetric IOT 245 2012'!D49,"FALSCH")</f>
        <v>1</v>
      </c>
      <c r="C49" s="108">
        <v>44</v>
      </c>
      <c r="D49" s="49" t="s">
        <v>1365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0.33422285447634226</v>
      </c>
      <c r="CJ49" s="48">
        <v>0</v>
      </c>
      <c r="CK49" s="48">
        <v>0</v>
      </c>
      <c r="CL49" s="48">
        <v>0</v>
      </c>
      <c r="CM49" s="48">
        <v>0</v>
      </c>
      <c r="CN49" s="48">
        <v>5.4281043781453476E-5</v>
      </c>
      <c r="CO49" s="48">
        <v>0</v>
      </c>
      <c r="CP49" s="48">
        <v>0</v>
      </c>
      <c r="CQ49" s="48">
        <v>0</v>
      </c>
      <c r="CR49" s="48">
        <v>0</v>
      </c>
      <c r="CS49" s="48">
        <v>0</v>
      </c>
      <c r="CT49" s="48">
        <v>7.2662519568297191E-8</v>
      </c>
      <c r="CU49" s="48">
        <v>0.1601723372729815</v>
      </c>
      <c r="CV49" s="48">
        <v>0.37543663539402766</v>
      </c>
      <c r="CW49" s="48">
        <v>0</v>
      </c>
      <c r="CX49" s="48">
        <v>6.7632996066480087E-9</v>
      </c>
      <c r="CY49" s="48">
        <v>0</v>
      </c>
      <c r="CZ49" s="48">
        <v>0</v>
      </c>
      <c r="DA49" s="48">
        <v>5.4961155167241801E-3</v>
      </c>
      <c r="DB49" s="48">
        <v>0</v>
      </c>
      <c r="DC49" s="48">
        <v>3.2541812609812623E-8</v>
      </c>
      <c r="DD49" s="48">
        <v>817.48513138090425</v>
      </c>
      <c r="DE49" s="48">
        <v>0</v>
      </c>
      <c r="DF49" s="48">
        <v>0</v>
      </c>
      <c r="DG49" s="48">
        <v>0</v>
      </c>
      <c r="DH49" s="48">
        <v>281.91078882086356</v>
      </c>
      <c r="DI49" s="48">
        <v>1554.436378880685</v>
      </c>
      <c r="DJ49" s="48">
        <v>0</v>
      </c>
      <c r="DK49" s="48">
        <v>0</v>
      </c>
      <c r="DL49" s="48">
        <v>5960.9798763188037</v>
      </c>
      <c r="DM49" s="48">
        <v>0</v>
      </c>
      <c r="DN49" s="48">
        <v>0</v>
      </c>
      <c r="DO49" s="48">
        <v>0</v>
      </c>
      <c r="DP49" s="48">
        <v>0</v>
      </c>
      <c r="DQ49" s="48">
        <v>0</v>
      </c>
      <c r="DR49" s="48">
        <v>3.4987910195340409E-8</v>
      </c>
      <c r="DS49" s="48">
        <v>0</v>
      </c>
      <c r="DT49" s="48">
        <v>0</v>
      </c>
      <c r="DU49" s="48">
        <v>0</v>
      </c>
      <c r="DV49" s="48">
        <v>0</v>
      </c>
      <c r="DW49" s="48">
        <v>0</v>
      </c>
      <c r="DX49" s="48">
        <v>0</v>
      </c>
      <c r="DY49" s="48">
        <v>1.3356727500133313E-13</v>
      </c>
      <c r="DZ49" s="48">
        <v>0</v>
      </c>
      <c r="EA49" s="48">
        <v>0</v>
      </c>
      <c r="EB49" s="48">
        <v>3.7180108152622211E-7</v>
      </c>
      <c r="EC49" s="48">
        <v>1.0753344531553494E-8</v>
      </c>
      <c r="ED49" s="48">
        <v>0</v>
      </c>
      <c r="EE49" s="48">
        <v>0</v>
      </c>
      <c r="EF49" s="48">
        <v>0</v>
      </c>
      <c r="EG49" s="48">
        <v>0</v>
      </c>
      <c r="EH49" s="48">
        <v>0</v>
      </c>
      <c r="EI49" s="48">
        <v>3.9485842882466132E-4</v>
      </c>
      <c r="EJ49" s="48">
        <v>7.3372703439169764E-3</v>
      </c>
      <c r="EK49" s="48">
        <v>0</v>
      </c>
      <c r="EL49" s="48">
        <v>0</v>
      </c>
      <c r="EM49" s="48">
        <v>0</v>
      </c>
      <c r="EN49" s="48">
        <v>0</v>
      </c>
      <c r="EO49" s="48">
        <v>0</v>
      </c>
      <c r="EP49" s="48">
        <v>0</v>
      </c>
      <c r="EQ49" s="48">
        <v>0</v>
      </c>
      <c r="ER49" s="48">
        <v>9.2791621566351659E-9</v>
      </c>
      <c r="ES49" s="48">
        <v>1.6226055708404488E-10</v>
      </c>
      <c r="ET49" s="48">
        <v>0</v>
      </c>
      <c r="EU49" s="48">
        <v>0</v>
      </c>
      <c r="EV49" s="48">
        <v>0</v>
      </c>
      <c r="EW49" s="48">
        <v>1.1550974599045505E-8</v>
      </c>
      <c r="EX49" s="48">
        <v>0</v>
      </c>
      <c r="EY49" s="48">
        <v>2.8052177524841215E-6</v>
      </c>
      <c r="EZ49" s="48">
        <v>0</v>
      </c>
      <c r="FA49" s="48">
        <v>2.3512323003175016E-12</v>
      </c>
      <c r="FB49" s="48">
        <v>6.4460562120612374E-14</v>
      </c>
      <c r="FC49" s="48">
        <v>0</v>
      </c>
      <c r="FD49" s="48">
        <v>0</v>
      </c>
      <c r="FE49" s="48">
        <v>0</v>
      </c>
      <c r="FF49" s="48">
        <v>0</v>
      </c>
      <c r="FG49" s="48">
        <v>0</v>
      </c>
      <c r="FH49" s="48">
        <v>0</v>
      </c>
      <c r="FI49" s="48">
        <v>0</v>
      </c>
      <c r="FJ49" s="48">
        <v>0</v>
      </c>
      <c r="FK49" s="48">
        <v>0</v>
      </c>
      <c r="FL49" s="48">
        <v>0</v>
      </c>
      <c r="FM49" s="48">
        <v>1.2294578581487127E-8</v>
      </c>
      <c r="FN49" s="48">
        <v>0</v>
      </c>
      <c r="FO49" s="48">
        <v>0</v>
      </c>
      <c r="FP49" s="48">
        <v>5.2324516975290152E-7</v>
      </c>
      <c r="FQ49" s="48">
        <v>0</v>
      </c>
      <c r="FR49" s="48">
        <v>0</v>
      </c>
      <c r="FS49" s="48">
        <v>0</v>
      </c>
      <c r="FT49" s="48">
        <v>0</v>
      </c>
      <c r="FU49" s="48">
        <v>0</v>
      </c>
      <c r="FV49" s="48">
        <v>4.3666820689020091E-13</v>
      </c>
      <c r="FW49" s="48">
        <v>0</v>
      </c>
      <c r="FX49" s="48">
        <v>0</v>
      </c>
      <c r="FY49" s="48">
        <v>0</v>
      </c>
      <c r="FZ49" s="48">
        <v>0</v>
      </c>
      <c r="GA49" s="48">
        <v>0</v>
      </c>
      <c r="GB49" s="48">
        <v>0</v>
      </c>
      <c r="GC49" s="48">
        <v>0</v>
      </c>
      <c r="GD49" s="48">
        <v>0</v>
      </c>
      <c r="GE49" s="48">
        <v>0</v>
      </c>
      <c r="GF49" s="48">
        <v>1294.3046792222929</v>
      </c>
      <c r="GG49" s="48">
        <v>0</v>
      </c>
      <c r="GH49" s="48">
        <v>0</v>
      </c>
      <c r="GI49" s="48">
        <v>0</v>
      </c>
      <c r="GJ49" s="48">
        <v>0</v>
      </c>
      <c r="GK49" s="48">
        <v>0</v>
      </c>
      <c r="GL49" s="48">
        <v>0</v>
      </c>
      <c r="GM49" s="48">
        <v>0</v>
      </c>
      <c r="GN49" s="48">
        <v>0</v>
      </c>
      <c r="GO49" s="48">
        <v>0</v>
      </c>
      <c r="GP49" s="48">
        <v>0</v>
      </c>
      <c r="GQ49" s="48">
        <v>0</v>
      </c>
      <c r="GR49" s="48">
        <v>0</v>
      </c>
      <c r="GS49" s="48">
        <v>0</v>
      </c>
      <c r="GT49" s="48">
        <v>0</v>
      </c>
      <c r="GU49" s="48">
        <v>0</v>
      </c>
      <c r="GV49" s="48">
        <v>0</v>
      </c>
      <c r="GW49" s="48">
        <v>0</v>
      </c>
      <c r="GX49" s="48">
        <v>0</v>
      </c>
      <c r="GY49" s="48">
        <v>0</v>
      </c>
      <c r="GZ49" s="48">
        <v>0</v>
      </c>
      <c r="HA49" s="48">
        <v>0</v>
      </c>
      <c r="HB49" s="48">
        <v>0</v>
      </c>
      <c r="HC49" s="48">
        <v>0</v>
      </c>
      <c r="HD49" s="48">
        <v>0</v>
      </c>
      <c r="HE49" s="48">
        <v>0</v>
      </c>
      <c r="HF49" s="48">
        <v>0</v>
      </c>
      <c r="HG49" s="48">
        <v>0</v>
      </c>
      <c r="HH49" s="48">
        <v>0</v>
      </c>
      <c r="HI49" s="48">
        <v>0</v>
      </c>
      <c r="HJ49" s="48">
        <v>0</v>
      </c>
      <c r="HK49" s="48">
        <v>0</v>
      </c>
      <c r="HL49" s="48">
        <v>0</v>
      </c>
      <c r="HM49" s="48">
        <v>0</v>
      </c>
      <c r="HN49" s="48">
        <v>0</v>
      </c>
      <c r="HO49" s="48">
        <v>0</v>
      </c>
      <c r="HP49" s="48">
        <v>0</v>
      </c>
      <c r="HQ49" s="48">
        <v>0</v>
      </c>
      <c r="HR49" s="48">
        <v>0</v>
      </c>
      <c r="HS49" s="48">
        <v>0</v>
      </c>
      <c r="HT49" s="48">
        <v>0</v>
      </c>
      <c r="HU49" s="48">
        <v>0</v>
      </c>
      <c r="HV49" s="48">
        <v>0</v>
      </c>
      <c r="HW49" s="48">
        <v>0</v>
      </c>
      <c r="HX49" s="48">
        <v>0</v>
      </c>
      <c r="HY49" s="48">
        <v>0</v>
      </c>
      <c r="HZ49" s="48">
        <v>0</v>
      </c>
      <c r="IA49" s="48">
        <v>0</v>
      </c>
      <c r="IB49" s="48">
        <v>0</v>
      </c>
      <c r="IC49" s="48">
        <v>0</v>
      </c>
      <c r="ID49" s="48">
        <v>0</v>
      </c>
      <c r="IE49" s="48">
        <v>0</v>
      </c>
      <c r="IF49" s="48">
        <v>0</v>
      </c>
      <c r="IG49" s="48">
        <v>0</v>
      </c>
      <c r="IH49" s="48">
        <v>0</v>
      </c>
      <c r="II49" s="48">
        <v>0</v>
      </c>
      <c r="IJ49" s="48">
        <v>0</v>
      </c>
      <c r="IK49" s="48">
        <v>2.7132637723552369E-5</v>
      </c>
      <c r="IL49" s="48">
        <v>0</v>
      </c>
      <c r="IM49" s="48">
        <v>0</v>
      </c>
      <c r="IN49" s="48">
        <v>0</v>
      </c>
      <c r="IO49" s="48">
        <v>0</v>
      </c>
      <c r="IP49" s="23">
        <v>9909.9999999999254</v>
      </c>
      <c r="IQ49" s="25">
        <v>5228</v>
      </c>
      <c r="IR49" s="25">
        <v>0</v>
      </c>
      <c r="IS49" s="26">
        <v>0</v>
      </c>
      <c r="IT49" s="26">
        <v>0</v>
      </c>
      <c r="IU49" s="26">
        <v>0</v>
      </c>
      <c r="IV49" s="9">
        <v>24</v>
      </c>
      <c r="IW49" s="38">
        <f t="shared" si="4"/>
        <v>15161.999999999925</v>
      </c>
    </row>
    <row r="50" spans="1:257" ht="30" customHeight="1" x14ac:dyDescent="0.25">
      <c r="A50" s="112" t="b">
        <v>0</v>
      </c>
      <c r="B50" s="113" t="b">
        <f>IFERROR(VLOOKUP(C50,'Bridge matrix'!$D$3:$E$727,2,FALSE)='symmetric IOT 245 2012'!D50,"FALSCH")</f>
        <v>1</v>
      </c>
      <c r="C50" s="108">
        <v>45</v>
      </c>
      <c r="D50" s="49" t="s">
        <v>1366</v>
      </c>
      <c r="E50" s="48">
        <v>0</v>
      </c>
      <c r="F50" s="48">
        <v>0</v>
      </c>
      <c r="G50" s="48">
        <v>0</v>
      </c>
      <c r="H50" s="48">
        <v>0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48">
        <v>0</v>
      </c>
      <c r="AF50" s="48">
        <v>0</v>
      </c>
      <c r="AG50" s="48">
        <v>0</v>
      </c>
      <c r="AH50" s="48">
        <v>0</v>
      </c>
      <c r="AI50" s="48">
        <v>0</v>
      </c>
      <c r="AJ50" s="48">
        <v>0</v>
      </c>
      <c r="AK50" s="48">
        <v>0</v>
      </c>
      <c r="AL50" s="48">
        <v>0</v>
      </c>
      <c r="AM50" s="48">
        <v>0</v>
      </c>
      <c r="AN50" s="48">
        <v>0</v>
      </c>
      <c r="AO50" s="48">
        <v>0</v>
      </c>
      <c r="AP50" s="48">
        <v>0</v>
      </c>
      <c r="AQ50" s="48">
        <v>0</v>
      </c>
      <c r="AR50" s="48">
        <v>0</v>
      </c>
      <c r="AS50" s="48">
        <v>0</v>
      </c>
      <c r="AT50" s="48">
        <v>0</v>
      </c>
      <c r="AU50" s="48">
        <v>0</v>
      </c>
      <c r="AV50" s="48">
        <v>0</v>
      </c>
      <c r="AW50" s="48">
        <v>3230.5171434383665</v>
      </c>
      <c r="AX50" s="48">
        <v>0</v>
      </c>
      <c r="AY50" s="48">
        <v>0</v>
      </c>
      <c r="AZ50" s="48">
        <v>0</v>
      </c>
      <c r="BA50" s="48">
        <v>0</v>
      </c>
      <c r="BB50" s="48">
        <v>0</v>
      </c>
      <c r="BC50" s="48">
        <v>0</v>
      </c>
      <c r="BD50" s="48">
        <v>0</v>
      </c>
      <c r="BE50" s="48">
        <v>0</v>
      </c>
      <c r="BF50" s="48">
        <v>0</v>
      </c>
      <c r="BG50" s="48">
        <v>0</v>
      </c>
      <c r="BH50" s="48">
        <v>0</v>
      </c>
      <c r="BI50" s="48">
        <v>0</v>
      </c>
      <c r="BJ50" s="48">
        <v>0</v>
      </c>
      <c r="BK50" s="48">
        <v>0</v>
      </c>
      <c r="BL50" s="48">
        <v>0</v>
      </c>
      <c r="BM50" s="48">
        <v>0</v>
      </c>
      <c r="BN50" s="48">
        <v>0</v>
      </c>
      <c r="BO50" s="48">
        <v>0</v>
      </c>
      <c r="BP50" s="48">
        <v>0</v>
      </c>
      <c r="BQ50" s="48">
        <v>0</v>
      </c>
      <c r="BR50" s="48">
        <v>0</v>
      </c>
      <c r="BS50" s="48">
        <v>0</v>
      </c>
      <c r="BT50" s="48">
        <v>0</v>
      </c>
      <c r="BU50" s="48">
        <v>0</v>
      </c>
      <c r="BV50" s="48">
        <v>0</v>
      </c>
      <c r="BW50" s="48">
        <v>0</v>
      </c>
      <c r="BX50" s="48">
        <v>0</v>
      </c>
      <c r="BY50" s="48">
        <v>0</v>
      </c>
      <c r="BZ50" s="48">
        <v>0</v>
      </c>
      <c r="CA50" s="48">
        <v>0</v>
      </c>
      <c r="CB50" s="48">
        <v>0</v>
      </c>
      <c r="CC50" s="48">
        <v>0</v>
      </c>
      <c r="CD50" s="48">
        <v>0</v>
      </c>
      <c r="CE50" s="48">
        <v>0</v>
      </c>
      <c r="CF50" s="48">
        <v>0</v>
      </c>
      <c r="CG50" s="48">
        <v>0</v>
      </c>
      <c r="CH50" s="48">
        <v>0</v>
      </c>
      <c r="CI50" s="48">
        <v>1.7658755680952334</v>
      </c>
      <c r="CJ50" s="48">
        <v>2.0999517924853226</v>
      </c>
      <c r="CK50" s="48">
        <v>0</v>
      </c>
      <c r="CL50" s="48">
        <v>0</v>
      </c>
      <c r="CM50" s="48">
        <v>0.81897714010526734</v>
      </c>
      <c r="CN50" s="48">
        <v>2.9073049087025282</v>
      </c>
      <c r="CO50" s="48">
        <v>0</v>
      </c>
      <c r="CP50" s="48">
        <v>0</v>
      </c>
      <c r="CQ50" s="48">
        <v>0</v>
      </c>
      <c r="CR50" s="48">
        <v>0</v>
      </c>
      <c r="CS50" s="48">
        <v>0</v>
      </c>
      <c r="CT50" s="48">
        <v>0</v>
      </c>
      <c r="CU50" s="48">
        <v>663.01954614366787</v>
      </c>
      <c r="CV50" s="48">
        <v>4.6008764459011253E-2</v>
      </c>
      <c r="CW50" s="48">
        <v>0</v>
      </c>
      <c r="CX50" s="48">
        <v>0</v>
      </c>
      <c r="CY50" s="48">
        <v>0</v>
      </c>
      <c r="CZ50" s="48">
        <v>0</v>
      </c>
      <c r="DA50" s="48">
        <v>6.7353438745552539E-4</v>
      </c>
      <c r="DB50" s="48">
        <v>0</v>
      </c>
      <c r="DC50" s="48">
        <v>0</v>
      </c>
      <c r="DD50" s="48">
        <v>737.05471858627095</v>
      </c>
      <c r="DE50" s="48">
        <v>0</v>
      </c>
      <c r="DF50" s="48">
        <v>0</v>
      </c>
      <c r="DG50" s="48">
        <v>331.5306162406477</v>
      </c>
      <c r="DH50" s="48">
        <v>166.368554389607</v>
      </c>
      <c r="DI50" s="48">
        <v>127.82520417557025</v>
      </c>
      <c r="DJ50" s="48">
        <v>13.136485769197705</v>
      </c>
      <c r="DK50" s="48">
        <v>0</v>
      </c>
      <c r="DL50" s="48">
        <v>730.5022824600477</v>
      </c>
      <c r="DM50" s="48">
        <v>0</v>
      </c>
      <c r="DN50" s="48">
        <v>0</v>
      </c>
      <c r="DO50" s="48">
        <v>0</v>
      </c>
      <c r="DP50" s="48">
        <v>0</v>
      </c>
      <c r="DQ50" s="48">
        <v>0</v>
      </c>
      <c r="DR50" s="48">
        <v>4.2876756483846925E-9</v>
      </c>
      <c r="DS50" s="48">
        <v>0</v>
      </c>
      <c r="DT50" s="48">
        <v>0</v>
      </c>
      <c r="DU50" s="48">
        <v>0</v>
      </c>
      <c r="DV50" s="48">
        <v>0</v>
      </c>
      <c r="DW50" s="48">
        <v>0</v>
      </c>
      <c r="DX50" s="48">
        <v>0</v>
      </c>
      <c r="DY50" s="48">
        <v>1.6368315490891693E-14</v>
      </c>
      <c r="DZ50" s="48">
        <v>0</v>
      </c>
      <c r="EA50" s="48">
        <v>0</v>
      </c>
      <c r="EB50" s="48">
        <v>4.5563236969648647E-8</v>
      </c>
      <c r="EC50" s="48">
        <v>1.3177938673448709E-9</v>
      </c>
      <c r="ED50" s="48">
        <v>0</v>
      </c>
      <c r="EE50" s="48">
        <v>0</v>
      </c>
      <c r="EF50" s="48">
        <v>0</v>
      </c>
      <c r="EG50" s="48">
        <v>0</v>
      </c>
      <c r="EH50" s="48">
        <v>0</v>
      </c>
      <c r="EI50" s="48">
        <v>4.838885376058893E-5</v>
      </c>
      <c r="EJ50" s="48">
        <v>8.9916303098942578E-4</v>
      </c>
      <c r="EK50" s="48">
        <v>0</v>
      </c>
      <c r="EL50" s="48">
        <v>0</v>
      </c>
      <c r="EM50" s="48">
        <v>0</v>
      </c>
      <c r="EN50" s="48">
        <v>0</v>
      </c>
      <c r="EO50" s="48">
        <v>0</v>
      </c>
      <c r="EP50" s="48">
        <v>0</v>
      </c>
      <c r="EQ50" s="48">
        <v>0</v>
      </c>
      <c r="ER50" s="48">
        <v>1.1371367250655626E-9</v>
      </c>
      <c r="ES50" s="48">
        <v>1.9884601149892294E-11</v>
      </c>
      <c r="ET50" s="48">
        <v>0</v>
      </c>
      <c r="EU50" s="48">
        <v>0</v>
      </c>
      <c r="EV50" s="48">
        <v>0</v>
      </c>
      <c r="EW50" s="48">
        <v>1.4155413177559133E-9</v>
      </c>
      <c r="EX50" s="48">
        <v>0</v>
      </c>
      <c r="EY50" s="48">
        <v>3.4377199948753905E-7</v>
      </c>
      <c r="EZ50" s="48">
        <v>0</v>
      </c>
      <c r="FA50" s="48">
        <v>2.881372857504792E-13</v>
      </c>
      <c r="FB50" s="48">
        <v>7.8994710156352046E-15</v>
      </c>
      <c r="FC50" s="48">
        <v>0</v>
      </c>
      <c r="FD50" s="48">
        <v>0</v>
      </c>
      <c r="FE50" s="48">
        <v>0</v>
      </c>
      <c r="FF50" s="48">
        <v>0</v>
      </c>
      <c r="FG50" s="48">
        <v>0</v>
      </c>
      <c r="FH50" s="48">
        <v>0</v>
      </c>
      <c r="FI50" s="48">
        <v>0</v>
      </c>
      <c r="FJ50" s="48">
        <v>0</v>
      </c>
      <c r="FK50" s="48">
        <v>0</v>
      </c>
      <c r="FL50" s="48">
        <v>0</v>
      </c>
      <c r="FM50" s="48">
        <v>1.5066680146565328E-9</v>
      </c>
      <c r="FN50" s="48">
        <v>0</v>
      </c>
      <c r="FO50" s="48">
        <v>0</v>
      </c>
      <c r="FP50" s="48">
        <v>6.4122308533397799E-8</v>
      </c>
      <c r="FQ50" s="48">
        <v>0</v>
      </c>
      <c r="FR50" s="48">
        <v>0</v>
      </c>
      <c r="FS50" s="48">
        <v>0</v>
      </c>
      <c r="FT50" s="48">
        <v>0</v>
      </c>
      <c r="FU50" s="48">
        <v>0</v>
      </c>
      <c r="FV50" s="48">
        <v>5.3512531233039327E-14</v>
      </c>
      <c r="FW50" s="48">
        <v>0</v>
      </c>
      <c r="FX50" s="48">
        <v>0</v>
      </c>
      <c r="FY50" s="48">
        <v>0</v>
      </c>
      <c r="FZ50" s="48">
        <v>0</v>
      </c>
      <c r="GA50" s="48">
        <v>0</v>
      </c>
      <c r="GB50" s="48">
        <v>0</v>
      </c>
      <c r="GC50" s="48">
        <v>0</v>
      </c>
      <c r="GD50" s="48">
        <v>0</v>
      </c>
      <c r="GE50" s="48">
        <v>0</v>
      </c>
      <c r="GF50" s="48">
        <v>662.40570907331812</v>
      </c>
      <c r="GG50" s="48">
        <v>0</v>
      </c>
      <c r="GH50" s="48">
        <v>0</v>
      </c>
      <c r="GI50" s="48">
        <v>0</v>
      </c>
      <c r="GJ50" s="48">
        <v>0</v>
      </c>
      <c r="GK50" s="48">
        <v>0</v>
      </c>
      <c r="GL50" s="48">
        <v>0</v>
      </c>
      <c r="GM50" s="48">
        <v>0</v>
      </c>
      <c r="GN50" s="48">
        <v>0</v>
      </c>
      <c r="GO50" s="48">
        <v>0</v>
      </c>
      <c r="GP50" s="48">
        <v>0</v>
      </c>
      <c r="GQ50" s="48">
        <v>0</v>
      </c>
      <c r="GR50" s="48">
        <v>0</v>
      </c>
      <c r="GS50" s="48">
        <v>0</v>
      </c>
      <c r="GT50" s="48">
        <v>0</v>
      </c>
      <c r="GU50" s="48">
        <v>0</v>
      </c>
      <c r="GV50" s="48">
        <v>0</v>
      </c>
      <c r="GW50" s="48">
        <v>0</v>
      </c>
      <c r="GX50" s="48">
        <v>0</v>
      </c>
      <c r="GY50" s="48">
        <v>0</v>
      </c>
      <c r="GZ50" s="48">
        <v>0</v>
      </c>
      <c r="HA50" s="48">
        <v>0</v>
      </c>
      <c r="HB50" s="48">
        <v>0</v>
      </c>
      <c r="HC50" s="48">
        <v>0</v>
      </c>
      <c r="HD50" s="48">
        <v>0</v>
      </c>
      <c r="HE50" s="48">
        <v>0</v>
      </c>
      <c r="HF50" s="48">
        <v>0</v>
      </c>
      <c r="HG50" s="48">
        <v>0</v>
      </c>
      <c r="HH50" s="48">
        <v>0</v>
      </c>
      <c r="HI50" s="48">
        <v>0</v>
      </c>
      <c r="HJ50" s="48">
        <v>0</v>
      </c>
      <c r="HK50" s="48">
        <v>0</v>
      </c>
      <c r="HL50" s="48">
        <v>0</v>
      </c>
      <c r="HM50" s="48">
        <v>0</v>
      </c>
      <c r="HN50" s="48">
        <v>0</v>
      </c>
      <c r="HO50" s="48">
        <v>0</v>
      </c>
      <c r="HP50" s="48">
        <v>0</v>
      </c>
      <c r="HQ50" s="48">
        <v>0</v>
      </c>
      <c r="HR50" s="48">
        <v>0</v>
      </c>
      <c r="HS50" s="48">
        <v>0</v>
      </c>
      <c r="HT50" s="48">
        <v>0</v>
      </c>
      <c r="HU50" s="48">
        <v>0</v>
      </c>
      <c r="HV50" s="48">
        <v>0</v>
      </c>
      <c r="HW50" s="48">
        <v>0</v>
      </c>
      <c r="HX50" s="48">
        <v>0</v>
      </c>
      <c r="HY50" s="48">
        <v>0</v>
      </c>
      <c r="HZ50" s="48">
        <v>0</v>
      </c>
      <c r="IA50" s="48">
        <v>0</v>
      </c>
      <c r="IB50" s="48">
        <v>0</v>
      </c>
      <c r="IC50" s="48">
        <v>0</v>
      </c>
      <c r="ID50" s="48">
        <v>0</v>
      </c>
      <c r="IE50" s="48">
        <v>0</v>
      </c>
      <c r="IF50" s="48">
        <v>0</v>
      </c>
      <c r="IG50" s="48">
        <v>0</v>
      </c>
      <c r="IH50" s="48">
        <v>0</v>
      </c>
      <c r="II50" s="48">
        <v>0</v>
      </c>
      <c r="IJ50" s="48">
        <v>0</v>
      </c>
      <c r="IK50" s="48">
        <v>0</v>
      </c>
      <c r="IL50" s="48">
        <v>0</v>
      </c>
      <c r="IM50" s="48">
        <v>0</v>
      </c>
      <c r="IN50" s="48">
        <v>0</v>
      </c>
      <c r="IO50" s="48">
        <v>0</v>
      </c>
      <c r="IP50" s="23">
        <v>6669.9999999999545</v>
      </c>
      <c r="IQ50" s="25">
        <v>1133</v>
      </c>
      <c r="IR50" s="25">
        <v>0</v>
      </c>
      <c r="IS50" s="26">
        <v>0</v>
      </c>
      <c r="IT50" s="26">
        <v>0</v>
      </c>
      <c r="IU50" s="26">
        <v>0</v>
      </c>
      <c r="IV50" s="9">
        <v>1963</v>
      </c>
      <c r="IW50" s="38">
        <f t="shared" si="4"/>
        <v>9765.9999999999545</v>
      </c>
    </row>
    <row r="51" spans="1:257" ht="30" customHeight="1" x14ac:dyDescent="0.25">
      <c r="A51" s="112" t="b">
        <v>1</v>
      </c>
      <c r="B51" s="113" t="str">
        <f>IFERROR(VLOOKUP(C51,'Bridge matrix'!$D$3:$E$727,2,FALSE)='symmetric IOT 245 2012'!D51,"FALSCH")</f>
        <v>FALSCH</v>
      </c>
      <c r="C51" s="108">
        <v>46</v>
      </c>
      <c r="D51" s="49" t="s">
        <v>1367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0</v>
      </c>
      <c r="N51" s="48">
        <v>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48">
        <v>0</v>
      </c>
      <c r="AF51" s="48">
        <v>0</v>
      </c>
      <c r="AG51" s="48">
        <v>0</v>
      </c>
      <c r="AH51" s="48">
        <v>0</v>
      </c>
      <c r="AI51" s="48">
        <v>0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0</v>
      </c>
      <c r="AS51" s="48">
        <v>0</v>
      </c>
      <c r="AT51" s="48">
        <v>0</v>
      </c>
      <c r="AU51" s="48">
        <v>0</v>
      </c>
      <c r="AV51" s="48">
        <v>0</v>
      </c>
      <c r="AW51" s="48">
        <v>0</v>
      </c>
      <c r="AX51" s="48">
        <v>958.47175743043169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0</v>
      </c>
      <c r="BI51" s="48">
        <v>0</v>
      </c>
      <c r="BJ51" s="48">
        <v>0</v>
      </c>
      <c r="BK51" s="48">
        <v>0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  <c r="BW51" s="48">
        <v>0</v>
      </c>
      <c r="BX51" s="48">
        <v>0</v>
      </c>
      <c r="BY51" s="48">
        <v>0</v>
      </c>
      <c r="BZ51" s="48">
        <v>0</v>
      </c>
      <c r="CA51" s="48">
        <v>0</v>
      </c>
      <c r="CB51" s="48">
        <v>0</v>
      </c>
      <c r="CC51" s="48">
        <v>0</v>
      </c>
      <c r="CD51" s="48">
        <v>0</v>
      </c>
      <c r="CE51" s="48">
        <v>0</v>
      </c>
      <c r="CF51" s="48">
        <v>0</v>
      </c>
      <c r="CG51" s="48">
        <v>0</v>
      </c>
      <c r="CH51" s="48">
        <v>0</v>
      </c>
      <c r="CI51" s="48">
        <v>7.9746341330272918E-3</v>
      </c>
      <c r="CJ51" s="48">
        <v>0</v>
      </c>
      <c r="CK51" s="48">
        <v>0</v>
      </c>
      <c r="CL51" s="48">
        <v>0</v>
      </c>
      <c r="CM51" s="48">
        <v>0</v>
      </c>
      <c r="CN51" s="48">
        <v>0</v>
      </c>
      <c r="CO51" s="48">
        <v>0</v>
      </c>
      <c r="CP51" s="48">
        <v>0</v>
      </c>
      <c r="CQ51" s="48">
        <v>0</v>
      </c>
      <c r="CR51" s="48">
        <v>1.0666504632642496E-5</v>
      </c>
      <c r="CS51" s="48">
        <v>0</v>
      </c>
      <c r="CT51" s="48">
        <v>0</v>
      </c>
      <c r="CU51" s="48">
        <v>0</v>
      </c>
      <c r="CV51" s="48">
        <v>0</v>
      </c>
      <c r="CW51" s="48">
        <v>0</v>
      </c>
      <c r="CX51" s="48">
        <v>0</v>
      </c>
      <c r="CY51" s="48">
        <v>27.569581476794909</v>
      </c>
      <c r="CZ51" s="48">
        <v>2.0537996752378498</v>
      </c>
      <c r="DA51" s="48">
        <v>0</v>
      </c>
      <c r="DB51" s="48">
        <v>0</v>
      </c>
      <c r="DC51" s="48">
        <v>0</v>
      </c>
      <c r="DD51" s="48">
        <v>8.7914911513252232</v>
      </c>
      <c r="DE51" s="48">
        <v>0</v>
      </c>
      <c r="DF51" s="48">
        <v>222722.63821683548</v>
      </c>
      <c r="DG51" s="48">
        <v>0</v>
      </c>
      <c r="DH51" s="48">
        <v>0</v>
      </c>
      <c r="DI51" s="48">
        <v>56.15941615082518</v>
      </c>
      <c r="DJ51" s="48">
        <v>2.2182960669063887E-3</v>
      </c>
      <c r="DK51" s="48">
        <v>38.557077479797279</v>
      </c>
      <c r="DL51" s="48">
        <v>0</v>
      </c>
      <c r="DM51" s="48">
        <v>283164.19868191722</v>
      </c>
      <c r="DN51" s="48">
        <v>0</v>
      </c>
      <c r="DO51" s="48">
        <v>0</v>
      </c>
      <c r="DP51" s="48">
        <v>0</v>
      </c>
      <c r="DQ51" s="48">
        <v>0</v>
      </c>
      <c r="DR51" s="48">
        <v>0</v>
      </c>
      <c r="DS51" s="48">
        <v>0</v>
      </c>
      <c r="DT51" s="48">
        <v>0</v>
      </c>
      <c r="DU51" s="48">
        <v>0</v>
      </c>
      <c r="DV51" s="48">
        <v>0</v>
      </c>
      <c r="DW51" s="48">
        <v>0</v>
      </c>
      <c r="DX51" s="48">
        <v>0</v>
      </c>
      <c r="DY51" s="48">
        <v>0</v>
      </c>
      <c r="DZ51" s="48">
        <v>0</v>
      </c>
      <c r="EA51" s="48">
        <v>0</v>
      </c>
      <c r="EB51" s="48">
        <v>0</v>
      </c>
      <c r="EC51" s="48">
        <v>0</v>
      </c>
      <c r="ED51" s="48">
        <v>0</v>
      </c>
      <c r="EE51" s="48">
        <v>0</v>
      </c>
      <c r="EF51" s="48">
        <v>0</v>
      </c>
      <c r="EG51" s="48">
        <v>0</v>
      </c>
      <c r="EH51" s="48">
        <v>0</v>
      </c>
      <c r="EI51" s="48">
        <v>0</v>
      </c>
      <c r="EJ51" s="48">
        <v>0</v>
      </c>
      <c r="EK51" s="48">
        <v>0</v>
      </c>
      <c r="EL51" s="48">
        <v>1.2172075410179166E-5</v>
      </c>
      <c r="EM51" s="48">
        <v>0</v>
      </c>
      <c r="EN51" s="48">
        <v>0.54972395778111971</v>
      </c>
      <c r="EO51" s="48">
        <v>0</v>
      </c>
      <c r="EP51" s="48">
        <v>3.3537950325355777E-5</v>
      </c>
      <c r="EQ51" s="48">
        <v>0</v>
      </c>
      <c r="ER51" s="48">
        <v>0</v>
      </c>
      <c r="ES51" s="48">
        <v>0</v>
      </c>
      <c r="ET51" s="48">
        <v>3.9792464130328544E-6</v>
      </c>
      <c r="EU51" s="48">
        <v>0</v>
      </c>
      <c r="EV51" s="48">
        <v>0</v>
      </c>
      <c r="EW51" s="48">
        <v>0</v>
      </c>
      <c r="EX51" s="48">
        <v>6.2794879609624744E-7</v>
      </c>
      <c r="EY51" s="48">
        <v>0</v>
      </c>
      <c r="EZ51" s="48">
        <v>0</v>
      </c>
      <c r="FA51" s="48">
        <v>0</v>
      </c>
      <c r="FB51" s="48">
        <v>0</v>
      </c>
      <c r="FC51" s="48">
        <v>0</v>
      </c>
      <c r="FD51" s="48">
        <v>3.2764119813501835E-11</v>
      </c>
      <c r="FE51" s="48">
        <v>0</v>
      </c>
      <c r="FF51" s="48">
        <v>0</v>
      </c>
      <c r="FG51" s="48">
        <v>8.4096254402861759E-12</v>
      </c>
      <c r="FH51" s="48">
        <v>6.0282380048763047E-12</v>
      </c>
      <c r="FI51" s="48">
        <v>9.3359244343234651E-12</v>
      </c>
      <c r="FJ51" s="48">
        <v>0</v>
      </c>
      <c r="FK51" s="48">
        <v>0</v>
      </c>
      <c r="FL51" s="48">
        <v>0</v>
      </c>
      <c r="FM51" s="48">
        <v>0</v>
      </c>
      <c r="FN51" s="48">
        <v>0</v>
      </c>
      <c r="FO51" s="48">
        <v>0</v>
      </c>
      <c r="FP51" s="48">
        <v>0</v>
      </c>
      <c r="FQ51" s="48">
        <v>5.4290223938372544E-12</v>
      </c>
      <c r="FR51" s="48">
        <v>1.6077627599080431E-12</v>
      </c>
      <c r="FS51" s="48">
        <v>0</v>
      </c>
      <c r="FT51" s="48">
        <v>4.3792317010965145E-13</v>
      </c>
      <c r="FU51" s="48">
        <v>0</v>
      </c>
      <c r="FV51" s="48">
        <v>0</v>
      </c>
      <c r="FW51" s="48">
        <v>0</v>
      </c>
      <c r="FX51" s="48">
        <v>0</v>
      </c>
      <c r="FY51" s="48">
        <v>0</v>
      </c>
      <c r="FZ51" s="48">
        <v>0</v>
      </c>
      <c r="GA51" s="48">
        <v>0</v>
      </c>
      <c r="GB51" s="48">
        <v>0</v>
      </c>
      <c r="GC51" s="48">
        <v>0</v>
      </c>
      <c r="GD51" s="48">
        <v>0</v>
      </c>
      <c r="GE51" s="48">
        <v>0</v>
      </c>
      <c r="GF51" s="48">
        <v>0</v>
      </c>
      <c r="GG51" s="48">
        <v>0</v>
      </c>
      <c r="GH51" s="48">
        <v>0</v>
      </c>
      <c r="GI51" s="48">
        <v>0</v>
      </c>
      <c r="GJ51" s="48">
        <v>0</v>
      </c>
      <c r="GK51" s="48">
        <v>0</v>
      </c>
      <c r="GL51" s="48">
        <v>0</v>
      </c>
      <c r="GM51" s="48">
        <v>0</v>
      </c>
      <c r="GN51" s="48">
        <v>0</v>
      </c>
      <c r="GO51" s="48">
        <v>0</v>
      </c>
      <c r="GP51" s="48">
        <v>0</v>
      </c>
      <c r="GQ51" s="48">
        <v>0</v>
      </c>
      <c r="GR51" s="48">
        <v>0</v>
      </c>
      <c r="GS51" s="48">
        <v>0</v>
      </c>
      <c r="GT51" s="48">
        <v>3.998026853209986E-15</v>
      </c>
      <c r="GU51" s="48">
        <v>0</v>
      </c>
      <c r="GV51" s="48">
        <v>0</v>
      </c>
      <c r="GW51" s="48">
        <v>0</v>
      </c>
      <c r="GX51" s="48">
        <v>5.8452137247092517E-13</v>
      </c>
      <c r="GY51" s="48">
        <v>0</v>
      </c>
      <c r="GZ51" s="48">
        <v>0</v>
      </c>
      <c r="HA51" s="48">
        <v>0</v>
      </c>
      <c r="HB51" s="48">
        <v>0</v>
      </c>
      <c r="HC51" s="48">
        <v>0</v>
      </c>
      <c r="HD51" s="48">
        <v>0</v>
      </c>
      <c r="HE51" s="48">
        <v>0</v>
      </c>
      <c r="HF51" s="48">
        <v>0</v>
      </c>
      <c r="HG51" s="48">
        <v>0</v>
      </c>
      <c r="HH51" s="48">
        <v>0</v>
      </c>
      <c r="HI51" s="48">
        <v>0</v>
      </c>
      <c r="HJ51" s="48">
        <v>0</v>
      </c>
      <c r="HK51" s="48">
        <v>0</v>
      </c>
      <c r="HL51" s="48">
        <v>0</v>
      </c>
      <c r="HM51" s="48">
        <v>0</v>
      </c>
      <c r="HN51" s="48">
        <v>0</v>
      </c>
      <c r="HO51" s="48">
        <v>0</v>
      </c>
      <c r="HP51" s="48">
        <v>0</v>
      </c>
      <c r="HQ51" s="48">
        <v>0</v>
      </c>
      <c r="HR51" s="48">
        <v>0</v>
      </c>
      <c r="HS51" s="48">
        <v>0</v>
      </c>
      <c r="HT51" s="48">
        <v>0</v>
      </c>
      <c r="HU51" s="48">
        <v>0</v>
      </c>
      <c r="HV51" s="48">
        <v>3.0942245191273096E-12</v>
      </c>
      <c r="HW51" s="48">
        <v>0</v>
      </c>
      <c r="HX51" s="48">
        <v>0</v>
      </c>
      <c r="HY51" s="48">
        <v>0</v>
      </c>
      <c r="HZ51" s="48">
        <v>0</v>
      </c>
      <c r="IA51" s="48">
        <v>0</v>
      </c>
      <c r="IB51" s="48">
        <v>0</v>
      </c>
      <c r="IC51" s="48">
        <v>0</v>
      </c>
      <c r="ID51" s="48">
        <v>0</v>
      </c>
      <c r="IE51" s="48">
        <v>0</v>
      </c>
      <c r="IF51" s="48">
        <v>0</v>
      </c>
      <c r="IG51" s="48">
        <v>0</v>
      </c>
      <c r="IH51" s="48">
        <v>0</v>
      </c>
      <c r="II51" s="48">
        <v>0</v>
      </c>
      <c r="IJ51" s="48">
        <v>0</v>
      </c>
      <c r="IK51" s="48">
        <v>0</v>
      </c>
      <c r="IL51" s="48">
        <v>0</v>
      </c>
      <c r="IM51" s="48">
        <v>0</v>
      </c>
      <c r="IN51" s="48">
        <v>0</v>
      </c>
      <c r="IO51" s="48">
        <v>0</v>
      </c>
      <c r="IP51" s="23">
        <v>506978.99999998888</v>
      </c>
      <c r="IQ51" s="25">
        <v>0</v>
      </c>
      <c r="IR51" s="25">
        <v>0</v>
      </c>
      <c r="IS51" s="26">
        <v>0</v>
      </c>
      <c r="IT51" s="26">
        <v>0</v>
      </c>
      <c r="IU51" s="26">
        <v>0</v>
      </c>
      <c r="IV51" s="9">
        <v>0</v>
      </c>
      <c r="IW51" s="38">
        <f t="shared" si="4"/>
        <v>506978.99999998888</v>
      </c>
    </row>
    <row r="52" spans="1:257" ht="30" customHeight="1" x14ac:dyDescent="0.25">
      <c r="A52" s="112" t="b">
        <v>1</v>
      </c>
      <c r="B52" s="113" t="str">
        <f>IFERROR(VLOOKUP(C52,'Bridge matrix'!$D$3:$E$727,2,FALSE)='symmetric IOT 245 2012'!D52,"FALSCH")</f>
        <v>FALSCH</v>
      </c>
      <c r="C52" s="108">
        <v>47</v>
      </c>
      <c r="D52" s="49" t="s">
        <v>1368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  <c r="CM52" s="48">
        <v>0</v>
      </c>
      <c r="CN52" s="48">
        <v>0</v>
      </c>
      <c r="CO52" s="48">
        <v>0</v>
      </c>
      <c r="CP52" s="48">
        <v>0</v>
      </c>
      <c r="CQ52" s="48">
        <v>0</v>
      </c>
      <c r="CR52" s="48">
        <v>0</v>
      </c>
      <c r="CS52" s="48">
        <v>0</v>
      </c>
      <c r="CT52" s="48">
        <v>0</v>
      </c>
      <c r="CU52" s="48">
        <v>0</v>
      </c>
      <c r="CV52" s="48">
        <v>0</v>
      </c>
      <c r="CW52" s="48">
        <v>0</v>
      </c>
      <c r="CX52" s="48">
        <v>0</v>
      </c>
      <c r="CY52" s="48">
        <v>0</v>
      </c>
      <c r="CZ52" s="48">
        <v>0</v>
      </c>
      <c r="DA52" s="48">
        <v>0</v>
      </c>
      <c r="DB52" s="48">
        <v>0</v>
      </c>
      <c r="DC52" s="48">
        <v>0</v>
      </c>
      <c r="DD52" s="48">
        <v>0</v>
      </c>
      <c r="DE52" s="48">
        <v>0</v>
      </c>
      <c r="DF52" s="48">
        <v>0</v>
      </c>
      <c r="DG52" s="48">
        <v>0</v>
      </c>
      <c r="DH52" s="48">
        <v>0</v>
      </c>
      <c r="DI52" s="48">
        <v>0</v>
      </c>
      <c r="DJ52" s="48">
        <v>0</v>
      </c>
      <c r="DK52" s="48">
        <v>0</v>
      </c>
      <c r="DL52" s="48">
        <v>0</v>
      </c>
      <c r="DM52" s="48">
        <v>0</v>
      </c>
      <c r="DN52" s="48">
        <v>0</v>
      </c>
      <c r="DO52" s="48">
        <v>17669.999999999905</v>
      </c>
      <c r="DP52" s="48">
        <v>0</v>
      </c>
      <c r="DQ52" s="48">
        <v>0</v>
      </c>
      <c r="DR52" s="48">
        <v>0</v>
      </c>
      <c r="DS52" s="48">
        <v>0</v>
      </c>
      <c r="DT52" s="48">
        <v>0</v>
      </c>
      <c r="DU52" s="48">
        <v>0</v>
      </c>
      <c r="DV52" s="48">
        <v>0</v>
      </c>
      <c r="DW52" s="48">
        <v>0</v>
      </c>
      <c r="DX52" s="48">
        <v>0</v>
      </c>
      <c r="DY52" s="48">
        <v>0</v>
      </c>
      <c r="DZ52" s="48">
        <v>0</v>
      </c>
      <c r="EA52" s="48">
        <v>0</v>
      </c>
      <c r="EB52" s="48">
        <v>0</v>
      </c>
      <c r="EC52" s="48">
        <v>0</v>
      </c>
      <c r="ED52" s="48">
        <v>0</v>
      </c>
      <c r="EE52" s="48">
        <v>0</v>
      </c>
      <c r="EF52" s="48">
        <v>0</v>
      </c>
      <c r="EG52" s="48">
        <v>0</v>
      </c>
      <c r="EH52" s="48">
        <v>0</v>
      </c>
      <c r="EI52" s="48">
        <v>0</v>
      </c>
      <c r="EJ52" s="48">
        <v>0</v>
      </c>
      <c r="EK52" s="48">
        <v>0</v>
      </c>
      <c r="EL52" s="48">
        <v>0</v>
      </c>
      <c r="EM52" s="48">
        <v>0</v>
      </c>
      <c r="EN52" s="48">
        <v>0</v>
      </c>
      <c r="EO52" s="48">
        <v>0</v>
      </c>
      <c r="EP52" s="48">
        <v>0</v>
      </c>
      <c r="EQ52" s="48">
        <v>0</v>
      </c>
      <c r="ER52" s="48">
        <v>0</v>
      </c>
      <c r="ES52" s="48">
        <v>0</v>
      </c>
      <c r="ET52" s="48">
        <v>0</v>
      </c>
      <c r="EU52" s="48">
        <v>0</v>
      </c>
      <c r="EV52" s="48">
        <v>0</v>
      </c>
      <c r="EW52" s="48">
        <v>0</v>
      </c>
      <c r="EX52" s="48">
        <v>0</v>
      </c>
      <c r="EY52" s="48">
        <v>0</v>
      </c>
      <c r="EZ52" s="48">
        <v>0</v>
      </c>
      <c r="FA52" s="48">
        <v>0</v>
      </c>
      <c r="FB52" s="48">
        <v>0</v>
      </c>
      <c r="FC52" s="48">
        <v>0</v>
      </c>
      <c r="FD52" s="48">
        <v>0</v>
      </c>
      <c r="FE52" s="48">
        <v>0</v>
      </c>
      <c r="FF52" s="48">
        <v>0</v>
      </c>
      <c r="FG52" s="48">
        <v>0</v>
      </c>
      <c r="FH52" s="48">
        <v>0</v>
      </c>
      <c r="FI52" s="48">
        <v>0</v>
      </c>
      <c r="FJ52" s="48">
        <v>0</v>
      </c>
      <c r="FK52" s="48">
        <v>0</v>
      </c>
      <c r="FL52" s="48">
        <v>0</v>
      </c>
      <c r="FM52" s="48">
        <v>0</v>
      </c>
      <c r="FN52" s="48">
        <v>0</v>
      </c>
      <c r="FO52" s="48">
        <v>0</v>
      </c>
      <c r="FP52" s="48">
        <v>0</v>
      </c>
      <c r="FQ52" s="48">
        <v>0</v>
      </c>
      <c r="FR52" s="48">
        <v>0</v>
      </c>
      <c r="FS52" s="48">
        <v>0</v>
      </c>
      <c r="FT52" s="48">
        <v>0</v>
      </c>
      <c r="FU52" s="48">
        <v>0</v>
      </c>
      <c r="FV52" s="48">
        <v>0</v>
      </c>
      <c r="FW52" s="48">
        <v>0</v>
      </c>
      <c r="FX52" s="48">
        <v>0</v>
      </c>
      <c r="FY52" s="48">
        <v>0</v>
      </c>
      <c r="FZ52" s="48">
        <v>0</v>
      </c>
      <c r="GA52" s="48">
        <v>0</v>
      </c>
      <c r="GB52" s="48">
        <v>0</v>
      </c>
      <c r="GC52" s="48">
        <v>0</v>
      </c>
      <c r="GD52" s="48">
        <v>0</v>
      </c>
      <c r="GE52" s="48">
        <v>0</v>
      </c>
      <c r="GF52" s="48">
        <v>0</v>
      </c>
      <c r="GG52" s="48">
        <v>0</v>
      </c>
      <c r="GH52" s="48">
        <v>0</v>
      </c>
      <c r="GI52" s="48">
        <v>0</v>
      </c>
      <c r="GJ52" s="48">
        <v>0</v>
      </c>
      <c r="GK52" s="48">
        <v>0</v>
      </c>
      <c r="GL52" s="48">
        <v>0</v>
      </c>
      <c r="GM52" s="48">
        <v>0</v>
      </c>
      <c r="GN52" s="48">
        <v>0</v>
      </c>
      <c r="GO52" s="48">
        <v>0</v>
      </c>
      <c r="GP52" s="48">
        <v>0</v>
      </c>
      <c r="GQ52" s="48">
        <v>0</v>
      </c>
      <c r="GR52" s="48">
        <v>0</v>
      </c>
      <c r="GS52" s="48">
        <v>0</v>
      </c>
      <c r="GT52" s="48">
        <v>0</v>
      </c>
      <c r="GU52" s="48">
        <v>0</v>
      </c>
      <c r="GV52" s="48">
        <v>0</v>
      </c>
      <c r="GW52" s="48">
        <v>0</v>
      </c>
      <c r="GX52" s="48">
        <v>0</v>
      </c>
      <c r="GY52" s="48">
        <v>0</v>
      </c>
      <c r="GZ52" s="48">
        <v>0</v>
      </c>
      <c r="HA52" s="48">
        <v>0</v>
      </c>
      <c r="HB52" s="48">
        <v>0</v>
      </c>
      <c r="HC52" s="48">
        <v>0</v>
      </c>
      <c r="HD52" s="48">
        <v>0</v>
      </c>
      <c r="HE52" s="48">
        <v>0</v>
      </c>
      <c r="HF52" s="48">
        <v>0</v>
      </c>
      <c r="HG52" s="48">
        <v>0</v>
      </c>
      <c r="HH52" s="48">
        <v>0</v>
      </c>
      <c r="HI52" s="48">
        <v>0</v>
      </c>
      <c r="HJ52" s="48">
        <v>0</v>
      </c>
      <c r="HK52" s="48">
        <v>0</v>
      </c>
      <c r="HL52" s="48">
        <v>0</v>
      </c>
      <c r="HM52" s="48">
        <v>0</v>
      </c>
      <c r="HN52" s="48">
        <v>0</v>
      </c>
      <c r="HO52" s="48">
        <v>0</v>
      </c>
      <c r="HP52" s="48">
        <v>0</v>
      </c>
      <c r="HQ52" s="48">
        <v>0</v>
      </c>
      <c r="HR52" s="48">
        <v>0</v>
      </c>
      <c r="HS52" s="48">
        <v>0</v>
      </c>
      <c r="HT52" s="48">
        <v>0</v>
      </c>
      <c r="HU52" s="48">
        <v>0</v>
      </c>
      <c r="HV52" s="48">
        <v>0</v>
      </c>
      <c r="HW52" s="48">
        <v>0</v>
      </c>
      <c r="HX52" s="48">
        <v>0</v>
      </c>
      <c r="HY52" s="48">
        <v>0</v>
      </c>
      <c r="HZ52" s="48">
        <v>0</v>
      </c>
      <c r="IA52" s="48">
        <v>0</v>
      </c>
      <c r="IB52" s="48">
        <v>0</v>
      </c>
      <c r="IC52" s="48">
        <v>0</v>
      </c>
      <c r="ID52" s="48">
        <v>0</v>
      </c>
      <c r="IE52" s="48">
        <v>0</v>
      </c>
      <c r="IF52" s="48">
        <v>0</v>
      </c>
      <c r="IG52" s="48">
        <v>0</v>
      </c>
      <c r="IH52" s="48">
        <v>0</v>
      </c>
      <c r="II52" s="48">
        <v>0</v>
      </c>
      <c r="IJ52" s="48">
        <v>0</v>
      </c>
      <c r="IK52" s="48">
        <v>0</v>
      </c>
      <c r="IL52" s="48">
        <v>0</v>
      </c>
      <c r="IM52" s="48">
        <v>0</v>
      </c>
      <c r="IN52" s="48">
        <v>0</v>
      </c>
      <c r="IO52" s="48">
        <v>0</v>
      </c>
      <c r="IP52" s="23">
        <v>17669.999999999905</v>
      </c>
      <c r="IQ52" s="25">
        <v>0</v>
      </c>
      <c r="IR52" s="25">
        <v>0</v>
      </c>
      <c r="IS52" s="26">
        <v>0</v>
      </c>
      <c r="IT52" s="26">
        <v>0</v>
      </c>
      <c r="IU52" s="26">
        <v>33021</v>
      </c>
      <c r="IV52" s="9">
        <v>32785</v>
      </c>
      <c r="IW52" s="38">
        <f t="shared" si="4"/>
        <v>83475.999999999913</v>
      </c>
    </row>
    <row r="53" spans="1:257" ht="30" customHeight="1" x14ac:dyDescent="0.25">
      <c r="A53" s="112" t="b">
        <v>1</v>
      </c>
      <c r="B53" s="113" t="str">
        <f>IFERROR(VLOOKUP(C53,'Bridge matrix'!$D$3:$E$727,2,FALSE)='symmetric IOT 245 2012'!D53,"FALSCH")</f>
        <v>FALSCH</v>
      </c>
      <c r="C53" s="108">
        <v>48</v>
      </c>
      <c r="D53" s="49" t="s">
        <v>1369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0</v>
      </c>
      <c r="AX53" s="48">
        <v>0</v>
      </c>
      <c r="AY53" s="48">
        <v>0</v>
      </c>
      <c r="AZ53" s="48">
        <v>0</v>
      </c>
      <c r="BA53" s="48">
        <v>0</v>
      </c>
      <c r="BB53" s="48">
        <v>0</v>
      </c>
      <c r="BC53" s="48">
        <v>0</v>
      </c>
      <c r="BD53" s="48">
        <v>0</v>
      </c>
      <c r="BE53" s="48">
        <v>0</v>
      </c>
      <c r="BF53" s="48">
        <v>0</v>
      </c>
      <c r="BG53" s="48">
        <v>0</v>
      </c>
      <c r="BH53" s="48">
        <v>0</v>
      </c>
      <c r="BI53" s="48">
        <v>0</v>
      </c>
      <c r="BJ53" s="48">
        <v>0</v>
      </c>
      <c r="BK53" s="48">
        <v>0</v>
      </c>
      <c r="BL53" s="48">
        <v>0</v>
      </c>
      <c r="BM53" s="48">
        <v>0</v>
      </c>
      <c r="BN53" s="48">
        <v>0</v>
      </c>
      <c r="BO53" s="48">
        <v>0</v>
      </c>
      <c r="BP53" s="48">
        <v>0</v>
      </c>
      <c r="BQ53" s="48">
        <v>0</v>
      </c>
      <c r="BR53" s="48">
        <v>0</v>
      </c>
      <c r="BS53" s="48">
        <v>0</v>
      </c>
      <c r="BT53" s="48">
        <v>0</v>
      </c>
      <c r="BU53" s="48">
        <v>0</v>
      </c>
      <c r="BV53" s="48">
        <v>0</v>
      </c>
      <c r="BW53" s="48">
        <v>0</v>
      </c>
      <c r="BX53" s="48">
        <v>0</v>
      </c>
      <c r="BY53" s="48">
        <v>0</v>
      </c>
      <c r="BZ53" s="48">
        <v>0</v>
      </c>
      <c r="CA53" s="48">
        <v>0</v>
      </c>
      <c r="CB53" s="48">
        <v>0</v>
      </c>
      <c r="CC53" s="48">
        <v>0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0.1023421533615734</v>
      </c>
      <c r="CM53" s="48">
        <v>9.6132972013111904E-7</v>
      </c>
      <c r="CN53" s="48">
        <v>0.152265104634068</v>
      </c>
      <c r="CO53" s="48">
        <v>0</v>
      </c>
      <c r="CP53" s="48">
        <v>0</v>
      </c>
      <c r="CQ53" s="48">
        <v>0</v>
      </c>
      <c r="CR53" s="48">
        <v>0</v>
      </c>
      <c r="CS53" s="48">
        <v>28.978009428616474</v>
      </c>
      <c r="CT53" s="48">
        <v>137.20357833585197</v>
      </c>
      <c r="CU53" s="48">
        <v>117.53820777280507</v>
      </c>
      <c r="CV53" s="48">
        <v>147.58764204138018</v>
      </c>
      <c r="CW53" s="48">
        <v>19.730879583276494</v>
      </c>
      <c r="CX53" s="48">
        <v>1.897189977451528E-5</v>
      </c>
      <c r="CY53" s="48">
        <v>0</v>
      </c>
      <c r="CZ53" s="48">
        <v>4.9060024665143745E-4</v>
      </c>
      <c r="DA53" s="48">
        <v>0</v>
      </c>
      <c r="DB53" s="48">
        <v>0</v>
      </c>
      <c r="DC53" s="48">
        <v>9.1283847119173257E-5</v>
      </c>
      <c r="DD53" s="48">
        <v>2.6905830160739224E-3</v>
      </c>
      <c r="DE53" s="48">
        <v>3.1285363383076821E-3</v>
      </c>
      <c r="DF53" s="48">
        <v>0</v>
      </c>
      <c r="DG53" s="48">
        <v>0</v>
      </c>
      <c r="DH53" s="48">
        <v>0</v>
      </c>
      <c r="DI53" s="48">
        <v>1.3414049582228773E-2</v>
      </c>
      <c r="DJ53" s="48">
        <v>0</v>
      </c>
      <c r="DK53" s="48">
        <v>9.2103002789483256E-3</v>
      </c>
      <c r="DL53" s="48">
        <v>0</v>
      </c>
      <c r="DM53" s="48">
        <v>0</v>
      </c>
      <c r="DN53" s="48">
        <v>0</v>
      </c>
      <c r="DO53" s="48">
        <v>0</v>
      </c>
      <c r="DP53" s="48">
        <v>12584.601892586035</v>
      </c>
      <c r="DQ53" s="48">
        <v>0</v>
      </c>
      <c r="DR53" s="48">
        <v>1.2334173152701774E-10</v>
      </c>
      <c r="DS53" s="48">
        <v>0</v>
      </c>
      <c r="DT53" s="48">
        <v>0</v>
      </c>
      <c r="DU53" s="48">
        <v>0</v>
      </c>
      <c r="DV53" s="48">
        <v>0</v>
      </c>
      <c r="DW53" s="48">
        <v>0</v>
      </c>
      <c r="DX53" s="48">
        <v>0</v>
      </c>
      <c r="DY53" s="48">
        <v>4.7086033095522858E-16</v>
      </c>
      <c r="DZ53" s="48">
        <v>0</v>
      </c>
      <c r="EA53" s="48">
        <v>0</v>
      </c>
      <c r="EB53" s="48">
        <v>1.3106981503905178E-9</v>
      </c>
      <c r="EC53" s="48">
        <v>3.7908412558033718E-11</v>
      </c>
      <c r="ED53" s="48">
        <v>0</v>
      </c>
      <c r="EE53" s="48">
        <v>0</v>
      </c>
      <c r="EF53" s="48">
        <v>0</v>
      </c>
      <c r="EG53" s="48">
        <v>0</v>
      </c>
      <c r="EH53" s="48">
        <v>0</v>
      </c>
      <c r="EI53" s="48">
        <v>1.3919814600918208E-6</v>
      </c>
      <c r="EJ53" s="48">
        <v>2.5865838338097849E-5</v>
      </c>
      <c r="EK53" s="48">
        <v>0</v>
      </c>
      <c r="EL53" s="48">
        <v>0</v>
      </c>
      <c r="EM53" s="48">
        <v>0</v>
      </c>
      <c r="EN53" s="48">
        <v>0</v>
      </c>
      <c r="EO53" s="48">
        <v>0</v>
      </c>
      <c r="EP53" s="48">
        <v>0</v>
      </c>
      <c r="EQ53" s="48">
        <v>0</v>
      </c>
      <c r="ER53" s="48">
        <v>3.2711525813616115E-11</v>
      </c>
      <c r="ES53" s="48">
        <v>5.720118165831456E-13</v>
      </c>
      <c r="ET53" s="48">
        <v>0</v>
      </c>
      <c r="EU53" s="48">
        <v>0</v>
      </c>
      <c r="EV53" s="48">
        <v>0</v>
      </c>
      <c r="EW53" s="48">
        <v>4.0720271657168389E-11</v>
      </c>
      <c r="EX53" s="48">
        <v>0</v>
      </c>
      <c r="EY53" s="48">
        <v>9.8891420770767017E-9</v>
      </c>
      <c r="EZ53" s="48">
        <v>0</v>
      </c>
      <c r="FA53" s="48">
        <v>8.288722062114955E-15</v>
      </c>
      <c r="FB53" s="48">
        <v>2.2724070408240823E-16</v>
      </c>
      <c r="FC53" s="48">
        <v>0</v>
      </c>
      <c r="FD53" s="48">
        <v>0</v>
      </c>
      <c r="FE53" s="48">
        <v>0</v>
      </c>
      <c r="FF53" s="48">
        <v>0</v>
      </c>
      <c r="FG53" s="48">
        <v>0</v>
      </c>
      <c r="FH53" s="48">
        <v>0</v>
      </c>
      <c r="FI53" s="48">
        <v>0</v>
      </c>
      <c r="FJ53" s="48">
        <v>0</v>
      </c>
      <c r="FK53" s="48">
        <v>0</v>
      </c>
      <c r="FL53" s="48">
        <v>0</v>
      </c>
      <c r="FM53" s="48">
        <v>4.33416743717824E-11</v>
      </c>
      <c r="FN53" s="48">
        <v>0</v>
      </c>
      <c r="FO53" s="48">
        <v>0</v>
      </c>
      <c r="FP53" s="48">
        <v>1.8445790243015576E-9</v>
      </c>
      <c r="FQ53" s="48">
        <v>0</v>
      </c>
      <c r="FR53" s="48">
        <v>0</v>
      </c>
      <c r="FS53" s="48">
        <v>0</v>
      </c>
      <c r="FT53" s="48">
        <v>0</v>
      </c>
      <c r="FU53" s="48">
        <v>0</v>
      </c>
      <c r="FV53" s="48">
        <v>1.5393720985315802E-15</v>
      </c>
      <c r="FW53" s="48">
        <v>0</v>
      </c>
      <c r="FX53" s="48">
        <v>0</v>
      </c>
      <c r="FY53" s="48">
        <v>0</v>
      </c>
      <c r="FZ53" s="48">
        <v>0</v>
      </c>
      <c r="GA53" s="48">
        <v>0</v>
      </c>
      <c r="GB53" s="48">
        <v>0</v>
      </c>
      <c r="GC53" s="48">
        <v>0</v>
      </c>
      <c r="GD53" s="48">
        <v>0</v>
      </c>
      <c r="GE53" s="48">
        <v>0</v>
      </c>
      <c r="GF53" s="48">
        <v>0</v>
      </c>
      <c r="GG53" s="48">
        <v>0</v>
      </c>
      <c r="GH53" s="48">
        <v>0</v>
      </c>
      <c r="GI53" s="48">
        <v>0</v>
      </c>
      <c r="GJ53" s="48">
        <v>0</v>
      </c>
      <c r="GK53" s="48">
        <v>0</v>
      </c>
      <c r="GL53" s="48">
        <v>0</v>
      </c>
      <c r="GM53" s="48">
        <v>0</v>
      </c>
      <c r="GN53" s="48">
        <v>0</v>
      </c>
      <c r="GO53" s="48">
        <v>0</v>
      </c>
      <c r="GP53" s="48">
        <v>0</v>
      </c>
      <c r="GQ53" s="48">
        <v>0</v>
      </c>
      <c r="GR53" s="48">
        <v>0</v>
      </c>
      <c r="GS53" s="48">
        <v>0</v>
      </c>
      <c r="GT53" s="48">
        <v>0</v>
      </c>
      <c r="GU53" s="48">
        <v>0</v>
      </c>
      <c r="GV53" s="48">
        <v>0</v>
      </c>
      <c r="GW53" s="48">
        <v>0</v>
      </c>
      <c r="GX53" s="48">
        <v>0</v>
      </c>
      <c r="GY53" s="48">
        <v>0</v>
      </c>
      <c r="GZ53" s="48">
        <v>0</v>
      </c>
      <c r="HA53" s="48">
        <v>0</v>
      </c>
      <c r="HB53" s="48">
        <v>0</v>
      </c>
      <c r="HC53" s="48">
        <v>0</v>
      </c>
      <c r="HD53" s="48">
        <v>0</v>
      </c>
      <c r="HE53" s="48">
        <v>0</v>
      </c>
      <c r="HF53" s="48">
        <v>0</v>
      </c>
      <c r="HG53" s="48">
        <v>0</v>
      </c>
      <c r="HH53" s="48">
        <v>0</v>
      </c>
      <c r="HI53" s="48">
        <v>0</v>
      </c>
      <c r="HJ53" s="48">
        <v>0</v>
      </c>
      <c r="HK53" s="48">
        <v>0</v>
      </c>
      <c r="HL53" s="48">
        <v>0</v>
      </c>
      <c r="HM53" s="48">
        <v>0</v>
      </c>
      <c r="HN53" s="48">
        <v>0</v>
      </c>
      <c r="HO53" s="48">
        <v>0</v>
      </c>
      <c r="HP53" s="48">
        <v>0</v>
      </c>
      <c r="HQ53" s="48">
        <v>0</v>
      </c>
      <c r="HR53" s="48">
        <v>0</v>
      </c>
      <c r="HS53" s="48">
        <v>0</v>
      </c>
      <c r="HT53" s="48">
        <v>0</v>
      </c>
      <c r="HU53" s="48">
        <v>0</v>
      </c>
      <c r="HV53" s="48">
        <v>0</v>
      </c>
      <c r="HW53" s="48">
        <v>0</v>
      </c>
      <c r="HX53" s="48">
        <v>0</v>
      </c>
      <c r="HY53" s="48">
        <v>0</v>
      </c>
      <c r="HZ53" s="48">
        <v>0</v>
      </c>
      <c r="IA53" s="48">
        <v>0</v>
      </c>
      <c r="IB53" s="48">
        <v>0</v>
      </c>
      <c r="IC53" s="48">
        <v>0</v>
      </c>
      <c r="ID53" s="48">
        <v>0</v>
      </c>
      <c r="IE53" s="48">
        <v>0</v>
      </c>
      <c r="IF53" s="48">
        <v>0</v>
      </c>
      <c r="IG53" s="48">
        <v>0</v>
      </c>
      <c r="IH53" s="48">
        <v>0</v>
      </c>
      <c r="II53" s="48">
        <v>0</v>
      </c>
      <c r="IJ53" s="48">
        <v>0</v>
      </c>
      <c r="IK53" s="48">
        <v>7.6110436243795099E-2</v>
      </c>
      <c r="IL53" s="48">
        <v>0</v>
      </c>
      <c r="IM53" s="48">
        <v>0</v>
      </c>
      <c r="IN53" s="48">
        <v>0</v>
      </c>
      <c r="IO53" s="48">
        <v>0</v>
      </c>
      <c r="IP53" s="23">
        <v>13035.999999999889</v>
      </c>
      <c r="IQ53" s="25">
        <v>0</v>
      </c>
      <c r="IR53" s="25">
        <v>0</v>
      </c>
      <c r="IS53" s="26">
        <v>0</v>
      </c>
      <c r="IT53" s="26">
        <v>0</v>
      </c>
      <c r="IU53" s="26">
        <v>0</v>
      </c>
      <c r="IV53" s="9">
        <v>0</v>
      </c>
      <c r="IW53" s="38">
        <f t="shared" si="4"/>
        <v>13035.999999999889</v>
      </c>
    </row>
    <row r="54" spans="1:257" ht="30" customHeight="1" x14ac:dyDescent="0.25">
      <c r="A54" s="112" t="b">
        <v>1</v>
      </c>
      <c r="B54" s="113" t="str">
        <f>IFERROR(VLOOKUP(C54,'Bridge matrix'!$D$3:$E$727,2,FALSE)='symmetric IOT 245 2012'!D54,"FALSCH")</f>
        <v>FALSCH</v>
      </c>
      <c r="C54" s="108">
        <v>49</v>
      </c>
      <c r="D54" s="49" t="s">
        <v>1370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5.2568451426957723E-10</v>
      </c>
      <c r="CM54" s="48">
        <v>0</v>
      </c>
      <c r="CN54" s="48">
        <v>7.82113279795631E-10</v>
      </c>
      <c r="CO54" s="48">
        <v>0</v>
      </c>
      <c r="CP54" s="48">
        <v>0</v>
      </c>
      <c r="CQ54" s="48">
        <v>0</v>
      </c>
      <c r="CR54" s="48">
        <v>0</v>
      </c>
      <c r="CS54" s="48">
        <v>0</v>
      </c>
      <c r="CT54" s="48">
        <v>1.0469644195971129E-12</v>
      </c>
      <c r="CU54" s="48">
        <v>0</v>
      </c>
      <c r="CV54" s="48">
        <v>1.4892847121499841E-7</v>
      </c>
      <c r="CW54" s="48">
        <v>0</v>
      </c>
      <c r="CX54" s="48">
        <v>9.7449607986413075E-14</v>
      </c>
      <c r="CY54" s="48">
        <v>2.4910285003943023E-9</v>
      </c>
      <c r="CZ54" s="48">
        <v>1.9082239662813915E-10</v>
      </c>
      <c r="DA54" s="48">
        <v>0</v>
      </c>
      <c r="DB54" s="48">
        <v>0</v>
      </c>
      <c r="DC54" s="48">
        <v>4.688816208698514E-13</v>
      </c>
      <c r="DD54" s="48">
        <v>8.1743110678315593E-10</v>
      </c>
      <c r="DE54" s="48">
        <v>1.2168786744012834E-9</v>
      </c>
      <c r="DF54" s="48">
        <v>0</v>
      </c>
      <c r="DG54" s="48">
        <v>0</v>
      </c>
      <c r="DH54" s="48">
        <v>0</v>
      </c>
      <c r="DI54" s="48">
        <v>5.2178761330626268E-9</v>
      </c>
      <c r="DJ54" s="48">
        <v>0</v>
      </c>
      <c r="DK54" s="48">
        <v>3.5824106997288755E-9</v>
      </c>
      <c r="DL54" s="48">
        <v>0</v>
      </c>
      <c r="DM54" s="48">
        <v>0</v>
      </c>
      <c r="DN54" s="48">
        <v>0</v>
      </c>
      <c r="DO54" s="48">
        <v>0</v>
      </c>
      <c r="DP54" s="48">
        <v>17936.289726775623</v>
      </c>
      <c r="DQ54" s="48">
        <v>0</v>
      </c>
      <c r="DR54" s="48">
        <v>5853.7202532979409</v>
      </c>
      <c r="DS54" s="48">
        <v>0</v>
      </c>
      <c r="DT54" s="48">
        <v>0</v>
      </c>
      <c r="DU54" s="48">
        <v>0</v>
      </c>
      <c r="DV54" s="48">
        <v>0</v>
      </c>
      <c r="DW54" s="48">
        <v>0</v>
      </c>
      <c r="DX54" s="48">
        <v>0</v>
      </c>
      <c r="DY54" s="48">
        <v>3.1427126265564577E-6</v>
      </c>
      <c r="DZ54" s="48">
        <v>0</v>
      </c>
      <c r="EA54" s="48">
        <v>0</v>
      </c>
      <c r="EB54" s="48">
        <v>9.0518553237425063</v>
      </c>
      <c r="EC54" s="48">
        <v>0.26180052564995226</v>
      </c>
      <c r="ED54" s="48">
        <v>0</v>
      </c>
      <c r="EE54" s="48">
        <v>0</v>
      </c>
      <c r="EF54" s="48">
        <v>0</v>
      </c>
      <c r="EG54" s="48">
        <v>0</v>
      </c>
      <c r="EH54" s="48">
        <v>0</v>
      </c>
      <c r="EI54" s="48">
        <v>5.0267977758411804E-5</v>
      </c>
      <c r="EJ54" s="48">
        <v>2.9105536119666879E-9</v>
      </c>
      <c r="EK54" s="48">
        <v>0</v>
      </c>
      <c r="EL54" s="48">
        <v>0</v>
      </c>
      <c r="EM54" s="48">
        <v>0</v>
      </c>
      <c r="EN54" s="48">
        <v>0</v>
      </c>
      <c r="EO54" s="48">
        <v>0</v>
      </c>
      <c r="EP54" s="48">
        <v>0</v>
      </c>
      <c r="EQ54" s="48">
        <v>0</v>
      </c>
      <c r="ER54" s="48">
        <v>0.22590294366240715</v>
      </c>
      <c r="ES54" s="48">
        <v>0</v>
      </c>
      <c r="ET54" s="48">
        <v>0</v>
      </c>
      <c r="EU54" s="48">
        <v>0</v>
      </c>
      <c r="EV54" s="48">
        <v>0</v>
      </c>
      <c r="EW54" s="48">
        <v>0</v>
      </c>
      <c r="EX54" s="48">
        <v>2.2641694205733014</v>
      </c>
      <c r="EY54" s="48">
        <v>0.11943390513625138</v>
      </c>
      <c r="EZ54" s="48">
        <v>0</v>
      </c>
      <c r="FA54" s="48">
        <v>5.6186546937285745E-5</v>
      </c>
      <c r="FB54" s="48">
        <v>1.5403907128634367E-6</v>
      </c>
      <c r="FC54" s="48">
        <v>0</v>
      </c>
      <c r="FD54" s="48">
        <v>0</v>
      </c>
      <c r="FE54" s="48">
        <v>0</v>
      </c>
      <c r="FF54" s="48">
        <v>0</v>
      </c>
      <c r="FG54" s="48">
        <v>0</v>
      </c>
      <c r="FH54" s="48">
        <v>4.0861075076412184E-3</v>
      </c>
      <c r="FI54" s="48">
        <v>3.3304821760715211E-3</v>
      </c>
      <c r="FJ54" s="48">
        <v>0</v>
      </c>
      <c r="FK54" s="48">
        <v>0</v>
      </c>
      <c r="FL54" s="48">
        <v>0</v>
      </c>
      <c r="FM54" s="48">
        <v>0.29932188112630514</v>
      </c>
      <c r="FN54" s="48">
        <v>0</v>
      </c>
      <c r="FO54" s="48">
        <v>0</v>
      </c>
      <c r="FP54" s="48">
        <v>12.759976631664976</v>
      </c>
      <c r="FQ54" s="48">
        <v>2.1098179708706239E-5</v>
      </c>
      <c r="FR54" s="48">
        <v>0</v>
      </c>
      <c r="FS54" s="48">
        <v>0</v>
      </c>
      <c r="FT54" s="48">
        <v>0</v>
      </c>
      <c r="FU54" s="48">
        <v>0</v>
      </c>
      <c r="FV54" s="48">
        <v>1.0302222112903408E-5</v>
      </c>
      <c r="FW54" s="48">
        <v>0</v>
      </c>
      <c r="FX54" s="48">
        <v>0</v>
      </c>
      <c r="FY54" s="48">
        <v>0</v>
      </c>
      <c r="FZ54" s="48">
        <v>0</v>
      </c>
      <c r="GA54" s="48">
        <v>0</v>
      </c>
      <c r="GB54" s="48">
        <v>0</v>
      </c>
      <c r="GC54" s="48">
        <v>0</v>
      </c>
      <c r="GD54" s="48">
        <v>0</v>
      </c>
      <c r="GE54" s="48">
        <v>0</v>
      </c>
      <c r="GF54" s="48">
        <v>0</v>
      </c>
      <c r="GG54" s="48">
        <v>0</v>
      </c>
      <c r="GH54" s="48">
        <v>0</v>
      </c>
      <c r="GI54" s="48">
        <v>0</v>
      </c>
      <c r="GJ54" s="48">
        <v>0</v>
      </c>
      <c r="GK54" s="48">
        <v>0</v>
      </c>
      <c r="GL54" s="48">
        <v>0</v>
      </c>
      <c r="GM54" s="48">
        <v>0</v>
      </c>
      <c r="GN54" s="48">
        <v>0</v>
      </c>
      <c r="GO54" s="48">
        <v>0</v>
      </c>
      <c r="GP54" s="48">
        <v>0</v>
      </c>
      <c r="GQ54" s="48">
        <v>0</v>
      </c>
      <c r="GR54" s="48">
        <v>0</v>
      </c>
      <c r="GS54" s="48">
        <v>0</v>
      </c>
      <c r="GT54" s="48">
        <v>0</v>
      </c>
      <c r="GU54" s="48">
        <v>0</v>
      </c>
      <c r="GV54" s="48">
        <v>0</v>
      </c>
      <c r="GW54" s="48">
        <v>0</v>
      </c>
      <c r="GX54" s="48">
        <v>0</v>
      </c>
      <c r="GY54" s="48">
        <v>0</v>
      </c>
      <c r="GZ54" s="48">
        <v>0</v>
      </c>
      <c r="HA54" s="48">
        <v>0</v>
      </c>
      <c r="HB54" s="48">
        <v>0</v>
      </c>
      <c r="HC54" s="48">
        <v>0</v>
      </c>
      <c r="HD54" s="48">
        <v>0</v>
      </c>
      <c r="HE54" s="48">
        <v>0</v>
      </c>
      <c r="HF54" s="48">
        <v>0</v>
      </c>
      <c r="HG54" s="48">
        <v>0</v>
      </c>
      <c r="HH54" s="48">
        <v>0</v>
      </c>
      <c r="HI54" s="48">
        <v>0</v>
      </c>
      <c r="HJ54" s="48">
        <v>0</v>
      </c>
      <c r="HK54" s="48">
        <v>0</v>
      </c>
      <c r="HL54" s="48">
        <v>0</v>
      </c>
      <c r="HM54" s="48">
        <v>0</v>
      </c>
      <c r="HN54" s="48">
        <v>0</v>
      </c>
      <c r="HO54" s="48">
        <v>0</v>
      </c>
      <c r="HP54" s="48">
        <v>0</v>
      </c>
      <c r="HQ54" s="48">
        <v>0</v>
      </c>
      <c r="HR54" s="48">
        <v>0</v>
      </c>
      <c r="HS54" s="48">
        <v>0</v>
      </c>
      <c r="HT54" s="48">
        <v>0</v>
      </c>
      <c r="HU54" s="48">
        <v>0</v>
      </c>
      <c r="HV54" s="48">
        <v>0</v>
      </c>
      <c r="HW54" s="48">
        <v>0</v>
      </c>
      <c r="HX54" s="48">
        <v>0</v>
      </c>
      <c r="HY54" s="48">
        <v>0</v>
      </c>
      <c r="HZ54" s="48">
        <v>0</v>
      </c>
      <c r="IA54" s="48">
        <v>0</v>
      </c>
      <c r="IB54" s="48">
        <v>0</v>
      </c>
      <c r="IC54" s="48">
        <v>0</v>
      </c>
      <c r="ID54" s="48">
        <v>0</v>
      </c>
      <c r="IE54" s="48">
        <v>0</v>
      </c>
      <c r="IF54" s="48">
        <v>0</v>
      </c>
      <c r="IG54" s="48">
        <v>0</v>
      </c>
      <c r="IH54" s="48">
        <v>0</v>
      </c>
      <c r="II54" s="48">
        <v>0</v>
      </c>
      <c r="IJ54" s="48">
        <v>0</v>
      </c>
      <c r="IK54" s="48">
        <v>3.9094304016911366E-10</v>
      </c>
      <c r="IL54" s="48">
        <v>0</v>
      </c>
      <c r="IM54" s="48">
        <v>0</v>
      </c>
      <c r="IN54" s="48">
        <v>0</v>
      </c>
      <c r="IO54" s="48">
        <v>0</v>
      </c>
      <c r="IP54" s="23">
        <v>23814.999999999876</v>
      </c>
      <c r="IQ54" s="25">
        <v>0</v>
      </c>
      <c r="IR54" s="25">
        <v>0</v>
      </c>
      <c r="IS54" s="26">
        <v>0</v>
      </c>
      <c r="IT54" s="26">
        <v>0</v>
      </c>
      <c r="IU54" s="26">
        <v>0</v>
      </c>
      <c r="IV54" s="9">
        <v>0</v>
      </c>
      <c r="IW54" s="38">
        <f t="shared" si="4"/>
        <v>23814.999999999876</v>
      </c>
    </row>
    <row r="55" spans="1:257" ht="30" customHeight="1" x14ac:dyDescent="0.25">
      <c r="A55" s="112" t="b">
        <v>1</v>
      </c>
      <c r="B55" s="113" t="str">
        <f>IFERROR(VLOOKUP(C55,'Bridge matrix'!$D$3:$E$727,2,FALSE)='symmetric IOT 245 2012'!D55,"FALSCH")</f>
        <v>FALSCH</v>
      </c>
      <c r="C55" s="108">
        <v>50</v>
      </c>
      <c r="D55" s="49" t="s">
        <v>1371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0</v>
      </c>
      <c r="BA55" s="48">
        <v>0</v>
      </c>
      <c r="BB55" s="48">
        <v>998.1514459171151</v>
      </c>
      <c r="BC55" s="48">
        <v>0</v>
      </c>
      <c r="BD55" s="48">
        <v>0</v>
      </c>
      <c r="BE55" s="48">
        <v>427578.38564073754</v>
      </c>
      <c r="BF55" s="48">
        <v>12176.809195003532</v>
      </c>
      <c r="BG55" s="48">
        <v>809.64380339247202</v>
      </c>
      <c r="BH55" s="48">
        <v>76003.147700970163</v>
      </c>
      <c r="BI55" s="48">
        <v>9216.346100254048</v>
      </c>
      <c r="BJ55" s="48">
        <v>0</v>
      </c>
      <c r="BK55" s="48">
        <v>0</v>
      </c>
      <c r="BL55" s="48">
        <v>105.51611372073322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48">
        <v>0</v>
      </c>
      <c r="CB55" s="48">
        <v>0</v>
      </c>
      <c r="CC55" s="48">
        <v>0</v>
      </c>
      <c r="CD55" s="48">
        <v>0</v>
      </c>
      <c r="CE55" s="48">
        <v>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  <c r="CM55" s="48">
        <v>0</v>
      </c>
      <c r="CN55" s="48">
        <v>0</v>
      </c>
      <c r="CO55" s="48">
        <v>0</v>
      </c>
      <c r="CP55" s="48">
        <v>0</v>
      </c>
      <c r="CQ55" s="48">
        <v>0</v>
      </c>
      <c r="CR55" s="48">
        <v>0</v>
      </c>
      <c r="CS55" s="48">
        <v>0</v>
      </c>
      <c r="CT55" s="48">
        <v>0</v>
      </c>
      <c r="CU55" s="48">
        <v>0</v>
      </c>
      <c r="CV55" s="48">
        <v>0</v>
      </c>
      <c r="CW55" s="48">
        <v>0</v>
      </c>
      <c r="CX55" s="48">
        <v>0</v>
      </c>
      <c r="CY55" s="48">
        <v>0</v>
      </c>
      <c r="CZ55" s="48">
        <v>0</v>
      </c>
      <c r="DA55" s="48">
        <v>0</v>
      </c>
      <c r="DB55" s="48">
        <v>0</v>
      </c>
      <c r="DC55" s="48">
        <v>0</v>
      </c>
      <c r="DD55" s="48">
        <v>0</v>
      </c>
      <c r="DE55" s="48">
        <v>0</v>
      </c>
      <c r="DF55" s="48">
        <v>0</v>
      </c>
      <c r="DG55" s="48">
        <v>0</v>
      </c>
      <c r="DH55" s="48">
        <v>0</v>
      </c>
      <c r="DI55" s="48">
        <v>0</v>
      </c>
      <c r="DJ55" s="48">
        <v>0</v>
      </c>
      <c r="DK55" s="48">
        <v>0</v>
      </c>
      <c r="DL55" s="48">
        <v>0</v>
      </c>
      <c r="DM55" s="48">
        <v>0</v>
      </c>
      <c r="DN55" s="48">
        <v>0</v>
      </c>
      <c r="DO55" s="48">
        <v>0</v>
      </c>
      <c r="DP55" s="48">
        <v>0</v>
      </c>
      <c r="DQ55" s="48">
        <v>0</v>
      </c>
      <c r="DR55" s="48">
        <v>0</v>
      </c>
      <c r="DS55" s="48">
        <v>0</v>
      </c>
      <c r="DT55" s="48">
        <v>0</v>
      </c>
      <c r="DU55" s="48">
        <v>0</v>
      </c>
      <c r="DV55" s="48">
        <v>0</v>
      </c>
      <c r="DW55" s="48">
        <v>0</v>
      </c>
      <c r="DX55" s="48">
        <v>0</v>
      </c>
      <c r="DY55" s="48">
        <v>0</v>
      </c>
      <c r="DZ55" s="48">
        <v>0</v>
      </c>
      <c r="EA55" s="48">
        <v>0</v>
      </c>
      <c r="EB55" s="48">
        <v>0</v>
      </c>
      <c r="EC55" s="48">
        <v>0</v>
      </c>
      <c r="ED55" s="48">
        <v>0</v>
      </c>
      <c r="EE55" s="48">
        <v>0</v>
      </c>
      <c r="EF55" s="48">
        <v>0</v>
      </c>
      <c r="EG55" s="48">
        <v>0</v>
      </c>
      <c r="EH55" s="48">
        <v>0</v>
      </c>
      <c r="EI55" s="48">
        <v>0</v>
      </c>
      <c r="EJ55" s="48">
        <v>0</v>
      </c>
      <c r="EK55" s="48">
        <v>0</v>
      </c>
      <c r="EL55" s="48">
        <v>0</v>
      </c>
      <c r="EM55" s="48">
        <v>0</v>
      </c>
      <c r="EN55" s="48">
        <v>0</v>
      </c>
      <c r="EO55" s="48">
        <v>0</v>
      </c>
      <c r="EP55" s="48">
        <v>0</v>
      </c>
      <c r="EQ55" s="48">
        <v>0</v>
      </c>
      <c r="ER55" s="48">
        <v>0</v>
      </c>
      <c r="ES55" s="48">
        <v>0</v>
      </c>
      <c r="ET55" s="48">
        <v>0</v>
      </c>
      <c r="EU55" s="48">
        <v>0</v>
      </c>
      <c r="EV55" s="48">
        <v>0</v>
      </c>
      <c r="EW55" s="48">
        <v>0</v>
      </c>
      <c r="EX55" s="48">
        <v>0</v>
      </c>
      <c r="EY55" s="48">
        <v>0</v>
      </c>
      <c r="EZ55" s="48">
        <v>0</v>
      </c>
      <c r="FA55" s="48">
        <v>0</v>
      </c>
      <c r="FB55" s="48">
        <v>0</v>
      </c>
      <c r="FC55" s="48">
        <v>0</v>
      </c>
      <c r="FD55" s="48">
        <v>0</v>
      </c>
      <c r="FE55" s="48">
        <v>0</v>
      </c>
      <c r="FF55" s="48">
        <v>0</v>
      </c>
      <c r="FG55" s="48">
        <v>0</v>
      </c>
      <c r="FH55" s="48">
        <v>0</v>
      </c>
      <c r="FI55" s="48">
        <v>0</v>
      </c>
      <c r="FJ55" s="48">
        <v>0</v>
      </c>
      <c r="FK55" s="48">
        <v>0</v>
      </c>
      <c r="FL55" s="48">
        <v>0</v>
      </c>
      <c r="FM55" s="48">
        <v>0</v>
      </c>
      <c r="FN55" s="48">
        <v>0</v>
      </c>
      <c r="FO55" s="48">
        <v>0</v>
      </c>
      <c r="FP55" s="48">
        <v>0</v>
      </c>
      <c r="FQ55" s="48">
        <v>0</v>
      </c>
      <c r="FR55" s="48">
        <v>0</v>
      </c>
      <c r="FS55" s="48">
        <v>0</v>
      </c>
      <c r="FT55" s="48">
        <v>0</v>
      </c>
      <c r="FU55" s="48">
        <v>0</v>
      </c>
      <c r="FV55" s="48">
        <v>0</v>
      </c>
      <c r="FW55" s="48">
        <v>0</v>
      </c>
      <c r="FX55" s="48">
        <v>0</v>
      </c>
      <c r="FY55" s="48">
        <v>0</v>
      </c>
      <c r="FZ55" s="48">
        <v>0</v>
      </c>
      <c r="GA55" s="48">
        <v>0</v>
      </c>
      <c r="GB55" s="48">
        <v>0</v>
      </c>
      <c r="GC55" s="48">
        <v>0</v>
      </c>
      <c r="GD55" s="48">
        <v>0</v>
      </c>
      <c r="GE55" s="48">
        <v>0</v>
      </c>
      <c r="GF55" s="48">
        <v>0</v>
      </c>
      <c r="GG55" s="48">
        <v>0</v>
      </c>
      <c r="GH55" s="48">
        <v>0</v>
      </c>
      <c r="GI55" s="48">
        <v>0</v>
      </c>
      <c r="GJ55" s="48">
        <v>0</v>
      </c>
      <c r="GK55" s="48">
        <v>0</v>
      </c>
      <c r="GL55" s="48">
        <v>0</v>
      </c>
      <c r="GM55" s="48">
        <v>0</v>
      </c>
      <c r="GN55" s="48">
        <v>0</v>
      </c>
      <c r="GO55" s="48">
        <v>0</v>
      </c>
      <c r="GP55" s="48">
        <v>0</v>
      </c>
      <c r="GQ55" s="48">
        <v>0</v>
      </c>
      <c r="GR55" s="48">
        <v>0</v>
      </c>
      <c r="GS55" s="48">
        <v>0</v>
      </c>
      <c r="GT55" s="48">
        <v>0</v>
      </c>
      <c r="GU55" s="48">
        <v>0</v>
      </c>
      <c r="GV55" s="48">
        <v>0</v>
      </c>
      <c r="GW55" s="48">
        <v>0</v>
      </c>
      <c r="GX55" s="48">
        <v>0</v>
      </c>
      <c r="GY55" s="48">
        <v>0</v>
      </c>
      <c r="GZ55" s="48">
        <v>0</v>
      </c>
      <c r="HA55" s="48">
        <v>0</v>
      </c>
      <c r="HB55" s="48">
        <v>0</v>
      </c>
      <c r="HC55" s="48">
        <v>0</v>
      </c>
      <c r="HD55" s="48">
        <v>0</v>
      </c>
      <c r="HE55" s="48">
        <v>0</v>
      </c>
      <c r="HF55" s="48">
        <v>0</v>
      </c>
      <c r="HG55" s="48">
        <v>0</v>
      </c>
      <c r="HH55" s="48">
        <v>0</v>
      </c>
      <c r="HI55" s="48">
        <v>0</v>
      </c>
      <c r="HJ55" s="48">
        <v>0</v>
      </c>
      <c r="HK55" s="48">
        <v>0</v>
      </c>
      <c r="HL55" s="48">
        <v>0</v>
      </c>
      <c r="HM55" s="48">
        <v>0</v>
      </c>
      <c r="HN55" s="48">
        <v>0</v>
      </c>
      <c r="HO55" s="48">
        <v>0</v>
      </c>
      <c r="HP55" s="48">
        <v>0</v>
      </c>
      <c r="HQ55" s="48">
        <v>0</v>
      </c>
      <c r="HR55" s="48">
        <v>0</v>
      </c>
      <c r="HS55" s="48">
        <v>0</v>
      </c>
      <c r="HT55" s="48">
        <v>0</v>
      </c>
      <c r="HU55" s="48">
        <v>0</v>
      </c>
      <c r="HV55" s="48">
        <v>0</v>
      </c>
      <c r="HW55" s="48">
        <v>0</v>
      </c>
      <c r="HX55" s="48">
        <v>0</v>
      </c>
      <c r="HY55" s="48">
        <v>0</v>
      </c>
      <c r="HZ55" s="48">
        <v>0</v>
      </c>
      <c r="IA55" s="48">
        <v>0</v>
      </c>
      <c r="IB55" s="48">
        <v>0</v>
      </c>
      <c r="IC55" s="48">
        <v>0</v>
      </c>
      <c r="ID55" s="48">
        <v>0</v>
      </c>
      <c r="IE55" s="48">
        <v>0</v>
      </c>
      <c r="IF55" s="48">
        <v>0</v>
      </c>
      <c r="IG55" s="48">
        <v>0</v>
      </c>
      <c r="IH55" s="48">
        <v>0</v>
      </c>
      <c r="II55" s="48">
        <v>0</v>
      </c>
      <c r="IJ55" s="48">
        <v>0</v>
      </c>
      <c r="IK55" s="48">
        <v>0</v>
      </c>
      <c r="IL55" s="48">
        <v>0</v>
      </c>
      <c r="IM55" s="48">
        <v>0</v>
      </c>
      <c r="IN55" s="48">
        <v>0</v>
      </c>
      <c r="IO55" s="48">
        <v>0</v>
      </c>
      <c r="IP55" s="23">
        <v>526887.99999999558</v>
      </c>
      <c r="IQ55" s="25">
        <v>0</v>
      </c>
      <c r="IR55" s="25">
        <v>0</v>
      </c>
      <c r="IS55" s="26">
        <v>0</v>
      </c>
      <c r="IT55" s="26">
        <v>0</v>
      </c>
      <c r="IU55" s="26">
        <v>0</v>
      </c>
      <c r="IV55" s="9">
        <v>30</v>
      </c>
      <c r="IW55" s="38">
        <f t="shared" si="4"/>
        <v>526917.99999999558</v>
      </c>
    </row>
    <row r="56" spans="1:257" ht="30" customHeight="1" x14ac:dyDescent="0.25">
      <c r="A56" s="112" t="b">
        <v>1</v>
      </c>
      <c r="B56" s="113" t="b">
        <f>IFERROR(VLOOKUP(C56,'Bridge matrix'!$D$3:$E$727,2,FALSE)='symmetric IOT 245 2012'!D56,"FALSCH")</f>
        <v>1</v>
      </c>
      <c r="C56" s="108">
        <v>51</v>
      </c>
      <c r="D56" s="49" t="s">
        <v>1372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3.8383238550248184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1.8144298151662761</v>
      </c>
      <c r="CJ56" s="48">
        <v>0</v>
      </c>
      <c r="CK56" s="48">
        <v>0</v>
      </c>
      <c r="CL56" s="48">
        <v>0.27012291827609441</v>
      </c>
      <c r="CM56" s="48">
        <v>3.5902645872468691E-2</v>
      </c>
      <c r="CN56" s="48">
        <v>0.40275534885690584</v>
      </c>
      <c r="CO56" s="48">
        <v>0</v>
      </c>
      <c r="CP56" s="48">
        <v>0</v>
      </c>
      <c r="CQ56" s="48">
        <v>0</v>
      </c>
      <c r="CR56" s="48">
        <v>0</v>
      </c>
      <c r="CS56" s="48">
        <v>0</v>
      </c>
      <c r="CT56" s="48">
        <v>5.3914251419664907E-4</v>
      </c>
      <c r="CU56" s="48">
        <v>0.86862266445214731</v>
      </c>
      <c r="CV56" s="48">
        <v>2.0360125920573529</v>
      </c>
      <c r="CW56" s="48">
        <v>0</v>
      </c>
      <c r="CX56" s="48">
        <v>5.0182437601356554E-5</v>
      </c>
      <c r="CY56" s="48">
        <v>0</v>
      </c>
      <c r="CZ56" s="48">
        <v>0</v>
      </c>
      <c r="DA56" s="48">
        <v>2.9805721686042157E-2</v>
      </c>
      <c r="DB56" s="48">
        <v>0</v>
      </c>
      <c r="DC56" s="48">
        <v>2.4145425690173008E-4</v>
      </c>
      <c r="DD56" s="48">
        <v>0</v>
      </c>
      <c r="DE56" s="48">
        <v>0</v>
      </c>
      <c r="DF56" s="48">
        <v>6702.4552274098305</v>
      </c>
      <c r="DG56" s="48">
        <v>0</v>
      </c>
      <c r="DH56" s="48">
        <v>0</v>
      </c>
      <c r="DI56" s="48">
        <v>0</v>
      </c>
      <c r="DJ56" s="48">
        <v>0</v>
      </c>
      <c r="DK56" s="48">
        <v>0</v>
      </c>
      <c r="DL56" s="48">
        <v>32326.705402937467</v>
      </c>
      <c r="DM56" s="48">
        <v>5256.7768568623042</v>
      </c>
      <c r="DN56" s="48">
        <v>0</v>
      </c>
      <c r="DO56" s="48">
        <v>0</v>
      </c>
      <c r="DP56" s="48">
        <v>2884.5784322712143</v>
      </c>
      <c r="DQ56" s="48">
        <v>5036.1198510789191</v>
      </c>
      <c r="DR56" s="48">
        <v>3819.862194578267</v>
      </c>
      <c r="DS56" s="48">
        <v>0</v>
      </c>
      <c r="DT56" s="48">
        <v>0</v>
      </c>
      <c r="DU56" s="48">
        <v>0</v>
      </c>
      <c r="DV56" s="48">
        <v>0</v>
      </c>
      <c r="DW56" s="48">
        <v>0</v>
      </c>
      <c r="DX56" s="48">
        <v>0</v>
      </c>
      <c r="DY56" s="48">
        <v>2.0507869988054639E-6</v>
      </c>
      <c r="DZ56" s="48">
        <v>0</v>
      </c>
      <c r="EA56" s="48">
        <v>0</v>
      </c>
      <c r="EB56" s="48">
        <v>5.9068165622699507</v>
      </c>
      <c r="EC56" s="48">
        <v>0.17083875356071834</v>
      </c>
      <c r="ED56" s="48">
        <v>0</v>
      </c>
      <c r="EE56" s="48">
        <v>0</v>
      </c>
      <c r="EF56" s="48">
        <v>0</v>
      </c>
      <c r="EG56" s="48">
        <v>0</v>
      </c>
      <c r="EH56" s="48">
        <v>0</v>
      </c>
      <c r="EI56" s="48">
        <v>2.1741404109143739E-3</v>
      </c>
      <c r="EJ56" s="48">
        <v>3.9790402435994271E-2</v>
      </c>
      <c r="EK56" s="48">
        <v>0</v>
      </c>
      <c r="EL56" s="48">
        <v>0</v>
      </c>
      <c r="EM56" s="48">
        <v>23890.10162094529</v>
      </c>
      <c r="EN56" s="48">
        <v>0</v>
      </c>
      <c r="EO56" s="48">
        <v>0</v>
      </c>
      <c r="EP56" s="48">
        <v>0</v>
      </c>
      <c r="EQ56" s="48">
        <v>0</v>
      </c>
      <c r="ER56" s="48">
        <v>0.14741367392441279</v>
      </c>
      <c r="ES56" s="48">
        <v>0</v>
      </c>
      <c r="ET56" s="48">
        <v>0</v>
      </c>
      <c r="EU56" s="48">
        <v>0</v>
      </c>
      <c r="EV56" s="48">
        <v>0</v>
      </c>
      <c r="EW56" s="48">
        <v>0</v>
      </c>
      <c r="EX56" s="48">
        <v>1.4774699821251773</v>
      </c>
      <c r="EY56" s="48">
        <v>7.7952155370799206E-2</v>
      </c>
      <c r="EZ56" s="48">
        <v>0</v>
      </c>
      <c r="FA56" s="48">
        <v>3.6664707541840031E-5</v>
      </c>
      <c r="FB56" s="48">
        <v>1.0051867940975937E-6</v>
      </c>
      <c r="FC56" s="48">
        <v>0</v>
      </c>
      <c r="FD56" s="48">
        <v>0</v>
      </c>
      <c r="FE56" s="48">
        <v>0</v>
      </c>
      <c r="FF56" s="48">
        <v>0</v>
      </c>
      <c r="FG56" s="48">
        <v>0</v>
      </c>
      <c r="FH56" s="48">
        <v>2.6664011553024862E-3</v>
      </c>
      <c r="FI56" s="48">
        <v>2.1733155379108616E-3</v>
      </c>
      <c r="FJ56" s="48">
        <v>0</v>
      </c>
      <c r="FK56" s="48">
        <v>0</v>
      </c>
      <c r="FL56" s="48">
        <v>0</v>
      </c>
      <c r="FM56" s="48">
        <v>0.19532343167838262</v>
      </c>
      <c r="FN56" s="48">
        <v>0</v>
      </c>
      <c r="FO56" s="48">
        <v>0</v>
      </c>
      <c r="FP56" s="48">
        <v>8.3265627392342942</v>
      </c>
      <c r="FQ56" s="48">
        <v>1.3767502524251951E-5</v>
      </c>
      <c r="FR56" s="48">
        <v>0</v>
      </c>
      <c r="FS56" s="48">
        <v>0</v>
      </c>
      <c r="FT56" s="48">
        <v>0</v>
      </c>
      <c r="FU56" s="48">
        <v>0</v>
      </c>
      <c r="FV56" s="48">
        <v>6.7227474027559962E-6</v>
      </c>
      <c r="FW56" s="48">
        <v>0</v>
      </c>
      <c r="FX56" s="48">
        <v>0</v>
      </c>
      <c r="FY56" s="48">
        <v>0</v>
      </c>
      <c r="FZ56" s="48">
        <v>0</v>
      </c>
      <c r="GA56" s="48">
        <v>0</v>
      </c>
      <c r="GB56" s="48">
        <v>0</v>
      </c>
      <c r="GC56" s="48">
        <v>0</v>
      </c>
      <c r="GD56" s="48">
        <v>0</v>
      </c>
      <c r="GE56" s="48">
        <v>0</v>
      </c>
      <c r="GF56" s="48">
        <v>0</v>
      </c>
      <c r="GG56" s="48">
        <v>0</v>
      </c>
      <c r="GH56" s="48">
        <v>0</v>
      </c>
      <c r="GI56" s="48">
        <v>0</v>
      </c>
      <c r="GJ56" s="48">
        <v>0</v>
      </c>
      <c r="GK56" s="48">
        <v>0</v>
      </c>
      <c r="GL56" s="48">
        <v>0</v>
      </c>
      <c r="GM56" s="48">
        <v>0</v>
      </c>
      <c r="GN56" s="48">
        <v>0</v>
      </c>
      <c r="GO56" s="48">
        <v>0</v>
      </c>
      <c r="GP56" s="48">
        <v>0</v>
      </c>
      <c r="GQ56" s="48">
        <v>0</v>
      </c>
      <c r="GR56" s="48">
        <v>0</v>
      </c>
      <c r="GS56" s="48">
        <v>0</v>
      </c>
      <c r="GT56" s="48">
        <v>0</v>
      </c>
      <c r="GU56" s="48">
        <v>0</v>
      </c>
      <c r="GV56" s="48">
        <v>0</v>
      </c>
      <c r="GW56" s="48">
        <v>0</v>
      </c>
      <c r="GX56" s="48">
        <v>0</v>
      </c>
      <c r="GY56" s="48">
        <v>0</v>
      </c>
      <c r="GZ56" s="48">
        <v>0</v>
      </c>
      <c r="HA56" s="48">
        <v>0</v>
      </c>
      <c r="HB56" s="48">
        <v>0</v>
      </c>
      <c r="HC56" s="48">
        <v>0</v>
      </c>
      <c r="HD56" s="48">
        <v>0</v>
      </c>
      <c r="HE56" s="48">
        <v>0</v>
      </c>
      <c r="HF56" s="48">
        <v>0</v>
      </c>
      <c r="HG56" s="48">
        <v>0</v>
      </c>
      <c r="HH56" s="48">
        <v>0</v>
      </c>
      <c r="HI56" s="48">
        <v>0</v>
      </c>
      <c r="HJ56" s="48">
        <v>0</v>
      </c>
      <c r="HK56" s="48">
        <v>0</v>
      </c>
      <c r="HL56" s="48">
        <v>0</v>
      </c>
      <c r="HM56" s="48">
        <v>0</v>
      </c>
      <c r="HN56" s="48">
        <v>0</v>
      </c>
      <c r="HO56" s="48">
        <v>0</v>
      </c>
      <c r="HP56" s="48">
        <v>0</v>
      </c>
      <c r="HQ56" s="48">
        <v>0</v>
      </c>
      <c r="HR56" s="48">
        <v>0</v>
      </c>
      <c r="HS56" s="48">
        <v>0</v>
      </c>
      <c r="HT56" s="48">
        <v>0</v>
      </c>
      <c r="HU56" s="48">
        <v>0</v>
      </c>
      <c r="HV56" s="48">
        <v>16.553046631377377</v>
      </c>
      <c r="HW56" s="48">
        <v>0</v>
      </c>
      <c r="HX56" s="48">
        <v>0</v>
      </c>
      <c r="HY56" s="48">
        <v>0</v>
      </c>
      <c r="HZ56" s="48">
        <v>0</v>
      </c>
      <c r="IA56" s="48">
        <v>0</v>
      </c>
      <c r="IB56" s="48">
        <v>0</v>
      </c>
      <c r="IC56" s="48">
        <v>0</v>
      </c>
      <c r="ID56" s="48">
        <v>0</v>
      </c>
      <c r="IE56" s="48">
        <v>0</v>
      </c>
      <c r="IF56" s="48">
        <v>0</v>
      </c>
      <c r="IG56" s="48">
        <v>0</v>
      </c>
      <c r="IH56" s="48">
        <v>0</v>
      </c>
      <c r="II56" s="48">
        <v>0</v>
      </c>
      <c r="IJ56" s="48">
        <v>0</v>
      </c>
      <c r="IK56" s="48">
        <v>0.20131917535990998</v>
      </c>
      <c r="IL56" s="48">
        <v>0</v>
      </c>
      <c r="IM56" s="48">
        <v>0</v>
      </c>
      <c r="IN56" s="48">
        <v>0</v>
      </c>
      <c r="IO56" s="48">
        <v>0</v>
      </c>
      <c r="IP56" s="23">
        <v>79958.999999999302</v>
      </c>
      <c r="IQ56" s="25">
        <v>0</v>
      </c>
      <c r="IR56" s="25">
        <v>0</v>
      </c>
      <c r="IS56" s="26">
        <v>0</v>
      </c>
      <c r="IT56" s="26">
        <v>0</v>
      </c>
      <c r="IU56" s="26">
        <v>0</v>
      </c>
      <c r="IV56" s="9">
        <v>7698</v>
      </c>
      <c r="IW56" s="38">
        <f t="shared" si="4"/>
        <v>87656.999999999302</v>
      </c>
    </row>
    <row r="57" spans="1:257" ht="30" customHeight="1" x14ac:dyDescent="0.25">
      <c r="A57" s="112" t="b">
        <v>1</v>
      </c>
      <c r="B57" s="113" t="b">
        <f>IFERROR(VLOOKUP(C57,'Bridge matrix'!$D$3:$E$727,2,FALSE)='symmetric IOT 245 2012'!D57,"FALSCH")</f>
        <v>1</v>
      </c>
      <c r="C57" s="108">
        <v>52</v>
      </c>
      <c r="D57" s="49" t="s">
        <v>1373</v>
      </c>
      <c r="E57" s="48">
        <v>58758.66986598623</v>
      </c>
      <c r="F57" s="48">
        <v>7292.456635184848</v>
      </c>
      <c r="G57" s="48">
        <v>11702.760218563633</v>
      </c>
      <c r="H57" s="48">
        <v>78.441377605522604</v>
      </c>
      <c r="I57" s="48">
        <v>808.5572839049513</v>
      </c>
      <c r="J57" s="48">
        <v>2879.4317261239748</v>
      </c>
      <c r="K57" s="48">
        <v>6390.0122309889584</v>
      </c>
      <c r="L57" s="48">
        <v>214.49596397339855</v>
      </c>
      <c r="M57" s="48">
        <v>11.906032103462509</v>
      </c>
      <c r="N57" s="48">
        <v>43.270429702065087</v>
      </c>
      <c r="O57" s="48">
        <v>49920.563943015375</v>
      </c>
      <c r="P57" s="48">
        <v>7273.2574005585866</v>
      </c>
      <c r="Q57" s="48">
        <v>680.33485263229159</v>
      </c>
      <c r="R57" s="48">
        <v>36223.11879692589</v>
      </c>
      <c r="S57" s="48">
        <v>124.68138078052024</v>
      </c>
      <c r="T57" s="48">
        <v>5763.691817351656</v>
      </c>
      <c r="U57" s="48">
        <v>711.51403939136458</v>
      </c>
      <c r="V57" s="48">
        <v>1572.9903338973047</v>
      </c>
      <c r="W57" s="48">
        <v>2414.7320069242055</v>
      </c>
      <c r="X57" s="48">
        <v>31.721724881335611</v>
      </c>
      <c r="Y57" s="48">
        <v>1096.3057334711195</v>
      </c>
      <c r="Z57" s="48">
        <v>2921.1296233164558</v>
      </c>
      <c r="AA57" s="48">
        <v>209.63780964234908</v>
      </c>
      <c r="AB57" s="48">
        <v>189.68945896110523</v>
      </c>
      <c r="AC57" s="48">
        <v>47.589526927742327</v>
      </c>
      <c r="AD57" s="48">
        <v>709.96983242782289</v>
      </c>
      <c r="AE57" s="48">
        <v>1061.6079543663188</v>
      </c>
      <c r="AF57" s="48">
        <v>507.5876182599996</v>
      </c>
      <c r="AG57" s="48">
        <v>1162.8416883902557</v>
      </c>
      <c r="AH57" s="48">
        <v>1988.7440469963142</v>
      </c>
      <c r="AI57" s="48">
        <v>1686.7642626221268</v>
      </c>
      <c r="AJ57" s="48">
        <v>1080.0559384699877</v>
      </c>
      <c r="AK57" s="48">
        <v>3192.7095553641125</v>
      </c>
      <c r="AL57" s="48">
        <v>1047.9631405874877</v>
      </c>
      <c r="AM57" s="48">
        <v>92.308660944706105</v>
      </c>
      <c r="AN57" s="48">
        <v>1138.5588133206875</v>
      </c>
      <c r="AO57" s="48">
        <v>728.98224011059642</v>
      </c>
      <c r="AP57" s="48">
        <v>2746.6964916630777</v>
      </c>
      <c r="AQ57" s="48">
        <v>1090.9106196100504</v>
      </c>
      <c r="AR57" s="48">
        <v>1759.2800414034227</v>
      </c>
      <c r="AS57" s="48">
        <v>1548.2068014930453</v>
      </c>
      <c r="AT57" s="48">
        <v>3983.8619344604222</v>
      </c>
      <c r="AU57" s="48">
        <v>506.58110824763918</v>
      </c>
      <c r="AV57" s="48">
        <v>239.04799109101012</v>
      </c>
      <c r="AW57" s="48">
        <v>150.25731671867089</v>
      </c>
      <c r="AX57" s="48">
        <v>8003.5040663475311</v>
      </c>
      <c r="AY57" s="48">
        <v>1317.7546750780889</v>
      </c>
      <c r="AZ57" s="48">
        <v>206.14640085968216</v>
      </c>
      <c r="BA57" s="48">
        <v>376.50165312126165</v>
      </c>
      <c r="BB57" s="48">
        <v>8323.0892194023818</v>
      </c>
      <c r="BC57" s="48">
        <v>1383.5356683273953</v>
      </c>
      <c r="BD57" s="48">
        <v>0</v>
      </c>
      <c r="BE57" s="48">
        <v>49098.86005234802</v>
      </c>
      <c r="BF57" s="48">
        <v>1589.863474123287</v>
      </c>
      <c r="BG57" s="48">
        <v>105.31657851177695</v>
      </c>
      <c r="BH57" s="48">
        <v>9920.6185462693993</v>
      </c>
      <c r="BI57" s="48">
        <v>1203.3167417730658</v>
      </c>
      <c r="BJ57" s="48">
        <v>7650.7910054476488</v>
      </c>
      <c r="BK57" s="48">
        <v>1520.0604629290262</v>
      </c>
      <c r="BL57" s="48">
        <v>14.188443933150426</v>
      </c>
      <c r="BM57" s="48">
        <v>4365.3421968872426</v>
      </c>
      <c r="BN57" s="48">
        <v>379.96726806131869</v>
      </c>
      <c r="BO57" s="48">
        <v>0.99880453467589814</v>
      </c>
      <c r="BP57" s="48">
        <v>44.90864762385975</v>
      </c>
      <c r="BQ57" s="48">
        <v>5.9088924818190414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4.3979076803717755E-4</v>
      </c>
      <c r="CJ57" s="48">
        <v>0</v>
      </c>
      <c r="CK57" s="48">
        <v>0</v>
      </c>
      <c r="CL57" s="48">
        <v>0</v>
      </c>
      <c r="CM57" s="48">
        <v>0</v>
      </c>
      <c r="CN57" s="48">
        <v>0</v>
      </c>
      <c r="CO57" s="48">
        <v>0</v>
      </c>
      <c r="CP57" s="48">
        <v>0</v>
      </c>
      <c r="CQ57" s="48">
        <v>0</v>
      </c>
      <c r="CR57" s="48">
        <v>8.1586090556652537E-4</v>
      </c>
      <c r="CS57" s="48">
        <v>0</v>
      </c>
      <c r="CT57" s="48">
        <v>0</v>
      </c>
      <c r="CU57" s="48">
        <v>0</v>
      </c>
      <c r="CV57" s="48">
        <v>0</v>
      </c>
      <c r="CW57" s="48">
        <v>0</v>
      </c>
      <c r="CX57" s="48">
        <v>0</v>
      </c>
      <c r="CY57" s="48">
        <v>1.0843241022133439</v>
      </c>
      <c r="CZ57" s="48">
        <v>8.0776869639632459E-2</v>
      </c>
      <c r="DA57" s="48">
        <v>0</v>
      </c>
      <c r="DB57" s="48">
        <v>0</v>
      </c>
      <c r="DC57" s="48">
        <v>0</v>
      </c>
      <c r="DD57" s="48">
        <v>0.34577329568211274</v>
      </c>
      <c r="DE57" s="48">
        <v>0</v>
      </c>
      <c r="DF57" s="48">
        <v>0</v>
      </c>
      <c r="DG57" s="48">
        <v>0</v>
      </c>
      <c r="DH57" s="48">
        <v>0</v>
      </c>
      <c r="DI57" s="48">
        <v>2.2087752239108651</v>
      </c>
      <c r="DJ57" s="48">
        <v>0.16967329976329412</v>
      </c>
      <c r="DK57" s="48">
        <v>1.5164672868643323</v>
      </c>
      <c r="DL57" s="48">
        <v>0</v>
      </c>
      <c r="DM57" s="48">
        <v>0</v>
      </c>
      <c r="DN57" s="48">
        <v>0</v>
      </c>
      <c r="DO57" s="48">
        <v>0</v>
      </c>
      <c r="DP57" s="48">
        <v>0</v>
      </c>
      <c r="DQ57" s="48">
        <v>0</v>
      </c>
      <c r="DR57" s="48">
        <v>0</v>
      </c>
      <c r="DS57" s="48">
        <v>0</v>
      </c>
      <c r="DT57" s="48">
        <v>0</v>
      </c>
      <c r="DU57" s="48">
        <v>0</v>
      </c>
      <c r="DV57" s="48">
        <v>0</v>
      </c>
      <c r="DW57" s="48">
        <v>0</v>
      </c>
      <c r="DX57" s="48">
        <v>0</v>
      </c>
      <c r="DY57" s="48">
        <v>0</v>
      </c>
      <c r="DZ57" s="48">
        <v>0</v>
      </c>
      <c r="EA57" s="48">
        <v>0</v>
      </c>
      <c r="EB57" s="48">
        <v>0</v>
      </c>
      <c r="EC57" s="48">
        <v>0</v>
      </c>
      <c r="ED57" s="48">
        <v>0</v>
      </c>
      <c r="EE57" s="48">
        <v>0</v>
      </c>
      <c r="EF57" s="48">
        <v>0</v>
      </c>
      <c r="EG57" s="48">
        <v>0</v>
      </c>
      <c r="EH57" s="48">
        <v>0</v>
      </c>
      <c r="EI57" s="48">
        <v>0</v>
      </c>
      <c r="EJ57" s="48">
        <v>0</v>
      </c>
      <c r="EK57" s="48">
        <v>0</v>
      </c>
      <c r="EL57" s="48">
        <v>4.7873322822389729E-7</v>
      </c>
      <c r="EM57" s="48">
        <v>2.2639750281096649E-3</v>
      </c>
      <c r="EN57" s="48">
        <v>2.162089176020816E-2</v>
      </c>
      <c r="EO57" s="48">
        <v>0</v>
      </c>
      <c r="EP57" s="48">
        <v>1.3190627470023286E-6</v>
      </c>
      <c r="EQ57" s="48">
        <v>0</v>
      </c>
      <c r="ER57" s="48">
        <v>0</v>
      </c>
      <c r="ES57" s="48">
        <v>0</v>
      </c>
      <c r="ET57" s="48">
        <v>1.5650556022816829E-7</v>
      </c>
      <c r="EU57" s="48">
        <v>0</v>
      </c>
      <c r="EV57" s="48">
        <v>0</v>
      </c>
      <c r="EW57" s="48">
        <v>0</v>
      </c>
      <c r="EX57" s="48">
        <v>2.4697510012390252E-8</v>
      </c>
      <c r="EY57" s="48">
        <v>0</v>
      </c>
      <c r="EZ57" s="48">
        <v>0</v>
      </c>
      <c r="FA57" s="48">
        <v>0</v>
      </c>
      <c r="FB57" s="48">
        <v>0</v>
      </c>
      <c r="FC57" s="48">
        <v>0</v>
      </c>
      <c r="FD57" s="48">
        <v>1.2886276431638977E-12</v>
      </c>
      <c r="FE57" s="48">
        <v>0</v>
      </c>
      <c r="FF57" s="48">
        <v>0</v>
      </c>
      <c r="FG57" s="48">
        <v>3.3075437010645208E-13</v>
      </c>
      <c r="FH57" s="48">
        <v>2.3709332577442079E-13</v>
      </c>
      <c r="FI57" s="48">
        <v>3.6718612827196487E-13</v>
      </c>
      <c r="FJ57" s="48">
        <v>0</v>
      </c>
      <c r="FK57" s="48">
        <v>0</v>
      </c>
      <c r="FL57" s="48">
        <v>0</v>
      </c>
      <c r="FM57" s="48">
        <v>0</v>
      </c>
      <c r="FN57" s="48">
        <v>0</v>
      </c>
      <c r="FO57" s="48">
        <v>0</v>
      </c>
      <c r="FP57" s="48">
        <v>0</v>
      </c>
      <c r="FQ57" s="48">
        <v>2.1352590491906143E-13</v>
      </c>
      <c r="FR57" s="48">
        <v>6.3234036130377053E-14</v>
      </c>
      <c r="FS57" s="48">
        <v>0</v>
      </c>
      <c r="FT57" s="48">
        <v>1.7223716241957714E-14</v>
      </c>
      <c r="FU57" s="48">
        <v>0</v>
      </c>
      <c r="FV57" s="48">
        <v>0</v>
      </c>
      <c r="FW57" s="48">
        <v>0</v>
      </c>
      <c r="FX57" s="48">
        <v>0</v>
      </c>
      <c r="FY57" s="48">
        <v>0</v>
      </c>
      <c r="FZ57" s="48">
        <v>0</v>
      </c>
      <c r="GA57" s="48">
        <v>0</v>
      </c>
      <c r="GB57" s="48">
        <v>0</v>
      </c>
      <c r="GC57" s="48">
        <v>0</v>
      </c>
      <c r="GD57" s="48">
        <v>0</v>
      </c>
      <c r="GE57" s="48">
        <v>0</v>
      </c>
      <c r="GF57" s="48">
        <v>0</v>
      </c>
      <c r="GG57" s="48">
        <v>0</v>
      </c>
      <c r="GH57" s="48">
        <v>0</v>
      </c>
      <c r="GI57" s="48">
        <v>0</v>
      </c>
      <c r="GJ57" s="48">
        <v>0</v>
      </c>
      <c r="GK57" s="48">
        <v>0</v>
      </c>
      <c r="GL57" s="48">
        <v>0</v>
      </c>
      <c r="GM57" s="48">
        <v>0</v>
      </c>
      <c r="GN57" s="48">
        <v>0</v>
      </c>
      <c r="GO57" s="48">
        <v>0</v>
      </c>
      <c r="GP57" s="48">
        <v>0</v>
      </c>
      <c r="GQ57" s="48">
        <v>0</v>
      </c>
      <c r="GR57" s="48">
        <v>0</v>
      </c>
      <c r="GS57" s="48">
        <v>0</v>
      </c>
      <c r="GT57" s="48">
        <v>1.5724420342996275E-16</v>
      </c>
      <c r="GU57" s="48">
        <v>0</v>
      </c>
      <c r="GV57" s="48">
        <v>0</v>
      </c>
      <c r="GW57" s="48">
        <v>0</v>
      </c>
      <c r="GX57" s="48">
        <v>2.2989489810000474E-14</v>
      </c>
      <c r="GY57" s="48">
        <v>0</v>
      </c>
      <c r="GZ57" s="48">
        <v>0</v>
      </c>
      <c r="HA57" s="48">
        <v>0</v>
      </c>
      <c r="HB57" s="48">
        <v>0</v>
      </c>
      <c r="HC57" s="48">
        <v>0</v>
      </c>
      <c r="HD57" s="48">
        <v>0</v>
      </c>
      <c r="HE57" s="48">
        <v>0</v>
      </c>
      <c r="HF57" s="48">
        <v>0</v>
      </c>
      <c r="HG57" s="48">
        <v>0</v>
      </c>
      <c r="HH57" s="48">
        <v>0</v>
      </c>
      <c r="HI57" s="48">
        <v>0</v>
      </c>
      <c r="HJ57" s="48">
        <v>0</v>
      </c>
      <c r="HK57" s="48">
        <v>0</v>
      </c>
      <c r="HL57" s="48">
        <v>0</v>
      </c>
      <c r="HM57" s="48">
        <v>0</v>
      </c>
      <c r="HN57" s="48">
        <v>0</v>
      </c>
      <c r="HO57" s="48">
        <v>0</v>
      </c>
      <c r="HP57" s="48">
        <v>0</v>
      </c>
      <c r="HQ57" s="48">
        <v>0</v>
      </c>
      <c r="HR57" s="48">
        <v>0</v>
      </c>
      <c r="HS57" s="48">
        <v>0</v>
      </c>
      <c r="HT57" s="48">
        <v>0</v>
      </c>
      <c r="HU57" s="48">
        <v>0</v>
      </c>
      <c r="HV57" s="48">
        <v>0</v>
      </c>
      <c r="HW57" s="48">
        <v>0</v>
      </c>
      <c r="HX57" s="48">
        <v>0</v>
      </c>
      <c r="HY57" s="48">
        <v>0</v>
      </c>
      <c r="HZ57" s="48">
        <v>0</v>
      </c>
      <c r="IA57" s="48">
        <v>0</v>
      </c>
      <c r="IB57" s="48">
        <v>0</v>
      </c>
      <c r="IC57" s="48">
        <v>0</v>
      </c>
      <c r="ID57" s="48">
        <v>0</v>
      </c>
      <c r="IE57" s="48">
        <v>0</v>
      </c>
      <c r="IF57" s="48">
        <v>0</v>
      </c>
      <c r="IG57" s="48">
        <v>0</v>
      </c>
      <c r="IH57" s="48">
        <v>0</v>
      </c>
      <c r="II57" s="48">
        <v>0</v>
      </c>
      <c r="IJ57" s="48">
        <v>0</v>
      </c>
      <c r="IK57" s="48">
        <v>0</v>
      </c>
      <c r="IL57" s="48">
        <v>0</v>
      </c>
      <c r="IM57" s="48">
        <v>0</v>
      </c>
      <c r="IN57" s="48">
        <v>0</v>
      </c>
      <c r="IO57" s="48">
        <v>0</v>
      </c>
      <c r="IP57" s="23">
        <v>319299.99999999831</v>
      </c>
      <c r="IQ57" s="25">
        <v>0</v>
      </c>
      <c r="IR57" s="25">
        <v>0</v>
      </c>
      <c r="IS57" s="26">
        <v>0</v>
      </c>
      <c r="IT57" s="26">
        <v>0</v>
      </c>
      <c r="IU57" s="26">
        <v>0</v>
      </c>
      <c r="IV57" s="9">
        <v>0</v>
      </c>
      <c r="IW57" s="38">
        <f t="shared" si="4"/>
        <v>319299.99999999831</v>
      </c>
    </row>
    <row r="58" spans="1:257" ht="30" customHeight="1" x14ac:dyDescent="0.25">
      <c r="A58" s="112" t="b">
        <v>0</v>
      </c>
      <c r="B58" s="113" t="str">
        <f>IFERROR(VLOOKUP(C58,'Bridge matrix'!$D$3:$E$727,2,FALSE)='symmetric IOT 245 2012'!D58,"FALSCH")</f>
        <v>FALSCH</v>
      </c>
      <c r="C58" s="108">
        <v>53</v>
      </c>
      <c r="D58" s="49" t="s">
        <v>501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37646.874508229608</v>
      </c>
      <c r="BF58" s="48">
        <v>4136.6533772203557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  <c r="BW58" s="48">
        <v>0</v>
      </c>
      <c r="BX58" s="48">
        <v>0</v>
      </c>
      <c r="BY58" s="48">
        <v>0</v>
      </c>
      <c r="BZ58" s="48">
        <v>0</v>
      </c>
      <c r="CA58" s="48">
        <v>0</v>
      </c>
      <c r="CB58" s="48">
        <v>0</v>
      </c>
      <c r="CC58" s="48">
        <v>0</v>
      </c>
      <c r="CD58" s="48">
        <v>0</v>
      </c>
      <c r="CE58" s="48">
        <v>0</v>
      </c>
      <c r="CF58" s="48">
        <v>0</v>
      </c>
      <c r="CG58" s="48">
        <v>0</v>
      </c>
      <c r="CH58" s="48">
        <v>0</v>
      </c>
      <c r="CI58" s="48">
        <v>415413.72940276342</v>
      </c>
      <c r="CJ58" s="48">
        <v>0</v>
      </c>
      <c r="CK58" s="48">
        <v>0</v>
      </c>
      <c r="CL58" s="48">
        <v>45.202197160195098</v>
      </c>
      <c r="CM58" s="48">
        <v>0</v>
      </c>
      <c r="CN58" s="48">
        <v>67.251961765841983</v>
      </c>
      <c r="CO58" s="48">
        <v>0</v>
      </c>
      <c r="CP58" s="48">
        <v>0</v>
      </c>
      <c r="CQ58" s="48">
        <v>0</v>
      </c>
      <c r="CR58" s="48">
        <v>0</v>
      </c>
      <c r="CS58" s="48">
        <v>0</v>
      </c>
      <c r="CT58" s="48">
        <v>9.0025847835419323E-2</v>
      </c>
      <c r="CU58" s="48">
        <v>0</v>
      </c>
      <c r="CV58" s="48">
        <v>0</v>
      </c>
      <c r="CW58" s="48">
        <v>0</v>
      </c>
      <c r="CX58" s="48">
        <v>168256.56304338705</v>
      </c>
      <c r="CY58" s="48">
        <v>176816.06875295856</v>
      </c>
      <c r="CZ58" s="48">
        <v>5.2528064963194012</v>
      </c>
      <c r="DA58" s="48">
        <v>0</v>
      </c>
      <c r="DB58" s="48">
        <v>0</v>
      </c>
      <c r="DC58" s="48">
        <v>4.0317956048112447E-2</v>
      </c>
      <c r="DD58" s="48">
        <v>0</v>
      </c>
      <c r="DE58" s="48">
        <v>33.496916313528743</v>
      </c>
      <c r="DF58" s="48">
        <v>0</v>
      </c>
      <c r="DG58" s="48">
        <v>0</v>
      </c>
      <c r="DH58" s="48">
        <v>0.73550044242869339</v>
      </c>
      <c r="DI58" s="48">
        <v>143.97879427586744</v>
      </c>
      <c r="DJ58" s="48">
        <v>0</v>
      </c>
      <c r="DK58" s="48">
        <v>98.613739941075437</v>
      </c>
      <c r="DL58" s="48">
        <v>0</v>
      </c>
      <c r="DM58" s="48">
        <v>0</v>
      </c>
      <c r="DN58" s="48">
        <v>0</v>
      </c>
      <c r="DO58" s="48">
        <v>0</v>
      </c>
      <c r="DP58" s="48">
        <v>0</v>
      </c>
      <c r="DQ58" s="48">
        <v>0</v>
      </c>
      <c r="DR58" s="48">
        <v>0</v>
      </c>
      <c r="DS58" s="48">
        <v>0</v>
      </c>
      <c r="DT58" s="48">
        <v>20214.426290241117</v>
      </c>
      <c r="DU58" s="48">
        <v>0</v>
      </c>
      <c r="DV58" s="48">
        <v>0</v>
      </c>
      <c r="DW58" s="48">
        <v>0</v>
      </c>
      <c r="DX58" s="48">
        <v>0</v>
      </c>
      <c r="DY58" s="48">
        <v>0</v>
      </c>
      <c r="DZ58" s="48">
        <v>0</v>
      </c>
      <c r="EA58" s="48">
        <v>0</v>
      </c>
      <c r="EB58" s="48">
        <v>0</v>
      </c>
      <c r="EC58" s="48">
        <v>0</v>
      </c>
      <c r="ED58" s="48">
        <v>0</v>
      </c>
      <c r="EE58" s="48">
        <v>0</v>
      </c>
      <c r="EF58" s="48">
        <v>0</v>
      </c>
      <c r="EG58" s="48">
        <v>0</v>
      </c>
      <c r="EH58" s="48">
        <v>0</v>
      </c>
      <c r="EI58" s="48">
        <v>0</v>
      </c>
      <c r="EJ58" s="48">
        <v>0</v>
      </c>
      <c r="EK58" s="48">
        <v>0</v>
      </c>
      <c r="EL58" s="48">
        <v>3.1131350130763742E-5</v>
      </c>
      <c r="EM58" s="48">
        <v>4.7320218077402268E-5</v>
      </c>
      <c r="EN58" s="48">
        <v>1.4059762553427522</v>
      </c>
      <c r="EO58" s="48">
        <v>0</v>
      </c>
      <c r="EP58" s="48">
        <v>8.5776799688053326E-5</v>
      </c>
      <c r="EQ58" s="48">
        <v>0</v>
      </c>
      <c r="ER58" s="48">
        <v>0</v>
      </c>
      <c r="ES58" s="48">
        <v>0</v>
      </c>
      <c r="ET58" s="48">
        <v>1.0177336991941028E-5</v>
      </c>
      <c r="EU58" s="48">
        <v>0</v>
      </c>
      <c r="EV58" s="48">
        <v>0</v>
      </c>
      <c r="EW58" s="48">
        <v>0</v>
      </c>
      <c r="EX58" s="48">
        <v>1.6060444235430754E-6</v>
      </c>
      <c r="EY58" s="48">
        <v>0</v>
      </c>
      <c r="EZ58" s="48">
        <v>0</v>
      </c>
      <c r="FA58" s="48">
        <v>0</v>
      </c>
      <c r="FB58" s="48">
        <v>0</v>
      </c>
      <c r="FC58" s="48">
        <v>0</v>
      </c>
      <c r="FD58" s="48">
        <v>8.3797647588301453E-11</v>
      </c>
      <c r="FE58" s="48">
        <v>0</v>
      </c>
      <c r="FF58" s="48">
        <v>0</v>
      </c>
      <c r="FG58" s="48">
        <v>2.1508492613444555E-11</v>
      </c>
      <c r="FH58" s="48">
        <v>1.5417846314396E-11</v>
      </c>
      <c r="FI58" s="48">
        <v>2.3877598730305729E-11</v>
      </c>
      <c r="FJ58" s="48">
        <v>0</v>
      </c>
      <c r="FK58" s="48">
        <v>0</v>
      </c>
      <c r="FL58" s="48">
        <v>0</v>
      </c>
      <c r="FM58" s="48">
        <v>0</v>
      </c>
      <c r="FN58" s="48">
        <v>0</v>
      </c>
      <c r="FO58" s="48">
        <v>0</v>
      </c>
      <c r="FP58" s="48">
        <v>0</v>
      </c>
      <c r="FQ58" s="48">
        <v>1.3885290003130087E-11</v>
      </c>
      <c r="FR58" s="48">
        <v>4.1120206471974007E-12</v>
      </c>
      <c r="FS58" s="48">
        <v>0</v>
      </c>
      <c r="FT58" s="48">
        <v>1.1200341009764544E-12</v>
      </c>
      <c r="FU58" s="48">
        <v>0</v>
      </c>
      <c r="FV58" s="48">
        <v>0</v>
      </c>
      <c r="FW58" s="48">
        <v>0</v>
      </c>
      <c r="FX58" s="48">
        <v>0</v>
      </c>
      <c r="FY58" s="48">
        <v>0</v>
      </c>
      <c r="FZ58" s="48">
        <v>0</v>
      </c>
      <c r="GA58" s="48">
        <v>0</v>
      </c>
      <c r="GB58" s="48">
        <v>0</v>
      </c>
      <c r="GC58" s="48">
        <v>0</v>
      </c>
      <c r="GD58" s="48">
        <v>0</v>
      </c>
      <c r="GE58" s="48">
        <v>0</v>
      </c>
      <c r="GF58" s="48">
        <v>0</v>
      </c>
      <c r="GG58" s="48">
        <v>0</v>
      </c>
      <c r="GH58" s="48">
        <v>0</v>
      </c>
      <c r="GI58" s="48">
        <v>0</v>
      </c>
      <c r="GJ58" s="48">
        <v>0</v>
      </c>
      <c r="GK58" s="48">
        <v>0</v>
      </c>
      <c r="GL58" s="48">
        <v>0</v>
      </c>
      <c r="GM58" s="48">
        <v>0</v>
      </c>
      <c r="GN58" s="48">
        <v>0</v>
      </c>
      <c r="GO58" s="48">
        <v>0</v>
      </c>
      <c r="GP58" s="48">
        <v>0</v>
      </c>
      <c r="GQ58" s="48">
        <v>0</v>
      </c>
      <c r="GR58" s="48">
        <v>0</v>
      </c>
      <c r="GS58" s="48">
        <v>0</v>
      </c>
      <c r="GT58" s="48">
        <v>1.0225369922978841E-14</v>
      </c>
      <c r="GU58" s="48">
        <v>0</v>
      </c>
      <c r="GV58" s="48">
        <v>0</v>
      </c>
      <c r="GW58" s="48">
        <v>0</v>
      </c>
      <c r="GX58" s="48">
        <v>1.4949742662692963E-12</v>
      </c>
      <c r="GY58" s="48">
        <v>0</v>
      </c>
      <c r="GZ58" s="48">
        <v>0</v>
      </c>
      <c r="HA58" s="48">
        <v>0</v>
      </c>
      <c r="HB58" s="48">
        <v>0</v>
      </c>
      <c r="HC58" s="48">
        <v>0</v>
      </c>
      <c r="HD58" s="48">
        <v>0</v>
      </c>
      <c r="HE58" s="48">
        <v>0</v>
      </c>
      <c r="HF58" s="48">
        <v>0</v>
      </c>
      <c r="HG58" s="48">
        <v>0</v>
      </c>
      <c r="HH58" s="48">
        <v>0</v>
      </c>
      <c r="HI58" s="48">
        <v>0</v>
      </c>
      <c r="HJ58" s="48">
        <v>0</v>
      </c>
      <c r="HK58" s="48">
        <v>0</v>
      </c>
      <c r="HL58" s="48">
        <v>0</v>
      </c>
      <c r="HM58" s="48">
        <v>0</v>
      </c>
      <c r="HN58" s="48">
        <v>0</v>
      </c>
      <c r="HO58" s="48">
        <v>0</v>
      </c>
      <c r="HP58" s="48">
        <v>0</v>
      </c>
      <c r="HQ58" s="48">
        <v>0</v>
      </c>
      <c r="HR58" s="48">
        <v>0</v>
      </c>
      <c r="HS58" s="48">
        <v>0</v>
      </c>
      <c r="HT58" s="48">
        <v>0</v>
      </c>
      <c r="HU58" s="48">
        <v>0</v>
      </c>
      <c r="HV58" s="48">
        <v>0</v>
      </c>
      <c r="HW58" s="48">
        <v>0</v>
      </c>
      <c r="HX58" s="48">
        <v>0</v>
      </c>
      <c r="HY58" s="48">
        <v>0</v>
      </c>
      <c r="HZ58" s="48">
        <v>0</v>
      </c>
      <c r="IA58" s="48">
        <v>0</v>
      </c>
      <c r="IB58" s="48">
        <v>0</v>
      </c>
      <c r="IC58" s="48">
        <v>0</v>
      </c>
      <c r="ID58" s="48">
        <v>0</v>
      </c>
      <c r="IE58" s="48">
        <v>0</v>
      </c>
      <c r="IF58" s="48">
        <v>0</v>
      </c>
      <c r="IG58" s="48">
        <v>0</v>
      </c>
      <c r="IH58" s="48">
        <v>0</v>
      </c>
      <c r="II58" s="48">
        <v>0</v>
      </c>
      <c r="IJ58" s="48">
        <v>0</v>
      </c>
      <c r="IK58" s="48">
        <v>33.616212726812883</v>
      </c>
      <c r="IL58" s="48">
        <v>0</v>
      </c>
      <c r="IM58" s="48">
        <v>0</v>
      </c>
      <c r="IN58" s="48">
        <v>0</v>
      </c>
      <c r="IO58" s="48">
        <v>0</v>
      </c>
      <c r="IP58" s="23">
        <v>822913.99999999325</v>
      </c>
      <c r="IQ58" s="25">
        <v>279307</v>
      </c>
      <c r="IR58" s="25">
        <v>0</v>
      </c>
      <c r="IS58" s="26">
        <v>0</v>
      </c>
      <c r="IT58" s="26">
        <v>119770</v>
      </c>
      <c r="IU58" s="26">
        <v>183061</v>
      </c>
      <c r="IV58" s="9">
        <v>327</v>
      </c>
      <c r="IW58" s="38">
        <f t="shared" si="4"/>
        <v>1405378.9999999932</v>
      </c>
    </row>
    <row r="59" spans="1:257" ht="30" customHeight="1" x14ac:dyDescent="0.25">
      <c r="A59" s="112" t="b">
        <v>0</v>
      </c>
      <c r="B59" s="113" t="str">
        <f>IFERROR(VLOOKUP(C59,'Bridge matrix'!$D$3:$E$727,2,FALSE)='symmetric IOT 245 2012'!D59,"FALSCH")</f>
        <v>FALSCH</v>
      </c>
      <c r="C59" s="108">
        <v>54</v>
      </c>
      <c r="D59" s="49" t="s">
        <v>1374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35595.33419902312</v>
      </c>
      <c r="CK59" s="48">
        <v>0</v>
      </c>
      <c r="CL59" s="48">
        <v>388.86583147647303</v>
      </c>
      <c r="CM59" s="48">
        <v>0</v>
      </c>
      <c r="CN59" s="48">
        <v>588.71543400911378</v>
      </c>
      <c r="CO59" s="48">
        <v>0</v>
      </c>
      <c r="CP59" s="48">
        <v>0</v>
      </c>
      <c r="CQ59" s="48">
        <v>0</v>
      </c>
      <c r="CR59" s="48">
        <v>0</v>
      </c>
      <c r="CS59" s="48">
        <v>0</v>
      </c>
      <c r="CT59" s="48">
        <v>0.77447588596450267</v>
      </c>
      <c r="CU59" s="48">
        <v>0</v>
      </c>
      <c r="CV59" s="48">
        <v>0</v>
      </c>
      <c r="CW59" s="48">
        <v>0</v>
      </c>
      <c r="CX59" s="48">
        <v>7.2086854213453899E-2</v>
      </c>
      <c r="CY59" s="48">
        <v>2.2787835749820346E-3</v>
      </c>
      <c r="CZ59" s="48">
        <v>1.6975828851490996E-4</v>
      </c>
      <c r="DA59" s="48">
        <v>0</v>
      </c>
      <c r="DB59" s="48">
        <v>0</v>
      </c>
      <c r="DC59" s="48">
        <v>0.34684799400861294</v>
      </c>
      <c r="DD59" s="48">
        <v>7.2666808620372773E-4</v>
      </c>
      <c r="DE59" s="48">
        <v>1.0825411497446533E-3</v>
      </c>
      <c r="DF59" s="48">
        <v>0</v>
      </c>
      <c r="DG59" s="48">
        <v>0</v>
      </c>
      <c r="DH59" s="48">
        <v>0</v>
      </c>
      <c r="DI59" s="48">
        <v>4.6418969099082394E-3</v>
      </c>
      <c r="DJ59" s="48">
        <v>0</v>
      </c>
      <c r="DK59" s="48">
        <v>3.1869629555517122E-3</v>
      </c>
      <c r="DL59" s="48">
        <v>0</v>
      </c>
      <c r="DM59" s="48">
        <v>0</v>
      </c>
      <c r="DN59" s="48">
        <v>0</v>
      </c>
      <c r="DO59" s="48">
        <v>0</v>
      </c>
      <c r="DP59" s="48">
        <v>838.68486945482402</v>
      </c>
      <c r="DQ59" s="48">
        <v>0</v>
      </c>
      <c r="DR59" s="48">
        <v>0</v>
      </c>
      <c r="DS59" s="48">
        <v>0</v>
      </c>
      <c r="DT59" s="48">
        <v>0</v>
      </c>
      <c r="DU59" s="48">
        <v>0</v>
      </c>
      <c r="DV59" s="48">
        <v>0</v>
      </c>
      <c r="DW59" s="48">
        <v>0</v>
      </c>
      <c r="DX59" s="48">
        <v>0</v>
      </c>
      <c r="DY59" s="48">
        <v>0</v>
      </c>
      <c r="DZ59" s="48">
        <v>0</v>
      </c>
      <c r="EA59" s="48">
        <v>0</v>
      </c>
      <c r="EB59" s="48">
        <v>0</v>
      </c>
      <c r="EC59" s="48">
        <v>0</v>
      </c>
      <c r="ED59" s="48">
        <v>0</v>
      </c>
      <c r="EE59" s="48">
        <v>0</v>
      </c>
      <c r="EF59" s="48">
        <v>0</v>
      </c>
      <c r="EG59" s="48">
        <v>0</v>
      </c>
      <c r="EH59" s="48">
        <v>0</v>
      </c>
      <c r="EI59" s="48">
        <v>0</v>
      </c>
      <c r="EJ59" s="48">
        <v>0</v>
      </c>
      <c r="EK59" s="48">
        <v>0</v>
      </c>
      <c r="EL59" s="48">
        <v>1.0060916428312914E-9</v>
      </c>
      <c r="EM59" s="48">
        <v>1.529277584963528E-9</v>
      </c>
      <c r="EN59" s="48">
        <v>4.5437828895244081E-5</v>
      </c>
      <c r="EO59" s="48">
        <v>0</v>
      </c>
      <c r="EP59" s="48">
        <v>2.7721033926403307E-9</v>
      </c>
      <c r="EQ59" s="48">
        <v>0</v>
      </c>
      <c r="ER59" s="48">
        <v>0</v>
      </c>
      <c r="ES59" s="48">
        <v>0</v>
      </c>
      <c r="ET59" s="48">
        <v>3.2890747271995747E-10</v>
      </c>
      <c r="EU59" s="48">
        <v>0</v>
      </c>
      <c r="EV59" s="48">
        <v>0</v>
      </c>
      <c r="EW59" s="48">
        <v>0</v>
      </c>
      <c r="EX59" s="48">
        <v>5.1903559137505376E-11</v>
      </c>
      <c r="EY59" s="48">
        <v>0</v>
      </c>
      <c r="EZ59" s="48">
        <v>0</v>
      </c>
      <c r="FA59" s="48">
        <v>0</v>
      </c>
      <c r="FB59" s="48">
        <v>0</v>
      </c>
      <c r="FC59" s="48">
        <v>0</v>
      </c>
      <c r="FD59" s="48">
        <v>2.7081418754209219E-15</v>
      </c>
      <c r="FE59" s="48">
        <v>0</v>
      </c>
      <c r="FF59" s="48">
        <v>0</v>
      </c>
      <c r="FG59" s="48">
        <v>6.9510363596152237E-16</v>
      </c>
      <c r="FH59" s="48">
        <v>4.9826834564564559E-16</v>
      </c>
      <c r="FI59" s="48">
        <v>7.7166754517659403E-16</v>
      </c>
      <c r="FJ59" s="48">
        <v>0</v>
      </c>
      <c r="FK59" s="48">
        <v>0</v>
      </c>
      <c r="FL59" s="48">
        <v>0</v>
      </c>
      <c r="FM59" s="48">
        <v>0</v>
      </c>
      <c r="FN59" s="48">
        <v>0</v>
      </c>
      <c r="FO59" s="48">
        <v>0</v>
      </c>
      <c r="FP59" s="48">
        <v>0</v>
      </c>
      <c r="FQ59" s="48">
        <v>4.4873974857367659E-16</v>
      </c>
      <c r="FR59" s="48">
        <v>1.3289078664811252E-16</v>
      </c>
      <c r="FS59" s="48">
        <v>0</v>
      </c>
      <c r="FT59" s="48">
        <v>3.6196854423121151E-17</v>
      </c>
      <c r="FU59" s="48">
        <v>0</v>
      </c>
      <c r="FV59" s="48">
        <v>0</v>
      </c>
      <c r="FW59" s="48">
        <v>0</v>
      </c>
      <c r="FX59" s="48">
        <v>0</v>
      </c>
      <c r="FY59" s="48">
        <v>0</v>
      </c>
      <c r="FZ59" s="48">
        <v>0</v>
      </c>
      <c r="GA59" s="48">
        <v>0</v>
      </c>
      <c r="GB59" s="48">
        <v>0</v>
      </c>
      <c r="GC59" s="48">
        <v>0</v>
      </c>
      <c r="GD59" s="48">
        <v>0</v>
      </c>
      <c r="GE59" s="48">
        <v>0</v>
      </c>
      <c r="GF59" s="48">
        <v>0</v>
      </c>
      <c r="GG59" s="48">
        <v>0</v>
      </c>
      <c r="GH59" s="48">
        <v>0</v>
      </c>
      <c r="GI59" s="48">
        <v>0</v>
      </c>
      <c r="GJ59" s="48">
        <v>0</v>
      </c>
      <c r="GK59" s="48">
        <v>0</v>
      </c>
      <c r="GL59" s="48">
        <v>0</v>
      </c>
      <c r="GM59" s="48">
        <v>0</v>
      </c>
      <c r="GN59" s="48">
        <v>0</v>
      </c>
      <c r="GO59" s="48">
        <v>0</v>
      </c>
      <c r="GP59" s="48">
        <v>0</v>
      </c>
      <c r="GQ59" s="48">
        <v>0</v>
      </c>
      <c r="GR59" s="48">
        <v>0</v>
      </c>
      <c r="GS59" s="48">
        <v>0</v>
      </c>
      <c r="GT59" s="48">
        <v>3.3045978350297339E-19</v>
      </c>
      <c r="GU59" s="48">
        <v>0</v>
      </c>
      <c r="GV59" s="48">
        <v>0</v>
      </c>
      <c r="GW59" s="48">
        <v>0</v>
      </c>
      <c r="GX59" s="48">
        <v>4.8314034220284289E-17</v>
      </c>
      <c r="GY59" s="48">
        <v>0</v>
      </c>
      <c r="GZ59" s="48">
        <v>0</v>
      </c>
      <c r="HA59" s="48">
        <v>0</v>
      </c>
      <c r="HB59" s="48">
        <v>0</v>
      </c>
      <c r="HC59" s="48">
        <v>0</v>
      </c>
      <c r="HD59" s="48">
        <v>0</v>
      </c>
      <c r="HE59" s="48">
        <v>0</v>
      </c>
      <c r="HF59" s="48">
        <v>0</v>
      </c>
      <c r="HG59" s="48">
        <v>0</v>
      </c>
      <c r="HH59" s="48">
        <v>0</v>
      </c>
      <c r="HI59" s="48">
        <v>0</v>
      </c>
      <c r="HJ59" s="48">
        <v>0</v>
      </c>
      <c r="HK59" s="48">
        <v>0</v>
      </c>
      <c r="HL59" s="48">
        <v>0</v>
      </c>
      <c r="HM59" s="48">
        <v>0</v>
      </c>
      <c r="HN59" s="48">
        <v>0</v>
      </c>
      <c r="HO59" s="48">
        <v>0</v>
      </c>
      <c r="HP59" s="48">
        <v>0</v>
      </c>
      <c r="HQ59" s="48">
        <v>0</v>
      </c>
      <c r="HR59" s="48">
        <v>0</v>
      </c>
      <c r="HS59" s="48">
        <v>0</v>
      </c>
      <c r="HT59" s="48">
        <v>0</v>
      </c>
      <c r="HU59" s="48">
        <v>0</v>
      </c>
      <c r="HV59" s="48">
        <v>2.557553518880018E-16</v>
      </c>
      <c r="HW59" s="48">
        <v>0</v>
      </c>
      <c r="HX59" s="48">
        <v>0</v>
      </c>
      <c r="HY59" s="48">
        <v>0</v>
      </c>
      <c r="HZ59" s="48">
        <v>0</v>
      </c>
      <c r="IA59" s="48">
        <v>0</v>
      </c>
      <c r="IB59" s="48">
        <v>0</v>
      </c>
      <c r="IC59" s="48">
        <v>0</v>
      </c>
      <c r="ID59" s="48">
        <v>0</v>
      </c>
      <c r="IE59" s="48">
        <v>0</v>
      </c>
      <c r="IF59" s="48">
        <v>0</v>
      </c>
      <c r="IG59" s="48">
        <v>0</v>
      </c>
      <c r="IH59" s="48">
        <v>0</v>
      </c>
      <c r="II59" s="48">
        <v>0</v>
      </c>
      <c r="IJ59" s="48">
        <v>0</v>
      </c>
      <c r="IK59" s="48">
        <v>289.19412324741859</v>
      </c>
      <c r="IL59" s="48">
        <v>0</v>
      </c>
      <c r="IM59" s="48">
        <v>0</v>
      </c>
      <c r="IN59" s="48">
        <v>0</v>
      </c>
      <c r="IO59" s="48">
        <v>0</v>
      </c>
      <c r="IP59" s="23">
        <v>37701.999999999614</v>
      </c>
      <c r="IQ59" s="25">
        <v>0</v>
      </c>
      <c r="IR59" s="25">
        <v>0</v>
      </c>
      <c r="IS59" s="26">
        <v>0</v>
      </c>
      <c r="IT59" s="26">
        <v>1144</v>
      </c>
      <c r="IU59" s="26">
        <v>6853</v>
      </c>
      <c r="IV59" s="9">
        <v>0</v>
      </c>
      <c r="IW59" s="38">
        <f t="shared" si="4"/>
        <v>45698.999999999614</v>
      </c>
    </row>
    <row r="60" spans="1:257" ht="30" customHeight="1" x14ac:dyDescent="0.25">
      <c r="A60" s="112" t="b">
        <v>0</v>
      </c>
      <c r="B60" s="113" t="str">
        <f>IFERROR(VLOOKUP(C60,'Bridge matrix'!$D$3:$E$727,2,FALSE)='symmetric IOT 245 2012'!D60,"FALSCH")</f>
        <v>FALSCH</v>
      </c>
      <c r="C60" s="108">
        <v>55</v>
      </c>
      <c r="D60" s="49" t="s">
        <v>1375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48">
        <v>0</v>
      </c>
      <c r="AF60" s="48">
        <v>0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0</v>
      </c>
      <c r="AV60" s="48">
        <v>0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  <c r="CM60" s="48">
        <v>0</v>
      </c>
      <c r="CN60" s="48">
        <v>0</v>
      </c>
      <c r="CO60" s="48">
        <v>0</v>
      </c>
      <c r="CP60" s="48">
        <v>0</v>
      </c>
      <c r="CQ60" s="48">
        <v>0</v>
      </c>
      <c r="CR60" s="48">
        <v>0</v>
      </c>
      <c r="CS60" s="48">
        <v>0</v>
      </c>
      <c r="CT60" s="48">
        <v>0</v>
      </c>
      <c r="CU60" s="48">
        <v>0</v>
      </c>
      <c r="CV60" s="48">
        <v>0</v>
      </c>
      <c r="CW60" s="48">
        <v>0</v>
      </c>
      <c r="CX60" s="48">
        <v>0</v>
      </c>
      <c r="CY60" s="48">
        <v>0</v>
      </c>
      <c r="CZ60" s="48">
        <v>0</v>
      </c>
      <c r="DA60" s="48">
        <v>0</v>
      </c>
      <c r="DB60" s="48">
        <v>0</v>
      </c>
      <c r="DC60" s="48">
        <v>0</v>
      </c>
      <c r="DD60" s="48">
        <v>0</v>
      </c>
      <c r="DE60" s="48">
        <v>0</v>
      </c>
      <c r="DF60" s="48">
        <v>0</v>
      </c>
      <c r="DG60" s="48">
        <v>0</v>
      </c>
      <c r="DH60" s="48">
        <v>0</v>
      </c>
      <c r="DI60" s="48">
        <v>0</v>
      </c>
      <c r="DJ60" s="48">
        <v>0</v>
      </c>
      <c r="DK60" s="48">
        <v>0</v>
      </c>
      <c r="DL60" s="48">
        <v>0</v>
      </c>
      <c r="DM60" s="48">
        <v>0</v>
      </c>
      <c r="DN60" s="48">
        <v>0</v>
      </c>
      <c r="DO60" s="48">
        <v>0</v>
      </c>
      <c r="DP60" s="48">
        <v>0</v>
      </c>
      <c r="DQ60" s="48">
        <v>0</v>
      </c>
      <c r="DR60" s="48">
        <v>0</v>
      </c>
      <c r="DS60" s="48">
        <v>0</v>
      </c>
      <c r="DT60" s="48">
        <v>0</v>
      </c>
      <c r="DU60" s="48">
        <v>0</v>
      </c>
      <c r="DV60" s="48">
        <v>0</v>
      </c>
      <c r="DW60" s="48">
        <v>0</v>
      </c>
      <c r="DX60" s="48">
        <v>0</v>
      </c>
      <c r="DY60" s="48">
        <v>0</v>
      </c>
      <c r="DZ60" s="48">
        <v>0</v>
      </c>
      <c r="EA60" s="48">
        <v>0</v>
      </c>
      <c r="EB60" s="48">
        <v>0</v>
      </c>
      <c r="EC60" s="48">
        <v>0</v>
      </c>
      <c r="ED60" s="48">
        <v>0</v>
      </c>
      <c r="EE60" s="48">
        <v>0</v>
      </c>
      <c r="EF60" s="48">
        <v>0</v>
      </c>
      <c r="EG60" s="48">
        <v>0</v>
      </c>
      <c r="EH60" s="48">
        <v>0</v>
      </c>
      <c r="EI60" s="48">
        <v>0</v>
      </c>
      <c r="EJ60" s="48">
        <v>0</v>
      </c>
      <c r="EK60" s="48">
        <v>0</v>
      </c>
      <c r="EL60" s="48">
        <v>0</v>
      </c>
      <c r="EM60" s="48">
        <v>0</v>
      </c>
      <c r="EN60" s="48">
        <v>0</v>
      </c>
      <c r="EO60" s="48">
        <v>0</v>
      </c>
      <c r="EP60" s="48">
        <v>0</v>
      </c>
      <c r="EQ60" s="48">
        <v>0</v>
      </c>
      <c r="ER60" s="48">
        <v>0</v>
      </c>
      <c r="ES60" s="48">
        <v>0</v>
      </c>
      <c r="ET60" s="48">
        <v>0</v>
      </c>
      <c r="EU60" s="48">
        <v>0</v>
      </c>
      <c r="EV60" s="48">
        <v>0</v>
      </c>
      <c r="EW60" s="48">
        <v>0</v>
      </c>
      <c r="EX60" s="48">
        <v>0</v>
      </c>
      <c r="EY60" s="48">
        <v>0</v>
      </c>
      <c r="EZ60" s="48">
        <v>0</v>
      </c>
      <c r="FA60" s="48">
        <v>0</v>
      </c>
      <c r="FB60" s="48">
        <v>0</v>
      </c>
      <c r="FC60" s="48">
        <v>0</v>
      </c>
      <c r="FD60" s="48">
        <v>0</v>
      </c>
      <c r="FE60" s="48">
        <v>0</v>
      </c>
      <c r="FF60" s="48">
        <v>0</v>
      </c>
      <c r="FG60" s="48">
        <v>0</v>
      </c>
      <c r="FH60" s="48">
        <v>0</v>
      </c>
      <c r="FI60" s="48">
        <v>0</v>
      </c>
      <c r="FJ60" s="48">
        <v>0</v>
      </c>
      <c r="FK60" s="48">
        <v>0</v>
      </c>
      <c r="FL60" s="48">
        <v>0</v>
      </c>
      <c r="FM60" s="48">
        <v>0</v>
      </c>
      <c r="FN60" s="48">
        <v>0</v>
      </c>
      <c r="FO60" s="48">
        <v>0</v>
      </c>
      <c r="FP60" s="48">
        <v>0</v>
      </c>
      <c r="FQ60" s="48">
        <v>0</v>
      </c>
      <c r="FR60" s="48">
        <v>0</v>
      </c>
      <c r="FS60" s="48">
        <v>0</v>
      </c>
      <c r="FT60" s="48">
        <v>0</v>
      </c>
      <c r="FU60" s="48">
        <v>0</v>
      </c>
      <c r="FV60" s="48">
        <v>0</v>
      </c>
      <c r="FW60" s="48">
        <v>0</v>
      </c>
      <c r="FX60" s="48">
        <v>0</v>
      </c>
      <c r="FY60" s="48">
        <v>0</v>
      </c>
      <c r="FZ60" s="48">
        <v>0</v>
      </c>
      <c r="GA60" s="48">
        <v>0</v>
      </c>
      <c r="GB60" s="48">
        <v>0</v>
      </c>
      <c r="GC60" s="48">
        <v>0</v>
      </c>
      <c r="GD60" s="48">
        <v>0</v>
      </c>
      <c r="GE60" s="48">
        <v>0</v>
      </c>
      <c r="GF60" s="48">
        <v>0</v>
      </c>
      <c r="GG60" s="48">
        <v>0</v>
      </c>
      <c r="GH60" s="48">
        <v>0</v>
      </c>
      <c r="GI60" s="48">
        <v>0</v>
      </c>
      <c r="GJ60" s="48">
        <v>0</v>
      </c>
      <c r="GK60" s="48">
        <v>0</v>
      </c>
      <c r="GL60" s="48">
        <v>0</v>
      </c>
      <c r="GM60" s="48">
        <v>0</v>
      </c>
      <c r="GN60" s="48">
        <v>0</v>
      </c>
      <c r="GO60" s="48">
        <v>0</v>
      </c>
      <c r="GP60" s="48">
        <v>0</v>
      </c>
      <c r="GQ60" s="48">
        <v>0</v>
      </c>
      <c r="GR60" s="48">
        <v>0</v>
      </c>
      <c r="GS60" s="48">
        <v>0</v>
      </c>
      <c r="GT60" s="48">
        <v>0</v>
      </c>
      <c r="GU60" s="48">
        <v>0</v>
      </c>
      <c r="GV60" s="48">
        <v>0</v>
      </c>
      <c r="GW60" s="48">
        <v>0</v>
      </c>
      <c r="GX60" s="48">
        <v>0</v>
      </c>
      <c r="GY60" s="48">
        <v>0</v>
      </c>
      <c r="GZ60" s="48">
        <v>0</v>
      </c>
      <c r="HA60" s="48">
        <v>0</v>
      </c>
      <c r="HB60" s="48">
        <v>0</v>
      </c>
      <c r="HC60" s="48">
        <v>0</v>
      </c>
      <c r="HD60" s="48">
        <v>0</v>
      </c>
      <c r="HE60" s="48">
        <v>0</v>
      </c>
      <c r="HF60" s="48">
        <v>0</v>
      </c>
      <c r="HG60" s="48">
        <v>0</v>
      </c>
      <c r="HH60" s="48">
        <v>0</v>
      </c>
      <c r="HI60" s="48">
        <v>0</v>
      </c>
      <c r="HJ60" s="48">
        <v>0</v>
      </c>
      <c r="HK60" s="48">
        <v>0</v>
      </c>
      <c r="HL60" s="48">
        <v>0</v>
      </c>
      <c r="HM60" s="48">
        <v>0</v>
      </c>
      <c r="HN60" s="48">
        <v>0</v>
      </c>
      <c r="HO60" s="48">
        <v>0</v>
      </c>
      <c r="HP60" s="48">
        <v>0</v>
      </c>
      <c r="HQ60" s="48">
        <v>0</v>
      </c>
      <c r="HR60" s="48">
        <v>0</v>
      </c>
      <c r="HS60" s="48">
        <v>0</v>
      </c>
      <c r="HT60" s="48">
        <v>0</v>
      </c>
      <c r="HU60" s="48">
        <v>0</v>
      </c>
      <c r="HV60" s="48">
        <v>0</v>
      </c>
      <c r="HW60" s="48">
        <v>0</v>
      </c>
      <c r="HX60" s="48">
        <v>0</v>
      </c>
      <c r="HY60" s="48">
        <v>0</v>
      </c>
      <c r="HZ60" s="48">
        <v>0</v>
      </c>
      <c r="IA60" s="48">
        <v>0</v>
      </c>
      <c r="IB60" s="48">
        <v>0</v>
      </c>
      <c r="IC60" s="48">
        <v>0</v>
      </c>
      <c r="ID60" s="48">
        <v>0</v>
      </c>
      <c r="IE60" s="48">
        <v>0</v>
      </c>
      <c r="IF60" s="48">
        <v>0</v>
      </c>
      <c r="IG60" s="48">
        <v>0</v>
      </c>
      <c r="IH60" s="48">
        <v>0</v>
      </c>
      <c r="II60" s="48">
        <v>0</v>
      </c>
      <c r="IJ60" s="48">
        <v>0</v>
      </c>
      <c r="IK60" s="48">
        <v>0</v>
      </c>
      <c r="IL60" s="48">
        <v>0</v>
      </c>
      <c r="IM60" s="48">
        <v>0</v>
      </c>
      <c r="IN60" s="48">
        <v>0</v>
      </c>
      <c r="IO60" s="48">
        <v>0</v>
      </c>
      <c r="IP60" s="23">
        <v>0</v>
      </c>
      <c r="IQ60" s="25">
        <v>0</v>
      </c>
      <c r="IR60" s="25">
        <v>0</v>
      </c>
      <c r="IS60" s="26">
        <v>0</v>
      </c>
      <c r="IT60" s="26">
        <v>1355</v>
      </c>
      <c r="IU60" s="26">
        <v>1575</v>
      </c>
      <c r="IV60" s="9">
        <v>94</v>
      </c>
      <c r="IW60" s="38">
        <f t="shared" si="4"/>
        <v>3024</v>
      </c>
    </row>
    <row r="61" spans="1:257" ht="30" customHeight="1" x14ac:dyDescent="0.25">
      <c r="A61" s="112" t="b">
        <v>0</v>
      </c>
      <c r="B61" s="113" t="str">
        <f>IFERROR(VLOOKUP(C61,'Bridge matrix'!$D$3:$E$727,2,FALSE)='symmetric IOT 245 2012'!D61,"FALSCH")</f>
        <v>FALSCH</v>
      </c>
      <c r="C61" s="108">
        <v>56</v>
      </c>
      <c r="D61" s="49" t="s">
        <v>1376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0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269172.50717996218</v>
      </c>
      <c r="CK61" s="48">
        <v>0</v>
      </c>
      <c r="CL61" s="48">
        <v>2940.6098627953143</v>
      </c>
      <c r="CM61" s="48">
        <v>0</v>
      </c>
      <c r="CN61" s="48">
        <v>4451.8758695099268</v>
      </c>
      <c r="CO61" s="48">
        <v>0</v>
      </c>
      <c r="CP61" s="48">
        <v>0</v>
      </c>
      <c r="CQ61" s="48">
        <v>0</v>
      </c>
      <c r="CR61" s="48">
        <v>0</v>
      </c>
      <c r="CS61" s="48">
        <v>0</v>
      </c>
      <c r="CT61" s="48">
        <v>5.8565994860418602</v>
      </c>
      <c r="CU61" s="48">
        <v>0</v>
      </c>
      <c r="CV61" s="48">
        <v>0</v>
      </c>
      <c r="CW61" s="48">
        <v>0</v>
      </c>
      <c r="CX61" s="48">
        <v>0.5451219863496688</v>
      </c>
      <c r="CY61" s="48">
        <v>1.7232199163205612E-2</v>
      </c>
      <c r="CZ61" s="48">
        <v>1.2837149913707377E-3</v>
      </c>
      <c r="DA61" s="48">
        <v>0</v>
      </c>
      <c r="DB61" s="48">
        <v>0</v>
      </c>
      <c r="DC61" s="48">
        <v>2.6228702794480503</v>
      </c>
      <c r="DD61" s="48">
        <v>5.4950761118711406E-3</v>
      </c>
      <c r="DE61" s="48">
        <v>8.1861941167065549E-3</v>
      </c>
      <c r="DF61" s="48">
        <v>0</v>
      </c>
      <c r="DG61" s="48">
        <v>0</v>
      </c>
      <c r="DH61" s="48">
        <v>0</v>
      </c>
      <c r="DI61" s="48">
        <v>3.5102101368813962E-2</v>
      </c>
      <c r="DJ61" s="48">
        <v>0</v>
      </c>
      <c r="DK61" s="48">
        <v>2.409986669149056E-2</v>
      </c>
      <c r="DL61" s="48">
        <v>0</v>
      </c>
      <c r="DM61" s="48">
        <v>0</v>
      </c>
      <c r="DN61" s="48">
        <v>0</v>
      </c>
      <c r="DO61" s="48">
        <v>0</v>
      </c>
      <c r="DP61" s="48">
        <v>0</v>
      </c>
      <c r="DQ61" s="48">
        <v>0</v>
      </c>
      <c r="DR61" s="48">
        <v>0</v>
      </c>
      <c r="DS61" s="48">
        <v>0</v>
      </c>
      <c r="DT61" s="48">
        <v>0</v>
      </c>
      <c r="DU61" s="48">
        <v>0</v>
      </c>
      <c r="DV61" s="48">
        <v>0</v>
      </c>
      <c r="DW61" s="48">
        <v>0</v>
      </c>
      <c r="DX61" s="48">
        <v>0</v>
      </c>
      <c r="DY61" s="48">
        <v>0</v>
      </c>
      <c r="DZ61" s="48">
        <v>0</v>
      </c>
      <c r="EA61" s="48">
        <v>0</v>
      </c>
      <c r="EB61" s="48">
        <v>0</v>
      </c>
      <c r="EC61" s="48">
        <v>0</v>
      </c>
      <c r="ED61" s="48">
        <v>0</v>
      </c>
      <c r="EE61" s="48">
        <v>0</v>
      </c>
      <c r="EF61" s="48">
        <v>0</v>
      </c>
      <c r="EG61" s="48">
        <v>0</v>
      </c>
      <c r="EH61" s="48">
        <v>0</v>
      </c>
      <c r="EI61" s="48">
        <v>0</v>
      </c>
      <c r="EJ61" s="48">
        <v>0</v>
      </c>
      <c r="EK61" s="48">
        <v>0</v>
      </c>
      <c r="EL61" s="48">
        <v>7.6080816783323502E-9</v>
      </c>
      <c r="EM61" s="48">
        <v>1.1564422444165354E-8</v>
      </c>
      <c r="EN61" s="48">
        <v>3.4360161520502312E-4</v>
      </c>
      <c r="EO61" s="48">
        <v>0</v>
      </c>
      <c r="EP61" s="48">
        <v>2.0962691800757219E-8</v>
      </c>
      <c r="EQ61" s="48">
        <v>0</v>
      </c>
      <c r="ER61" s="48">
        <v>0</v>
      </c>
      <c r="ES61" s="48">
        <v>0</v>
      </c>
      <c r="ET61" s="48">
        <v>2.4872037601120599E-9</v>
      </c>
      <c r="EU61" s="48">
        <v>0</v>
      </c>
      <c r="EV61" s="48">
        <v>0</v>
      </c>
      <c r="EW61" s="48">
        <v>0</v>
      </c>
      <c r="EX61" s="48">
        <v>3.9249557446181042E-10</v>
      </c>
      <c r="EY61" s="48">
        <v>0</v>
      </c>
      <c r="EZ61" s="48">
        <v>0</v>
      </c>
      <c r="FA61" s="48">
        <v>0</v>
      </c>
      <c r="FB61" s="48">
        <v>0</v>
      </c>
      <c r="FC61" s="48">
        <v>0</v>
      </c>
      <c r="FD61" s="48">
        <v>2.0479013747428103E-14</v>
      </c>
      <c r="FE61" s="48">
        <v>0</v>
      </c>
      <c r="FF61" s="48">
        <v>0</v>
      </c>
      <c r="FG61" s="48">
        <v>5.2563852159816257E-15</v>
      </c>
      <c r="FH61" s="48">
        <v>3.7679134882102327E-15</v>
      </c>
      <c r="FI61" s="48">
        <v>5.8353627664574755E-15</v>
      </c>
      <c r="FJ61" s="48">
        <v>0</v>
      </c>
      <c r="FK61" s="48">
        <v>0</v>
      </c>
      <c r="FL61" s="48">
        <v>0</v>
      </c>
      <c r="FM61" s="48">
        <v>0</v>
      </c>
      <c r="FN61" s="48">
        <v>0</v>
      </c>
      <c r="FO61" s="48">
        <v>0</v>
      </c>
      <c r="FP61" s="48">
        <v>0</v>
      </c>
      <c r="FQ61" s="48">
        <v>3.3933774162512793E-15</v>
      </c>
      <c r="FR61" s="48">
        <v>1.004922331201811E-15</v>
      </c>
      <c r="FS61" s="48">
        <v>0</v>
      </c>
      <c r="FT61" s="48">
        <v>2.7372121308435332E-16</v>
      </c>
      <c r="FU61" s="48">
        <v>0</v>
      </c>
      <c r="FV61" s="48">
        <v>0</v>
      </c>
      <c r="FW61" s="48">
        <v>0</v>
      </c>
      <c r="FX61" s="48">
        <v>0</v>
      </c>
      <c r="FY61" s="48">
        <v>0</v>
      </c>
      <c r="FZ61" s="48">
        <v>0</v>
      </c>
      <c r="GA61" s="48">
        <v>0</v>
      </c>
      <c r="GB61" s="48">
        <v>0</v>
      </c>
      <c r="GC61" s="48">
        <v>0</v>
      </c>
      <c r="GD61" s="48">
        <v>0</v>
      </c>
      <c r="GE61" s="48">
        <v>0</v>
      </c>
      <c r="GF61" s="48">
        <v>0</v>
      </c>
      <c r="GG61" s="48">
        <v>0</v>
      </c>
      <c r="GH61" s="48">
        <v>0</v>
      </c>
      <c r="GI61" s="48">
        <v>0</v>
      </c>
      <c r="GJ61" s="48">
        <v>0</v>
      </c>
      <c r="GK61" s="48">
        <v>0</v>
      </c>
      <c r="GL61" s="48">
        <v>0</v>
      </c>
      <c r="GM61" s="48">
        <v>0</v>
      </c>
      <c r="GN61" s="48">
        <v>0</v>
      </c>
      <c r="GO61" s="48">
        <v>0</v>
      </c>
      <c r="GP61" s="48">
        <v>0</v>
      </c>
      <c r="GQ61" s="48">
        <v>0</v>
      </c>
      <c r="GR61" s="48">
        <v>0</v>
      </c>
      <c r="GS61" s="48">
        <v>0</v>
      </c>
      <c r="GT61" s="48">
        <v>2.4989423599816555E-18</v>
      </c>
      <c r="GU61" s="48">
        <v>0</v>
      </c>
      <c r="GV61" s="48">
        <v>0</v>
      </c>
      <c r="GW61" s="48">
        <v>0</v>
      </c>
      <c r="GX61" s="48">
        <v>3.6535152754400235E-16</v>
      </c>
      <c r="GY61" s="48">
        <v>0</v>
      </c>
      <c r="GZ61" s="48">
        <v>0</v>
      </c>
      <c r="HA61" s="48">
        <v>0</v>
      </c>
      <c r="HB61" s="48">
        <v>0</v>
      </c>
      <c r="HC61" s="48">
        <v>0</v>
      </c>
      <c r="HD61" s="48">
        <v>0</v>
      </c>
      <c r="HE61" s="48">
        <v>0</v>
      </c>
      <c r="HF61" s="48">
        <v>0</v>
      </c>
      <c r="HG61" s="48">
        <v>0</v>
      </c>
      <c r="HH61" s="48">
        <v>0</v>
      </c>
      <c r="HI61" s="48">
        <v>0</v>
      </c>
      <c r="HJ61" s="48">
        <v>0</v>
      </c>
      <c r="HK61" s="48">
        <v>0</v>
      </c>
      <c r="HL61" s="48">
        <v>0</v>
      </c>
      <c r="HM61" s="48">
        <v>0</v>
      </c>
      <c r="HN61" s="48">
        <v>0</v>
      </c>
      <c r="HO61" s="48">
        <v>0</v>
      </c>
      <c r="HP61" s="48">
        <v>0</v>
      </c>
      <c r="HQ61" s="48">
        <v>0</v>
      </c>
      <c r="HR61" s="48">
        <v>0</v>
      </c>
      <c r="HS61" s="48">
        <v>0</v>
      </c>
      <c r="HT61" s="48">
        <v>0</v>
      </c>
      <c r="HU61" s="48">
        <v>0</v>
      </c>
      <c r="HV61" s="48">
        <v>1.9340262099372527E-15</v>
      </c>
      <c r="HW61" s="48">
        <v>0</v>
      </c>
      <c r="HX61" s="48">
        <v>0</v>
      </c>
      <c r="HY61" s="48">
        <v>0</v>
      </c>
      <c r="HZ61" s="48">
        <v>0</v>
      </c>
      <c r="IA61" s="48">
        <v>0</v>
      </c>
      <c r="IB61" s="48">
        <v>0</v>
      </c>
      <c r="IC61" s="48">
        <v>0</v>
      </c>
      <c r="ID61" s="48">
        <v>0</v>
      </c>
      <c r="IE61" s="48">
        <v>0</v>
      </c>
      <c r="IF61" s="48">
        <v>0</v>
      </c>
      <c r="IG61" s="48">
        <v>0</v>
      </c>
      <c r="IH61" s="48">
        <v>0</v>
      </c>
      <c r="II61" s="48">
        <v>0</v>
      </c>
      <c r="IJ61" s="48">
        <v>0</v>
      </c>
      <c r="IK61" s="48">
        <v>2186.8907531806449</v>
      </c>
      <c r="IL61" s="48">
        <v>0</v>
      </c>
      <c r="IM61" s="48">
        <v>0</v>
      </c>
      <c r="IN61" s="48">
        <v>0</v>
      </c>
      <c r="IO61" s="48">
        <v>0</v>
      </c>
      <c r="IP61" s="23">
        <v>278760.99999999715</v>
      </c>
      <c r="IQ61" s="25">
        <v>482</v>
      </c>
      <c r="IR61" s="25">
        <v>0</v>
      </c>
      <c r="IS61" s="26">
        <v>0</v>
      </c>
      <c r="IT61" s="26">
        <v>1215</v>
      </c>
      <c r="IU61" s="26">
        <v>3263</v>
      </c>
      <c r="IV61" s="9">
        <v>0</v>
      </c>
      <c r="IW61" s="38">
        <f t="shared" si="4"/>
        <v>283720.99999999715</v>
      </c>
    </row>
    <row r="62" spans="1:257" ht="30" customHeight="1" x14ac:dyDescent="0.25">
      <c r="A62" s="112" t="b">
        <v>0</v>
      </c>
      <c r="B62" s="113" t="str">
        <f>IFERROR(VLOOKUP(C62,'Bridge matrix'!$D$3:$E$727,2,FALSE)='symmetric IOT 245 2012'!D62,"FALSCH")</f>
        <v>FALSCH</v>
      </c>
      <c r="C62" s="108">
        <v>57</v>
      </c>
      <c r="D62" s="49" t="s">
        <v>1377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5838.9999999999463</v>
      </c>
      <c r="CL62" s="48">
        <v>0</v>
      </c>
      <c r="CM62" s="48">
        <v>0</v>
      </c>
      <c r="CN62" s="48">
        <v>0</v>
      </c>
      <c r="CO62" s="48">
        <v>0</v>
      </c>
      <c r="CP62" s="48">
        <v>0</v>
      </c>
      <c r="CQ62" s="48">
        <v>0</v>
      </c>
      <c r="CR62" s="48">
        <v>0</v>
      </c>
      <c r="CS62" s="48">
        <v>0</v>
      </c>
      <c r="CT62" s="48">
        <v>0</v>
      </c>
      <c r="CU62" s="48">
        <v>0</v>
      </c>
      <c r="CV62" s="48">
        <v>0</v>
      </c>
      <c r="CW62" s="48">
        <v>0</v>
      </c>
      <c r="CX62" s="48">
        <v>0</v>
      </c>
      <c r="CY62" s="48">
        <v>0</v>
      </c>
      <c r="CZ62" s="48">
        <v>0</v>
      </c>
      <c r="DA62" s="48">
        <v>0</v>
      </c>
      <c r="DB62" s="48">
        <v>0</v>
      </c>
      <c r="DC62" s="48">
        <v>0</v>
      </c>
      <c r="DD62" s="48">
        <v>0</v>
      </c>
      <c r="DE62" s="48">
        <v>0</v>
      </c>
      <c r="DF62" s="48">
        <v>0</v>
      </c>
      <c r="DG62" s="48">
        <v>0</v>
      </c>
      <c r="DH62" s="48">
        <v>0</v>
      </c>
      <c r="DI62" s="48">
        <v>0</v>
      </c>
      <c r="DJ62" s="48">
        <v>0</v>
      </c>
      <c r="DK62" s="48">
        <v>0</v>
      </c>
      <c r="DL62" s="48">
        <v>0</v>
      </c>
      <c r="DM62" s="48">
        <v>0</v>
      </c>
      <c r="DN62" s="48">
        <v>0</v>
      </c>
      <c r="DO62" s="48">
        <v>0</v>
      </c>
      <c r="DP62" s="48">
        <v>0</v>
      </c>
      <c r="DQ62" s="48">
        <v>0</v>
      </c>
      <c r="DR62" s="48">
        <v>0</v>
      </c>
      <c r="DS62" s="48">
        <v>0</v>
      </c>
      <c r="DT62" s="48">
        <v>0</v>
      </c>
      <c r="DU62" s="48">
        <v>0</v>
      </c>
      <c r="DV62" s="48">
        <v>0</v>
      </c>
      <c r="DW62" s="48">
        <v>0</v>
      </c>
      <c r="DX62" s="48">
        <v>0</v>
      </c>
      <c r="DY62" s="48">
        <v>0</v>
      </c>
      <c r="DZ62" s="48">
        <v>0</v>
      </c>
      <c r="EA62" s="48">
        <v>0</v>
      </c>
      <c r="EB62" s="48">
        <v>0</v>
      </c>
      <c r="EC62" s="48">
        <v>0</v>
      </c>
      <c r="ED62" s="48">
        <v>0</v>
      </c>
      <c r="EE62" s="48">
        <v>0</v>
      </c>
      <c r="EF62" s="48">
        <v>0</v>
      </c>
      <c r="EG62" s="48">
        <v>0</v>
      </c>
      <c r="EH62" s="48">
        <v>0</v>
      </c>
      <c r="EI62" s="48">
        <v>0</v>
      </c>
      <c r="EJ62" s="48">
        <v>0</v>
      </c>
      <c r="EK62" s="48">
        <v>0</v>
      </c>
      <c r="EL62" s="48">
        <v>0</v>
      </c>
      <c r="EM62" s="48">
        <v>0</v>
      </c>
      <c r="EN62" s="48">
        <v>0</v>
      </c>
      <c r="EO62" s="48">
        <v>0</v>
      </c>
      <c r="EP62" s="48">
        <v>0</v>
      </c>
      <c r="EQ62" s="48">
        <v>0</v>
      </c>
      <c r="ER62" s="48">
        <v>0</v>
      </c>
      <c r="ES62" s="48">
        <v>0</v>
      </c>
      <c r="ET62" s="48">
        <v>0</v>
      </c>
      <c r="EU62" s="48">
        <v>0</v>
      </c>
      <c r="EV62" s="48">
        <v>0</v>
      </c>
      <c r="EW62" s="48">
        <v>0</v>
      </c>
      <c r="EX62" s="48">
        <v>0</v>
      </c>
      <c r="EY62" s="48">
        <v>0</v>
      </c>
      <c r="EZ62" s="48">
        <v>0</v>
      </c>
      <c r="FA62" s="48">
        <v>0</v>
      </c>
      <c r="FB62" s="48">
        <v>0</v>
      </c>
      <c r="FC62" s="48">
        <v>0</v>
      </c>
      <c r="FD62" s="48">
        <v>0</v>
      </c>
      <c r="FE62" s="48">
        <v>0</v>
      </c>
      <c r="FF62" s="48">
        <v>0</v>
      </c>
      <c r="FG62" s="48">
        <v>0</v>
      </c>
      <c r="FH62" s="48">
        <v>0</v>
      </c>
      <c r="FI62" s="48">
        <v>0</v>
      </c>
      <c r="FJ62" s="48">
        <v>0</v>
      </c>
      <c r="FK62" s="48">
        <v>0</v>
      </c>
      <c r="FL62" s="48">
        <v>0</v>
      </c>
      <c r="FM62" s="48">
        <v>0</v>
      </c>
      <c r="FN62" s="48">
        <v>0</v>
      </c>
      <c r="FO62" s="48">
        <v>0</v>
      </c>
      <c r="FP62" s="48">
        <v>0</v>
      </c>
      <c r="FQ62" s="48">
        <v>0</v>
      </c>
      <c r="FR62" s="48">
        <v>0</v>
      </c>
      <c r="FS62" s="48">
        <v>0</v>
      </c>
      <c r="FT62" s="48">
        <v>0</v>
      </c>
      <c r="FU62" s="48">
        <v>0</v>
      </c>
      <c r="FV62" s="48">
        <v>0</v>
      </c>
      <c r="FW62" s="48">
        <v>0</v>
      </c>
      <c r="FX62" s="48">
        <v>0</v>
      </c>
      <c r="FY62" s="48">
        <v>0</v>
      </c>
      <c r="FZ62" s="48">
        <v>0</v>
      </c>
      <c r="GA62" s="48">
        <v>0</v>
      </c>
      <c r="GB62" s="48">
        <v>0</v>
      </c>
      <c r="GC62" s="48">
        <v>0</v>
      </c>
      <c r="GD62" s="48">
        <v>0</v>
      </c>
      <c r="GE62" s="48">
        <v>0</v>
      </c>
      <c r="GF62" s="48">
        <v>0</v>
      </c>
      <c r="GG62" s="48">
        <v>0</v>
      </c>
      <c r="GH62" s="48">
        <v>0</v>
      </c>
      <c r="GI62" s="48">
        <v>0</v>
      </c>
      <c r="GJ62" s="48">
        <v>0</v>
      </c>
      <c r="GK62" s="48">
        <v>0</v>
      </c>
      <c r="GL62" s="48">
        <v>0</v>
      </c>
      <c r="GM62" s="48">
        <v>0</v>
      </c>
      <c r="GN62" s="48">
        <v>0</v>
      </c>
      <c r="GO62" s="48">
        <v>0</v>
      </c>
      <c r="GP62" s="48">
        <v>0</v>
      </c>
      <c r="GQ62" s="48">
        <v>0</v>
      </c>
      <c r="GR62" s="48">
        <v>0</v>
      </c>
      <c r="GS62" s="48">
        <v>0</v>
      </c>
      <c r="GT62" s="48">
        <v>0</v>
      </c>
      <c r="GU62" s="48">
        <v>0</v>
      </c>
      <c r="GV62" s="48">
        <v>0</v>
      </c>
      <c r="GW62" s="48">
        <v>0</v>
      </c>
      <c r="GX62" s="48">
        <v>0</v>
      </c>
      <c r="GY62" s="48">
        <v>0</v>
      </c>
      <c r="GZ62" s="48">
        <v>0</v>
      </c>
      <c r="HA62" s="48">
        <v>0</v>
      </c>
      <c r="HB62" s="48">
        <v>0</v>
      </c>
      <c r="HC62" s="48">
        <v>0</v>
      </c>
      <c r="HD62" s="48">
        <v>0</v>
      </c>
      <c r="HE62" s="48">
        <v>0</v>
      </c>
      <c r="HF62" s="48">
        <v>0</v>
      </c>
      <c r="HG62" s="48">
        <v>0</v>
      </c>
      <c r="HH62" s="48">
        <v>0</v>
      </c>
      <c r="HI62" s="48">
        <v>0</v>
      </c>
      <c r="HJ62" s="48">
        <v>0</v>
      </c>
      <c r="HK62" s="48">
        <v>0</v>
      </c>
      <c r="HL62" s="48">
        <v>0</v>
      </c>
      <c r="HM62" s="48">
        <v>0</v>
      </c>
      <c r="HN62" s="48">
        <v>0</v>
      </c>
      <c r="HO62" s="48">
        <v>0</v>
      </c>
      <c r="HP62" s="48">
        <v>0</v>
      </c>
      <c r="HQ62" s="48">
        <v>0</v>
      </c>
      <c r="HR62" s="48">
        <v>0</v>
      </c>
      <c r="HS62" s="48">
        <v>0</v>
      </c>
      <c r="HT62" s="48">
        <v>0</v>
      </c>
      <c r="HU62" s="48">
        <v>0</v>
      </c>
      <c r="HV62" s="48">
        <v>0</v>
      </c>
      <c r="HW62" s="48">
        <v>0</v>
      </c>
      <c r="HX62" s="48">
        <v>0</v>
      </c>
      <c r="HY62" s="48">
        <v>0</v>
      </c>
      <c r="HZ62" s="48">
        <v>0</v>
      </c>
      <c r="IA62" s="48">
        <v>0</v>
      </c>
      <c r="IB62" s="48">
        <v>0</v>
      </c>
      <c r="IC62" s="48">
        <v>0</v>
      </c>
      <c r="ID62" s="48">
        <v>0</v>
      </c>
      <c r="IE62" s="48">
        <v>0</v>
      </c>
      <c r="IF62" s="48">
        <v>0</v>
      </c>
      <c r="IG62" s="48">
        <v>0</v>
      </c>
      <c r="IH62" s="48">
        <v>0</v>
      </c>
      <c r="II62" s="48">
        <v>0</v>
      </c>
      <c r="IJ62" s="48">
        <v>0</v>
      </c>
      <c r="IK62" s="48">
        <v>0</v>
      </c>
      <c r="IL62" s="48">
        <v>0</v>
      </c>
      <c r="IM62" s="48">
        <v>0</v>
      </c>
      <c r="IN62" s="48">
        <v>0</v>
      </c>
      <c r="IO62" s="48">
        <v>0</v>
      </c>
      <c r="IP62" s="23">
        <v>5838.9999999999463</v>
      </c>
      <c r="IQ62" s="25">
        <v>20569</v>
      </c>
      <c r="IR62" s="25">
        <v>0</v>
      </c>
      <c r="IS62" s="26">
        <v>0</v>
      </c>
      <c r="IT62" s="26">
        <v>219</v>
      </c>
      <c r="IU62" s="26">
        <v>7773</v>
      </c>
      <c r="IV62" s="9">
        <v>0</v>
      </c>
      <c r="IW62" s="38">
        <f t="shared" si="4"/>
        <v>34399.999999999942</v>
      </c>
    </row>
    <row r="63" spans="1:257" ht="30" customHeight="1" x14ac:dyDescent="0.25">
      <c r="A63" s="112" t="b">
        <v>0</v>
      </c>
      <c r="B63" s="113" t="str">
        <f>IFERROR(VLOOKUP(C63,'Bridge matrix'!$D$3:$E$727,2,FALSE)='symmetric IOT 245 2012'!D63,"FALSCH")</f>
        <v>FALSCH</v>
      </c>
      <c r="C63" s="108">
        <v>58</v>
      </c>
      <c r="D63" s="49" t="s">
        <v>1378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20218.337974308801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90191.662025689904</v>
      </c>
      <c r="CM63" s="48">
        <v>0</v>
      </c>
      <c r="CN63" s="48">
        <v>0</v>
      </c>
      <c r="CO63" s="48">
        <v>0</v>
      </c>
      <c r="CP63" s="48">
        <v>0</v>
      </c>
      <c r="CQ63" s="48">
        <v>0</v>
      </c>
      <c r="CR63" s="48">
        <v>0</v>
      </c>
      <c r="CS63" s="48">
        <v>0</v>
      </c>
      <c r="CT63" s="48">
        <v>0</v>
      </c>
      <c r="CU63" s="48">
        <v>0</v>
      </c>
      <c r="CV63" s="48">
        <v>0</v>
      </c>
      <c r="CW63" s="48">
        <v>0</v>
      </c>
      <c r="CX63" s="48">
        <v>0</v>
      </c>
      <c r="CY63" s="48">
        <v>0</v>
      </c>
      <c r="CZ63" s="48">
        <v>0</v>
      </c>
      <c r="DA63" s="48">
        <v>0</v>
      </c>
      <c r="DB63" s="48">
        <v>0</v>
      </c>
      <c r="DC63" s="48">
        <v>0</v>
      </c>
      <c r="DD63" s="48">
        <v>0</v>
      </c>
      <c r="DE63" s="48">
        <v>0</v>
      </c>
      <c r="DF63" s="48">
        <v>0</v>
      </c>
      <c r="DG63" s="48">
        <v>0</v>
      </c>
      <c r="DH63" s="48">
        <v>0</v>
      </c>
      <c r="DI63" s="48">
        <v>0</v>
      </c>
      <c r="DJ63" s="48">
        <v>0</v>
      </c>
      <c r="DK63" s="48">
        <v>0</v>
      </c>
      <c r="DL63" s="48">
        <v>0</v>
      </c>
      <c r="DM63" s="48">
        <v>0</v>
      </c>
      <c r="DN63" s="48">
        <v>0</v>
      </c>
      <c r="DO63" s="48">
        <v>0</v>
      </c>
      <c r="DP63" s="48">
        <v>0</v>
      </c>
      <c r="DQ63" s="48">
        <v>0</v>
      </c>
      <c r="DR63" s="48">
        <v>0</v>
      </c>
      <c r="DS63" s="48">
        <v>0</v>
      </c>
      <c r="DT63" s="48">
        <v>0</v>
      </c>
      <c r="DU63" s="48">
        <v>0</v>
      </c>
      <c r="DV63" s="48">
        <v>0</v>
      </c>
      <c r="DW63" s="48">
        <v>0</v>
      </c>
      <c r="DX63" s="48">
        <v>0</v>
      </c>
      <c r="DY63" s="48">
        <v>0</v>
      </c>
      <c r="DZ63" s="48">
        <v>0</v>
      </c>
      <c r="EA63" s="48">
        <v>0</v>
      </c>
      <c r="EB63" s="48">
        <v>0</v>
      </c>
      <c r="EC63" s="48">
        <v>0</v>
      </c>
      <c r="ED63" s="48">
        <v>0</v>
      </c>
      <c r="EE63" s="48">
        <v>0</v>
      </c>
      <c r="EF63" s="48">
        <v>0</v>
      </c>
      <c r="EG63" s="48">
        <v>0</v>
      </c>
      <c r="EH63" s="48">
        <v>0</v>
      </c>
      <c r="EI63" s="48">
        <v>0</v>
      </c>
      <c r="EJ63" s="48">
        <v>0</v>
      </c>
      <c r="EK63" s="48">
        <v>0</v>
      </c>
      <c r="EL63" s="48">
        <v>0</v>
      </c>
      <c r="EM63" s="48">
        <v>0</v>
      </c>
      <c r="EN63" s="48">
        <v>0</v>
      </c>
      <c r="EO63" s="48">
        <v>0</v>
      </c>
      <c r="EP63" s="48">
        <v>0</v>
      </c>
      <c r="EQ63" s="48">
        <v>0</v>
      </c>
      <c r="ER63" s="48">
        <v>0</v>
      </c>
      <c r="ES63" s="48">
        <v>0</v>
      </c>
      <c r="ET63" s="48">
        <v>0</v>
      </c>
      <c r="EU63" s="48">
        <v>0</v>
      </c>
      <c r="EV63" s="48">
        <v>0</v>
      </c>
      <c r="EW63" s="48">
        <v>0</v>
      </c>
      <c r="EX63" s="48">
        <v>0</v>
      </c>
      <c r="EY63" s="48">
        <v>0</v>
      </c>
      <c r="EZ63" s="48">
        <v>0</v>
      </c>
      <c r="FA63" s="48">
        <v>0</v>
      </c>
      <c r="FB63" s="48">
        <v>0</v>
      </c>
      <c r="FC63" s="48">
        <v>0</v>
      </c>
      <c r="FD63" s="48">
        <v>0</v>
      </c>
      <c r="FE63" s="48">
        <v>0</v>
      </c>
      <c r="FF63" s="48">
        <v>0</v>
      </c>
      <c r="FG63" s="48">
        <v>0</v>
      </c>
      <c r="FH63" s="48">
        <v>0</v>
      </c>
      <c r="FI63" s="48">
        <v>0</v>
      </c>
      <c r="FJ63" s="48">
        <v>0</v>
      </c>
      <c r="FK63" s="48">
        <v>0</v>
      </c>
      <c r="FL63" s="48">
        <v>0</v>
      </c>
      <c r="FM63" s="48">
        <v>0</v>
      </c>
      <c r="FN63" s="48">
        <v>0</v>
      </c>
      <c r="FO63" s="48">
        <v>0</v>
      </c>
      <c r="FP63" s="48">
        <v>0</v>
      </c>
      <c r="FQ63" s="48">
        <v>0</v>
      </c>
      <c r="FR63" s="48">
        <v>0</v>
      </c>
      <c r="FS63" s="48">
        <v>0</v>
      </c>
      <c r="FT63" s="48">
        <v>0</v>
      </c>
      <c r="FU63" s="48">
        <v>0</v>
      </c>
      <c r="FV63" s="48">
        <v>0</v>
      </c>
      <c r="FW63" s="48">
        <v>0</v>
      </c>
      <c r="FX63" s="48">
        <v>0</v>
      </c>
      <c r="FY63" s="48">
        <v>0</v>
      </c>
      <c r="FZ63" s="48">
        <v>0</v>
      </c>
      <c r="GA63" s="48">
        <v>0</v>
      </c>
      <c r="GB63" s="48">
        <v>0</v>
      </c>
      <c r="GC63" s="48">
        <v>0</v>
      </c>
      <c r="GD63" s="48">
        <v>0</v>
      </c>
      <c r="GE63" s="48">
        <v>0</v>
      </c>
      <c r="GF63" s="48">
        <v>0</v>
      </c>
      <c r="GG63" s="48">
        <v>0</v>
      </c>
      <c r="GH63" s="48">
        <v>0</v>
      </c>
      <c r="GI63" s="48">
        <v>0</v>
      </c>
      <c r="GJ63" s="48">
        <v>0</v>
      </c>
      <c r="GK63" s="48">
        <v>0</v>
      </c>
      <c r="GL63" s="48">
        <v>0</v>
      </c>
      <c r="GM63" s="48">
        <v>0</v>
      </c>
      <c r="GN63" s="48">
        <v>0</v>
      </c>
      <c r="GO63" s="48">
        <v>0</v>
      </c>
      <c r="GP63" s="48">
        <v>0</v>
      </c>
      <c r="GQ63" s="48">
        <v>0</v>
      </c>
      <c r="GR63" s="48">
        <v>0</v>
      </c>
      <c r="GS63" s="48">
        <v>0</v>
      </c>
      <c r="GT63" s="48">
        <v>0</v>
      </c>
      <c r="GU63" s="48">
        <v>0</v>
      </c>
      <c r="GV63" s="48">
        <v>0</v>
      </c>
      <c r="GW63" s="48">
        <v>0</v>
      </c>
      <c r="GX63" s="48">
        <v>0</v>
      </c>
      <c r="GY63" s="48">
        <v>0</v>
      </c>
      <c r="GZ63" s="48">
        <v>0</v>
      </c>
      <c r="HA63" s="48">
        <v>0</v>
      </c>
      <c r="HB63" s="48">
        <v>0</v>
      </c>
      <c r="HC63" s="48">
        <v>0</v>
      </c>
      <c r="HD63" s="48">
        <v>0</v>
      </c>
      <c r="HE63" s="48">
        <v>0</v>
      </c>
      <c r="HF63" s="48">
        <v>0</v>
      </c>
      <c r="HG63" s="48">
        <v>0</v>
      </c>
      <c r="HH63" s="48">
        <v>0</v>
      </c>
      <c r="HI63" s="48">
        <v>0</v>
      </c>
      <c r="HJ63" s="48">
        <v>0</v>
      </c>
      <c r="HK63" s="48">
        <v>0</v>
      </c>
      <c r="HL63" s="48">
        <v>0</v>
      </c>
      <c r="HM63" s="48">
        <v>0</v>
      </c>
      <c r="HN63" s="48">
        <v>0</v>
      </c>
      <c r="HO63" s="48">
        <v>0</v>
      </c>
      <c r="HP63" s="48">
        <v>0</v>
      </c>
      <c r="HQ63" s="48">
        <v>0</v>
      </c>
      <c r="HR63" s="48">
        <v>0</v>
      </c>
      <c r="HS63" s="48">
        <v>0</v>
      </c>
      <c r="HT63" s="48">
        <v>0</v>
      </c>
      <c r="HU63" s="48">
        <v>0</v>
      </c>
      <c r="HV63" s="48">
        <v>0</v>
      </c>
      <c r="HW63" s="48">
        <v>0</v>
      </c>
      <c r="HX63" s="48">
        <v>0</v>
      </c>
      <c r="HY63" s="48">
        <v>0</v>
      </c>
      <c r="HZ63" s="48">
        <v>0</v>
      </c>
      <c r="IA63" s="48">
        <v>0</v>
      </c>
      <c r="IB63" s="48">
        <v>0</v>
      </c>
      <c r="IC63" s="48">
        <v>0</v>
      </c>
      <c r="ID63" s="48">
        <v>0</v>
      </c>
      <c r="IE63" s="48">
        <v>0</v>
      </c>
      <c r="IF63" s="48">
        <v>0</v>
      </c>
      <c r="IG63" s="48">
        <v>0</v>
      </c>
      <c r="IH63" s="48">
        <v>0</v>
      </c>
      <c r="II63" s="48">
        <v>0</v>
      </c>
      <c r="IJ63" s="48">
        <v>0</v>
      </c>
      <c r="IK63" s="48">
        <v>0</v>
      </c>
      <c r="IL63" s="48">
        <v>0</v>
      </c>
      <c r="IM63" s="48">
        <v>0</v>
      </c>
      <c r="IN63" s="48">
        <v>0</v>
      </c>
      <c r="IO63" s="48">
        <v>0</v>
      </c>
      <c r="IP63" s="23">
        <v>110409.9999999987</v>
      </c>
      <c r="IQ63" s="25">
        <v>41518</v>
      </c>
      <c r="IR63" s="25">
        <v>0</v>
      </c>
      <c r="IS63" s="26">
        <v>0</v>
      </c>
      <c r="IT63" s="26">
        <v>8638</v>
      </c>
      <c r="IU63" s="26">
        <v>75090</v>
      </c>
      <c r="IV63" s="9">
        <v>0</v>
      </c>
      <c r="IW63" s="38">
        <f t="shared" si="4"/>
        <v>235655.99999999872</v>
      </c>
    </row>
    <row r="64" spans="1:257" ht="30" customHeight="1" x14ac:dyDescent="0.25">
      <c r="A64" s="112" t="b">
        <v>0</v>
      </c>
      <c r="B64" s="113" t="str">
        <f>IFERROR(VLOOKUP(C64,'Bridge matrix'!$D$3:$E$727,2,FALSE)='symmetric IOT 245 2012'!D64,"FALSCH")</f>
        <v>FALSCH</v>
      </c>
      <c r="C64" s="108">
        <v>59</v>
      </c>
      <c r="D64" s="49" t="s">
        <v>1379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48">
        <v>0</v>
      </c>
      <c r="CB64" s="48">
        <v>0</v>
      </c>
      <c r="CC64" s="48">
        <v>0</v>
      </c>
      <c r="CD64" s="48">
        <v>0</v>
      </c>
      <c r="CE64" s="48">
        <v>0</v>
      </c>
      <c r="CF64" s="48">
        <v>0</v>
      </c>
      <c r="CG64" s="48">
        <v>0</v>
      </c>
      <c r="CH64" s="48">
        <v>0</v>
      </c>
      <c r="CI64" s="48">
        <v>0</v>
      </c>
      <c r="CJ64" s="48">
        <v>0</v>
      </c>
      <c r="CK64" s="48">
        <v>0</v>
      </c>
      <c r="CL64" s="48">
        <v>19036.999999999756</v>
      </c>
      <c r="CM64" s="48">
        <v>0</v>
      </c>
      <c r="CN64" s="48">
        <v>0</v>
      </c>
      <c r="CO64" s="48">
        <v>0</v>
      </c>
      <c r="CP64" s="48">
        <v>0</v>
      </c>
      <c r="CQ64" s="48">
        <v>0</v>
      </c>
      <c r="CR64" s="48">
        <v>0</v>
      </c>
      <c r="CS64" s="48">
        <v>0</v>
      </c>
      <c r="CT64" s="48">
        <v>0</v>
      </c>
      <c r="CU64" s="48">
        <v>0</v>
      </c>
      <c r="CV64" s="48">
        <v>0</v>
      </c>
      <c r="CW64" s="48">
        <v>0</v>
      </c>
      <c r="CX64" s="48">
        <v>0</v>
      </c>
      <c r="CY64" s="48">
        <v>0</v>
      </c>
      <c r="CZ64" s="48">
        <v>0</v>
      </c>
      <c r="DA64" s="48">
        <v>0</v>
      </c>
      <c r="DB64" s="48">
        <v>0</v>
      </c>
      <c r="DC64" s="48">
        <v>0</v>
      </c>
      <c r="DD64" s="48">
        <v>0</v>
      </c>
      <c r="DE64" s="48">
        <v>0</v>
      </c>
      <c r="DF64" s="48">
        <v>0</v>
      </c>
      <c r="DG64" s="48">
        <v>0</v>
      </c>
      <c r="DH64" s="48">
        <v>0</v>
      </c>
      <c r="DI64" s="48">
        <v>0</v>
      </c>
      <c r="DJ64" s="48">
        <v>0</v>
      </c>
      <c r="DK64" s="48">
        <v>0</v>
      </c>
      <c r="DL64" s="48">
        <v>0</v>
      </c>
      <c r="DM64" s="48">
        <v>0</v>
      </c>
      <c r="DN64" s="48">
        <v>0</v>
      </c>
      <c r="DO64" s="48">
        <v>0</v>
      </c>
      <c r="DP64" s="48">
        <v>0</v>
      </c>
      <c r="DQ64" s="48">
        <v>0</v>
      </c>
      <c r="DR64" s="48">
        <v>0</v>
      </c>
      <c r="DS64" s="48">
        <v>0</v>
      </c>
      <c r="DT64" s="48">
        <v>0</v>
      </c>
      <c r="DU64" s="48">
        <v>0</v>
      </c>
      <c r="DV64" s="48">
        <v>0</v>
      </c>
      <c r="DW64" s="48">
        <v>0</v>
      </c>
      <c r="DX64" s="48">
        <v>0</v>
      </c>
      <c r="DY64" s="48">
        <v>0</v>
      </c>
      <c r="DZ64" s="48">
        <v>0</v>
      </c>
      <c r="EA64" s="48">
        <v>0</v>
      </c>
      <c r="EB64" s="48">
        <v>0</v>
      </c>
      <c r="EC64" s="48">
        <v>0</v>
      </c>
      <c r="ED64" s="48">
        <v>0</v>
      </c>
      <c r="EE64" s="48">
        <v>0</v>
      </c>
      <c r="EF64" s="48">
        <v>0</v>
      </c>
      <c r="EG64" s="48">
        <v>0</v>
      </c>
      <c r="EH64" s="48">
        <v>0</v>
      </c>
      <c r="EI64" s="48">
        <v>0</v>
      </c>
      <c r="EJ64" s="48">
        <v>0</v>
      </c>
      <c r="EK64" s="48">
        <v>0</v>
      </c>
      <c r="EL64" s="48">
        <v>0</v>
      </c>
      <c r="EM64" s="48">
        <v>0</v>
      </c>
      <c r="EN64" s="48">
        <v>0</v>
      </c>
      <c r="EO64" s="48">
        <v>0</v>
      </c>
      <c r="EP64" s="48">
        <v>0</v>
      </c>
      <c r="EQ64" s="48">
        <v>0</v>
      </c>
      <c r="ER64" s="48">
        <v>0</v>
      </c>
      <c r="ES64" s="48">
        <v>0</v>
      </c>
      <c r="ET64" s="48">
        <v>0</v>
      </c>
      <c r="EU64" s="48">
        <v>0</v>
      </c>
      <c r="EV64" s="48">
        <v>0</v>
      </c>
      <c r="EW64" s="48">
        <v>0</v>
      </c>
      <c r="EX64" s="48">
        <v>0</v>
      </c>
      <c r="EY64" s="48">
        <v>0</v>
      </c>
      <c r="EZ64" s="48">
        <v>0</v>
      </c>
      <c r="FA64" s="48">
        <v>0</v>
      </c>
      <c r="FB64" s="48">
        <v>0</v>
      </c>
      <c r="FC64" s="48">
        <v>0</v>
      </c>
      <c r="FD64" s="48">
        <v>0</v>
      </c>
      <c r="FE64" s="48">
        <v>0</v>
      </c>
      <c r="FF64" s="48">
        <v>0</v>
      </c>
      <c r="FG64" s="48">
        <v>0</v>
      </c>
      <c r="FH64" s="48">
        <v>0</v>
      </c>
      <c r="FI64" s="48">
        <v>0</v>
      </c>
      <c r="FJ64" s="48">
        <v>0</v>
      </c>
      <c r="FK64" s="48">
        <v>0</v>
      </c>
      <c r="FL64" s="48">
        <v>0</v>
      </c>
      <c r="FM64" s="48">
        <v>0</v>
      </c>
      <c r="FN64" s="48">
        <v>0</v>
      </c>
      <c r="FO64" s="48">
        <v>0</v>
      </c>
      <c r="FP64" s="48">
        <v>0</v>
      </c>
      <c r="FQ64" s="48">
        <v>0</v>
      </c>
      <c r="FR64" s="48">
        <v>0</v>
      </c>
      <c r="FS64" s="48">
        <v>0</v>
      </c>
      <c r="FT64" s="48">
        <v>0</v>
      </c>
      <c r="FU64" s="48">
        <v>0</v>
      </c>
      <c r="FV64" s="48">
        <v>0</v>
      </c>
      <c r="FW64" s="48">
        <v>0</v>
      </c>
      <c r="FX64" s="48">
        <v>0</v>
      </c>
      <c r="FY64" s="48">
        <v>0</v>
      </c>
      <c r="FZ64" s="48">
        <v>0</v>
      </c>
      <c r="GA64" s="48">
        <v>0</v>
      </c>
      <c r="GB64" s="48">
        <v>0</v>
      </c>
      <c r="GC64" s="48">
        <v>0</v>
      </c>
      <c r="GD64" s="48">
        <v>0</v>
      </c>
      <c r="GE64" s="48">
        <v>0</v>
      </c>
      <c r="GF64" s="48">
        <v>0</v>
      </c>
      <c r="GG64" s="48">
        <v>0</v>
      </c>
      <c r="GH64" s="48">
        <v>0</v>
      </c>
      <c r="GI64" s="48">
        <v>0</v>
      </c>
      <c r="GJ64" s="48">
        <v>0</v>
      </c>
      <c r="GK64" s="48">
        <v>0</v>
      </c>
      <c r="GL64" s="48">
        <v>0</v>
      </c>
      <c r="GM64" s="48">
        <v>0</v>
      </c>
      <c r="GN64" s="48">
        <v>0</v>
      </c>
      <c r="GO64" s="48">
        <v>0</v>
      </c>
      <c r="GP64" s="48">
        <v>0</v>
      </c>
      <c r="GQ64" s="48">
        <v>0</v>
      </c>
      <c r="GR64" s="48">
        <v>0</v>
      </c>
      <c r="GS64" s="48">
        <v>0</v>
      </c>
      <c r="GT64" s="48">
        <v>0</v>
      </c>
      <c r="GU64" s="48">
        <v>0</v>
      </c>
      <c r="GV64" s="48">
        <v>0</v>
      </c>
      <c r="GW64" s="48">
        <v>0</v>
      </c>
      <c r="GX64" s="48">
        <v>0</v>
      </c>
      <c r="GY64" s="48">
        <v>0</v>
      </c>
      <c r="GZ64" s="48">
        <v>0</v>
      </c>
      <c r="HA64" s="48">
        <v>0</v>
      </c>
      <c r="HB64" s="48">
        <v>0</v>
      </c>
      <c r="HC64" s="48">
        <v>0</v>
      </c>
      <c r="HD64" s="48">
        <v>0</v>
      </c>
      <c r="HE64" s="48">
        <v>0</v>
      </c>
      <c r="HF64" s="48">
        <v>0</v>
      </c>
      <c r="HG64" s="48">
        <v>0</v>
      </c>
      <c r="HH64" s="48">
        <v>0</v>
      </c>
      <c r="HI64" s="48">
        <v>0</v>
      </c>
      <c r="HJ64" s="48">
        <v>0</v>
      </c>
      <c r="HK64" s="48">
        <v>0</v>
      </c>
      <c r="HL64" s="48">
        <v>0</v>
      </c>
      <c r="HM64" s="48">
        <v>0</v>
      </c>
      <c r="HN64" s="48">
        <v>0</v>
      </c>
      <c r="HO64" s="48">
        <v>0</v>
      </c>
      <c r="HP64" s="48">
        <v>0</v>
      </c>
      <c r="HQ64" s="48">
        <v>0</v>
      </c>
      <c r="HR64" s="48">
        <v>0</v>
      </c>
      <c r="HS64" s="48">
        <v>0</v>
      </c>
      <c r="HT64" s="48">
        <v>0</v>
      </c>
      <c r="HU64" s="48">
        <v>0</v>
      </c>
      <c r="HV64" s="48">
        <v>0</v>
      </c>
      <c r="HW64" s="48">
        <v>0</v>
      </c>
      <c r="HX64" s="48">
        <v>0</v>
      </c>
      <c r="HY64" s="48">
        <v>0</v>
      </c>
      <c r="HZ64" s="48">
        <v>0</v>
      </c>
      <c r="IA64" s="48">
        <v>0</v>
      </c>
      <c r="IB64" s="48">
        <v>0</v>
      </c>
      <c r="IC64" s="48">
        <v>0</v>
      </c>
      <c r="ID64" s="48">
        <v>0</v>
      </c>
      <c r="IE64" s="48">
        <v>0</v>
      </c>
      <c r="IF64" s="48">
        <v>0</v>
      </c>
      <c r="IG64" s="48">
        <v>0</v>
      </c>
      <c r="IH64" s="48">
        <v>0</v>
      </c>
      <c r="II64" s="48">
        <v>0</v>
      </c>
      <c r="IJ64" s="48">
        <v>0</v>
      </c>
      <c r="IK64" s="48">
        <v>0</v>
      </c>
      <c r="IL64" s="48">
        <v>0</v>
      </c>
      <c r="IM64" s="48">
        <v>0</v>
      </c>
      <c r="IN64" s="48">
        <v>0</v>
      </c>
      <c r="IO64" s="48">
        <v>0</v>
      </c>
      <c r="IP64" s="23">
        <v>19036.999999999756</v>
      </c>
      <c r="IQ64" s="25">
        <v>6012</v>
      </c>
      <c r="IR64" s="25">
        <v>0</v>
      </c>
      <c r="IS64" s="26">
        <v>0</v>
      </c>
      <c r="IT64" s="26">
        <v>1403</v>
      </c>
      <c r="IU64" s="26">
        <v>17399</v>
      </c>
      <c r="IV64" s="9">
        <v>0</v>
      </c>
      <c r="IW64" s="38">
        <f t="shared" si="4"/>
        <v>43850.999999999753</v>
      </c>
    </row>
    <row r="65" spans="1:257" ht="30" customHeight="1" x14ac:dyDescent="0.25">
      <c r="A65" s="112" t="b">
        <v>0</v>
      </c>
      <c r="B65" s="113" t="b">
        <f>IFERROR(VLOOKUP(C65,'Bridge matrix'!$D$3:$E$727,2,FALSE)='symmetric IOT 245 2012'!D65,"FALSCH")</f>
        <v>1</v>
      </c>
      <c r="C65" s="108">
        <v>60</v>
      </c>
      <c r="D65" s="49" t="s">
        <v>1380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  <c r="CM65" s="48">
        <v>0</v>
      </c>
      <c r="CN65" s="48">
        <v>0</v>
      </c>
      <c r="CO65" s="48">
        <v>0</v>
      </c>
      <c r="CP65" s="48">
        <v>0</v>
      </c>
      <c r="CQ65" s="48">
        <v>0</v>
      </c>
      <c r="CR65" s="48">
        <v>0</v>
      </c>
      <c r="CS65" s="48">
        <v>0</v>
      </c>
      <c r="CT65" s="48">
        <v>0</v>
      </c>
      <c r="CU65" s="48">
        <v>0</v>
      </c>
      <c r="CV65" s="48">
        <v>0</v>
      </c>
      <c r="CW65" s="48">
        <v>0</v>
      </c>
      <c r="CX65" s="48">
        <v>0</v>
      </c>
      <c r="CY65" s="48">
        <v>0</v>
      </c>
      <c r="CZ65" s="48">
        <v>0</v>
      </c>
      <c r="DA65" s="48">
        <v>0</v>
      </c>
      <c r="DB65" s="48">
        <v>0</v>
      </c>
      <c r="DC65" s="48">
        <v>0</v>
      </c>
      <c r="DD65" s="48">
        <v>0</v>
      </c>
      <c r="DE65" s="48">
        <v>0</v>
      </c>
      <c r="DF65" s="48">
        <v>0</v>
      </c>
      <c r="DG65" s="48">
        <v>0</v>
      </c>
      <c r="DH65" s="48">
        <v>0</v>
      </c>
      <c r="DI65" s="48">
        <v>0</v>
      </c>
      <c r="DJ65" s="48">
        <v>0</v>
      </c>
      <c r="DK65" s="48">
        <v>0</v>
      </c>
      <c r="DL65" s="48">
        <v>0</v>
      </c>
      <c r="DM65" s="48">
        <v>0</v>
      </c>
      <c r="DN65" s="48">
        <v>0</v>
      </c>
      <c r="DO65" s="48">
        <v>0</v>
      </c>
      <c r="DP65" s="48">
        <v>0</v>
      </c>
      <c r="DQ65" s="48">
        <v>0</v>
      </c>
      <c r="DR65" s="48">
        <v>0</v>
      </c>
      <c r="DS65" s="48">
        <v>0</v>
      </c>
      <c r="DT65" s="48">
        <v>0</v>
      </c>
      <c r="DU65" s="48">
        <v>0</v>
      </c>
      <c r="DV65" s="48">
        <v>0</v>
      </c>
      <c r="DW65" s="48">
        <v>0</v>
      </c>
      <c r="DX65" s="48">
        <v>0</v>
      </c>
      <c r="DY65" s="48">
        <v>0</v>
      </c>
      <c r="DZ65" s="48">
        <v>0</v>
      </c>
      <c r="EA65" s="48">
        <v>0</v>
      </c>
      <c r="EB65" s="48">
        <v>0</v>
      </c>
      <c r="EC65" s="48">
        <v>0</v>
      </c>
      <c r="ED65" s="48">
        <v>0</v>
      </c>
      <c r="EE65" s="48">
        <v>0</v>
      </c>
      <c r="EF65" s="48">
        <v>0</v>
      </c>
      <c r="EG65" s="48">
        <v>0</v>
      </c>
      <c r="EH65" s="48">
        <v>0</v>
      </c>
      <c r="EI65" s="48">
        <v>0</v>
      </c>
      <c r="EJ65" s="48">
        <v>0</v>
      </c>
      <c r="EK65" s="48">
        <v>0</v>
      </c>
      <c r="EL65" s="48">
        <v>0</v>
      </c>
      <c r="EM65" s="48">
        <v>0</v>
      </c>
      <c r="EN65" s="48">
        <v>0</v>
      </c>
      <c r="EO65" s="48">
        <v>0</v>
      </c>
      <c r="EP65" s="48">
        <v>0</v>
      </c>
      <c r="EQ65" s="48">
        <v>0</v>
      </c>
      <c r="ER65" s="48">
        <v>0</v>
      </c>
      <c r="ES65" s="48">
        <v>0</v>
      </c>
      <c r="ET65" s="48">
        <v>0</v>
      </c>
      <c r="EU65" s="48">
        <v>0</v>
      </c>
      <c r="EV65" s="48">
        <v>0</v>
      </c>
      <c r="EW65" s="48">
        <v>0</v>
      </c>
      <c r="EX65" s="48">
        <v>0</v>
      </c>
      <c r="EY65" s="48">
        <v>0</v>
      </c>
      <c r="EZ65" s="48">
        <v>0</v>
      </c>
      <c r="FA65" s="48">
        <v>0</v>
      </c>
      <c r="FB65" s="48">
        <v>0</v>
      </c>
      <c r="FC65" s="48">
        <v>0</v>
      </c>
      <c r="FD65" s="48">
        <v>0</v>
      </c>
      <c r="FE65" s="48">
        <v>0</v>
      </c>
      <c r="FF65" s="48">
        <v>0</v>
      </c>
      <c r="FG65" s="48">
        <v>0</v>
      </c>
      <c r="FH65" s="48">
        <v>0</v>
      </c>
      <c r="FI65" s="48">
        <v>0</v>
      </c>
      <c r="FJ65" s="48">
        <v>0</v>
      </c>
      <c r="FK65" s="48">
        <v>0</v>
      </c>
      <c r="FL65" s="48">
        <v>0</v>
      </c>
      <c r="FM65" s="48">
        <v>0</v>
      </c>
      <c r="FN65" s="48">
        <v>0</v>
      </c>
      <c r="FO65" s="48">
        <v>0</v>
      </c>
      <c r="FP65" s="48">
        <v>0</v>
      </c>
      <c r="FQ65" s="48">
        <v>0</v>
      </c>
      <c r="FR65" s="48">
        <v>0</v>
      </c>
      <c r="FS65" s="48">
        <v>0</v>
      </c>
      <c r="FT65" s="48">
        <v>0</v>
      </c>
      <c r="FU65" s="48">
        <v>0</v>
      </c>
      <c r="FV65" s="48">
        <v>0</v>
      </c>
      <c r="FW65" s="48">
        <v>0</v>
      </c>
      <c r="FX65" s="48">
        <v>0</v>
      </c>
      <c r="FY65" s="48">
        <v>0</v>
      </c>
      <c r="FZ65" s="48">
        <v>0</v>
      </c>
      <c r="GA65" s="48">
        <v>0</v>
      </c>
      <c r="GB65" s="48">
        <v>0</v>
      </c>
      <c r="GC65" s="48">
        <v>0</v>
      </c>
      <c r="GD65" s="48">
        <v>0</v>
      </c>
      <c r="GE65" s="48">
        <v>0</v>
      </c>
      <c r="GF65" s="48">
        <v>0</v>
      </c>
      <c r="GG65" s="48">
        <v>0</v>
      </c>
      <c r="GH65" s="48">
        <v>0</v>
      </c>
      <c r="GI65" s="48">
        <v>0</v>
      </c>
      <c r="GJ65" s="48">
        <v>0</v>
      </c>
      <c r="GK65" s="48">
        <v>0</v>
      </c>
      <c r="GL65" s="48">
        <v>0</v>
      </c>
      <c r="GM65" s="48">
        <v>0</v>
      </c>
      <c r="GN65" s="48">
        <v>0</v>
      </c>
      <c r="GO65" s="48">
        <v>0</v>
      </c>
      <c r="GP65" s="48">
        <v>0</v>
      </c>
      <c r="GQ65" s="48">
        <v>0</v>
      </c>
      <c r="GR65" s="48">
        <v>0</v>
      </c>
      <c r="GS65" s="48">
        <v>0</v>
      </c>
      <c r="GT65" s="48">
        <v>0</v>
      </c>
      <c r="GU65" s="48">
        <v>0</v>
      </c>
      <c r="GV65" s="48">
        <v>0</v>
      </c>
      <c r="GW65" s="48">
        <v>0</v>
      </c>
      <c r="GX65" s="48">
        <v>0</v>
      </c>
      <c r="GY65" s="48">
        <v>0</v>
      </c>
      <c r="GZ65" s="48">
        <v>0</v>
      </c>
      <c r="HA65" s="48">
        <v>0</v>
      </c>
      <c r="HB65" s="48">
        <v>0</v>
      </c>
      <c r="HC65" s="48">
        <v>0</v>
      </c>
      <c r="HD65" s="48">
        <v>0</v>
      </c>
      <c r="HE65" s="48">
        <v>0</v>
      </c>
      <c r="HF65" s="48">
        <v>0</v>
      </c>
      <c r="HG65" s="48">
        <v>0</v>
      </c>
      <c r="HH65" s="48">
        <v>0</v>
      </c>
      <c r="HI65" s="48">
        <v>0</v>
      </c>
      <c r="HJ65" s="48">
        <v>0</v>
      </c>
      <c r="HK65" s="48">
        <v>0</v>
      </c>
      <c r="HL65" s="48">
        <v>0</v>
      </c>
      <c r="HM65" s="48">
        <v>0</v>
      </c>
      <c r="HN65" s="48">
        <v>0</v>
      </c>
      <c r="HO65" s="48">
        <v>0</v>
      </c>
      <c r="HP65" s="48">
        <v>0</v>
      </c>
      <c r="HQ65" s="48">
        <v>0</v>
      </c>
      <c r="HR65" s="48">
        <v>0</v>
      </c>
      <c r="HS65" s="48">
        <v>0</v>
      </c>
      <c r="HT65" s="48">
        <v>0</v>
      </c>
      <c r="HU65" s="48">
        <v>0</v>
      </c>
      <c r="HV65" s="48">
        <v>0</v>
      </c>
      <c r="HW65" s="48">
        <v>0</v>
      </c>
      <c r="HX65" s="48">
        <v>0</v>
      </c>
      <c r="HY65" s="48">
        <v>0</v>
      </c>
      <c r="HZ65" s="48">
        <v>0</v>
      </c>
      <c r="IA65" s="48">
        <v>0</v>
      </c>
      <c r="IB65" s="48">
        <v>0</v>
      </c>
      <c r="IC65" s="48">
        <v>0</v>
      </c>
      <c r="ID65" s="48">
        <v>0</v>
      </c>
      <c r="IE65" s="48">
        <v>0</v>
      </c>
      <c r="IF65" s="48">
        <v>0</v>
      </c>
      <c r="IG65" s="48">
        <v>0</v>
      </c>
      <c r="IH65" s="48">
        <v>0</v>
      </c>
      <c r="II65" s="48">
        <v>0</v>
      </c>
      <c r="IJ65" s="48">
        <v>0</v>
      </c>
      <c r="IK65" s="48">
        <v>0</v>
      </c>
      <c r="IL65" s="48">
        <v>0</v>
      </c>
      <c r="IM65" s="48">
        <v>0</v>
      </c>
      <c r="IN65" s="48">
        <v>0</v>
      </c>
      <c r="IO65" s="48">
        <v>0</v>
      </c>
      <c r="IP65" s="23">
        <v>0</v>
      </c>
      <c r="IQ65" s="25">
        <v>0</v>
      </c>
      <c r="IR65" s="25">
        <v>0</v>
      </c>
      <c r="IS65" s="26">
        <v>0</v>
      </c>
      <c r="IT65" s="26">
        <v>0</v>
      </c>
      <c r="IU65" s="26">
        <v>0</v>
      </c>
      <c r="IV65" s="9">
        <v>396</v>
      </c>
      <c r="IW65" s="38">
        <f t="shared" si="4"/>
        <v>396</v>
      </c>
    </row>
    <row r="66" spans="1:257" ht="30" customHeight="1" x14ac:dyDescent="0.25">
      <c r="A66" s="112" t="b">
        <v>0</v>
      </c>
      <c r="B66" s="113" t="b">
        <f>IFERROR(VLOOKUP(C66,'Bridge matrix'!$D$3:$E$727,2,FALSE)='symmetric IOT 245 2012'!D66,"FALSCH")</f>
        <v>1</v>
      </c>
      <c r="C66" s="108">
        <v>61</v>
      </c>
      <c r="D66" s="49" t="s">
        <v>655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3874.063546948214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  <c r="CM66" s="48">
        <v>0</v>
      </c>
      <c r="CN66" s="48">
        <v>12.065688171296888</v>
      </c>
      <c r="CO66" s="48">
        <v>0</v>
      </c>
      <c r="CP66" s="48">
        <v>0</v>
      </c>
      <c r="CQ66" s="48">
        <v>0</v>
      </c>
      <c r="CR66" s="48">
        <v>0</v>
      </c>
      <c r="CS66" s="48">
        <v>0</v>
      </c>
      <c r="CT66" s="48">
        <v>1.6151555714029663E-2</v>
      </c>
      <c r="CU66" s="48">
        <v>5.5635181911592446E-3</v>
      </c>
      <c r="CV66" s="48">
        <v>1.3040632272740318E-2</v>
      </c>
      <c r="CW66" s="48">
        <v>0</v>
      </c>
      <c r="CX66" s="48">
        <v>27.728889423936241</v>
      </c>
      <c r="CY66" s="48">
        <v>39.227118415443506</v>
      </c>
      <c r="CZ66" s="48">
        <v>69.459620256177544</v>
      </c>
      <c r="DA66" s="48">
        <v>2.2499153040556746E-4</v>
      </c>
      <c r="DB66" s="48">
        <v>930.82839391804907</v>
      </c>
      <c r="DC66" s="48">
        <v>7.2334527143512782E-3</v>
      </c>
      <c r="DD66" s="48">
        <v>6639.0256840256488</v>
      </c>
      <c r="DE66" s="48">
        <v>483.30826527344027</v>
      </c>
      <c r="DF66" s="48">
        <v>0</v>
      </c>
      <c r="DG66" s="48">
        <v>0</v>
      </c>
      <c r="DH66" s="48">
        <v>0</v>
      </c>
      <c r="DI66" s="48">
        <v>65.513133094898123</v>
      </c>
      <c r="DJ66" s="48">
        <v>0</v>
      </c>
      <c r="DK66" s="48">
        <v>0</v>
      </c>
      <c r="DL66" s="48">
        <v>244.02143313922306</v>
      </c>
      <c r="DM66" s="48">
        <v>0</v>
      </c>
      <c r="DN66" s="48">
        <v>0</v>
      </c>
      <c r="DO66" s="48">
        <v>0</v>
      </c>
      <c r="DP66" s="48">
        <v>0</v>
      </c>
      <c r="DQ66" s="48">
        <v>0</v>
      </c>
      <c r="DR66" s="48">
        <v>1.2152902190012425E-9</v>
      </c>
      <c r="DS66" s="48">
        <v>0</v>
      </c>
      <c r="DT66" s="48">
        <v>0</v>
      </c>
      <c r="DU66" s="48">
        <v>0</v>
      </c>
      <c r="DV66" s="48">
        <v>0</v>
      </c>
      <c r="DW66" s="48">
        <v>0</v>
      </c>
      <c r="DX66" s="48">
        <v>0</v>
      </c>
      <c r="DY66" s="48">
        <v>4.6394026388402837E-15</v>
      </c>
      <c r="DZ66" s="48">
        <v>0</v>
      </c>
      <c r="EA66" s="48">
        <v>0</v>
      </c>
      <c r="EB66" s="48">
        <v>1.2914352851319356E-8</v>
      </c>
      <c r="EC66" s="48">
        <v>3.7351286080778515E-10</v>
      </c>
      <c r="ED66" s="48">
        <v>0</v>
      </c>
      <c r="EE66" s="48">
        <v>0</v>
      </c>
      <c r="EF66" s="48">
        <v>0</v>
      </c>
      <c r="EG66" s="48">
        <v>0</v>
      </c>
      <c r="EH66" s="48">
        <v>0</v>
      </c>
      <c r="EI66" s="48">
        <v>1.3715240028960526E-5</v>
      </c>
      <c r="EJ66" s="48">
        <v>2.5485697297570204E-4</v>
      </c>
      <c r="EK66" s="48">
        <v>0</v>
      </c>
      <c r="EL66" s="48">
        <v>0</v>
      </c>
      <c r="EM66" s="48">
        <v>0</v>
      </c>
      <c r="EN66" s="48">
        <v>0</v>
      </c>
      <c r="EO66" s="48">
        <v>0</v>
      </c>
      <c r="EP66" s="48">
        <v>0</v>
      </c>
      <c r="EQ66" s="48">
        <v>0</v>
      </c>
      <c r="ER66" s="48">
        <v>3.2230776135314914E-10</v>
      </c>
      <c r="ES66" s="48">
        <v>5.636051620487866E-12</v>
      </c>
      <c r="ET66" s="48">
        <v>0</v>
      </c>
      <c r="EU66" s="48">
        <v>0</v>
      </c>
      <c r="EV66" s="48">
        <v>0</v>
      </c>
      <c r="EW66" s="48">
        <v>4.0121820285286092E-10</v>
      </c>
      <c r="EX66" s="48">
        <v>0</v>
      </c>
      <c r="EY66" s="48">
        <v>9.7438048678215235E-8</v>
      </c>
      <c r="EZ66" s="48">
        <v>0</v>
      </c>
      <c r="FA66" s="48">
        <v>8.1669056574753479E-14</v>
      </c>
      <c r="FB66" s="48">
        <v>2.2390102815267606E-15</v>
      </c>
      <c r="FC66" s="48">
        <v>0</v>
      </c>
      <c r="FD66" s="48">
        <v>0</v>
      </c>
      <c r="FE66" s="48">
        <v>0</v>
      </c>
      <c r="FF66" s="48">
        <v>0</v>
      </c>
      <c r="FG66" s="48">
        <v>0</v>
      </c>
      <c r="FH66" s="48">
        <v>0</v>
      </c>
      <c r="FI66" s="48">
        <v>0</v>
      </c>
      <c r="FJ66" s="48">
        <v>0</v>
      </c>
      <c r="FK66" s="48">
        <v>0</v>
      </c>
      <c r="FL66" s="48">
        <v>0</v>
      </c>
      <c r="FM66" s="48">
        <v>4.2704697175121119E-10</v>
      </c>
      <c r="FN66" s="48">
        <v>0</v>
      </c>
      <c r="FO66" s="48">
        <v>0</v>
      </c>
      <c r="FP66" s="48">
        <v>1.817469901431925E-8</v>
      </c>
      <c r="FQ66" s="48">
        <v>0</v>
      </c>
      <c r="FR66" s="48">
        <v>0</v>
      </c>
      <c r="FS66" s="48">
        <v>0</v>
      </c>
      <c r="FT66" s="48">
        <v>0</v>
      </c>
      <c r="FU66" s="48">
        <v>0</v>
      </c>
      <c r="FV66" s="48">
        <v>1.5167484934643084E-14</v>
      </c>
      <c r="FW66" s="48">
        <v>0</v>
      </c>
      <c r="FX66" s="48">
        <v>0</v>
      </c>
      <c r="FY66" s="48">
        <v>0</v>
      </c>
      <c r="FZ66" s="48">
        <v>0</v>
      </c>
      <c r="GA66" s="48">
        <v>0</v>
      </c>
      <c r="GB66" s="48">
        <v>0</v>
      </c>
      <c r="GC66" s="48">
        <v>0</v>
      </c>
      <c r="GD66" s="48">
        <v>0</v>
      </c>
      <c r="GE66" s="48">
        <v>19.932262966229395</v>
      </c>
      <c r="GF66" s="48">
        <v>6377.84926010649</v>
      </c>
      <c r="GG66" s="48">
        <v>0</v>
      </c>
      <c r="GH66" s="48">
        <v>0</v>
      </c>
      <c r="GI66" s="48">
        <v>0</v>
      </c>
      <c r="GJ66" s="48">
        <v>0</v>
      </c>
      <c r="GK66" s="48">
        <v>0</v>
      </c>
      <c r="GL66" s="48">
        <v>0</v>
      </c>
      <c r="GM66" s="48">
        <v>0</v>
      </c>
      <c r="GN66" s="48">
        <v>0</v>
      </c>
      <c r="GO66" s="48">
        <v>0</v>
      </c>
      <c r="GP66" s="48">
        <v>0</v>
      </c>
      <c r="GQ66" s="48">
        <v>0</v>
      </c>
      <c r="GR66" s="48">
        <v>0</v>
      </c>
      <c r="GS66" s="48">
        <v>0</v>
      </c>
      <c r="GT66" s="48">
        <v>0</v>
      </c>
      <c r="GU66" s="48">
        <v>0</v>
      </c>
      <c r="GV66" s="48">
        <v>0</v>
      </c>
      <c r="GW66" s="48">
        <v>0</v>
      </c>
      <c r="GX66" s="48">
        <v>0</v>
      </c>
      <c r="GY66" s="48">
        <v>0</v>
      </c>
      <c r="GZ66" s="48">
        <v>0</v>
      </c>
      <c r="HA66" s="48">
        <v>0</v>
      </c>
      <c r="HB66" s="48">
        <v>0</v>
      </c>
      <c r="HC66" s="48">
        <v>0</v>
      </c>
      <c r="HD66" s="48">
        <v>0</v>
      </c>
      <c r="HE66" s="48">
        <v>0</v>
      </c>
      <c r="HF66" s="48">
        <v>0</v>
      </c>
      <c r="HG66" s="48">
        <v>0</v>
      </c>
      <c r="HH66" s="48">
        <v>0</v>
      </c>
      <c r="HI66" s="48">
        <v>0</v>
      </c>
      <c r="HJ66" s="48">
        <v>0</v>
      </c>
      <c r="HK66" s="48">
        <v>0</v>
      </c>
      <c r="HL66" s="48">
        <v>0</v>
      </c>
      <c r="HM66" s="48">
        <v>0</v>
      </c>
      <c r="HN66" s="48">
        <v>0</v>
      </c>
      <c r="HO66" s="48">
        <v>0</v>
      </c>
      <c r="HP66" s="48">
        <v>0</v>
      </c>
      <c r="HQ66" s="48">
        <v>0</v>
      </c>
      <c r="HR66" s="48">
        <v>0</v>
      </c>
      <c r="HS66" s="48">
        <v>0</v>
      </c>
      <c r="HT66" s="48">
        <v>0</v>
      </c>
      <c r="HU66" s="48">
        <v>0</v>
      </c>
      <c r="HV66" s="48">
        <v>40.341919971282408</v>
      </c>
      <c r="HW66" s="48">
        <v>0</v>
      </c>
      <c r="HX66" s="48">
        <v>259.39354618642727</v>
      </c>
      <c r="HY66" s="48">
        <v>220.22602007696557</v>
      </c>
      <c r="HZ66" s="48">
        <v>325.99085482714366</v>
      </c>
      <c r="IA66" s="48">
        <v>92.765725275845242</v>
      </c>
      <c r="IB66" s="48">
        <v>4.5982642118212329</v>
      </c>
      <c r="IC66" s="48">
        <v>0</v>
      </c>
      <c r="ID66" s="48">
        <v>0</v>
      </c>
      <c r="IE66" s="48">
        <v>0</v>
      </c>
      <c r="IF66" s="48">
        <v>0</v>
      </c>
      <c r="IG66" s="48">
        <v>449.00603397291837</v>
      </c>
      <c r="IH66" s="48">
        <v>17.128216817076311</v>
      </c>
      <c r="II66" s="48">
        <v>9.8623388292547176</v>
      </c>
      <c r="IJ66" s="48">
        <v>50.447665363572057</v>
      </c>
      <c r="IK66" s="48">
        <v>992.7939302522683</v>
      </c>
      <c r="IL66" s="48">
        <v>0</v>
      </c>
      <c r="IM66" s="48">
        <v>159.37970562234329</v>
      </c>
      <c r="IN66" s="48">
        <v>0</v>
      </c>
      <c r="IO66" s="48">
        <v>0</v>
      </c>
      <c r="IP66" s="23">
        <v>21404.999999999876</v>
      </c>
      <c r="IQ66" s="25">
        <v>105564</v>
      </c>
      <c r="IR66" s="25">
        <v>0</v>
      </c>
      <c r="IS66" s="26">
        <v>0</v>
      </c>
      <c r="IT66" s="26">
        <v>0</v>
      </c>
      <c r="IU66" s="26">
        <v>0</v>
      </c>
      <c r="IV66" s="9">
        <v>0</v>
      </c>
      <c r="IW66" s="38">
        <f t="shared" si="4"/>
        <v>126968.99999999988</v>
      </c>
    </row>
    <row r="67" spans="1:257" ht="30" customHeight="1" x14ac:dyDescent="0.25">
      <c r="A67" s="112" t="b">
        <v>0</v>
      </c>
      <c r="B67" s="113" t="str">
        <f>IFERROR(VLOOKUP(C67,'Bridge matrix'!$D$3:$E$727,2,FALSE)='symmetric IOT 245 2012'!D67,"FALSCH")</f>
        <v>FALSCH</v>
      </c>
      <c r="C67" s="108">
        <v>62</v>
      </c>
      <c r="D67" s="49" t="s">
        <v>1381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2.2329424008642665E-8</v>
      </c>
      <c r="CM67" s="48">
        <v>0</v>
      </c>
      <c r="CN67" s="48">
        <v>0</v>
      </c>
      <c r="CO67" s="48">
        <v>0</v>
      </c>
      <c r="CP67" s="48">
        <v>0</v>
      </c>
      <c r="CQ67" s="48">
        <v>0</v>
      </c>
      <c r="CR67" s="48">
        <v>7.2199319168003531E-10</v>
      </c>
      <c r="CS67" s="48">
        <v>0</v>
      </c>
      <c r="CT67" s="48">
        <v>0</v>
      </c>
      <c r="CU67" s="48">
        <v>0</v>
      </c>
      <c r="CV67" s="48">
        <v>0</v>
      </c>
      <c r="CW67" s="48">
        <v>0</v>
      </c>
      <c r="CX67" s="48">
        <v>945.36521684972035</v>
      </c>
      <c r="CY67" s="48">
        <v>0</v>
      </c>
      <c r="CZ67" s="48">
        <v>5.2721692531447926E-3</v>
      </c>
      <c r="DA67" s="48">
        <v>0</v>
      </c>
      <c r="DB67" s="48">
        <v>0</v>
      </c>
      <c r="DC67" s="48">
        <v>0</v>
      </c>
      <c r="DD67" s="48">
        <v>894.5411776399236</v>
      </c>
      <c r="DE67" s="48">
        <v>3.3620722467282357E-2</v>
      </c>
      <c r="DF67" s="48">
        <v>0</v>
      </c>
      <c r="DG67" s="48">
        <v>0</v>
      </c>
      <c r="DH67" s="48">
        <v>68.464500324783259</v>
      </c>
      <c r="DI67" s="48">
        <v>241.33903009236371</v>
      </c>
      <c r="DJ67" s="48">
        <v>1.501517800438284E-7</v>
      </c>
      <c r="DK67" s="48">
        <v>9.8977247309461697E-2</v>
      </c>
      <c r="DL67" s="48">
        <v>0</v>
      </c>
      <c r="DM67" s="48">
        <v>6.4876631599687187</v>
      </c>
      <c r="DN67" s="48">
        <v>0</v>
      </c>
      <c r="DO67" s="48">
        <v>0</v>
      </c>
      <c r="DP67" s="48">
        <v>0</v>
      </c>
      <c r="DQ67" s="48">
        <v>0</v>
      </c>
      <c r="DR67" s="48">
        <v>0</v>
      </c>
      <c r="DS67" s="48">
        <v>0</v>
      </c>
      <c r="DT67" s="48">
        <v>0</v>
      </c>
      <c r="DU67" s="48">
        <v>0</v>
      </c>
      <c r="DV67" s="48">
        <v>0</v>
      </c>
      <c r="DW67" s="48">
        <v>0</v>
      </c>
      <c r="DX67" s="48">
        <v>0</v>
      </c>
      <c r="DY67" s="48">
        <v>0</v>
      </c>
      <c r="DZ67" s="48">
        <v>0</v>
      </c>
      <c r="EA67" s="48">
        <v>0</v>
      </c>
      <c r="EB67" s="48">
        <v>0</v>
      </c>
      <c r="EC67" s="48">
        <v>0</v>
      </c>
      <c r="ED67" s="48">
        <v>0</v>
      </c>
      <c r="EE67" s="48">
        <v>0</v>
      </c>
      <c r="EF67" s="48">
        <v>0</v>
      </c>
      <c r="EG67" s="48">
        <v>0</v>
      </c>
      <c r="EH67" s="48">
        <v>0</v>
      </c>
      <c r="EI67" s="48">
        <v>0</v>
      </c>
      <c r="EJ67" s="48">
        <v>0</v>
      </c>
      <c r="EK67" s="48">
        <v>0</v>
      </c>
      <c r="EL67" s="48">
        <v>3.1246105692890472E-8</v>
      </c>
      <c r="EM67" s="48">
        <v>0</v>
      </c>
      <c r="EN67" s="48">
        <v>1.4111589279490195E-3</v>
      </c>
      <c r="EO67" s="48">
        <v>0</v>
      </c>
      <c r="EP67" s="48">
        <v>8.609298786570352E-8</v>
      </c>
      <c r="EQ67" s="48">
        <v>0</v>
      </c>
      <c r="ER67" s="48">
        <v>0</v>
      </c>
      <c r="ES67" s="48">
        <v>0</v>
      </c>
      <c r="ET67" s="48">
        <v>1.02148524232525E-8</v>
      </c>
      <c r="EU67" s="48">
        <v>0</v>
      </c>
      <c r="EV67" s="48">
        <v>0</v>
      </c>
      <c r="EW67" s="48">
        <v>0</v>
      </c>
      <c r="EX67" s="48">
        <v>1.6119645821564928E-9</v>
      </c>
      <c r="EY67" s="48">
        <v>0</v>
      </c>
      <c r="EZ67" s="48">
        <v>0</v>
      </c>
      <c r="FA67" s="48">
        <v>0</v>
      </c>
      <c r="FB67" s="48">
        <v>0</v>
      </c>
      <c r="FC67" s="48">
        <v>0</v>
      </c>
      <c r="FD67" s="48">
        <v>8.410654026765851E-14</v>
      </c>
      <c r="FE67" s="48">
        <v>0</v>
      </c>
      <c r="FF67" s="48">
        <v>0</v>
      </c>
      <c r="FG67" s="48">
        <v>2.1587776651881248E-14</v>
      </c>
      <c r="FH67" s="48">
        <v>1.5474679173014715E-14</v>
      </c>
      <c r="FI67" s="48">
        <v>2.3965615705252827E-14</v>
      </c>
      <c r="FJ67" s="48">
        <v>0</v>
      </c>
      <c r="FK67" s="48">
        <v>0</v>
      </c>
      <c r="FL67" s="48">
        <v>0</v>
      </c>
      <c r="FM67" s="48">
        <v>0</v>
      </c>
      <c r="FN67" s="48">
        <v>0</v>
      </c>
      <c r="FO67" s="48">
        <v>0</v>
      </c>
      <c r="FP67" s="48">
        <v>0</v>
      </c>
      <c r="FQ67" s="48">
        <v>1.393647359307744E-14</v>
      </c>
      <c r="FR67" s="48">
        <v>4.1271782693006327E-15</v>
      </c>
      <c r="FS67" s="48">
        <v>0</v>
      </c>
      <c r="FT67" s="48">
        <v>1.1241627411516701E-15</v>
      </c>
      <c r="FU67" s="48">
        <v>0</v>
      </c>
      <c r="FV67" s="48">
        <v>0</v>
      </c>
      <c r="FW67" s="48">
        <v>0</v>
      </c>
      <c r="FX67" s="48">
        <v>0</v>
      </c>
      <c r="FY67" s="48">
        <v>0</v>
      </c>
      <c r="FZ67" s="48">
        <v>0</v>
      </c>
      <c r="GA67" s="48">
        <v>0</v>
      </c>
      <c r="GB67" s="48">
        <v>0</v>
      </c>
      <c r="GC67" s="48">
        <v>0</v>
      </c>
      <c r="GD67" s="48">
        <v>0</v>
      </c>
      <c r="GE67" s="48">
        <v>0</v>
      </c>
      <c r="GF67" s="48">
        <v>503.66313033289345</v>
      </c>
      <c r="GG67" s="48">
        <v>0</v>
      </c>
      <c r="GH67" s="48">
        <v>0</v>
      </c>
      <c r="GI67" s="48">
        <v>0</v>
      </c>
      <c r="GJ67" s="48">
        <v>0</v>
      </c>
      <c r="GK67" s="48">
        <v>0</v>
      </c>
      <c r="GL67" s="48">
        <v>0</v>
      </c>
      <c r="GM67" s="48">
        <v>0</v>
      </c>
      <c r="GN67" s="48">
        <v>0</v>
      </c>
      <c r="GO67" s="48">
        <v>0</v>
      </c>
      <c r="GP67" s="48">
        <v>0</v>
      </c>
      <c r="GQ67" s="48">
        <v>0</v>
      </c>
      <c r="GR67" s="48">
        <v>0</v>
      </c>
      <c r="GS67" s="48">
        <v>0</v>
      </c>
      <c r="GT67" s="48">
        <v>1.0263062412014363E-17</v>
      </c>
      <c r="GU67" s="48">
        <v>0</v>
      </c>
      <c r="GV67" s="48">
        <v>0</v>
      </c>
      <c r="GW67" s="48">
        <v>0</v>
      </c>
      <c r="GX67" s="48">
        <v>1.5004850009971446E-15</v>
      </c>
      <c r="GY67" s="48">
        <v>0</v>
      </c>
      <c r="GZ67" s="48">
        <v>0</v>
      </c>
      <c r="HA67" s="48">
        <v>0</v>
      </c>
      <c r="HB67" s="48">
        <v>0</v>
      </c>
      <c r="HC67" s="48">
        <v>0</v>
      </c>
      <c r="HD67" s="48">
        <v>0</v>
      </c>
      <c r="HE67" s="48">
        <v>0</v>
      </c>
      <c r="HF67" s="48">
        <v>0</v>
      </c>
      <c r="HG67" s="48">
        <v>0</v>
      </c>
      <c r="HH67" s="48">
        <v>0</v>
      </c>
      <c r="HI67" s="48">
        <v>0</v>
      </c>
      <c r="HJ67" s="48">
        <v>0</v>
      </c>
      <c r="HK67" s="48">
        <v>0</v>
      </c>
      <c r="HL67" s="48">
        <v>0</v>
      </c>
      <c r="HM67" s="48">
        <v>0</v>
      </c>
      <c r="HN67" s="48">
        <v>0</v>
      </c>
      <c r="HO67" s="48">
        <v>0</v>
      </c>
      <c r="HP67" s="48">
        <v>0</v>
      </c>
      <c r="HQ67" s="48">
        <v>0</v>
      </c>
      <c r="HR67" s="48">
        <v>0</v>
      </c>
      <c r="HS67" s="48">
        <v>0</v>
      </c>
      <c r="HT67" s="48">
        <v>0</v>
      </c>
      <c r="HU67" s="48">
        <v>0</v>
      </c>
      <c r="HV67" s="48">
        <v>7.9429730020676912E-15</v>
      </c>
      <c r="HW67" s="48">
        <v>0</v>
      </c>
      <c r="HX67" s="48">
        <v>0</v>
      </c>
      <c r="HY67" s="48">
        <v>0</v>
      </c>
      <c r="HZ67" s="48">
        <v>0</v>
      </c>
      <c r="IA67" s="48">
        <v>0</v>
      </c>
      <c r="IB67" s="48">
        <v>0</v>
      </c>
      <c r="IC67" s="48">
        <v>0</v>
      </c>
      <c r="ID67" s="48">
        <v>0</v>
      </c>
      <c r="IE67" s="48">
        <v>0</v>
      </c>
      <c r="IF67" s="48">
        <v>0</v>
      </c>
      <c r="IG67" s="48">
        <v>0</v>
      </c>
      <c r="IH67" s="48">
        <v>0</v>
      </c>
      <c r="II67" s="48">
        <v>0</v>
      </c>
      <c r="IJ67" s="48">
        <v>0</v>
      </c>
      <c r="IK67" s="48">
        <v>0</v>
      </c>
      <c r="IL67" s="48">
        <v>0</v>
      </c>
      <c r="IM67" s="48">
        <v>0</v>
      </c>
      <c r="IN67" s="48">
        <v>0</v>
      </c>
      <c r="IO67" s="48">
        <v>0</v>
      </c>
      <c r="IP67" s="23">
        <v>2659.99999999998</v>
      </c>
      <c r="IQ67" s="25">
        <v>8573</v>
      </c>
      <c r="IR67" s="25">
        <v>0</v>
      </c>
      <c r="IS67" s="26">
        <v>0</v>
      </c>
      <c r="IT67" s="26">
        <v>0</v>
      </c>
      <c r="IU67" s="26">
        <v>50</v>
      </c>
      <c r="IV67" s="9">
        <v>2</v>
      </c>
      <c r="IW67" s="38">
        <f t="shared" si="4"/>
        <v>11284.99999999998</v>
      </c>
    </row>
    <row r="68" spans="1:257" ht="30" customHeight="1" x14ac:dyDescent="0.25">
      <c r="A68" s="112" t="b">
        <v>0</v>
      </c>
      <c r="B68" s="113" t="str">
        <f>IFERROR(VLOOKUP(C68,'Bridge matrix'!$D$3:$E$727,2,FALSE)='symmetric IOT 245 2012'!D68,"FALSCH")</f>
        <v>FALSCH</v>
      </c>
      <c r="C68" s="108">
        <v>63</v>
      </c>
      <c r="D68" s="49" t="s">
        <v>1382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0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0</v>
      </c>
      <c r="BS68" s="48">
        <v>0</v>
      </c>
      <c r="BT68" s="48">
        <v>0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  <c r="CM68" s="48">
        <v>0</v>
      </c>
      <c r="CN68" s="48">
        <v>0</v>
      </c>
      <c r="CO68" s="48">
        <v>0</v>
      </c>
      <c r="CP68" s="48">
        <v>0</v>
      </c>
      <c r="CQ68" s="48">
        <v>0</v>
      </c>
      <c r="CR68" s="48">
        <v>0</v>
      </c>
      <c r="CS68" s="48">
        <v>0</v>
      </c>
      <c r="CT68" s="48">
        <v>0</v>
      </c>
      <c r="CU68" s="48">
        <v>0</v>
      </c>
      <c r="CV68" s="48">
        <v>0</v>
      </c>
      <c r="CW68" s="48">
        <v>0</v>
      </c>
      <c r="CX68" s="48">
        <v>0</v>
      </c>
      <c r="CY68" s="48">
        <v>0</v>
      </c>
      <c r="CZ68" s="48">
        <v>0</v>
      </c>
      <c r="DA68" s="48">
        <v>0</v>
      </c>
      <c r="DB68" s="48">
        <v>0</v>
      </c>
      <c r="DC68" s="48">
        <v>0</v>
      </c>
      <c r="DD68" s="48">
        <v>0</v>
      </c>
      <c r="DE68" s="48">
        <v>0</v>
      </c>
      <c r="DF68" s="48">
        <v>0</v>
      </c>
      <c r="DG68" s="48">
        <v>0</v>
      </c>
      <c r="DH68" s="48">
        <v>0</v>
      </c>
      <c r="DI68" s="48">
        <v>0</v>
      </c>
      <c r="DJ68" s="48">
        <v>0</v>
      </c>
      <c r="DK68" s="48">
        <v>0</v>
      </c>
      <c r="DL68" s="48">
        <v>0</v>
      </c>
      <c r="DM68" s="48">
        <v>0</v>
      </c>
      <c r="DN68" s="48">
        <v>0</v>
      </c>
      <c r="DO68" s="48">
        <v>0</v>
      </c>
      <c r="DP68" s="48">
        <v>0</v>
      </c>
      <c r="DQ68" s="48">
        <v>0</v>
      </c>
      <c r="DR68" s="48">
        <v>0</v>
      </c>
      <c r="DS68" s="48">
        <v>0</v>
      </c>
      <c r="DT68" s="48">
        <v>0</v>
      </c>
      <c r="DU68" s="48">
        <v>0</v>
      </c>
      <c r="DV68" s="48">
        <v>0</v>
      </c>
      <c r="DW68" s="48">
        <v>0</v>
      </c>
      <c r="DX68" s="48">
        <v>0</v>
      </c>
      <c r="DY68" s="48">
        <v>0</v>
      </c>
      <c r="DZ68" s="48">
        <v>0</v>
      </c>
      <c r="EA68" s="48">
        <v>0</v>
      </c>
      <c r="EB68" s="48">
        <v>0</v>
      </c>
      <c r="EC68" s="48">
        <v>0</v>
      </c>
      <c r="ED68" s="48">
        <v>0</v>
      </c>
      <c r="EE68" s="48">
        <v>0</v>
      </c>
      <c r="EF68" s="48">
        <v>0</v>
      </c>
      <c r="EG68" s="48">
        <v>0</v>
      </c>
      <c r="EH68" s="48">
        <v>0</v>
      </c>
      <c r="EI68" s="48">
        <v>0</v>
      </c>
      <c r="EJ68" s="48">
        <v>0</v>
      </c>
      <c r="EK68" s="48">
        <v>0</v>
      </c>
      <c r="EL68" s="48">
        <v>0</v>
      </c>
      <c r="EM68" s="48">
        <v>0</v>
      </c>
      <c r="EN68" s="48">
        <v>0</v>
      </c>
      <c r="EO68" s="48">
        <v>0</v>
      </c>
      <c r="EP68" s="48">
        <v>0</v>
      </c>
      <c r="EQ68" s="48">
        <v>0</v>
      </c>
      <c r="ER68" s="48">
        <v>0</v>
      </c>
      <c r="ES68" s="48">
        <v>0</v>
      </c>
      <c r="ET68" s="48">
        <v>0</v>
      </c>
      <c r="EU68" s="48">
        <v>0</v>
      </c>
      <c r="EV68" s="48">
        <v>0</v>
      </c>
      <c r="EW68" s="48">
        <v>0</v>
      </c>
      <c r="EX68" s="48">
        <v>0</v>
      </c>
      <c r="EY68" s="48">
        <v>0</v>
      </c>
      <c r="EZ68" s="48">
        <v>0</v>
      </c>
      <c r="FA68" s="48">
        <v>0</v>
      </c>
      <c r="FB68" s="48">
        <v>0</v>
      </c>
      <c r="FC68" s="48">
        <v>0</v>
      </c>
      <c r="FD68" s="48">
        <v>0</v>
      </c>
      <c r="FE68" s="48">
        <v>0</v>
      </c>
      <c r="FF68" s="48">
        <v>0</v>
      </c>
      <c r="FG68" s="48">
        <v>0</v>
      </c>
      <c r="FH68" s="48">
        <v>0</v>
      </c>
      <c r="FI68" s="48">
        <v>0</v>
      </c>
      <c r="FJ68" s="48">
        <v>0</v>
      </c>
      <c r="FK68" s="48">
        <v>0</v>
      </c>
      <c r="FL68" s="48">
        <v>0</v>
      </c>
      <c r="FM68" s="48">
        <v>0</v>
      </c>
      <c r="FN68" s="48">
        <v>0</v>
      </c>
      <c r="FO68" s="48">
        <v>0</v>
      </c>
      <c r="FP68" s="48">
        <v>0</v>
      </c>
      <c r="FQ68" s="48">
        <v>0</v>
      </c>
      <c r="FR68" s="48">
        <v>0</v>
      </c>
      <c r="FS68" s="48">
        <v>0</v>
      </c>
      <c r="FT68" s="48">
        <v>0</v>
      </c>
      <c r="FU68" s="48">
        <v>0</v>
      </c>
      <c r="FV68" s="48">
        <v>0</v>
      </c>
      <c r="FW68" s="48">
        <v>0</v>
      </c>
      <c r="FX68" s="48">
        <v>0</v>
      </c>
      <c r="FY68" s="48">
        <v>0</v>
      </c>
      <c r="FZ68" s="48">
        <v>0</v>
      </c>
      <c r="GA68" s="48">
        <v>0</v>
      </c>
      <c r="GB68" s="48">
        <v>0</v>
      </c>
      <c r="GC68" s="48">
        <v>0</v>
      </c>
      <c r="GD68" s="48">
        <v>0</v>
      </c>
      <c r="GE68" s="48">
        <v>0</v>
      </c>
      <c r="GF68" s="48">
        <v>0</v>
      </c>
      <c r="GG68" s="48">
        <v>0</v>
      </c>
      <c r="GH68" s="48">
        <v>0</v>
      </c>
      <c r="GI68" s="48">
        <v>0</v>
      </c>
      <c r="GJ68" s="48">
        <v>0</v>
      </c>
      <c r="GK68" s="48">
        <v>0</v>
      </c>
      <c r="GL68" s="48">
        <v>0</v>
      </c>
      <c r="GM68" s="48">
        <v>0</v>
      </c>
      <c r="GN68" s="48">
        <v>0</v>
      </c>
      <c r="GO68" s="48">
        <v>0</v>
      </c>
      <c r="GP68" s="48">
        <v>0</v>
      </c>
      <c r="GQ68" s="48">
        <v>0</v>
      </c>
      <c r="GR68" s="48">
        <v>0</v>
      </c>
      <c r="GS68" s="48">
        <v>0</v>
      </c>
      <c r="GT68" s="48">
        <v>0</v>
      </c>
      <c r="GU68" s="48">
        <v>0</v>
      </c>
      <c r="GV68" s="48">
        <v>0</v>
      </c>
      <c r="GW68" s="48">
        <v>0</v>
      </c>
      <c r="GX68" s="48">
        <v>0</v>
      </c>
      <c r="GY68" s="48">
        <v>0</v>
      </c>
      <c r="GZ68" s="48">
        <v>0</v>
      </c>
      <c r="HA68" s="48">
        <v>0</v>
      </c>
      <c r="HB68" s="48">
        <v>0</v>
      </c>
      <c r="HC68" s="48">
        <v>0</v>
      </c>
      <c r="HD68" s="48">
        <v>0</v>
      </c>
      <c r="HE68" s="48">
        <v>0</v>
      </c>
      <c r="HF68" s="48">
        <v>0</v>
      </c>
      <c r="HG68" s="48">
        <v>0</v>
      </c>
      <c r="HH68" s="48">
        <v>0</v>
      </c>
      <c r="HI68" s="48">
        <v>0</v>
      </c>
      <c r="HJ68" s="48">
        <v>0</v>
      </c>
      <c r="HK68" s="48">
        <v>0</v>
      </c>
      <c r="HL68" s="48">
        <v>0</v>
      </c>
      <c r="HM68" s="48">
        <v>0</v>
      </c>
      <c r="HN68" s="48">
        <v>0</v>
      </c>
      <c r="HO68" s="48">
        <v>0</v>
      </c>
      <c r="HP68" s="48">
        <v>0</v>
      </c>
      <c r="HQ68" s="48">
        <v>0</v>
      </c>
      <c r="HR68" s="48">
        <v>0</v>
      </c>
      <c r="HS68" s="48">
        <v>0</v>
      </c>
      <c r="HT68" s="48">
        <v>0</v>
      </c>
      <c r="HU68" s="48">
        <v>0</v>
      </c>
      <c r="HV68" s="48">
        <v>0</v>
      </c>
      <c r="HW68" s="48">
        <v>0</v>
      </c>
      <c r="HX68" s="48">
        <v>3.001005560268712</v>
      </c>
      <c r="HY68" s="48">
        <v>2.0004136457305712</v>
      </c>
      <c r="HZ68" s="48">
        <v>3.9992592431984586</v>
      </c>
      <c r="IA68" s="48">
        <v>0.99932155080221208</v>
      </c>
      <c r="IB68" s="48">
        <v>0</v>
      </c>
      <c r="IC68" s="48">
        <v>0</v>
      </c>
      <c r="ID68" s="48">
        <v>0</v>
      </c>
      <c r="IE68" s="48">
        <v>0</v>
      </c>
      <c r="IF68" s="48">
        <v>0</v>
      </c>
      <c r="IG68" s="48">
        <v>0</v>
      </c>
      <c r="IH68" s="48">
        <v>0</v>
      </c>
      <c r="II68" s="48">
        <v>0</v>
      </c>
      <c r="IJ68" s="48">
        <v>0</v>
      </c>
      <c r="IK68" s="48">
        <v>0</v>
      </c>
      <c r="IL68" s="48">
        <v>0</v>
      </c>
      <c r="IM68" s="48">
        <v>0</v>
      </c>
      <c r="IN68" s="48">
        <v>0</v>
      </c>
      <c r="IO68" s="48">
        <v>0</v>
      </c>
      <c r="IP68" s="23">
        <v>9.9999999999999556</v>
      </c>
      <c r="IQ68" s="25">
        <v>0</v>
      </c>
      <c r="IR68" s="25">
        <v>0</v>
      </c>
      <c r="IS68" s="26">
        <v>0</v>
      </c>
      <c r="IT68" s="26">
        <v>0</v>
      </c>
      <c r="IU68" s="26">
        <v>0</v>
      </c>
      <c r="IV68" s="9">
        <v>5</v>
      </c>
      <c r="IW68" s="38">
        <f t="shared" si="4"/>
        <v>14.999999999999956</v>
      </c>
    </row>
    <row r="69" spans="1:257" ht="30" customHeight="1" x14ac:dyDescent="0.25">
      <c r="A69" s="112" t="b">
        <v>0</v>
      </c>
      <c r="B69" s="113" t="b">
        <f>IFERROR(VLOOKUP(C69,'Bridge matrix'!$D$3:$E$727,2,FALSE)='symmetric IOT 245 2012'!D69,"FALSCH")</f>
        <v>1</v>
      </c>
      <c r="C69" s="108">
        <v>64</v>
      </c>
      <c r="D69" s="49" t="s">
        <v>1383</v>
      </c>
      <c r="E69" s="48">
        <v>2068.8009960356835</v>
      </c>
      <c r="F69" s="48">
        <v>256.52469338877034</v>
      </c>
      <c r="G69" s="48">
        <v>411.86717173298666</v>
      </c>
      <c r="H69" s="48">
        <v>0.63935701492829333</v>
      </c>
      <c r="I69" s="48">
        <v>5.1168382612361212</v>
      </c>
      <c r="J69" s="48">
        <v>17.268222977425502</v>
      </c>
      <c r="K69" s="48">
        <v>39.022114805140724</v>
      </c>
      <c r="L69" s="48">
        <v>1.2788531657147582</v>
      </c>
      <c r="M69" s="48">
        <v>0</v>
      </c>
      <c r="N69" s="48">
        <v>0</v>
      </c>
      <c r="O69" s="48">
        <v>0</v>
      </c>
      <c r="P69" s="48">
        <v>35.035753509023507</v>
      </c>
      <c r="Q69" s="48">
        <v>4.4571539536944877</v>
      </c>
      <c r="R69" s="48">
        <v>45.302556873549364</v>
      </c>
      <c r="S69" s="48">
        <v>0</v>
      </c>
      <c r="T69" s="48">
        <v>3.8392758900538677</v>
      </c>
      <c r="U69" s="48">
        <v>0.63987591733848526</v>
      </c>
      <c r="V69" s="48">
        <v>1.2796772473716598</v>
      </c>
      <c r="W69" s="48">
        <v>1.2792024693135124</v>
      </c>
      <c r="X69" s="48">
        <v>0</v>
      </c>
      <c r="Y69" s="48">
        <v>0.64000222900724535</v>
      </c>
      <c r="Z69" s="48">
        <v>1.9311552346985645</v>
      </c>
      <c r="AA69" s="48">
        <v>0</v>
      </c>
      <c r="AB69" s="48">
        <v>0</v>
      </c>
      <c r="AC69" s="48">
        <v>0</v>
      </c>
      <c r="AD69" s="48">
        <v>0.63938017647441137</v>
      </c>
      <c r="AE69" s="48">
        <v>0.64005637102370605</v>
      </c>
      <c r="AF69" s="48">
        <v>0</v>
      </c>
      <c r="AG69" s="48">
        <v>0.6405180834164671</v>
      </c>
      <c r="AH69" s="48">
        <v>1.279293310033716</v>
      </c>
      <c r="AI69" s="48">
        <v>1.2792988645452037</v>
      </c>
      <c r="AJ69" s="48">
        <v>0.63979673379117963</v>
      </c>
      <c r="AK69" s="48">
        <v>1.2792895398555104</v>
      </c>
      <c r="AL69" s="48">
        <v>0.63961532635414931</v>
      </c>
      <c r="AM69" s="48">
        <v>0</v>
      </c>
      <c r="AN69" s="48">
        <v>0.63972918695478098</v>
      </c>
      <c r="AO69" s="48">
        <v>0.63950832379300737</v>
      </c>
      <c r="AP69" s="48">
        <v>1.9210274333098889</v>
      </c>
      <c r="AQ69" s="48">
        <v>0.63975272284003426</v>
      </c>
      <c r="AR69" s="48">
        <v>1.2792980085554446</v>
      </c>
      <c r="AS69" s="48">
        <v>0.65029756794512028</v>
      </c>
      <c r="AT69" s="48">
        <v>3.9254007462312952</v>
      </c>
      <c r="AU69" s="48">
        <v>0.64085019533508658</v>
      </c>
      <c r="AV69" s="48">
        <v>0</v>
      </c>
      <c r="AW69" s="48">
        <v>0</v>
      </c>
      <c r="AX69" s="48">
        <v>8.9771720963416453</v>
      </c>
      <c r="AY69" s="48">
        <v>1.2827145786889453</v>
      </c>
      <c r="AZ69" s="48">
        <v>0</v>
      </c>
      <c r="BA69" s="48">
        <v>0.64135782999851321</v>
      </c>
      <c r="BB69" s="48">
        <v>8.9813873778956239</v>
      </c>
      <c r="BC69" s="48">
        <v>1.2948731790578478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12371.393754724562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85.998352735917976</v>
      </c>
      <c r="CD69" s="48">
        <v>3226.770693648381</v>
      </c>
      <c r="CE69" s="48">
        <v>234.28464898621792</v>
      </c>
      <c r="CF69" s="48">
        <v>36.285415234571971</v>
      </c>
      <c r="CG69" s="48">
        <v>12131.094491505444</v>
      </c>
      <c r="CH69" s="48">
        <v>1114.7714207977667</v>
      </c>
      <c r="CI69" s="48">
        <v>3.9346540921242232E-7</v>
      </c>
      <c r="CJ69" s="48">
        <v>0</v>
      </c>
      <c r="CK69" s="48">
        <v>0</v>
      </c>
      <c r="CL69" s="48">
        <v>5.5149289378737803E-6</v>
      </c>
      <c r="CM69" s="48">
        <v>0</v>
      </c>
      <c r="CN69" s="48">
        <v>8.2040903624962041E-6</v>
      </c>
      <c r="CO69" s="48">
        <v>0</v>
      </c>
      <c r="CP69" s="48">
        <v>0</v>
      </c>
      <c r="CQ69" s="48">
        <v>0</v>
      </c>
      <c r="CR69" s="48">
        <v>0</v>
      </c>
      <c r="CS69" s="48">
        <v>0</v>
      </c>
      <c r="CT69" s="48">
        <v>0</v>
      </c>
      <c r="CU69" s="48">
        <v>0</v>
      </c>
      <c r="CV69" s="48">
        <v>7.8181545557209891E-3</v>
      </c>
      <c r="CW69" s="48">
        <v>0</v>
      </c>
      <c r="CX69" s="48">
        <v>1.0222117567410109E-9</v>
      </c>
      <c r="CY69" s="48">
        <v>1.0766053980005572E-3</v>
      </c>
      <c r="CZ69" s="48">
        <v>8.0477695808050807E-5</v>
      </c>
      <c r="DA69" s="48">
        <v>0</v>
      </c>
      <c r="DB69" s="48">
        <v>0</v>
      </c>
      <c r="DC69" s="48">
        <v>4.9184015746863728E-9</v>
      </c>
      <c r="DD69" s="48">
        <v>3.4452395313488559E-4</v>
      </c>
      <c r="DE69" s="48">
        <v>0</v>
      </c>
      <c r="DF69" s="48">
        <v>0</v>
      </c>
      <c r="DG69" s="48">
        <v>0</v>
      </c>
      <c r="DH69" s="48">
        <v>0</v>
      </c>
      <c r="DI69" s="48">
        <v>2.2005945153846986E-3</v>
      </c>
      <c r="DJ69" s="48">
        <v>0</v>
      </c>
      <c r="DK69" s="48">
        <v>1.5108507368457051E-3</v>
      </c>
      <c r="DL69" s="48">
        <v>0</v>
      </c>
      <c r="DM69" s="48">
        <v>0</v>
      </c>
      <c r="DN69" s="48">
        <v>0</v>
      </c>
      <c r="DO69" s="48">
        <v>0</v>
      </c>
      <c r="DP69" s="48">
        <v>0</v>
      </c>
      <c r="DQ69" s="48">
        <v>0</v>
      </c>
      <c r="DR69" s="48">
        <v>4.0974392150414922E-2</v>
      </c>
      <c r="DS69" s="48">
        <v>0</v>
      </c>
      <c r="DT69" s="48">
        <v>0</v>
      </c>
      <c r="DU69" s="48">
        <v>0</v>
      </c>
      <c r="DV69" s="48">
        <v>0</v>
      </c>
      <c r="DW69" s="48">
        <v>203945.4785333905</v>
      </c>
      <c r="DX69" s="48">
        <v>92111.171094438498</v>
      </c>
      <c r="DY69" s="48">
        <v>3.4576319455502245E-4</v>
      </c>
      <c r="DZ69" s="48">
        <v>9444.7534410287462</v>
      </c>
      <c r="EA69" s="48">
        <v>0</v>
      </c>
      <c r="EB69" s="48">
        <v>0.4354210394878914</v>
      </c>
      <c r="EC69" s="48">
        <v>1.2596491586595602E-2</v>
      </c>
      <c r="ED69" s="48">
        <v>0</v>
      </c>
      <c r="EE69" s="48">
        <v>0</v>
      </c>
      <c r="EF69" s="48">
        <v>0</v>
      </c>
      <c r="EG69" s="48">
        <v>0</v>
      </c>
      <c r="EH69" s="48">
        <v>0</v>
      </c>
      <c r="EI69" s="48">
        <v>2.6395965585582126</v>
      </c>
      <c r="EJ69" s="48">
        <v>1.5279253050423991E-4</v>
      </c>
      <c r="EK69" s="48">
        <v>0</v>
      </c>
      <c r="EL69" s="48">
        <v>0</v>
      </c>
      <c r="EM69" s="48">
        <v>0</v>
      </c>
      <c r="EN69" s="48">
        <v>0</v>
      </c>
      <c r="EO69" s="48">
        <v>0</v>
      </c>
      <c r="EP69" s="48">
        <v>0</v>
      </c>
      <c r="EQ69" s="48">
        <v>0</v>
      </c>
      <c r="ER69" s="48">
        <v>3.3652507701768648E-2</v>
      </c>
      <c r="ES69" s="48">
        <v>1.9002652677391755E-4</v>
      </c>
      <c r="ET69" s="48">
        <v>0</v>
      </c>
      <c r="EU69" s="48">
        <v>0</v>
      </c>
      <c r="EV69" s="48">
        <v>0</v>
      </c>
      <c r="EW69" s="48">
        <v>0</v>
      </c>
      <c r="EX69" s="48">
        <v>8.3187447349488491E-2</v>
      </c>
      <c r="EY69" s="48">
        <v>6.4557974326086964E-7</v>
      </c>
      <c r="EZ69" s="48">
        <v>0</v>
      </c>
      <c r="FA69" s="48">
        <v>3.3490824551998008E-3</v>
      </c>
      <c r="FB69" s="48">
        <v>9.1817272849351259E-5</v>
      </c>
      <c r="FC69" s="48">
        <v>0</v>
      </c>
      <c r="FD69" s="48">
        <v>0</v>
      </c>
      <c r="FE69" s="48">
        <v>0</v>
      </c>
      <c r="FF69" s="48">
        <v>0</v>
      </c>
      <c r="FG69" s="48">
        <v>0</v>
      </c>
      <c r="FH69" s="48">
        <v>0</v>
      </c>
      <c r="FI69" s="48">
        <v>0</v>
      </c>
      <c r="FJ69" s="48">
        <v>0</v>
      </c>
      <c r="FK69" s="48">
        <v>0</v>
      </c>
      <c r="FL69" s="48">
        <v>0</v>
      </c>
      <c r="FM69" s="48">
        <v>1.9062283488109462E-2</v>
      </c>
      <c r="FN69" s="48">
        <v>0</v>
      </c>
      <c r="FO69" s="48">
        <v>0</v>
      </c>
      <c r="FP69" s="48">
        <v>0</v>
      </c>
      <c r="FQ69" s="48">
        <v>6.5878829286024074E-3</v>
      </c>
      <c r="FR69" s="48">
        <v>5216.9197826107347</v>
      </c>
      <c r="FS69" s="48">
        <v>0</v>
      </c>
      <c r="FT69" s="48">
        <v>0</v>
      </c>
      <c r="FU69" s="48">
        <v>0</v>
      </c>
      <c r="FV69" s="48">
        <v>1.0422475059170403E-3</v>
      </c>
      <c r="FW69" s="48">
        <v>0</v>
      </c>
      <c r="FX69" s="48">
        <v>0</v>
      </c>
      <c r="FY69" s="48">
        <v>0</v>
      </c>
      <c r="FZ69" s="48">
        <v>0</v>
      </c>
      <c r="GA69" s="48">
        <v>0</v>
      </c>
      <c r="GB69" s="48">
        <v>351617.31555213296</v>
      </c>
      <c r="GC69" s="48">
        <v>0</v>
      </c>
      <c r="GD69" s="48">
        <v>0</v>
      </c>
      <c r="GE69" s="48">
        <v>0</v>
      </c>
      <c r="GF69" s="48">
        <v>0</v>
      </c>
      <c r="GG69" s="48">
        <v>0</v>
      </c>
      <c r="GH69" s="48">
        <v>0</v>
      </c>
      <c r="GI69" s="48">
        <v>0</v>
      </c>
      <c r="GJ69" s="48">
        <v>0</v>
      </c>
      <c r="GK69" s="48">
        <v>0</v>
      </c>
      <c r="GL69" s="48">
        <v>0</v>
      </c>
      <c r="GM69" s="48">
        <v>0</v>
      </c>
      <c r="GN69" s="48">
        <v>0</v>
      </c>
      <c r="GO69" s="48">
        <v>0</v>
      </c>
      <c r="GP69" s="48">
        <v>0</v>
      </c>
      <c r="GQ69" s="48">
        <v>0</v>
      </c>
      <c r="GR69" s="48">
        <v>0</v>
      </c>
      <c r="GS69" s="48">
        <v>0</v>
      </c>
      <c r="GT69" s="48">
        <v>0</v>
      </c>
      <c r="GU69" s="48">
        <v>0</v>
      </c>
      <c r="GV69" s="48">
        <v>0</v>
      </c>
      <c r="GW69" s="48">
        <v>0</v>
      </c>
      <c r="GX69" s="48">
        <v>0</v>
      </c>
      <c r="GY69" s="48">
        <v>0</v>
      </c>
      <c r="GZ69" s="48">
        <v>0</v>
      </c>
      <c r="HA69" s="48">
        <v>0</v>
      </c>
      <c r="HB69" s="48">
        <v>0</v>
      </c>
      <c r="HC69" s="48">
        <v>0</v>
      </c>
      <c r="HD69" s="48">
        <v>0</v>
      </c>
      <c r="HE69" s="48">
        <v>0</v>
      </c>
      <c r="HF69" s="48">
        <v>0</v>
      </c>
      <c r="HG69" s="48">
        <v>0</v>
      </c>
      <c r="HH69" s="48">
        <v>0</v>
      </c>
      <c r="HI69" s="48">
        <v>0</v>
      </c>
      <c r="HJ69" s="48">
        <v>0</v>
      </c>
      <c r="HK69" s="48">
        <v>0</v>
      </c>
      <c r="HL69" s="48">
        <v>0</v>
      </c>
      <c r="HM69" s="48">
        <v>0</v>
      </c>
      <c r="HN69" s="48">
        <v>0</v>
      </c>
      <c r="HO69" s="48">
        <v>0</v>
      </c>
      <c r="HP69" s="48">
        <v>0</v>
      </c>
      <c r="HQ69" s="48">
        <v>0</v>
      </c>
      <c r="HR69" s="48">
        <v>0</v>
      </c>
      <c r="HS69" s="48">
        <v>0</v>
      </c>
      <c r="HT69" s="48">
        <v>0</v>
      </c>
      <c r="HU69" s="48">
        <v>0</v>
      </c>
      <c r="HV69" s="48">
        <v>0</v>
      </c>
      <c r="HW69" s="48">
        <v>0</v>
      </c>
      <c r="HX69" s="48">
        <v>0</v>
      </c>
      <c r="HY69" s="48">
        <v>0</v>
      </c>
      <c r="HZ69" s="48">
        <v>0</v>
      </c>
      <c r="IA69" s="48">
        <v>0</v>
      </c>
      <c r="IB69" s="48">
        <v>0</v>
      </c>
      <c r="IC69" s="48">
        <v>0</v>
      </c>
      <c r="ID69" s="48">
        <v>0</v>
      </c>
      <c r="IE69" s="48">
        <v>0</v>
      </c>
      <c r="IF69" s="48">
        <v>0</v>
      </c>
      <c r="IG69" s="48">
        <v>0</v>
      </c>
      <c r="IH69" s="48">
        <v>0</v>
      </c>
      <c r="II69" s="48">
        <v>0</v>
      </c>
      <c r="IJ69" s="48">
        <v>0</v>
      </c>
      <c r="IK69" s="48">
        <v>4.1008535604643774E-6</v>
      </c>
      <c r="IL69" s="48">
        <v>0</v>
      </c>
      <c r="IM69" s="48">
        <v>0</v>
      </c>
      <c r="IN69" s="48">
        <v>0</v>
      </c>
      <c r="IO69" s="48">
        <v>0</v>
      </c>
      <c r="IP69" s="23">
        <v>694472.99999999721</v>
      </c>
      <c r="IQ69" s="25">
        <v>215891</v>
      </c>
      <c r="IR69" s="25">
        <v>0</v>
      </c>
      <c r="IS69" s="26">
        <v>0</v>
      </c>
      <c r="IT69" s="26">
        <v>0</v>
      </c>
      <c r="IU69" s="26">
        <v>-1353</v>
      </c>
      <c r="IV69" s="9">
        <v>20874</v>
      </c>
      <c r="IW69" s="38">
        <f t="shared" si="4"/>
        <v>929884.99999999721</v>
      </c>
    </row>
    <row r="70" spans="1:257" ht="30" customHeight="1" x14ac:dyDescent="0.25">
      <c r="A70" s="112" t="b">
        <v>1</v>
      </c>
      <c r="B70" s="113" t="str">
        <f>IFERROR(VLOOKUP(C70,'Bridge matrix'!$D$3:$E$727,2,FALSE)='symmetric IOT 245 2012'!D70,"FALSCH")</f>
        <v>FALSCH</v>
      </c>
      <c r="C70" s="108">
        <v>65</v>
      </c>
      <c r="D70" s="49" t="s">
        <v>1384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48">
        <v>0</v>
      </c>
      <c r="CB70" s="48">
        <v>0</v>
      </c>
      <c r="CC70" s="48">
        <v>0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  <c r="CM70" s="48">
        <v>0</v>
      </c>
      <c r="CN70" s="48">
        <v>0</v>
      </c>
      <c r="CO70" s="48">
        <v>0</v>
      </c>
      <c r="CP70" s="48">
        <v>0</v>
      </c>
      <c r="CQ70" s="48">
        <v>0</v>
      </c>
      <c r="CR70" s="48">
        <v>0</v>
      </c>
      <c r="CS70" s="48">
        <v>0</v>
      </c>
      <c r="CT70" s="48">
        <v>0</v>
      </c>
      <c r="CU70" s="48">
        <v>0</v>
      </c>
      <c r="CV70" s="48">
        <v>0</v>
      </c>
      <c r="CW70" s="48">
        <v>0</v>
      </c>
      <c r="CX70" s="48">
        <v>0</v>
      </c>
      <c r="CY70" s="48">
        <v>0</v>
      </c>
      <c r="CZ70" s="48">
        <v>0</v>
      </c>
      <c r="DA70" s="48">
        <v>0</v>
      </c>
      <c r="DB70" s="48">
        <v>0</v>
      </c>
      <c r="DC70" s="48">
        <v>0</v>
      </c>
      <c r="DD70" s="48">
        <v>0</v>
      </c>
      <c r="DE70" s="48">
        <v>0</v>
      </c>
      <c r="DF70" s="48">
        <v>0</v>
      </c>
      <c r="DG70" s="48">
        <v>0</v>
      </c>
      <c r="DH70" s="48">
        <v>0</v>
      </c>
      <c r="DI70" s="48">
        <v>0</v>
      </c>
      <c r="DJ70" s="48">
        <v>0</v>
      </c>
      <c r="DK70" s="48">
        <v>0</v>
      </c>
      <c r="DL70" s="48">
        <v>0</v>
      </c>
      <c r="DM70" s="48">
        <v>0</v>
      </c>
      <c r="DN70" s="48">
        <v>0</v>
      </c>
      <c r="DO70" s="48">
        <v>0</v>
      </c>
      <c r="DP70" s="48">
        <v>0</v>
      </c>
      <c r="DQ70" s="48">
        <v>0</v>
      </c>
      <c r="DR70" s="48">
        <v>0</v>
      </c>
      <c r="DS70" s="48">
        <v>0</v>
      </c>
      <c r="DT70" s="48">
        <v>0</v>
      </c>
      <c r="DU70" s="48">
        <v>0</v>
      </c>
      <c r="DV70" s="48">
        <v>0</v>
      </c>
      <c r="DW70" s="48">
        <v>0</v>
      </c>
      <c r="DX70" s="48">
        <v>0</v>
      </c>
      <c r="DY70" s="48">
        <v>0</v>
      </c>
      <c r="DZ70" s="48">
        <v>0</v>
      </c>
      <c r="EA70" s="48">
        <v>0</v>
      </c>
      <c r="EB70" s="48">
        <v>0</v>
      </c>
      <c r="EC70" s="48">
        <v>0</v>
      </c>
      <c r="ED70" s="48">
        <v>0</v>
      </c>
      <c r="EE70" s="48">
        <v>0</v>
      </c>
      <c r="EF70" s="48">
        <v>0</v>
      </c>
      <c r="EG70" s="48">
        <v>0</v>
      </c>
      <c r="EH70" s="48">
        <v>0</v>
      </c>
      <c r="EI70" s="48">
        <v>0</v>
      </c>
      <c r="EJ70" s="48">
        <v>0</v>
      </c>
      <c r="EK70" s="48">
        <v>0</v>
      </c>
      <c r="EL70" s="48">
        <v>0</v>
      </c>
      <c r="EM70" s="48">
        <v>0</v>
      </c>
      <c r="EN70" s="48">
        <v>0</v>
      </c>
      <c r="EO70" s="48">
        <v>0</v>
      </c>
      <c r="EP70" s="48">
        <v>0</v>
      </c>
      <c r="EQ70" s="48">
        <v>0</v>
      </c>
      <c r="ER70" s="48">
        <v>0</v>
      </c>
      <c r="ES70" s="48">
        <v>0</v>
      </c>
      <c r="ET70" s="48">
        <v>0</v>
      </c>
      <c r="EU70" s="48">
        <v>0</v>
      </c>
      <c r="EV70" s="48">
        <v>0</v>
      </c>
      <c r="EW70" s="48">
        <v>0</v>
      </c>
      <c r="EX70" s="48">
        <v>0</v>
      </c>
      <c r="EY70" s="48">
        <v>0</v>
      </c>
      <c r="EZ70" s="48">
        <v>0</v>
      </c>
      <c r="FA70" s="48">
        <v>0</v>
      </c>
      <c r="FB70" s="48">
        <v>0</v>
      </c>
      <c r="FC70" s="48">
        <v>0</v>
      </c>
      <c r="FD70" s="48">
        <v>0</v>
      </c>
      <c r="FE70" s="48">
        <v>0</v>
      </c>
      <c r="FF70" s="48">
        <v>0</v>
      </c>
      <c r="FG70" s="48">
        <v>0</v>
      </c>
      <c r="FH70" s="48">
        <v>0</v>
      </c>
      <c r="FI70" s="48">
        <v>0</v>
      </c>
      <c r="FJ70" s="48">
        <v>0</v>
      </c>
      <c r="FK70" s="48">
        <v>0</v>
      </c>
      <c r="FL70" s="48">
        <v>0</v>
      </c>
      <c r="FM70" s="48">
        <v>0</v>
      </c>
      <c r="FN70" s="48">
        <v>0</v>
      </c>
      <c r="FO70" s="48">
        <v>0</v>
      </c>
      <c r="FP70" s="48">
        <v>0</v>
      </c>
      <c r="FQ70" s="48">
        <v>0</v>
      </c>
      <c r="FR70" s="48">
        <v>0</v>
      </c>
      <c r="FS70" s="48">
        <v>0</v>
      </c>
      <c r="FT70" s="48">
        <v>0</v>
      </c>
      <c r="FU70" s="48">
        <v>0</v>
      </c>
      <c r="FV70" s="48">
        <v>0</v>
      </c>
      <c r="FW70" s="48">
        <v>0</v>
      </c>
      <c r="FX70" s="48">
        <v>0</v>
      </c>
      <c r="FY70" s="48">
        <v>0</v>
      </c>
      <c r="FZ70" s="48">
        <v>0</v>
      </c>
      <c r="GA70" s="48">
        <v>0</v>
      </c>
      <c r="GB70" s="48">
        <v>0</v>
      </c>
      <c r="GC70" s="48">
        <v>0</v>
      </c>
      <c r="GD70" s="48">
        <v>0</v>
      </c>
      <c r="GE70" s="48">
        <v>0</v>
      </c>
      <c r="GF70" s="48">
        <v>0</v>
      </c>
      <c r="GG70" s="48">
        <v>0</v>
      </c>
      <c r="GH70" s="48">
        <v>0</v>
      </c>
      <c r="GI70" s="48">
        <v>0</v>
      </c>
      <c r="GJ70" s="48">
        <v>0</v>
      </c>
      <c r="GK70" s="48">
        <v>0</v>
      </c>
      <c r="GL70" s="48">
        <v>0</v>
      </c>
      <c r="GM70" s="48">
        <v>0</v>
      </c>
      <c r="GN70" s="48">
        <v>0</v>
      </c>
      <c r="GO70" s="48">
        <v>0</v>
      </c>
      <c r="GP70" s="48">
        <v>0</v>
      </c>
      <c r="GQ70" s="48">
        <v>0</v>
      </c>
      <c r="GR70" s="48">
        <v>0</v>
      </c>
      <c r="GS70" s="48">
        <v>0</v>
      </c>
      <c r="GT70" s="48">
        <v>0</v>
      </c>
      <c r="GU70" s="48">
        <v>0</v>
      </c>
      <c r="GV70" s="48">
        <v>0</v>
      </c>
      <c r="GW70" s="48">
        <v>0</v>
      </c>
      <c r="GX70" s="48">
        <v>0</v>
      </c>
      <c r="GY70" s="48">
        <v>0</v>
      </c>
      <c r="GZ70" s="48">
        <v>0</v>
      </c>
      <c r="HA70" s="48">
        <v>0</v>
      </c>
      <c r="HB70" s="48">
        <v>0</v>
      </c>
      <c r="HC70" s="48">
        <v>0</v>
      </c>
      <c r="HD70" s="48">
        <v>0</v>
      </c>
      <c r="HE70" s="48">
        <v>0</v>
      </c>
      <c r="HF70" s="48">
        <v>0</v>
      </c>
      <c r="HG70" s="48">
        <v>0</v>
      </c>
      <c r="HH70" s="48">
        <v>0</v>
      </c>
      <c r="HI70" s="48">
        <v>0</v>
      </c>
      <c r="HJ70" s="48">
        <v>0</v>
      </c>
      <c r="HK70" s="48">
        <v>0</v>
      </c>
      <c r="HL70" s="48">
        <v>0</v>
      </c>
      <c r="HM70" s="48">
        <v>0</v>
      </c>
      <c r="HN70" s="48">
        <v>0</v>
      </c>
      <c r="HO70" s="48">
        <v>0</v>
      </c>
      <c r="HP70" s="48">
        <v>0</v>
      </c>
      <c r="HQ70" s="48">
        <v>0</v>
      </c>
      <c r="HR70" s="48">
        <v>0</v>
      </c>
      <c r="HS70" s="48">
        <v>0</v>
      </c>
      <c r="HT70" s="48">
        <v>0</v>
      </c>
      <c r="HU70" s="48">
        <v>0</v>
      </c>
      <c r="HV70" s="48">
        <v>0</v>
      </c>
      <c r="HW70" s="48">
        <v>0</v>
      </c>
      <c r="HX70" s="48">
        <v>0</v>
      </c>
      <c r="HY70" s="48">
        <v>0</v>
      </c>
      <c r="HZ70" s="48">
        <v>0</v>
      </c>
      <c r="IA70" s="48">
        <v>0</v>
      </c>
      <c r="IB70" s="48">
        <v>0</v>
      </c>
      <c r="IC70" s="48">
        <v>0</v>
      </c>
      <c r="ID70" s="48">
        <v>0</v>
      </c>
      <c r="IE70" s="48">
        <v>0</v>
      </c>
      <c r="IF70" s="48">
        <v>0</v>
      </c>
      <c r="IG70" s="48">
        <v>0</v>
      </c>
      <c r="IH70" s="48">
        <v>0</v>
      </c>
      <c r="II70" s="48">
        <v>0</v>
      </c>
      <c r="IJ70" s="48">
        <v>0</v>
      </c>
      <c r="IK70" s="48">
        <v>0</v>
      </c>
      <c r="IL70" s="48">
        <v>0</v>
      </c>
      <c r="IM70" s="48">
        <v>0</v>
      </c>
      <c r="IN70" s="48">
        <v>0</v>
      </c>
      <c r="IO70" s="48">
        <v>0</v>
      </c>
      <c r="IP70" s="23">
        <v>0</v>
      </c>
      <c r="IQ70" s="25">
        <v>0</v>
      </c>
      <c r="IR70" s="25">
        <v>0</v>
      </c>
      <c r="IS70" s="26">
        <v>0</v>
      </c>
      <c r="IT70" s="26">
        <v>127997</v>
      </c>
      <c r="IU70" s="26">
        <v>0</v>
      </c>
      <c r="IV70" s="9">
        <v>0</v>
      </c>
      <c r="IW70" s="38">
        <f t="shared" si="4"/>
        <v>127997</v>
      </c>
    </row>
    <row r="71" spans="1:257" ht="30" customHeight="1" x14ac:dyDescent="0.25">
      <c r="A71" s="112" t="b">
        <v>0</v>
      </c>
      <c r="B71" s="113" t="str">
        <f>IFERROR(VLOOKUP(C71,'Bridge matrix'!$D$3:$E$727,2,FALSE)='symmetric IOT 245 2012'!D71,"FALSCH")</f>
        <v>FALSCH</v>
      </c>
      <c r="C71" s="108">
        <v>66</v>
      </c>
      <c r="D71" s="49" t="s">
        <v>1385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48">
        <v>0</v>
      </c>
      <c r="CB71" s="48">
        <v>0</v>
      </c>
      <c r="CC71" s="48">
        <v>0</v>
      </c>
      <c r="CD71" s="48">
        <v>0</v>
      </c>
      <c r="CE71" s="48">
        <v>0</v>
      </c>
      <c r="CF71" s="48">
        <v>0</v>
      </c>
      <c r="CG71" s="48">
        <v>0</v>
      </c>
      <c r="CH71" s="48">
        <v>0</v>
      </c>
      <c r="CI71" s="48">
        <v>0</v>
      </c>
      <c r="CJ71" s="48">
        <v>0</v>
      </c>
      <c r="CK71" s="48">
        <v>0</v>
      </c>
      <c r="CL71" s="48">
        <v>2.2413045697993335E-10</v>
      </c>
      <c r="CM71" s="48">
        <v>0</v>
      </c>
      <c r="CN71" s="48">
        <v>3.3346123397649637E-10</v>
      </c>
      <c r="CO71" s="48">
        <v>0</v>
      </c>
      <c r="CP71" s="48">
        <v>0</v>
      </c>
      <c r="CQ71" s="48">
        <v>0</v>
      </c>
      <c r="CR71" s="48">
        <v>0</v>
      </c>
      <c r="CS71" s="48">
        <v>0</v>
      </c>
      <c r="CT71" s="48">
        <v>4.4638296818022095E-13</v>
      </c>
      <c r="CU71" s="48">
        <v>0</v>
      </c>
      <c r="CV71" s="48">
        <v>6.3497031783635823E-8</v>
      </c>
      <c r="CW71" s="48">
        <v>0</v>
      </c>
      <c r="CX71" s="48">
        <v>4.1548542096314263E-14</v>
      </c>
      <c r="CY71" s="48">
        <v>1.0620730513988503E-9</v>
      </c>
      <c r="CZ71" s="48">
        <v>8.1358894540953165E-11</v>
      </c>
      <c r="DA71" s="48">
        <v>0</v>
      </c>
      <c r="DB71" s="48">
        <v>0</v>
      </c>
      <c r="DC71" s="48">
        <v>1.9991201776425134E-13</v>
      </c>
      <c r="DD71" s="48">
        <v>3.4851931631938451E-10</v>
      </c>
      <c r="DE71" s="48">
        <v>5.1882748298503396E-10</v>
      </c>
      <c r="DF71" s="48">
        <v>0</v>
      </c>
      <c r="DG71" s="48">
        <v>0</v>
      </c>
      <c r="DH71" s="48">
        <v>0</v>
      </c>
      <c r="DI71" s="48">
        <v>2.2246897719499634E-9</v>
      </c>
      <c r="DJ71" s="48">
        <v>0</v>
      </c>
      <c r="DK71" s="48">
        <v>1.5273939509815646E-9</v>
      </c>
      <c r="DL71" s="48">
        <v>0</v>
      </c>
      <c r="DM71" s="48">
        <v>0</v>
      </c>
      <c r="DN71" s="48">
        <v>0</v>
      </c>
      <c r="DO71" s="48">
        <v>0</v>
      </c>
      <c r="DP71" s="48">
        <v>0</v>
      </c>
      <c r="DQ71" s="48">
        <v>0</v>
      </c>
      <c r="DR71" s="48">
        <v>0.36128388814118062</v>
      </c>
      <c r="DS71" s="48">
        <v>0</v>
      </c>
      <c r="DT71" s="48">
        <v>0</v>
      </c>
      <c r="DU71" s="48">
        <v>0</v>
      </c>
      <c r="DV71" s="48">
        <v>0</v>
      </c>
      <c r="DW71" s="48">
        <v>0</v>
      </c>
      <c r="DX71" s="48">
        <v>0</v>
      </c>
      <c r="DY71" s="48">
        <v>1.3792108237242035E-6</v>
      </c>
      <c r="DZ71" s="48">
        <v>0</v>
      </c>
      <c r="EA71" s="48">
        <v>0</v>
      </c>
      <c r="EB71" s="48">
        <v>3.8392044451622795</v>
      </c>
      <c r="EC71" s="48">
        <v>0.11103864452580951</v>
      </c>
      <c r="ED71" s="48">
        <v>0</v>
      </c>
      <c r="EE71" s="48">
        <v>0</v>
      </c>
      <c r="EF71" s="48">
        <v>0</v>
      </c>
      <c r="EG71" s="48">
        <v>0</v>
      </c>
      <c r="EH71" s="48">
        <v>0</v>
      </c>
      <c r="EI71" s="48">
        <v>2.1432217462415579E-5</v>
      </c>
      <c r="EJ71" s="48">
        <v>1.2409414647131047E-9</v>
      </c>
      <c r="EK71" s="48">
        <v>0</v>
      </c>
      <c r="EL71" s="48">
        <v>0</v>
      </c>
      <c r="EM71" s="48">
        <v>0</v>
      </c>
      <c r="EN71" s="48">
        <v>0</v>
      </c>
      <c r="EO71" s="48">
        <v>0</v>
      </c>
      <c r="EP71" s="48">
        <v>0</v>
      </c>
      <c r="EQ71" s="48">
        <v>0</v>
      </c>
      <c r="ER71" s="48">
        <v>477.2635593752575</v>
      </c>
      <c r="ES71" s="48">
        <v>2172.9345750746588</v>
      </c>
      <c r="ET71" s="48">
        <v>0</v>
      </c>
      <c r="EU71" s="48">
        <v>0</v>
      </c>
      <c r="EV71" s="48">
        <v>0</v>
      </c>
      <c r="EW71" s="48">
        <v>0</v>
      </c>
      <c r="EX71" s="48">
        <v>0.96031244240055535</v>
      </c>
      <c r="EY71" s="48">
        <v>0</v>
      </c>
      <c r="EZ71" s="48">
        <v>0</v>
      </c>
      <c r="FA71" s="48">
        <v>2.427873921703873E-5</v>
      </c>
      <c r="FB71" s="48">
        <v>6.6561741997961521E-7</v>
      </c>
      <c r="FC71" s="48">
        <v>0</v>
      </c>
      <c r="FD71" s="48">
        <v>0</v>
      </c>
      <c r="FE71" s="48">
        <v>0</v>
      </c>
      <c r="FF71" s="48">
        <v>0</v>
      </c>
      <c r="FG71" s="48">
        <v>0</v>
      </c>
      <c r="FH71" s="48">
        <v>0</v>
      </c>
      <c r="FI71" s="48">
        <v>0</v>
      </c>
      <c r="FJ71" s="48">
        <v>0</v>
      </c>
      <c r="FK71" s="48">
        <v>0</v>
      </c>
      <c r="FL71" s="48">
        <v>0</v>
      </c>
      <c r="FM71" s="48">
        <v>0.12695337126961365</v>
      </c>
      <c r="FN71" s="48">
        <v>0</v>
      </c>
      <c r="FO71" s="48">
        <v>0</v>
      </c>
      <c r="FP71" s="48">
        <v>5.4030105920586227</v>
      </c>
      <c r="FQ71" s="48">
        <v>9.8304861122553556E-6</v>
      </c>
      <c r="FR71" s="48">
        <v>0</v>
      </c>
      <c r="FS71" s="48">
        <v>0</v>
      </c>
      <c r="FT71" s="48">
        <v>0</v>
      </c>
      <c r="FU71" s="48">
        <v>0</v>
      </c>
      <c r="FV71" s="48">
        <v>4.5090200224058901E-6</v>
      </c>
      <c r="FW71" s="48">
        <v>0</v>
      </c>
      <c r="FX71" s="48">
        <v>0</v>
      </c>
      <c r="FY71" s="48">
        <v>0</v>
      </c>
      <c r="FZ71" s="48">
        <v>0</v>
      </c>
      <c r="GA71" s="48">
        <v>0</v>
      </c>
      <c r="GB71" s="48">
        <v>0</v>
      </c>
      <c r="GC71" s="48">
        <v>0</v>
      </c>
      <c r="GD71" s="48">
        <v>0</v>
      </c>
      <c r="GE71" s="48">
        <v>0</v>
      </c>
      <c r="GF71" s="48">
        <v>0</v>
      </c>
      <c r="GG71" s="48">
        <v>0</v>
      </c>
      <c r="GH71" s="48">
        <v>0</v>
      </c>
      <c r="GI71" s="48">
        <v>0</v>
      </c>
      <c r="GJ71" s="48">
        <v>0</v>
      </c>
      <c r="GK71" s="48">
        <v>0</v>
      </c>
      <c r="GL71" s="48">
        <v>0</v>
      </c>
      <c r="GM71" s="48">
        <v>0</v>
      </c>
      <c r="GN71" s="48">
        <v>0</v>
      </c>
      <c r="GO71" s="48">
        <v>0</v>
      </c>
      <c r="GP71" s="48">
        <v>0</v>
      </c>
      <c r="GQ71" s="48">
        <v>0</v>
      </c>
      <c r="GR71" s="48">
        <v>0</v>
      </c>
      <c r="GS71" s="48">
        <v>0</v>
      </c>
      <c r="GT71" s="48">
        <v>0</v>
      </c>
      <c r="GU71" s="48">
        <v>0</v>
      </c>
      <c r="GV71" s="48">
        <v>0</v>
      </c>
      <c r="GW71" s="48">
        <v>0</v>
      </c>
      <c r="GX71" s="48">
        <v>0</v>
      </c>
      <c r="GY71" s="48">
        <v>0</v>
      </c>
      <c r="GZ71" s="48">
        <v>0</v>
      </c>
      <c r="HA71" s="48">
        <v>0</v>
      </c>
      <c r="HB71" s="48">
        <v>0</v>
      </c>
      <c r="HC71" s="48">
        <v>0</v>
      </c>
      <c r="HD71" s="48">
        <v>0</v>
      </c>
      <c r="HE71" s="48">
        <v>0</v>
      </c>
      <c r="HF71" s="48">
        <v>0</v>
      </c>
      <c r="HG71" s="48">
        <v>0</v>
      </c>
      <c r="HH71" s="48">
        <v>0</v>
      </c>
      <c r="HI71" s="48">
        <v>0</v>
      </c>
      <c r="HJ71" s="48">
        <v>0</v>
      </c>
      <c r="HK71" s="48">
        <v>0</v>
      </c>
      <c r="HL71" s="48">
        <v>0</v>
      </c>
      <c r="HM71" s="48">
        <v>0</v>
      </c>
      <c r="HN71" s="48">
        <v>0</v>
      </c>
      <c r="HO71" s="48">
        <v>0</v>
      </c>
      <c r="HP71" s="48">
        <v>0</v>
      </c>
      <c r="HQ71" s="48">
        <v>0</v>
      </c>
      <c r="HR71" s="48">
        <v>0</v>
      </c>
      <c r="HS71" s="48">
        <v>0</v>
      </c>
      <c r="HT71" s="48">
        <v>0</v>
      </c>
      <c r="HU71" s="48">
        <v>0</v>
      </c>
      <c r="HV71" s="48">
        <v>0</v>
      </c>
      <c r="HW71" s="48">
        <v>0</v>
      </c>
      <c r="HX71" s="48">
        <v>0</v>
      </c>
      <c r="HY71" s="48">
        <v>0</v>
      </c>
      <c r="HZ71" s="48">
        <v>0</v>
      </c>
      <c r="IA71" s="48">
        <v>0</v>
      </c>
      <c r="IB71" s="48">
        <v>0</v>
      </c>
      <c r="IC71" s="48">
        <v>0</v>
      </c>
      <c r="ID71" s="48">
        <v>0</v>
      </c>
      <c r="IE71" s="48">
        <v>0</v>
      </c>
      <c r="IF71" s="48">
        <v>0</v>
      </c>
      <c r="IG71" s="48">
        <v>0</v>
      </c>
      <c r="IH71" s="48">
        <v>0</v>
      </c>
      <c r="II71" s="48">
        <v>0</v>
      </c>
      <c r="IJ71" s="48">
        <v>0</v>
      </c>
      <c r="IK71" s="48">
        <v>1.666821826927431E-10</v>
      </c>
      <c r="IL71" s="48">
        <v>0</v>
      </c>
      <c r="IM71" s="48">
        <v>0</v>
      </c>
      <c r="IN71" s="48">
        <v>0</v>
      </c>
      <c r="IO71" s="48">
        <v>0</v>
      </c>
      <c r="IP71" s="23">
        <v>2660.9999999999918</v>
      </c>
      <c r="IQ71" s="25">
        <v>0</v>
      </c>
      <c r="IR71" s="25">
        <v>0</v>
      </c>
      <c r="IS71" s="26">
        <v>0</v>
      </c>
      <c r="IT71" s="26">
        <v>0</v>
      </c>
      <c r="IU71" s="26">
        <v>0</v>
      </c>
      <c r="IV71" s="9">
        <v>2642</v>
      </c>
      <c r="IW71" s="38">
        <f t="shared" ref="IW71:IW134" si="5">SUM(IP71:IV71)</f>
        <v>5302.9999999999918</v>
      </c>
    </row>
    <row r="72" spans="1:257" ht="30" customHeight="1" x14ac:dyDescent="0.25">
      <c r="A72" s="112" t="b">
        <v>0</v>
      </c>
      <c r="B72" s="113" t="str">
        <f>IFERROR(VLOOKUP(C72,'Bridge matrix'!$D$3:$E$727,2,FALSE)='symmetric IOT 245 2012'!D72,"FALSCH")</f>
        <v>FALSCH</v>
      </c>
      <c r="C72" s="108">
        <v>67</v>
      </c>
      <c r="D72" s="49" t="s">
        <v>1386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0.72282366178492696</v>
      </c>
      <c r="BT72" s="48">
        <v>0</v>
      </c>
      <c r="BU72" s="48">
        <v>0</v>
      </c>
      <c r="BV72" s="48">
        <v>0</v>
      </c>
      <c r="BW72" s="48">
        <v>0</v>
      </c>
      <c r="BX72" s="48">
        <v>0</v>
      </c>
      <c r="BY72" s="48">
        <v>0</v>
      </c>
      <c r="BZ72" s="48">
        <v>0</v>
      </c>
      <c r="CA72" s="48">
        <v>0</v>
      </c>
      <c r="CB72" s="48">
        <v>0</v>
      </c>
      <c r="CC72" s="48">
        <v>9.796503258792896</v>
      </c>
      <c r="CD72" s="48">
        <v>0</v>
      </c>
      <c r="CE72" s="48">
        <v>0</v>
      </c>
      <c r="CF72" s="48">
        <v>0</v>
      </c>
      <c r="CG72" s="48">
        <v>0</v>
      </c>
      <c r="CH72" s="48">
        <v>0</v>
      </c>
      <c r="CI72" s="48">
        <v>0</v>
      </c>
      <c r="CJ72" s="48">
        <v>0</v>
      </c>
      <c r="CK72" s="48">
        <v>0</v>
      </c>
      <c r="CL72" s="48">
        <v>1.6757168299297974E-9</v>
      </c>
      <c r="CM72" s="48">
        <v>0</v>
      </c>
      <c r="CN72" s="48">
        <v>2.424269860162654E-9</v>
      </c>
      <c r="CO72" s="48">
        <v>0</v>
      </c>
      <c r="CP72" s="48">
        <v>0</v>
      </c>
      <c r="CQ72" s="48">
        <v>0</v>
      </c>
      <c r="CR72" s="48">
        <v>0</v>
      </c>
      <c r="CS72" s="48">
        <v>0</v>
      </c>
      <c r="CT72" s="48">
        <v>3.2452131330070173E-12</v>
      </c>
      <c r="CU72" s="48">
        <v>0</v>
      </c>
      <c r="CV72" s="48">
        <v>3.0405223251882745E-7</v>
      </c>
      <c r="CW72" s="48">
        <v>0</v>
      </c>
      <c r="CX72" s="48">
        <v>3.0205873449413744E-13</v>
      </c>
      <c r="CY72" s="48">
        <v>7.1165652136584643E-5</v>
      </c>
      <c r="CZ72" s="48">
        <v>5.3015112546343027E-6</v>
      </c>
      <c r="DA72" s="48">
        <v>0</v>
      </c>
      <c r="DB72" s="48">
        <v>0</v>
      </c>
      <c r="DC72" s="48">
        <v>1.4533643793339228E-12</v>
      </c>
      <c r="DD72" s="48">
        <v>2.2693674563311101E-5</v>
      </c>
      <c r="DE72" s="48">
        <v>3.3807504457629169E-5</v>
      </c>
      <c r="DF72" s="48">
        <v>0</v>
      </c>
      <c r="DG72" s="48">
        <v>0</v>
      </c>
      <c r="DH72" s="48">
        <v>0</v>
      </c>
      <c r="DI72" s="48">
        <v>1.4496534411062665E-4</v>
      </c>
      <c r="DJ72" s="48">
        <v>0</v>
      </c>
      <c r="DK72" s="48">
        <v>9.9528100364159976E-5</v>
      </c>
      <c r="DL72" s="48">
        <v>0</v>
      </c>
      <c r="DM72" s="48">
        <v>0</v>
      </c>
      <c r="DN72" s="48">
        <v>0</v>
      </c>
      <c r="DO72" s="48">
        <v>0</v>
      </c>
      <c r="DP72" s="48">
        <v>0</v>
      </c>
      <c r="DQ72" s="48">
        <v>0</v>
      </c>
      <c r="DR72" s="48">
        <v>0</v>
      </c>
      <c r="DS72" s="48">
        <v>0</v>
      </c>
      <c r="DT72" s="48">
        <v>0</v>
      </c>
      <c r="DU72" s="48">
        <v>0</v>
      </c>
      <c r="DV72" s="48">
        <v>0</v>
      </c>
      <c r="DW72" s="48">
        <v>0</v>
      </c>
      <c r="DX72" s="48">
        <v>1711.1939182859455</v>
      </c>
      <c r="DY72" s="48">
        <v>6.5100835237952935E-5</v>
      </c>
      <c r="DZ72" s="48">
        <v>0</v>
      </c>
      <c r="EA72" s="48">
        <v>0</v>
      </c>
      <c r="EB72" s="48">
        <v>0</v>
      </c>
      <c r="EC72" s="48">
        <v>0</v>
      </c>
      <c r="ED72" s="48">
        <v>0</v>
      </c>
      <c r="EE72" s="48">
        <v>0</v>
      </c>
      <c r="EF72" s="48">
        <v>0</v>
      </c>
      <c r="EG72" s="48">
        <v>0</v>
      </c>
      <c r="EH72" s="48">
        <v>0</v>
      </c>
      <c r="EI72" s="48">
        <v>1.573181781498731E-4</v>
      </c>
      <c r="EJ72" s="48">
        <v>5.9421836292581055E-9</v>
      </c>
      <c r="EK72" s="48">
        <v>0</v>
      </c>
      <c r="EL72" s="48">
        <v>7.4608193429431618E-4</v>
      </c>
      <c r="EM72" s="48">
        <v>0</v>
      </c>
      <c r="EN72" s="48">
        <v>0</v>
      </c>
      <c r="EO72" s="48">
        <v>0</v>
      </c>
      <c r="EP72" s="48">
        <v>0</v>
      </c>
      <c r="EQ72" s="48">
        <v>0</v>
      </c>
      <c r="ER72" s="48">
        <v>4.2913313174049892E-3</v>
      </c>
      <c r="ES72" s="48">
        <v>0</v>
      </c>
      <c r="ET72" s="48">
        <v>1.826483444008936E-3</v>
      </c>
      <c r="EU72" s="48">
        <v>0</v>
      </c>
      <c r="EV72" s="48">
        <v>0</v>
      </c>
      <c r="EW72" s="48">
        <v>0</v>
      </c>
      <c r="EX72" s="48">
        <v>0</v>
      </c>
      <c r="EY72" s="48">
        <v>0</v>
      </c>
      <c r="EZ72" s="48">
        <v>0</v>
      </c>
      <c r="FA72" s="48">
        <v>6.3033712189716924E-4</v>
      </c>
      <c r="FB72" s="48">
        <v>1.7281101998085694E-5</v>
      </c>
      <c r="FC72" s="48">
        <v>0</v>
      </c>
      <c r="FD72" s="48">
        <v>0</v>
      </c>
      <c r="FE72" s="48">
        <v>0</v>
      </c>
      <c r="FF72" s="48">
        <v>0</v>
      </c>
      <c r="FG72" s="48">
        <v>0</v>
      </c>
      <c r="FH72" s="48">
        <v>0</v>
      </c>
      <c r="FI72" s="48">
        <v>0</v>
      </c>
      <c r="FJ72" s="48">
        <v>0</v>
      </c>
      <c r="FK72" s="48">
        <v>0</v>
      </c>
      <c r="FL72" s="48">
        <v>0</v>
      </c>
      <c r="FM72" s="48">
        <v>8.775886269888352E-4</v>
      </c>
      <c r="FN72" s="48">
        <v>0</v>
      </c>
      <c r="FO72" s="48">
        <v>0</v>
      </c>
      <c r="FP72" s="48">
        <v>0</v>
      </c>
      <c r="FQ72" s="48">
        <v>1.2407704796712469E-3</v>
      </c>
      <c r="FR72" s="48">
        <v>982.69454407051512</v>
      </c>
      <c r="FS72" s="48">
        <v>0</v>
      </c>
      <c r="FT72" s="48">
        <v>0</v>
      </c>
      <c r="FU72" s="48">
        <v>0</v>
      </c>
      <c r="FV72" s="48">
        <v>1.9622847681574729E-4</v>
      </c>
      <c r="FW72" s="48">
        <v>0</v>
      </c>
      <c r="FX72" s="48">
        <v>0</v>
      </c>
      <c r="FY72" s="48">
        <v>0</v>
      </c>
      <c r="FZ72" s="48">
        <v>0</v>
      </c>
      <c r="GA72" s="48">
        <v>0</v>
      </c>
      <c r="GB72" s="48">
        <v>2292.5817844242474</v>
      </c>
      <c r="GC72" s="48">
        <v>0</v>
      </c>
      <c r="GD72" s="48">
        <v>0</v>
      </c>
      <c r="GE72" s="48">
        <v>0</v>
      </c>
      <c r="GF72" s="48">
        <v>0</v>
      </c>
      <c r="GG72" s="48">
        <v>0</v>
      </c>
      <c r="GH72" s="48">
        <v>0</v>
      </c>
      <c r="GI72" s="48">
        <v>0</v>
      </c>
      <c r="GJ72" s="48">
        <v>0</v>
      </c>
      <c r="GK72" s="48">
        <v>0</v>
      </c>
      <c r="GL72" s="48">
        <v>0</v>
      </c>
      <c r="GM72" s="48">
        <v>0</v>
      </c>
      <c r="GN72" s="48">
        <v>0</v>
      </c>
      <c r="GO72" s="48">
        <v>0</v>
      </c>
      <c r="GP72" s="48">
        <v>0</v>
      </c>
      <c r="GQ72" s="48">
        <v>0</v>
      </c>
      <c r="GR72" s="48">
        <v>0</v>
      </c>
      <c r="GS72" s="48">
        <v>0</v>
      </c>
      <c r="GT72" s="48">
        <v>5.3206590274459399E-13</v>
      </c>
      <c r="GU72" s="48">
        <v>0</v>
      </c>
      <c r="GV72" s="48">
        <v>0</v>
      </c>
      <c r="GW72" s="48">
        <v>0</v>
      </c>
      <c r="GX72" s="48">
        <v>7.7789345378595888E-11</v>
      </c>
      <c r="GY72" s="48">
        <v>0</v>
      </c>
      <c r="GZ72" s="48">
        <v>0</v>
      </c>
      <c r="HA72" s="48">
        <v>0</v>
      </c>
      <c r="HB72" s="48">
        <v>0</v>
      </c>
      <c r="HC72" s="48">
        <v>0</v>
      </c>
      <c r="HD72" s="48">
        <v>0</v>
      </c>
      <c r="HE72" s="48">
        <v>0</v>
      </c>
      <c r="HF72" s="48">
        <v>0</v>
      </c>
      <c r="HG72" s="48">
        <v>0</v>
      </c>
      <c r="HH72" s="48">
        <v>0</v>
      </c>
      <c r="HI72" s="48">
        <v>0</v>
      </c>
      <c r="HJ72" s="48">
        <v>0</v>
      </c>
      <c r="HK72" s="48">
        <v>0</v>
      </c>
      <c r="HL72" s="48">
        <v>0</v>
      </c>
      <c r="HM72" s="48">
        <v>0</v>
      </c>
      <c r="HN72" s="48">
        <v>0</v>
      </c>
      <c r="HO72" s="48">
        <v>0</v>
      </c>
      <c r="HP72" s="48">
        <v>0</v>
      </c>
      <c r="HQ72" s="48">
        <v>0</v>
      </c>
      <c r="HR72" s="48">
        <v>0</v>
      </c>
      <c r="HS72" s="48">
        <v>0</v>
      </c>
      <c r="HT72" s="48">
        <v>0</v>
      </c>
      <c r="HU72" s="48">
        <v>0</v>
      </c>
      <c r="HV72" s="48">
        <v>0</v>
      </c>
      <c r="HW72" s="48">
        <v>0</v>
      </c>
      <c r="HX72" s="48">
        <v>0</v>
      </c>
      <c r="HY72" s="48">
        <v>0</v>
      </c>
      <c r="HZ72" s="48">
        <v>0</v>
      </c>
      <c r="IA72" s="48">
        <v>0</v>
      </c>
      <c r="IB72" s="48">
        <v>0</v>
      </c>
      <c r="IC72" s="48">
        <v>0</v>
      </c>
      <c r="ID72" s="48">
        <v>0</v>
      </c>
      <c r="IE72" s="48">
        <v>0</v>
      </c>
      <c r="IF72" s="48">
        <v>0</v>
      </c>
      <c r="IG72" s="48">
        <v>0</v>
      </c>
      <c r="IH72" s="48">
        <v>0</v>
      </c>
      <c r="II72" s="48">
        <v>0</v>
      </c>
      <c r="IJ72" s="48">
        <v>0</v>
      </c>
      <c r="IK72" s="48">
        <v>1.211782811781423E-9</v>
      </c>
      <c r="IL72" s="48">
        <v>0</v>
      </c>
      <c r="IM72" s="48">
        <v>0</v>
      </c>
      <c r="IN72" s="48">
        <v>0</v>
      </c>
      <c r="IO72" s="48">
        <v>0</v>
      </c>
      <c r="IP72" s="23">
        <v>4996.9999999999791</v>
      </c>
      <c r="IQ72" s="25">
        <v>131</v>
      </c>
      <c r="IR72" s="25">
        <v>0</v>
      </c>
      <c r="IS72" s="26">
        <v>0</v>
      </c>
      <c r="IT72" s="26">
        <v>0</v>
      </c>
      <c r="IU72" s="26">
        <v>0</v>
      </c>
      <c r="IV72" s="9">
        <v>3326</v>
      </c>
      <c r="IW72" s="38">
        <f t="shared" si="5"/>
        <v>8453.9999999999782</v>
      </c>
    </row>
    <row r="73" spans="1:257" ht="30" customHeight="1" x14ac:dyDescent="0.25">
      <c r="A73" s="112" t="b">
        <v>1</v>
      </c>
      <c r="B73" s="113" t="str">
        <f>IFERROR(VLOOKUP(C73,'Bridge matrix'!$D$3:$E$727,2,FALSE)='symmetric IOT 245 2012'!D73,"FALSCH")</f>
        <v>FALSCH</v>
      </c>
      <c r="C73" s="108">
        <v>68</v>
      </c>
      <c r="D73" s="49" t="s">
        <v>1387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0</v>
      </c>
      <c r="BQ73" s="48">
        <v>0</v>
      </c>
      <c r="BR73" s="48">
        <v>0</v>
      </c>
      <c r="BS73" s="48">
        <v>0</v>
      </c>
      <c r="BT73" s="48">
        <v>0</v>
      </c>
      <c r="BU73" s="48">
        <v>143011.0013940788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48">
        <v>0</v>
      </c>
      <c r="CB73" s="48">
        <v>0</v>
      </c>
      <c r="CC73" s="48">
        <v>0</v>
      </c>
      <c r="CD73" s="48">
        <v>0</v>
      </c>
      <c r="CE73" s="48">
        <v>0</v>
      </c>
      <c r="CF73" s="48">
        <v>0</v>
      </c>
      <c r="CG73" s="48">
        <v>0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  <c r="CM73" s="48">
        <v>0</v>
      </c>
      <c r="CN73" s="48">
        <v>3834.9986059203966</v>
      </c>
      <c r="CO73" s="48">
        <v>0</v>
      </c>
      <c r="CP73" s="48">
        <v>0</v>
      </c>
      <c r="CQ73" s="48">
        <v>0</v>
      </c>
      <c r="CR73" s="48">
        <v>0</v>
      </c>
      <c r="CS73" s="48">
        <v>0</v>
      </c>
      <c r="CT73" s="48">
        <v>0</v>
      </c>
      <c r="CU73" s="48">
        <v>0</v>
      </c>
      <c r="CV73" s="48">
        <v>0</v>
      </c>
      <c r="CW73" s="48">
        <v>0</v>
      </c>
      <c r="CX73" s="48">
        <v>0</v>
      </c>
      <c r="CY73" s="48">
        <v>0</v>
      </c>
      <c r="CZ73" s="48">
        <v>0</v>
      </c>
      <c r="DA73" s="48">
        <v>0</v>
      </c>
      <c r="DB73" s="48">
        <v>0</v>
      </c>
      <c r="DC73" s="48">
        <v>0</v>
      </c>
      <c r="DD73" s="48">
        <v>0</v>
      </c>
      <c r="DE73" s="48">
        <v>0</v>
      </c>
      <c r="DF73" s="48">
        <v>0</v>
      </c>
      <c r="DG73" s="48">
        <v>0</v>
      </c>
      <c r="DH73" s="48">
        <v>0</v>
      </c>
      <c r="DI73" s="48">
        <v>0</v>
      </c>
      <c r="DJ73" s="48">
        <v>0</v>
      </c>
      <c r="DK73" s="48">
        <v>0</v>
      </c>
      <c r="DL73" s="48">
        <v>0</v>
      </c>
      <c r="DM73" s="48">
        <v>0</v>
      </c>
      <c r="DN73" s="48">
        <v>0</v>
      </c>
      <c r="DO73" s="48">
        <v>0</v>
      </c>
      <c r="DP73" s="48">
        <v>0</v>
      </c>
      <c r="DQ73" s="48">
        <v>0</v>
      </c>
      <c r="DR73" s="48">
        <v>0</v>
      </c>
      <c r="DS73" s="48">
        <v>0</v>
      </c>
      <c r="DT73" s="48">
        <v>0</v>
      </c>
      <c r="DU73" s="48">
        <v>0</v>
      </c>
      <c r="DV73" s="48">
        <v>0</v>
      </c>
      <c r="DW73" s="48">
        <v>0</v>
      </c>
      <c r="DX73" s="48">
        <v>0</v>
      </c>
      <c r="DY73" s="48">
        <v>0</v>
      </c>
      <c r="DZ73" s="48">
        <v>0</v>
      </c>
      <c r="EA73" s="48">
        <v>0</v>
      </c>
      <c r="EB73" s="48">
        <v>0</v>
      </c>
      <c r="EC73" s="48">
        <v>0</v>
      </c>
      <c r="ED73" s="48">
        <v>0</v>
      </c>
      <c r="EE73" s="48">
        <v>0</v>
      </c>
      <c r="EF73" s="48">
        <v>0</v>
      </c>
      <c r="EG73" s="48">
        <v>0</v>
      </c>
      <c r="EH73" s="48">
        <v>0</v>
      </c>
      <c r="EI73" s="48">
        <v>0</v>
      </c>
      <c r="EJ73" s="48">
        <v>0</v>
      </c>
      <c r="EK73" s="48">
        <v>0</v>
      </c>
      <c r="EL73" s="48">
        <v>0</v>
      </c>
      <c r="EM73" s="48">
        <v>0</v>
      </c>
      <c r="EN73" s="48">
        <v>0</v>
      </c>
      <c r="EO73" s="48">
        <v>0</v>
      </c>
      <c r="EP73" s="48">
        <v>0</v>
      </c>
      <c r="EQ73" s="48">
        <v>0</v>
      </c>
      <c r="ER73" s="48">
        <v>0</v>
      </c>
      <c r="ES73" s="48">
        <v>0</v>
      </c>
      <c r="ET73" s="48">
        <v>0</v>
      </c>
      <c r="EU73" s="48">
        <v>0</v>
      </c>
      <c r="EV73" s="48">
        <v>0</v>
      </c>
      <c r="EW73" s="48">
        <v>0</v>
      </c>
      <c r="EX73" s="48">
        <v>0</v>
      </c>
      <c r="EY73" s="48">
        <v>0</v>
      </c>
      <c r="EZ73" s="48">
        <v>0</v>
      </c>
      <c r="FA73" s="48">
        <v>0</v>
      </c>
      <c r="FB73" s="48">
        <v>0</v>
      </c>
      <c r="FC73" s="48">
        <v>0</v>
      </c>
      <c r="FD73" s="48">
        <v>0</v>
      </c>
      <c r="FE73" s="48">
        <v>0</v>
      </c>
      <c r="FF73" s="48">
        <v>0</v>
      </c>
      <c r="FG73" s="48">
        <v>0</v>
      </c>
      <c r="FH73" s="48">
        <v>0</v>
      </c>
      <c r="FI73" s="48">
        <v>0</v>
      </c>
      <c r="FJ73" s="48">
        <v>0</v>
      </c>
      <c r="FK73" s="48">
        <v>0</v>
      </c>
      <c r="FL73" s="48">
        <v>0</v>
      </c>
      <c r="FM73" s="48">
        <v>0</v>
      </c>
      <c r="FN73" s="48">
        <v>0</v>
      </c>
      <c r="FO73" s="48">
        <v>0</v>
      </c>
      <c r="FP73" s="48">
        <v>0</v>
      </c>
      <c r="FQ73" s="48">
        <v>0</v>
      </c>
      <c r="FR73" s="48">
        <v>0</v>
      </c>
      <c r="FS73" s="48">
        <v>0</v>
      </c>
      <c r="FT73" s="48">
        <v>0</v>
      </c>
      <c r="FU73" s="48">
        <v>0</v>
      </c>
      <c r="FV73" s="48">
        <v>0</v>
      </c>
      <c r="FW73" s="48">
        <v>0</v>
      </c>
      <c r="FX73" s="48">
        <v>0</v>
      </c>
      <c r="FY73" s="48">
        <v>0</v>
      </c>
      <c r="FZ73" s="48">
        <v>0</v>
      </c>
      <c r="GA73" s="48">
        <v>0</v>
      </c>
      <c r="GB73" s="48">
        <v>0</v>
      </c>
      <c r="GC73" s="48">
        <v>0</v>
      </c>
      <c r="GD73" s="48">
        <v>0</v>
      </c>
      <c r="GE73" s="48">
        <v>0</v>
      </c>
      <c r="GF73" s="48">
        <v>0</v>
      </c>
      <c r="GG73" s="48">
        <v>0</v>
      </c>
      <c r="GH73" s="48">
        <v>0</v>
      </c>
      <c r="GI73" s="48">
        <v>0</v>
      </c>
      <c r="GJ73" s="48">
        <v>0</v>
      </c>
      <c r="GK73" s="48">
        <v>0</v>
      </c>
      <c r="GL73" s="48">
        <v>0</v>
      </c>
      <c r="GM73" s="48">
        <v>0</v>
      </c>
      <c r="GN73" s="48">
        <v>0</v>
      </c>
      <c r="GO73" s="48">
        <v>0</v>
      </c>
      <c r="GP73" s="48">
        <v>0</v>
      </c>
      <c r="GQ73" s="48">
        <v>0</v>
      </c>
      <c r="GR73" s="48">
        <v>0</v>
      </c>
      <c r="GS73" s="48">
        <v>0</v>
      </c>
      <c r="GT73" s="48">
        <v>0</v>
      </c>
      <c r="GU73" s="48">
        <v>0</v>
      </c>
      <c r="GV73" s="48">
        <v>0</v>
      </c>
      <c r="GW73" s="48">
        <v>0</v>
      </c>
      <c r="GX73" s="48">
        <v>0</v>
      </c>
      <c r="GY73" s="48">
        <v>0</v>
      </c>
      <c r="GZ73" s="48">
        <v>0</v>
      </c>
      <c r="HA73" s="48">
        <v>0</v>
      </c>
      <c r="HB73" s="48">
        <v>0</v>
      </c>
      <c r="HC73" s="48">
        <v>0</v>
      </c>
      <c r="HD73" s="48">
        <v>0</v>
      </c>
      <c r="HE73" s="48">
        <v>0</v>
      </c>
      <c r="HF73" s="48">
        <v>0</v>
      </c>
      <c r="HG73" s="48">
        <v>0</v>
      </c>
      <c r="HH73" s="48">
        <v>0</v>
      </c>
      <c r="HI73" s="48">
        <v>0</v>
      </c>
      <c r="HJ73" s="48">
        <v>0</v>
      </c>
      <c r="HK73" s="48">
        <v>0</v>
      </c>
      <c r="HL73" s="48">
        <v>0</v>
      </c>
      <c r="HM73" s="48">
        <v>0</v>
      </c>
      <c r="HN73" s="48">
        <v>0</v>
      </c>
      <c r="HO73" s="48">
        <v>0</v>
      </c>
      <c r="HP73" s="48">
        <v>0</v>
      </c>
      <c r="HQ73" s="48">
        <v>0</v>
      </c>
      <c r="HR73" s="48">
        <v>0</v>
      </c>
      <c r="HS73" s="48">
        <v>0</v>
      </c>
      <c r="HT73" s="48">
        <v>0</v>
      </c>
      <c r="HU73" s="48">
        <v>0</v>
      </c>
      <c r="HV73" s="48">
        <v>0</v>
      </c>
      <c r="HW73" s="48">
        <v>0</v>
      </c>
      <c r="HX73" s="48">
        <v>0</v>
      </c>
      <c r="HY73" s="48">
        <v>0</v>
      </c>
      <c r="HZ73" s="48">
        <v>0</v>
      </c>
      <c r="IA73" s="48">
        <v>0</v>
      </c>
      <c r="IB73" s="48">
        <v>0</v>
      </c>
      <c r="IC73" s="48">
        <v>0</v>
      </c>
      <c r="ID73" s="48">
        <v>0</v>
      </c>
      <c r="IE73" s="48">
        <v>0</v>
      </c>
      <c r="IF73" s="48">
        <v>0</v>
      </c>
      <c r="IG73" s="48">
        <v>0</v>
      </c>
      <c r="IH73" s="48">
        <v>0</v>
      </c>
      <c r="II73" s="48">
        <v>0</v>
      </c>
      <c r="IJ73" s="48">
        <v>0</v>
      </c>
      <c r="IK73" s="48">
        <v>0</v>
      </c>
      <c r="IL73" s="48">
        <v>0</v>
      </c>
      <c r="IM73" s="48">
        <v>0</v>
      </c>
      <c r="IN73" s="48">
        <v>0</v>
      </c>
      <c r="IO73" s="48">
        <v>0</v>
      </c>
      <c r="IP73" s="23">
        <v>146845.99999999921</v>
      </c>
      <c r="IQ73" s="25">
        <v>0</v>
      </c>
      <c r="IR73" s="25">
        <v>0</v>
      </c>
      <c r="IS73" s="26">
        <v>0</v>
      </c>
      <c r="IT73" s="26">
        <v>0</v>
      </c>
      <c r="IU73" s="26">
        <v>0</v>
      </c>
      <c r="IV73" s="9">
        <v>1087</v>
      </c>
      <c r="IW73" s="38">
        <f t="shared" si="5"/>
        <v>147932.99999999921</v>
      </c>
    </row>
    <row r="74" spans="1:257" ht="30" customHeight="1" x14ac:dyDescent="0.25">
      <c r="A74" s="112" t="b">
        <v>0</v>
      </c>
      <c r="B74" s="113" t="b">
        <f>IFERROR(VLOOKUP(C74,'Bridge matrix'!$D$3:$E$727,2,FALSE)='symmetric IOT 245 2012'!D74,"FALSCH")</f>
        <v>1</v>
      </c>
      <c r="C74" s="108">
        <v>69</v>
      </c>
      <c r="D74" s="96" t="s">
        <v>1388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  <c r="CM74" s="48">
        <v>0</v>
      </c>
      <c r="CN74" s="48">
        <v>794718.15899878531</v>
      </c>
      <c r="CO74" s="48">
        <v>76.731774260167967</v>
      </c>
      <c r="CP74" s="48">
        <v>537.25172663417823</v>
      </c>
      <c r="CQ74" s="48">
        <v>0</v>
      </c>
      <c r="CR74" s="48">
        <v>0</v>
      </c>
      <c r="CS74" s="48">
        <v>0</v>
      </c>
      <c r="CT74" s="48">
        <v>0</v>
      </c>
      <c r="CU74" s="48">
        <v>0</v>
      </c>
      <c r="CV74" s="48">
        <v>0</v>
      </c>
      <c r="CW74" s="48">
        <v>0</v>
      </c>
      <c r="CX74" s="48">
        <v>0</v>
      </c>
      <c r="CY74" s="48">
        <v>0</v>
      </c>
      <c r="CZ74" s="48">
        <v>0</v>
      </c>
      <c r="DA74" s="48">
        <v>0</v>
      </c>
      <c r="DB74" s="48">
        <v>0</v>
      </c>
      <c r="DC74" s="48">
        <v>0</v>
      </c>
      <c r="DD74" s="48">
        <v>0</v>
      </c>
      <c r="DE74" s="48">
        <v>0</v>
      </c>
      <c r="DF74" s="48">
        <v>0</v>
      </c>
      <c r="DG74" s="48">
        <v>0</v>
      </c>
      <c r="DH74" s="48">
        <v>0</v>
      </c>
      <c r="DI74" s="48">
        <v>0</v>
      </c>
      <c r="DJ74" s="48">
        <v>0</v>
      </c>
      <c r="DK74" s="48">
        <v>0</v>
      </c>
      <c r="DL74" s="48">
        <v>0</v>
      </c>
      <c r="DM74" s="48">
        <v>0</v>
      </c>
      <c r="DN74" s="48">
        <v>0</v>
      </c>
      <c r="DO74" s="48">
        <v>0</v>
      </c>
      <c r="DP74" s="48">
        <v>0</v>
      </c>
      <c r="DQ74" s="48">
        <v>0</v>
      </c>
      <c r="DR74" s="48">
        <v>0</v>
      </c>
      <c r="DS74" s="48">
        <v>0</v>
      </c>
      <c r="DT74" s="48">
        <v>0</v>
      </c>
      <c r="DU74" s="48">
        <v>0</v>
      </c>
      <c r="DV74" s="48">
        <v>0</v>
      </c>
      <c r="DW74" s="48">
        <v>0</v>
      </c>
      <c r="DX74" s="48">
        <v>0</v>
      </c>
      <c r="DY74" s="48">
        <v>0</v>
      </c>
      <c r="DZ74" s="48">
        <v>0</v>
      </c>
      <c r="EA74" s="48">
        <v>0</v>
      </c>
      <c r="EB74" s="48">
        <v>0</v>
      </c>
      <c r="EC74" s="48">
        <v>0</v>
      </c>
      <c r="ED74" s="48">
        <v>0</v>
      </c>
      <c r="EE74" s="48">
        <v>0</v>
      </c>
      <c r="EF74" s="48">
        <v>0</v>
      </c>
      <c r="EG74" s="48">
        <v>0</v>
      </c>
      <c r="EH74" s="48">
        <v>0</v>
      </c>
      <c r="EI74" s="48">
        <v>0</v>
      </c>
      <c r="EJ74" s="48">
        <v>0</v>
      </c>
      <c r="EK74" s="48">
        <v>0</v>
      </c>
      <c r="EL74" s="48">
        <v>0</v>
      </c>
      <c r="EM74" s="48">
        <v>0</v>
      </c>
      <c r="EN74" s="48">
        <v>0</v>
      </c>
      <c r="EO74" s="48">
        <v>0</v>
      </c>
      <c r="EP74" s="48">
        <v>0</v>
      </c>
      <c r="EQ74" s="48">
        <v>0</v>
      </c>
      <c r="ER74" s="48">
        <v>0</v>
      </c>
      <c r="ES74" s="48">
        <v>0</v>
      </c>
      <c r="ET74" s="48">
        <v>0</v>
      </c>
      <c r="EU74" s="48">
        <v>0</v>
      </c>
      <c r="EV74" s="48">
        <v>0</v>
      </c>
      <c r="EW74" s="48">
        <v>0</v>
      </c>
      <c r="EX74" s="48">
        <v>0</v>
      </c>
      <c r="EY74" s="48">
        <v>0</v>
      </c>
      <c r="EZ74" s="48">
        <v>0</v>
      </c>
      <c r="FA74" s="48">
        <v>0</v>
      </c>
      <c r="FB74" s="48">
        <v>0</v>
      </c>
      <c r="FC74" s="48">
        <v>0</v>
      </c>
      <c r="FD74" s="48">
        <v>0</v>
      </c>
      <c r="FE74" s="48">
        <v>0</v>
      </c>
      <c r="FF74" s="48">
        <v>0</v>
      </c>
      <c r="FG74" s="48">
        <v>0</v>
      </c>
      <c r="FH74" s="48">
        <v>0</v>
      </c>
      <c r="FI74" s="48">
        <v>0</v>
      </c>
      <c r="FJ74" s="48">
        <v>0</v>
      </c>
      <c r="FK74" s="48">
        <v>0</v>
      </c>
      <c r="FL74" s="48">
        <v>0</v>
      </c>
      <c r="FM74" s="48">
        <v>0</v>
      </c>
      <c r="FN74" s="48">
        <v>0</v>
      </c>
      <c r="FO74" s="48">
        <v>0</v>
      </c>
      <c r="FP74" s="48">
        <v>0</v>
      </c>
      <c r="FQ74" s="48">
        <v>0</v>
      </c>
      <c r="FR74" s="48">
        <v>0</v>
      </c>
      <c r="FS74" s="48">
        <v>0</v>
      </c>
      <c r="FT74" s="48">
        <v>0</v>
      </c>
      <c r="FU74" s="48">
        <v>0</v>
      </c>
      <c r="FV74" s="48">
        <v>0</v>
      </c>
      <c r="FW74" s="48">
        <v>0</v>
      </c>
      <c r="FX74" s="48">
        <v>0</v>
      </c>
      <c r="FY74" s="48">
        <v>0</v>
      </c>
      <c r="FZ74" s="48">
        <v>0</v>
      </c>
      <c r="GA74" s="48">
        <v>0</v>
      </c>
      <c r="GB74" s="48">
        <v>0</v>
      </c>
      <c r="GC74" s="48">
        <v>0</v>
      </c>
      <c r="GD74" s="48">
        <v>0</v>
      </c>
      <c r="GE74" s="48">
        <v>0</v>
      </c>
      <c r="GF74" s="48">
        <v>9588.8575003108326</v>
      </c>
      <c r="GG74" s="48">
        <v>0</v>
      </c>
      <c r="GH74" s="48">
        <v>0</v>
      </c>
      <c r="GI74" s="48">
        <v>0</v>
      </c>
      <c r="GJ74" s="48">
        <v>0</v>
      </c>
      <c r="GK74" s="48">
        <v>0</v>
      </c>
      <c r="GL74" s="48">
        <v>0</v>
      </c>
      <c r="GM74" s="48">
        <v>0</v>
      </c>
      <c r="GN74" s="48">
        <v>0</v>
      </c>
      <c r="GO74" s="48">
        <v>0</v>
      </c>
      <c r="GP74" s="48">
        <v>0</v>
      </c>
      <c r="GQ74" s="48">
        <v>0</v>
      </c>
      <c r="GR74" s="48">
        <v>0</v>
      </c>
      <c r="GS74" s="48">
        <v>0</v>
      </c>
      <c r="GT74" s="48">
        <v>0</v>
      </c>
      <c r="GU74" s="48">
        <v>0</v>
      </c>
      <c r="GV74" s="48">
        <v>0</v>
      </c>
      <c r="GW74" s="48">
        <v>0</v>
      </c>
      <c r="GX74" s="48">
        <v>0</v>
      </c>
      <c r="GY74" s="48">
        <v>0</v>
      </c>
      <c r="GZ74" s="48">
        <v>0</v>
      </c>
      <c r="HA74" s="48">
        <v>0</v>
      </c>
      <c r="HB74" s="48">
        <v>0</v>
      </c>
      <c r="HC74" s="48">
        <v>0</v>
      </c>
      <c r="HD74" s="48">
        <v>0</v>
      </c>
      <c r="HE74" s="48">
        <v>0</v>
      </c>
      <c r="HF74" s="48">
        <v>0</v>
      </c>
      <c r="HG74" s="48">
        <v>0</v>
      </c>
      <c r="HH74" s="48">
        <v>0</v>
      </c>
      <c r="HI74" s="48">
        <v>0</v>
      </c>
      <c r="HJ74" s="48">
        <v>0</v>
      </c>
      <c r="HK74" s="48">
        <v>0</v>
      </c>
      <c r="HL74" s="48">
        <v>0</v>
      </c>
      <c r="HM74" s="48">
        <v>0</v>
      </c>
      <c r="HN74" s="48">
        <v>0</v>
      </c>
      <c r="HO74" s="48">
        <v>0</v>
      </c>
      <c r="HP74" s="48">
        <v>0</v>
      </c>
      <c r="HQ74" s="48">
        <v>0</v>
      </c>
      <c r="HR74" s="48">
        <v>0</v>
      </c>
      <c r="HS74" s="48">
        <v>0</v>
      </c>
      <c r="HT74" s="48">
        <v>0</v>
      </c>
      <c r="HU74" s="48">
        <v>0</v>
      </c>
      <c r="HV74" s="48">
        <v>0</v>
      </c>
      <c r="HW74" s="48">
        <v>0</v>
      </c>
      <c r="HX74" s="48">
        <v>0</v>
      </c>
      <c r="HY74" s="48">
        <v>0</v>
      </c>
      <c r="HZ74" s="48">
        <v>0</v>
      </c>
      <c r="IA74" s="48">
        <v>0</v>
      </c>
      <c r="IB74" s="48">
        <v>0</v>
      </c>
      <c r="IC74" s="48">
        <v>0</v>
      </c>
      <c r="ID74" s="48">
        <v>0</v>
      </c>
      <c r="IE74" s="48">
        <v>0</v>
      </c>
      <c r="IF74" s="48">
        <v>0</v>
      </c>
      <c r="IG74" s="48">
        <v>0</v>
      </c>
      <c r="IH74" s="48">
        <v>0</v>
      </c>
      <c r="II74" s="48">
        <v>0</v>
      </c>
      <c r="IJ74" s="48">
        <v>0</v>
      </c>
      <c r="IK74" s="48">
        <v>0</v>
      </c>
      <c r="IL74" s="48">
        <v>0</v>
      </c>
      <c r="IM74" s="48">
        <v>0</v>
      </c>
      <c r="IN74" s="48">
        <v>0</v>
      </c>
      <c r="IO74" s="48">
        <v>0</v>
      </c>
      <c r="IP74" s="23">
        <v>804920.99999999057</v>
      </c>
      <c r="IQ74" s="25">
        <v>42372</v>
      </c>
      <c r="IR74" s="25">
        <v>0</v>
      </c>
      <c r="IS74" s="26">
        <v>0</v>
      </c>
      <c r="IT74" s="26">
        <v>0</v>
      </c>
      <c r="IU74" s="26">
        <v>0</v>
      </c>
      <c r="IV74" s="9">
        <v>0</v>
      </c>
      <c r="IW74" s="38">
        <f t="shared" si="5"/>
        <v>847292.99999999057</v>
      </c>
    </row>
    <row r="75" spans="1:257" ht="30" customHeight="1" x14ac:dyDescent="0.25">
      <c r="A75" s="112" t="b">
        <v>1</v>
      </c>
      <c r="B75" s="113" t="b">
        <f>IFERROR(VLOOKUP(C75,'Bridge matrix'!$D$3:$E$727,2,FALSE)='symmetric IOT 245 2012'!D75,"FALSCH")</f>
        <v>1</v>
      </c>
      <c r="C75" s="108">
        <v>70</v>
      </c>
      <c r="D75" s="96" t="s">
        <v>1389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  <c r="CM75" s="48">
        <v>0</v>
      </c>
      <c r="CN75" s="48">
        <v>0</v>
      </c>
      <c r="CO75" s="48">
        <v>23098.906964558657</v>
      </c>
      <c r="CP75" s="48">
        <v>0</v>
      </c>
      <c r="CQ75" s="48">
        <v>0</v>
      </c>
      <c r="CR75" s="48">
        <v>244360.05734756411</v>
      </c>
      <c r="CS75" s="48">
        <v>0</v>
      </c>
      <c r="CT75" s="48">
        <v>0</v>
      </c>
      <c r="CU75" s="48">
        <v>0</v>
      </c>
      <c r="CV75" s="48">
        <v>0</v>
      </c>
      <c r="CW75" s="48">
        <v>0</v>
      </c>
      <c r="CX75" s="48">
        <v>0</v>
      </c>
      <c r="CY75" s="48">
        <v>0</v>
      </c>
      <c r="CZ75" s="48">
        <v>0</v>
      </c>
      <c r="DA75" s="48">
        <v>0</v>
      </c>
      <c r="DB75" s="48">
        <v>0</v>
      </c>
      <c r="DC75" s="48">
        <v>0</v>
      </c>
      <c r="DD75" s="48">
        <v>0</v>
      </c>
      <c r="DE75" s="48">
        <v>0</v>
      </c>
      <c r="DF75" s="48">
        <v>0</v>
      </c>
      <c r="DG75" s="48">
        <v>0</v>
      </c>
      <c r="DH75" s="48">
        <v>0</v>
      </c>
      <c r="DI75" s="48">
        <v>0</v>
      </c>
      <c r="DJ75" s="48">
        <v>0</v>
      </c>
      <c r="DK75" s="48">
        <v>0</v>
      </c>
      <c r="DL75" s="48">
        <v>0</v>
      </c>
      <c r="DM75" s="48">
        <v>0</v>
      </c>
      <c r="DN75" s="48">
        <v>0</v>
      </c>
      <c r="DO75" s="48">
        <v>0</v>
      </c>
      <c r="DP75" s="48">
        <v>0</v>
      </c>
      <c r="DQ75" s="48">
        <v>0</v>
      </c>
      <c r="DR75" s="48">
        <v>0</v>
      </c>
      <c r="DS75" s="48">
        <v>0</v>
      </c>
      <c r="DT75" s="48">
        <v>0</v>
      </c>
      <c r="DU75" s="48">
        <v>0</v>
      </c>
      <c r="DV75" s="48">
        <v>0</v>
      </c>
      <c r="DW75" s="48">
        <v>0</v>
      </c>
      <c r="DX75" s="48">
        <v>0</v>
      </c>
      <c r="DY75" s="48">
        <v>0</v>
      </c>
      <c r="DZ75" s="48">
        <v>0</v>
      </c>
      <c r="EA75" s="48">
        <v>0</v>
      </c>
      <c r="EB75" s="48">
        <v>0</v>
      </c>
      <c r="EC75" s="48">
        <v>0</v>
      </c>
      <c r="ED75" s="48">
        <v>0</v>
      </c>
      <c r="EE75" s="48">
        <v>0</v>
      </c>
      <c r="EF75" s="48">
        <v>0</v>
      </c>
      <c r="EG75" s="48">
        <v>0</v>
      </c>
      <c r="EH75" s="48">
        <v>0</v>
      </c>
      <c r="EI75" s="48">
        <v>0</v>
      </c>
      <c r="EJ75" s="48">
        <v>0</v>
      </c>
      <c r="EK75" s="48">
        <v>0</v>
      </c>
      <c r="EL75" s="48">
        <v>0</v>
      </c>
      <c r="EM75" s="48">
        <v>0</v>
      </c>
      <c r="EN75" s="48">
        <v>0</v>
      </c>
      <c r="EO75" s="48">
        <v>0</v>
      </c>
      <c r="EP75" s="48">
        <v>0</v>
      </c>
      <c r="EQ75" s="48">
        <v>0</v>
      </c>
      <c r="ER75" s="48">
        <v>0</v>
      </c>
      <c r="ES75" s="48">
        <v>0</v>
      </c>
      <c r="ET75" s="48">
        <v>0</v>
      </c>
      <c r="EU75" s="48">
        <v>0</v>
      </c>
      <c r="EV75" s="48">
        <v>0</v>
      </c>
      <c r="EW75" s="48">
        <v>0</v>
      </c>
      <c r="EX75" s="48">
        <v>0</v>
      </c>
      <c r="EY75" s="48">
        <v>0</v>
      </c>
      <c r="EZ75" s="48">
        <v>0</v>
      </c>
      <c r="FA75" s="48">
        <v>0</v>
      </c>
      <c r="FB75" s="48">
        <v>0</v>
      </c>
      <c r="FC75" s="48">
        <v>0</v>
      </c>
      <c r="FD75" s="48">
        <v>0</v>
      </c>
      <c r="FE75" s="48">
        <v>0</v>
      </c>
      <c r="FF75" s="48">
        <v>0</v>
      </c>
      <c r="FG75" s="48">
        <v>0</v>
      </c>
      <c r="FH75" s="48">
        <v>0</v>
      </c>
      <c r="FI75" s="48">
        <v>0</v>
      </c>
      <c r="FJ75" s="48">
        <v>0</v>
      </c>
      <c r="FK75" s="48">
        <v>0</v>
      </c>
      <c r="FL75" s="48">
        <v>0</v>
      </c>
      <c r="FM75" s="48">
        <v>0</v>
      </c>
      <c r="FN75" s="48">
        <v>0</v>
      </c>
      <c r="FO75" s="48">
        <v>0</v>
      </c>
      <c r="FP75" s="48">
        <v>0</v>
      </c>
      <c r="FQ75" s="48">
        <v>0</v>
      </c>
      <c r="FR75" s="48">
        <v>0</v>
      </c>
      <c r="FS75" s="48">
        <v>0</v>
      </c>
      <c r="FT75" s="48">
        <v>0</v>
      </c>
      <c r="FU75" s="48">
        <v>0</v>
      </c>
      <c r="FV75" s="48">
        <v>0</v>
      </c>
      <c r="FW75" s="48">
        <v>0</v>
      </c>
      <c r="FX75" s="48">
        <v>0</v>
      </c>
      <c r="FY75" s="48">
        <v>0</v>
      </c>
      <c r="FZ75" s="48">
        <v>0</v>
      </c>
      <c r="GA75" s="48">
        <v>0</v>
      </c>
      <c r="GB75" s="48">
        <v>0</v>
      </c>
      <c r="GC75" s="48">
        <v>0</v>
      </c>
      <c r="GD75" s="48">
        <v>0</v>
      </c>
      <c r="GE75" s="48">
        <v>0</v>
      </c>
      <c r="GF75" s="48">
        <v>1140.0356878756534</v>
      </c>
      <c r="GG75" s="48">
        <v>0</v>
      </c>
      <c r="GH75" s="48">
        <v>0</v>
      </c>
      <c r="GI75" s="48">
        <v>0</v>
      </c>
      <c r="GJ75" s="48">
        <v>0</v>
      </c>
      <c r="GK75" s="48">
        <v>0</v>
      </c>
      <c r="GL75" s="48">
        <v>0</v>
      </c>
      <c r="GM75" s="48">
        <v>0</v>
      </c>
      <c r="GN75" s="48">
        <v>0</v>
      </c>
      <c r="GO75" s="48">
        <v>0</v>
      </c>
      <c r="GP75" s="48">
        <v>0</v>
      </c>
      <c r="GQ75" s="48">
        <v>0</v>
      </c>
      <c r="GR75" s="48">
        <v>0</v>
      </c>
      <c r="GS75" s="48">
        <v>0</v>
      </c>
      <c r="GT75" s="48">
        <v>0</v>
      </c>
      <c r="GU75" s="48">
        <v>0</v>
      </c>
      <c r="GV75" s="48">
        <v>0</v>
      </c>
      <c r="GW75" s="48">
        <v>0</v>
      </c>
      <c r="GX75" s="48">
        <v>0</v>
      </c>
      <c r="GY75" s="48">
        <v>0</v>
      </c>
      <c r="GZ75" s="48">
        <v>0</v>
      </c>
      <c r="HA75" s="48">
        <v>0</v>
      </c>
      <c r="HB75" s="48">
        <v>0</v>
      </c>
      <c r="HC75" s="48">
        <v>0</v>
      </c>
      <c r="HD75" s="48">
        <v>0</v>
      </c>
      <c r="HE75" s="48">
        <v>0</v>
      </c>
      <c r="HF75" s="48">
        <v>0</v>
      </c>
      <c r="HG75" s="48">
        <v>0</v>
      </c>
      <c r="HH75" s="48">
        <v>0</v>
      </c>
      <c r="HI75" s="48">
        <v>0</v>
      </c>
      <c r="HJ75" s="48">
        <v>0</v>
      </c>
      <c r="HK75" s="48">
        <v>0</v>
      </c>
      <c r="HL75" s="48">
        <v>0</v>
      </c>
      <c r="HM75" s="48">
        <v>0</v>
      </c>
      <c r="HN75" s="48">
        <v>0</v>
      </c>
      <c r="HO75" s="48">
        <v>0</v>
      </c>
      <c r="HP75" s="48">
        <v>0</v>
      </c>
      <c r="HQ75" s="48">
        <v>0</v>
      </c>
      <c r="HR75" s="48">
        <v>0</v>
      </c>
      <c r="HS75" s="48">
        <v>0</v>
      </c>
      <c r="HT75" s="48">
        <v>0</v>
      </c>
      <c r="HU75" s="48">
        <v>0</v>
      </c>
      <c r="HV75" s="48">
        <v>0</v>
      </c>
      <c r="HW75" s="48">
        <v>0</v>
      </c>
      <c r="HX75" s="48">
        <v>0</v>
      </c>
      <c r="HY75" s="48">
        <v>0</v>
      </c>
      <c r="HZ75" s="48">
        <v>0</v>
      </c>
      <c r="IA75" s="48">
        <v>0</v>
      </c>
      <c r="IB75" s="48">
        <v>0</v>
      </c>
      <c r="IC75" s="48">
        <v>0</v>
      </c>
      <c r="ID75" s="48">
        <v>0</v>
      </c>
      <c r="IE75" s="48">
        <v>0</v>
      </c>
      <c r="IF75" s="48">
        <v>0</v>
      </c>
      <c r="IG75" s="48">
        <v>0</v>
      </c>
      <c r="IH75" s="48">
        <v>0</v>
      </c>
      <c r="II75" s="48">
        <v>0</v>
      </c>
      <c r="IJ75" s="48">
        <v>0</v>
      </c>
      <c r="IK75" s="48">
        <v>0</v>
      </c>
      <c r="IL75" s="48">
        <v>0</v>
      </c>
      <c r="IM75" s="48">
        <v>0</v>
      </c>
      <c r="IN75" s="48">
        <v>0</v>
      </c>
      <c r="IO75" s="48">
        <v>0</v>
      </c>
      <c r="IP75" s="23">
        <v>268598.99999999843</v>
      </c>
      <c r="IQ75" s="25">
        <v>119200</v>
      </c>
      <c r="IR75" s="25">
        <v>0</v>
      </c>
      <c r="IS75" s="26">
        <v>0</v>
      </c>
      <c r="IT75" s="26">
        <v>0</v>
      </c>
      <c r="IU75" s="26">
        <v>0</v>
      </c>
      <c r="IV75" s="9">
        <v>23297</v>
      </c>
      <c r="IW75" s="38">
        <f t="shared" si="5"/>
        <v>411095.99999999843</v>
      </c>
    </row>
    <row r="76" spans="1:257" ht="30" customHeight="1" x14ac:dyDescent="0.25">
      <c r="A76" s="112" t="b">
        <v>1</v>
      </c>
      <c r="B76" s="113" t="b">
        <f>IFERROR(VLOOKUP(C76,'Bridge matrix'!$D$3:$E$727,2,FALSE)='symmetric IOT 245 2012'!D76,"FALSCH")</f>
        <v>1</v>
      </c>
      <c r="C76" s="108">
        <v>71</v>
      </c>
      <c r="D76" s="96" t="s">
        <v>1390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  <c r="CM76" s="48">
        <v>0</v>
      </c>
      <c r="CN76" s="48">
        <v>0</v>
      </c>
      <c r="CO76" s="48">
        <v>84285.751106529351</v>
      </c>
      <c r="CP76" s="48">
        <v>8191.1409597425709</v>
      </c>
      <c r="CQ76" s="48">
        <v>31986.541001299214</v>
      </c>
      <c r="CR76" s="48">
        <v>0</v>
      </c>
      <c r="CS76" s="48">
        <v>0</v>
      </c>
      <c r="CT76" s="48">
        <v>0</v>
      </c>
      <c r="CU76" s="48">
        <v>0</v>
      </c>
      <c r="CV76" s="48">
        <v>0</v>
      </c>
      <c r="CW76" s="48">
        <v>0</v>
      </c>
      <c r="CX76" s="48">
        <v>0</v>
      </c>
      <c r="CY76" s="48">
        <v>0</v>
      </c>
      <c r="CZ76" s="48">
        <v>0</v>
      </c>
      <c r="DA76" s="48">
        <v>0</v>
      </c>
      <c r="DB76" s="48">
        <v>0</v>
      </c>
      <c r="DC76" s="48">
        <v>0</v>
      </c>
      <c r="DD76" s="48">
        <v>0</v>
      </c>
      <c r="DE76" s="48">
        <v>0</v>
      </c>
      <c r="DF76" s="48">
        <v>0</v>
      </c>
      <c r="DG76" s="48">
        <v>0</v>
      </c>
      <c r="DH76" s="48">
        <v>0</v>
      </c>
      <c r="DI76" s="48">
        <v>0</v>
      </c>
      <c r="DJ76" s="48">
        <v>0</v>
      </c>
      <c r="DK76" s="48">
        <v>0</v>
      </c>
      <c r="DL76" s="48">
        <v>0</v>
      </c>
      <c r="DM76" s="48">
        <v>0</v>
      </c>
      <c r="DN76" s="48">
        <v>0</v>
      </c>
      <c r="DO76" s="48">
        <v>0</v>
      </c>
      <c r="DP76" s="48">
        <v>0</v>
      </c>
      <c r="DQ76" s="48">
        <v>0</v>
      </c>
      <c r="DR76" s="48">
        <v>0</v>
      </c>
      <c r="DS76" s="48">
        <v>0</v>
      </c>
      <c r="DT76" s="48">
        <v>0</v>
      </c>
      <c r="DU76" s="48">
        <v>0</v>
      </c>
      <c r="DV76" s="48">
        <v>0</v>
      </c>
      <c r="DW76" s="48">
        <v>0</v>
      </c>
      <c r="DX76" s="48">
        <v>0</v>
      </c>
      <c r="DY76" s="48">
        <v>0</v>
      </c>
      <c r="DZ76" s="48">
        <v>0</v>
      </c>
      <c r="EA76" s="48">
        <v>0</v>
      </c>
      <c r="EB76" s="48">
        <v>0</v>
      </c>
      <c r="EC76" s="48">
        <v>0</v>
      </c>
      <c r="ED76" s="48">
        <v>0</v>
      </c>
      <c r="EE76" s="48">
        <v>0</v>
      </c>
      <c r="EF76" s="48">
        <v>0</v>
      </c>
      <c r="EG76" s="48">
        <v>0</v>
      </c>
      <c r="EH76" s="48">
        <v>0</v>
      </c>
      <c r="EI76" s="48">
        <v>0</v>
      </c>
      <c r="EJ76" s="48">
        <v>0</v>
      </c>
      <c r="EK76" s="48">
        <v>0</v>
      </c>
      <c r="EL76" s="48">
        <v>0</v>
      </c>
      <c r="EM76" s="48">
        <v>0</v>
      </c>
      <c r="EN76" s="48">
        <v>0</v>
      </c>
      <c r="EO76" s="48">
        <v>0</v>
      </c>
      <c r="EP76" s="48">
        <v>0</v>
      </c>
      <c r="EQ76" s="48">
        <v>0</v>
      </c>
      <c r="ER76" s="48">
        <v>0</v>
      </c>
      <c r="ES76" s="48">
        <v>0</v>
      </c>
      <c r="ET76" s="48">
        <v>0</v>
      </c>
      <c r="EU76" s="48">
        <v>0</v>
      </c>
      <c r="EV76" s="48">
        <v>0</v>
      </c>
      <c r="EW76" s="48">
        <v>0</v>
      </c>
      <c r="EX76" s="48">
        <v>0</v>
      </c>
      <c r="EY76" s="48">
        <v>0</v>
      </c>
      <c r="EZ76" s="48">
        <v>0</v>
      </c>
      <c r="FA76" s="48">
        <v>0</v>
      </c>
      <c r="FB76" s="48">
        <v>0</v>
      </c>
      <c r="FC76" s="48">
        <v>0</v>
      </c>
      <c r="FD76" s="48">
        <v>0</v>
      </c>
      <c r="FE76" s="48">
        <v>0</v>
      </c>
      <c r="FF76" s="48">
        <v>0</v>
      </c>
      <c r="FG76" s="48">
        <v>0</v>
      </c>
      <c r="FH76" s="48">
        <v>0</v>
      </c>
      <c r="FI76" s="48">
        <v>0</v>
      </c>
      <c r="FJ76" s="48">
        <v>0</v>
      </c>
      <c r="FK76" s="48">
        <v>0</v>
      </c>
      <c r="FL76" s="48">
        <v>0</v>
      </c>
      <c r="FM76" s="48">
        <v>0</v>
      </c>
      <c r="FN76" s="48">
        <v>0</v>
      </c>
      <c r="FO76" s="48">
        <v>0</v>
      </c>
      <c r="FP76" s="48">
        <v>0</v>
      </c>
      <c r="FQ76" s="48">
        <v>0</v>
      </c>
      <c r="FR76" s="48">
        <v>0</v>
      </c>
      <c r="FS76" s="48">
        <v>0</v>
      </c>
      <c r="FT76" s="48">
        <v>0</v>
      </c>
      <c r="FU76" s="48">
        <v>0</v>
      </c>
      <c r="FV76" s="48">
        <v>0</v>
      </c>
      <c r="FW76" s="48">
        <v>0</v>
      </c>
      <c r="FX76" s="48">
        <v>0</v>
      </c>
      <c r="FY76" s="48">
        <v>0</v>
      </c>
      <c r="FZ76" s="48">
        <v>0</v>
      </c>
      <c r="GA76" s="48">
        <v>0</v>
      </c>
      <c r="GB76" s="48">
        <v>0</v>
      </c>
      <c r="GC76" s="48">
        <v>0</v>
      </c>
      <c r="GD76" s="48">
        <v>0</v>
      </c>
      <c r="GE76" s="48">
        <v>0</v>
      </c>
      <c r="GF76" s="48">
        <v>4638.5669324280216</v>
      </c>
      <c r="GG76" s="48">
        <v>0</v>
      </c>
      <c r="GH76" s="48">
        <v>0</v>
      </c>
      <c r="GI76" s="48">
        <v>0</v>
      </c>
      <c r="GJ76" s="48">
        <v>0</v>
      </c>
      <c r="GK76" s="48">
        <v>0</v>
      </c>
      <c r="GL76" s="48">
        <v>0</v>
      </c>
      <c r="GM76" s="48">
        <v>0</v>
      </c>
      <c r="GN76" s="48">
        <v>0</v>
      </c>
      <c r="GO76" s="48">
        <v>0</v>
      </c>
      <c r="GP76" s="48">
        <v>0</v>
      </c>
      <c r="GQ76" s="48">
        <v>0</v>
      </c>
      <c r="GR76" s="48">
        <v>0</v>
      </c>
      <c r="GS76" s="48">
        <v>0</v>
      </c>
      <c r="GT76" s="48">
        <v>0</v>
      </c>
      <c r="GU76" s="48">
        <v>0</v>
      </c>
      <c r="GV76" s="48">
        <v>0</v>
      </c>
      <c r="GW76" s="48">
        <v>0</v>
      </c>
      <c r="GX76" s="48">
        <v>0</v>
      </c>
      <c r="GY76" s="48">
        <v>0</v>
      </c>
      <c r="GZ76" s="48">
        <v>0</v>
      </c>
      <c r="HA76" s="48">
        <v>0</v>
      </c>
      <c r="HB76" s="48">
        <v>0</v>
      </c>
      <c r="HC76" s="48">
        <v>0</v>
      </c>
      <c r="HD76" s="48">
        <v>0</v>
      </c>
      <c r="HE76" s="48">
        <v>0</v>
      </c>
      <c r="HF76" s="48">
        <v>0</v>
      </c>
      <c r="HG76" s="48">
        <v>0</v>
      </c>
      <c r="HH76" s="48">
        <v>0</v>
      </c>
      <c r="HI76" s="48">
        <v>0</v>
      </c>
      <c r="HJ76" s="48">
        <v>0</v>
      </c>
      <c r="HK76" s="48">
        <v>0</v>
      </c>
      <c r="HL76" s="48">
        <v>0</v>
      </c>
      <c r="HM76" s="48">
        <v>0</v>
      </c>
      <c r="HN76" s="48">
        <v>0</v>
      </c>
      <c r="HO76" s="48">
        <v>0</v>
      </c>
      <c r="HP76" s="48">
        <v>0</v>
      </c>
      <c r="HQ76" s="48">
        <v>0</v>
      </c>
      <c r="HR76" s="48">
        <v>0</v>
      </c>
      <c r="HS76" s="48">
        <v>0</v>
      </c>
      <c r="HT76" s="48">
        <v>0</v>
      </c>
      <c r="HU76" s="48">
        <v>0</v>
      </c>
      <c r="HV76" s="48">
        <v>0</v>
      </c>
      <c r="HW76" s="48">
        <v>0</v>
      </c>
      <c r="HX76" s="48">
        <v>0</v>
      </c>
      <c r="HY76" s="48">
        <v>0</v>
      </c>
      <c r="HZ76" s="48">
        <v>0</v>
      </c>
      <c r="IA76" s="48">
        <v>0</v>
      </c>
      <c r="IB76" s="48">
        <v>0</v>
      </c>
      <c r="IC76" s="48">
        <v>0</v>
      </c>
      <c r="ID76" s="48">
        <v>0</v>
      </c>
      <c r="IE76" s="48">
        <v>0</v>
      </c>
      <c r="IF76" s="48">
        <v>0</v>
      </c>
      <c r="IG76" s="48">
        <v>0</v>
      </c>
      <c r="IH76" s="48">
        <v>0</v>
      </c>
      <c r="II76" s="48">
        <v>0</v>
      </c>
      <c r="IJ76" s="48">
        <v>0</v>
      </c>
      <c r="IK76" s="48">
        <v>0</v>
      </c>
      <c r="IL76" s="48">
        <v>0</v>
      </c>
      <c r="IM76" s="48">
        <v>0</v>
      </c>
      <c r="IN76" s="48">
        <v>0</v>
      </c>
      <c r="IO76" s="48">
        <v>0</v>
      </c>
      <c r="IP76" s="23">
        <v>129101.99999999916</v>
      </c>
      <c r="IQ76" s="25">
        <v>34330</v>
      </c>
      <c r="IR76" s="25">
        <v>0</v>
      </c>
      <c r="IS76" s="26">
        <v>0</v>
      </c>
      <c r="IT76" s="26">
        <v>0</v>
      </c>
      <c r="IU76" s="26">
        <v>0</v>
      </c>
      <c r="IV76" s="9">
        <v>43610</v>
      </c>
      <c r="IW76" s="38">
        <f t="shared" si="5"/>
        <v>207041.99999999916</v>
      </c>
    </row>
    <row r="77" spans="1:257" ht="30" customHeight="1" x14ac:dyDescent="0.25">
      <c r="A77" s="112" t="b">
        <v>1</v>
      </c>
      <c r="B77" s="113" t="str">
        <f>IFERROR(VLOOKUP(C77,'Bridge matrix'!$D$3:$E$727,2,FALSE)='symmetric IOT 245 2012'!D77,"FALSCH")</f>
        <v>FALSCH</v>
      </c>
      <c r="C77" s="108">
        <v>72</v>
      </c>
      <c r="D77" s="49" t="s">
        <v>1391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  <c r="CM77" s="48">
        <v>0</v>
      </c>
      <c r="CN77" s="48">
        <v>0</v>
      </c>
      <c r="CO77" s="48">
        <v>1554.5214283876369</v>
      </c>
      <c r="CP77" s="48">
        <v>150.34168313640686</v>
      </c>
      <c r="CQ77" s="48">
        <v>588.96085624780744</v>
      </c>
      <c r="CR77" s="48">
        <v>9574.6076467732146</v>
      </c>
      <c r="CS77" s="48">
        <v>0</v>
      </c>
      <c r="CT77" s="48">
        <v>0</v>
      </c>
      <c r="CU77" s="48">
        <v>0</v>
      </c>
      <c r="CV77" s="48">
        <v>0</v>
      </c>
      <c r="CW77" s="48">
        <v>0</v>
      </c>
      <c r="CX77" s="48">
        <v>0</v>
      </c>
      <c r="CY77" s="48">
        <v>0</v>
      </c>
      <c r="CZ77" s="48">
        <v>0</v>
      </c>
      <c r="DA77" s="48">
        <v>0</v>
      </c>
      <c r="DB77" s="48">
        <v>0</v>
      </c>
      <c r="DC77" s="48">
        <v>0</v>
      </c>
      <c r="DD77" s="48">
        <v>0</v>
      </c>
      <c r="DE77" s="48">
        <v>0</v>
      </c>
      <c r="DF77" s="48">
        <v>0</v>
      </c>
      <c r="DG77" s="48">
        <v>0</v>
      </c>
      <c r="DH77" s="48">
        <v>0</v>
      </c>
      <c r="DI77" s="48">
        <v>0</v>
      </c>
      <c r="DJ77" s="48">
        <v>0</v>
      </c>
      <c r="DK77" s="48">
        <v>0</v>
      </c>
      <c r="DL77" s="48">
        <v>0</v>
      </c>
      <c r="DM77" s="48">
        <v>0</v>
      </c>
      <c r="DN77" s="48">
        <v>0</v>
      </c>
      <c r="DO77" s="48">
        <v>0</v>
      </c>
      <c r="DP77" s="48">
        <v>0</v>
      </c>
      <c r="DQ77" s="48">
        <v>0</v>
      </c>
      <c r="DR77" s="48">
        <v>0</v>
      </c>
      <c r="DS77" s="48">
        <v>0</v>
      </c>
      <c r="DT77" s="48">
        <v>0</v>
      </c>
      <c r="DU77" s="48">
        <v>0</v>
      </c>
      <c r="DV77" s="48">
        <v>0</v>
      </c>
      <c r="DW77" s="48">
        <v>0</v>
      </c>
      <c r="DX77" s="48">
        <v>0</v>
      </c>
      <c r="DY77" s="48">
        <v>0</v>
      </c>
      <c r="DZ77" s="48">
        <v>0</v>
      </c>
      <c r="EA77" s="48">
        <v>0</v>
      </c>
      <c r="EB77" s="48">
        <v>0</v>
      </c>
      <c r="EC77" s="48">
        <v>0</v>
      </c>
      <c r="ED77" s="48">
        <v>0</v>
      </c>
      <c r="EE77" s="48">
        <v>0</v>
      </c>
      <c r="EF77" s="48">
        <v>0</v>
      </c>
      <c r="EG77" s="48">
        <v>0</v>
      </c>
      <c r="EH77" s="48">
        <v>0</v>
      </c>
      <c r="EI77" s="48">
        <v>0</v>
      </c>
      <c r="EJ77" s="48">
        <v>0</v>
      </c>
      <c r="EK77" s="48">
        <v>0</v>
      </c>
      <c r="EL77" s="48">
        <v>0</v>
      </c>
      <c r="EM77" s="48">
        <v>0</v>
      </c>
      <c r="EN77" s="48">
        <v>0</v>
      </c>
      <c r="EO77" s="48">
        <v>0</v>
      </c>
      <c r="EP77" s="48">
        <v>0</v>
      </c>
      <c r="EQ77" s="48">
        <v>0</v>
      </c>
      <c r="ER77" s="48">
        <v>0</v>
      </c>
      <c r="ES77" s="48">
        <v>0</v>
      </c>
      <c r="ET77" s="48">
        <v>0</v>
      </c>
      <c r="EU77" s="48">
        <v>0</v>
      </c>
      <c r="EV77" s="48">
        <v>0</v>
      </c>
      <c r="EW77" s="48">
        <v>0</v>
      </c>
      <c r="EX77" s="48">
        <v>0</v>
      </c>
      <c r="EY77" s="48">
        <v>0</v>
      </c>
      <c r="EZ77" s="48">
        <v>0</v>
      </c>
      <c r="FA77" s="48">
        <v>0</v>
      </c>
      <c r="FB77" s="48">
        <v>0</v>
      </c>
      <c r="FC77" s="48">
        <v>0</v>
      </c>
      <c r="FD77" s="48">
        <v>0</v>
      </c>
      <c r="FE77" s="48">
        <v>0</v>
      </c>
      <c r="FF77" s="48">
        <v>0</v>
      </c>
      <c r="FG77" s="48">
        <v>0</v>
      </c>
      <c r="FH77" s="48">
        <v>0</v>
      </c>
      <c r="FI77" s="48">
        <v>0</v>
      </c>
      <c r="FJ77" s="48">
        <v>0</v>
      </c>
      <c r="FK77" s="48">
        <v>0</v>
      </c>
      <c r="FL77" s="48">
        <v>0</v>
      </c>
      <c r="FM77" s="48">
        <v>0</v>
      </c>
      <c r="FN77" s="48">
        <v>0</v>
      </c>
      <c r="FO77" s="48">
        <v>0</v>
      </c>
      <c r="FP77" s="48">
        <v>0</v>
      </c>
      <c r="FQ77" s="48">
        <v>0</v>
      </c>
      <c r="FR77" s="48">
        <v>0</v>
      </c>
      <c r="FS77" s="48">
        <v>0</v>
      </c>
      <c r="FT77" s="48">
        <v>0</v>
      </c>
      <c r="FU77" s="48">
        <v>0</v>
      </c>
      <c r="FV77" s="48">
        <v>0</v>
      </c>
      <c r="FW77" s="48">
        <v>0</v>
      </c>
      <c r="FX77" s="48">
        <v>0</v>
      </c>
      <c r="FY77" s="48">
        <v>0</v>
      </c>
      <c r="FZ77" s="48">
        <v>0</v>
      </c>
      <c r="GA77" s="48">
        <v>0</v>
      </c>
      <c r="GB77" s="48">
        <v>0</v>
      </c>
      <c r="GC77" s="48">
        <v>0</v>
      </c>
      <c r="GD77" s="48">
        <v>0</v>
      </c>
      <c r="GE77" s="48">
        <v>0</v>
      </c>
      <c r="GF77" s="48">
        <v>0</v>
      </c>
      <c r="GG77" s="48">
        <v>0</v>
      </c>
      <c r="GH77" s="48">
        <v>0</v>
      </c>
      <c r="GI77" s="48">
        <v>0</v>
      </c>
      <c r="GJ77" s="48">
        <v>0</v>
      </c>
      <c r="GK77" s="48">
        <v>0</v>
      </c>
      <c r="GL77" s="48">
        <v>0</v>
      </c>
      <c r="GM77" s="48">
        <v>0</v>
      </c>
      <c r="GN77" s="48">
        <v>0</v>
      </c>
      <c r="GO77" s="48">
        <v>0</v>
      </c>
      <c r="GP77" s="48">
        <v>0</v>
      </c>
      <c r="GQ77" s="48">
        <v>0</v>
      </c>
      <c r="GR77" s="48">
        <v>0</v>
      </c>
      <c r="GS77" s="48">
        <v>0</v>
      </c>
      <c r="GT77" s="48">
        <v>0</v>
      </c>
      <c r="GU77" s="48">
        <v>0</v>
      </c>
      <c r="GV77" s="48">
        <v>0</v>
      </c>
      <c r="GW77" s="48">
        <v>0</v>
      </c>
      <c r="GX77" s="48">
        <v>0</v>
      </c>
      <c r="GY77" s="48">
        <v>0</v>
      </c>
      <c r="GZ77" s="48">
        <v>0</v>
      </c>
      <c r="HA77" s="48">
        <v>0</v>
      </c>
      <c r="HB77" s="48">
        <v>0</v>
      </c>
      <c r="HC77" s="48">
        <v>0</v>
      </c>
      <c r="HD77" s="48">
        <v>0</v>
      </c>
      <c r="HE77" s="48">
        <v>0</v>
      </c>
      <c r="HF77" s="48">
        <v>0</v>
      </c>
      <c r="HG77" s="48">
        <v>0</v>
      </c>
      <c r="HH77" s="48">
        <v>0</v>
      </c>
      <c r="HI77" s="48">
        <v>0</v>
      </c>
      <c r="HJ77" s="48">
        <v>0</v>
      </c>
      <c r="HK77" s="48">
        <v>0</v>
      </c>
      <c r="HL77" s="48">
        <v>0</v>
      </c>
      <c r="HM77" s="48">
        <v>0</v>
      </c>
      <c r="HN77" s="48">
        <v>0</v>
      </c>
      <c r="HO77" s="48">
        <v>0</v>
      </c>
      <c r="HP77" s="48">
        <v>0</v>
      </c>
      <c r="HQ77" s="48">
        <v>0</v>
      </c>
      <c r="HR77" s="48">
        <v>0</v>
      </c>
      <c r="HS77" s="48">
        <v>0</v>
      </c>
      <c r="HT77" s="48">
        <v>0</v>
      </c>
      <c r="HU77" s="48">
        <v>0</v>
      </c>
      <c r="HV77" s="48">
        <v>0</v>
      </c>
      <c r="HW77" s="48">
        <v>0</v>
      </c>
      <c r="HX77" s="48">
        <v>0</v>
      </c>
      <c r="HY77" s="48">
        <v>0</v>
      </c>
      <c r="HZ77" s="48">
        <v>0</v>
      </c>
      <c r="IA77" s="48">
        <v>0</v>
      </c>
      <c r="IB77" s="48">
        <v>0</v>
      </c>
      <c r="IC77" s="48">
        <v>1.7857799765148397</v>
      </c>
      <c r="ID77" s="48">
        <v>0.89166722126783315</v>
      </c>
      <c r="IE77" s="48">
        <v>0.89093825707877217</v>
      </c>
      <c r="IF77" s="48">
        <v>0</v>
      </c>
      <c r="IG77" s="48">
        <v>0</v>
      </c>
      <c r="IH77" s="48">
        <v>0</v>
      </c>
      <c r="II77" s="48">
        <v>0</v>
      </c>
      <c r="IJ77" s="48">
        <v>0</v>
      </c>
      <c r="IK77" s="48">
        <v>0</v>
      </c>
      <c r="IL77" s="48">
        <v>0</v>
      </c>
      <c r="IM77" s="48">
        <v>0</v>
      </c>
      <c r="IN77" s="48">
        <v>0</v>
      </c>
      <c r="IO77" s="48">
        <v>0</v>
      </c>
      <c r="IP77" s="23">
        <v>11871.999999999925</v>
      </c>
      <c r="IQ77" s="25">
        <v>6544</v>
      </c>
      <c r="IR77" s="25">
        <v>0</v>
      </c>
      <c r="IS77" s="26">
        <v>0</v>
      </c>
      <c r="IT77" s="26">
        <v>0</v>
      </c>
      <c r="IU77" s="26">
        <v>0</v>
      </c>
      <c r="IV77" s="9">
        <v>652</v>
      </c>
      <c r="IW77" s="38">
        <f t="shared" si="5"/>
        <v>19067.999999999927</v>
      </c>
    </row>
    <row r="78" spans="1:257" ht="30" customHeight="1" x14ac:dyDescent="0.25">
      <c r="A78" s="112" t="b">
        <v>1</v>
      </c>
      <c r="B78" s="113" t="b">
        <f>IFERROR(VLOOKUP(C78,'Bridge matrix'!$D$3:$E$727,2,FALSE)='symmetric IOT 245 2012'!D78,"FALSCH")</f>
        <v>1</v>
      </c>
      <c r="C78" s="108">
        <v>73</v>
      </c>
      <c r="D78" s="96" t="s">
        <v>1317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925.44874444944253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  <c r="CM78" s="48">
        <v>0</v>
      </c>
      <c r="CN78" s="48">
        <v>0</v>
      </c>
      <c r="CO78" s="48">
        <v>38676.512894339307</v>
      </c>
      <c r="CP78" s="48">
        <v>3758.2420095291636</v>
      </c>
      <c r="CQ78" s="48">
        <v>14677.796351681718</v>
      </c>
      <c r="CR78" s="48">
        <v>0</v>
      </c>
      <c r="CS78" s="48">
        <v>0</v>
      </c>
      <c r="CT78" s="48">
        <v>0</v>
      </c>
      <c r="CU78" s="48">
        <v>0</v>
      </c>
      <c r="CV78" s="48">
        <v>0</v>
      </c>
      <c r="CW78" s="48">
        <v>0</v>
      </c>
      <c r="CX78" s="48">
        <v>0</v>
      </c>
      <c r="CY78" s="48">
        <v>0</v>
      </c>
      <c r="CZ78" s="48">
        <v>0</v>
      </c>
      <c r="DA78" s="48">
        <v>0</v>
      </c>
      <c r="DB78" s="48">
        <v>0</v>
      </c>
      <c r="DC78" s="48">
        <v>0</v>
      </c>
      <c r="DD78" s="48">
        <v>0</v>
      </c>
      <c r="DE78" s="48">
        <v>0</v>
      </c>
      <c r="DF78" s="48">
        <v>0</v>
      </c>
      <c r="DG78" s="48">
        <v>0</v>
      </c>
      <c r="DH78" s="48">
        <v>0</v>
      </c>
      <c r="DI78" s="48">
        <v>0</v>
      </c>
      <c r="DJ78" s="48">
        <v>0</v>
      </c>
      <c r="DK78" s="48">
        <v>0</v>
      </c>
      <c r="DL78" s="48">
        <v>0</v>
      </c>
      <c r="DM78" s="48">
        <v>0</v>
      </c>
      <c r="DN78" s="48">
        <v>0</v>
      </c>
      <c r="DO78" s="48">
        <v>0</v>
      </c>
      <c r="DP78" s="48">
        <v>0</v>
      </c>
      <c r="DQ78" s="48">
        <v>0</v>
      </c>
      <c r="DR78" s="48">
        <v>0</v>
      </c>
      <c r="DS78" s="48">
        <v>0</v>
      </c>
      <c r="DT78" s="48">
        <v>0</v>
      </c>
      <c r="DU78" s="48">
        <v>0</v>
      </c>
      <c r="DV78" s="48">
        <v>0</v>
      </c>
      <c r="DW78" s="48">
        <v>0</v>
      </c>
      <c r="DX78" s="48">
        <v>0</v>
      </c>
      <c r="DY78" s="48">
        <v>0</v>
      </c>
      <c r="DZ78" s="48">
        <v>0</v>
      </c>
      <c r="EA78" s="48">
        <v>0</v>
      </c>
      <c r="EB78" s="48">
        <v>0</v>
      </c>
      <c r="EC78" s="48">
        <v>0</v>
      </c>
      <c r="ED78" s="48">
        <v>0</v>
      </c>
      <c r="EE78" s="48">
        <v>0</v>
      </c>
      <c r="EF78" s="48">
        <v>0</v>
      </c>
      <c r="EG78" s="48">
        <v>0</v>
      </c>
      <c r="EH78" s="48">
        <v>0</v>
      </c>
      <c r="EI78" s="48">
        <v>0</v>
      </c>
      <c r="EJ78" s="48">
        <v>0</v>
      </c>
      <c r="EK78" s="48">
        <v>0</v>
      </c>
      <c r="EL78" s="48">
        <v>0</v>
      </c>
      <c r="EM78" s="48">
        <v>0</v>
      </c>
      <c r="EN78" s="48">
        <v>0</v>
      </c>
      <c r="EO78" s="48">
        <v>0</v>
      </c>
      <c r="EP78" s="48">
        <v>0</v>
      </c>
      <c r="EQ78" s="48">
        <v>0</v>
      </c>
      <c r="ER78" s="48">
        <v>0</v>
      </c>
      <c r="ES78" s="48">
        <v>0</v>
      </c>
      <c r="ET78" s="48">
        <v>0</v>
      </c>
      <c r="EU78" s="48">
        <v>0</v>
      </c>
      <c r="EV78" s="48">
        <v>0</v>
      </c>
      <c r="EW78" s="48">
        <v>0</v>
      </c>
      <c r="EX78" s="48">
        <v>0</v>
      </c>
      <c r="EY78" s="48">
        <v>0</v>
      </c>
      <c r="EZ78" s="48">
        <v>0</v>
      </c>
      <c r="FA78" s="48">
        <v>0</v>
      </c>
      <c r="FB78" s="48">
        <v>0</v>
      </c>
      <c r="FC78" s="48">
        <v>0</v>
      </c>
      <c r="FD78" s="48">
        <v>0</v>
      </c>
      <c r="FE78" s="48">
        <v>0</v>
      </c>
      <c r="FF78" s="48">
        <v>0</v>
      </c>
      <c r="FG78" s="48">
        <v>0</v>
      </c>
      <c r="FH78" s="48">
        <v>0</v>
      </c>
      <c r="FI78" s="48">
        <v>0</v>
      </c>
      <c r="FJ78" s="48">
        <v>0</v>
      </c>
      <c r="FK78" s="48">
        <v>0</v>
      </c>
      <c r="FL78" s="48">
        <v>0</v>
      </c>
      <c r="FM78" s="48">
        <v>0</v>
      </c>
      <c r="FN78" s="48">
        <v>0</v>
      </c>
      <c r="FO78" s="48">
        <v>0</v>
      </c>
      <c r="FP78" s="48">
        <v>0</v>
      </c>
      <c r="FQ78" s="48">
        <v>0</v>
      </c>
      <c r="FR78" s="48">
        <v>0</v>
      </c>
      <c r="FS78" s="48">
        <v>0</v>
      </c>
      <c r="FT78" s="48">
        <v>0</v>
      </c>
      <c r="FU78" s="48">
        <v>0</v>
      </c>
      <c r="FV78" s="48">
        <v>0</v>
      </c>
      <c r="FW78" s="48">
        <v>0</v>
      </c>
      <c r="FX78" s="48">
        <v>0</v>
      </c>
      <c r="FY78" s="48">
        <v>0</v>
      </c>
      <c r="FZ78" s="48">
        <v>0</v>
      </c>
      <c r="GA78" s="48">
        <v>0</v>
      </c>
      <c r="GB78" s="48">
        <v>0</v>
      </c>
      <c r="GC78" s="48">
        <v>0</v>
      </c>
      <c r="GD78" s="48">
        <v>0</v>
      </c>
      <c r="GE78" s="48">
        <v>0</v>
      </c>
      <c r="GF78" s="48">
        <v>0</v>
      </c>
      <c r="GG78" s="48">
        <v>0</v>
      </c>
      <c r="GH78" s="48">
        <v>0</v>
      </c>
      <c r="GI78" s="48">
        <v>0</v>
      </c>
      <c r="GJ78" s="48">
        <v>0</v>
      </c>
      <c r="GK78" s="48">
        <v>0</v>
      </c>
      <c r="GL78" s="48">
        <v>0</v>
      </c>
      <c r="GM78" s="48">
        <v>0</v>
      </c>
      <c r="GN78" s="48">
        <v>0</v>
      </c>
      <c r="GO78" s="48">
        <v>0</v>
      </c>
      <c r="GP78" s="48">
        <v>0</v>
      </c>
      <c r="GQ78" s="48">
        <v>0</v>
      </c>
      <c r="GR78" s="48">
        <v>0</v>
      </c>
      <c r="GS78" s="48">
        <v>0</v>
      </c>
      <c r="GT78" s="48">
        <v>0</v>
      </c>
      <c r="GU78" s="48">
        <v>0</v>
      </c>
      <c r="GV78" s="48">
        <v>0</v>
      </c>
      <c r="GW78" s="48">
        <v>0</v>
      </c>
      <c r="GX78" s="48">
        <v>0</v>
      </c>
      <c r="GY78" s="48">
        <v>0</v>
      </c>
      <c r="GZ78" s="48">
        <v>0</v>
      </c>
      <c r="HA78" s="48">
        <v>0</v>
      </c>
      <c r="HB78" s="48">
        <v>0</v>
      </c>
      <c r="HC78" s="48">
        <v>0</v>
      </c>
      <c r="HD78" s="48">
        <v>0</v>
      </c>
      <c r="HE78" s="48">
        <v>0</v>
      </c>
      <c r="HF78" s="48">
        <v>0</v>
      </c>
      <c r="HG78" s="48">
        <v>0</v>
      </c>
      <c r="HH78" s="48">
        <v>0</v>
      </c>
      <c r="HI78" s="48">
        <v>0</v>
      </c>
      <c r="HJ78" s="48">
        <v>0</v>
      </c>
      <c r="HK78" s="48">
        <v>0</v>
      </c>
      <c r="HL78" s="48">
        <v>0</v>
      </c>
      <c r="HM78" s="48">
        <v>0</v>
      </c>
      <c r="HN78" s="48">
        <v>0</v>
      </c>
      <c r="HO78" s="48">
        <v>0</v>
      </c>
      <c r="HP78" s="48">
        <v>0</v>
      </c>
      <c r="HQ78" s="48">
        <v>0</v>
      </c>
      <c r="HR78" s="48">
        <v>0</v>
      </c>
      <c r="HS78" s="48">
        <v>0</v>
      </c>
      <c r="HT78" s="48">
        <v>0</v>
      </c>
      <c r="HU78" s="48">
        <v>0</v>
      </c>
      <c r="HV78" s="48">
        <v>0</v>
      </c>
      <c r="HW78" s="48">
        <v>0</v>
      </c>
      <c r="HX78" s="48">
        <v>0</v>
      </c>
      <c r="HY78" s="48">
        <v>0</v>
      </c>
      <c r="HZ78" s="48">
        <v>0</v>
      </c>
      <c r="IA78" s="48">
        <v>0</v>
      </c>
      <c r="IB78" s="48">
        <v>0</v>
      </c>
      <c r="IC78" s="48">
        <v>0</v>
      </c>
      <c r="ID78" s="48">
        <v>0</v>
      </c>
      <c r="IE78" s="48">
        <v>0</v>
      </c>
      <c r="IF78" s="48">
        <v>0</v>
      </c>
      <c r="IG78" s="48">
        <v>0</v>
      </c>
      <c r="IH78" s="48">
        <v>0</v>
      </c>
      <c r="II78" s="48">
        <v>0</v>
      </c>
      <c r="IJ78" s="48">
        <v>0</v>
      </c>
      <c r="IK78" s="48">
        <v>0</v>
      </c>
      <c r="IL78" s="48">
        <v>0</v>
      </c>
      <c r="IM78" s="48">
        <v>0</v>
      </c>
      <c r="IN78" s="48">
        <v>0</v>
      </c>
      <c r="IO78" s="48">
        <v>0</v>
      </c>
      <c r="IP78" s="23">
        <v>58037.999999999629</v>
      </c>
      <c r="IQ78" s="25">
        <v>60134</v>
      </c>
      <c r="IR78" s="25">
        <v>0</v>
      </c>
      <c r="IS78" s="26">
        <v>0</v>
      </c>
      <c r="IT78" s="26">
        <v>0</v>
      </c>
      <c r="IU78" s="26">
        <v>0</v>
      </c>
      <c r="IV78" s="9">
        <v>0</v>
      </c>
      <c r="IW78" s="38">
        <f t="shared" si="5"/>
        <v>118171.99999999962</v>
      </c>
    </row>
    <row r="79" spans="1:257" ht="30" customHeight="1" x14ac:dyDescent="0.25">
      <c r="A79" s="112" t="b">
        <v>1</v>
      </c>
      <c r="B79" s="113" t="str">
        <f>IFERROR(VLOOKUP(C79,'Bridge matrix'!$D$3:$E$727,2,FALSE)='symmetric IOT 245 2012'!D79,"FALSCH")</f>
        <v>FALSCH</v>
      </c>
      <c r="C79" s="108">
        <v>74</v>
      </c>
      <c r="D79" s="96" t="s">
        <v>1392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391.9212155823659</v>
      </c>
      <c r="CA79" s="48">
        <v>0</v>
      </c>
      <c r="CB79" s="48">
        <v>0</v>
      </c>
      <c r="CC79" s="48">
        <v>0</v>
      </c>
      <c r="CD79" s="48">
        <v>0</v>
      </c>
      <c r="CE79" s="48">
        <v>0</v>
      </c>
      <c r="CF79" s="48">
        <v>0</v>
      </c>
      <c r="CG79" s="48">
        <v>0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  <c r="CM79" s="48">
        <v>0</v>
      </c>
      <c r="CN79" s="48">
        <v>0</v>
      </c>
      <c r="CO79" s="48">
        <v>18154.902061355704</v>
      </c>
      <c r="CP79" s="48">
        <v>1764.1443507141944</v>
      </c>
      <c r="CQ79" s="48">
        <v>6890.0323723475567</v>
      </c>
      <c r="CR79" s="48">
        <v>0</v>
      </c>
      <c r="CS79" s="48">
        <v>0</v>
      </c>
      <c r="CT79" s="48">
        <v>0</v>
      </c>
      <c r="CU79" s="48">
        <v>0</v>
      </c>
      <c r="CV79" s="48">
        <v>0</v>
      </c>
      <c r="CW79" s="48">
        <v>0</v>
      </c>
      <c r="CX79" s="48">
        <v>0</v>
      </c>
      <c r="CY79" s="48">
        <v>0</v>
      </c>
      <c r="CZ79" s="48">
        <v>0</v>
      </c>
      <c r="DA79" s="48">
        <v>0</v>
      </c>
      <c r="DB79" s="48">
        <v>0</v>
      </c>
      <c r="DC79" s="48">
        <v>0</v>
      </c>
      <c r="DD79" s="48">
        <v>0</v>
      </c>
      <c r="DE79" s="48">
        <v>0</v>
      </c>
      <c r="DF79" s="48">
        <v>0</v>
      </c>
      <c r="DG79" s="48">
        <v>0</v>
      </c>
      <c r="DH79" s="48">
        <v>0</v>
      </c>
      <c r="DI79" s="48">
        <v>0</v>
      </c>
      <c r="DJ79" s="48">
        <v>0</v>
      </c>
      <c r="DK79" s="48">
        <v>0</v>
      </c>
      <c r="DL79" s="48">
        <v>0</v>
      </c>
      <c r="DM79" s="48">
        <v>0</v>
      </c>
      <c r="DN79" s="48">
        <v>0</v>
      </c>
      <c r="DO79" s="48">
        <v>0</v>
      </c>
      <c r="DP79" s="48">
        <v>0</v>
      </c>
      <c r="DQ79" s="48">
        <v>0</v>
      </c>
      <c r="DR79" s="48">
        <v>0</v>
      </c>
      <c r="DS79" s="48">
        <v>0</v>
      </c>
      <c r="DT79" s="48">
        <v>0</v>
      </c>
      <c r="DU79" s="48">
        <v>0</v>
      </c>
      <c r="DV79" s="48">
        <v>0</v>
      </c>
      <c r="DW79" s="48">
        <v>0</v>
      </c>
      <c r="DX79" s="48">
        <v>0</v>
      </c>
      <c r="DY79" s="48">
        <v>0</v>
      </c>
      <c r="DZ79" s="48">
        <v>0</v>
      </c>
      <c r="EA79" s="48">
        <v>0</v>
      </c>
      <c r="EB79" s="48">
        <v>0</v>
      </c>
      <c r="EC79" s="48">
        <v>0</v>
      </c>
      <c r="ED79" s="48">
        <v>0</v>
      </c>
      <c r="EE79" s="48">
        <v>0</v>
      </c>
      <c r="EF79" s="48">
        <v>0</v>
      </c>
      <c r="EG79" s="48">
        <v>0</v>
      </c>
      <c r="EH79" s="48">
        <v>0</v>
      </c>
      <c r="EI79" s="48">
        <v>0</v>
      </c>
      <c r="EJ79" s="48">
        <v>0</v>
      </c>
      <c r="EK79" s="48">
        <v>0</v>
      </c>
      <c r="EL79" s="48">
        <v>0</v>
      </c>
      <c r="EM79" s="48">
        <v>0</v>
      </c>
      <c r="EN79" s="48">
        <v>0</v>
      </c>
      <c r="EO79" s="48">
        <v>0</v>
      </c>
      <c r="EP79" s="48">
        <v>0</v>
      </c>
      <c r="EQ79" s="48">
        <v>0</v>
      </c>
      <c r="ER79" s="48">
        <v>0</v>
      </c>
      <c r="ES79" s="48">
        <v>0</v>
      </c>
      <c r="ET79" s="48">
        <v>0</v>
      </c>
      <c r="EU79" s="48">
        <v>0</v>
      </c>
      <c r="EV79" s="48">
        <v>0</v>
      </c>
      <c r="EW79" s="48">
        <v>0</v>
      </c>
      <c r="EX79" s="48">
        <v>0</v>
      </c>
      <c r="EY79" s="48">
        <v>0</v>
      </c>
      <c r="EZ79" s="48">
        <v>0</v>
      </c>
      <c r="FA79" s="48">
        <v>0</v>
      </c>
      <c r="FB79" s="48">
        <v>0</v>
      </c>
      <c r="FC79" s="48">
        <v>0</v>
      </c>
      <c r="FD79" s="48">
        <v>0</v>
      </c>
      <c r="FE79" s="48">
        <v>0</v>
      </c>
      <c r="FF79" s="48">
        <v>0</v>
      </c>
      <c r="FG79" s="48">
        <v>0</v>
      </c>
      <c r="FH79" s="48">
        <v>0</v>
      </c>
      <c r="FI79" s="48">
        <v>0</v>
      </c>
      <c r="FJ79" s="48">
        <v>0</v>
      </c>
      <c r="FK79" s="48">
        <v>0</v>
      </c>
      <c r="FL79" s="48">
        <v>0</v>
      </c>
      <c r="FM79" s="48">
        <v>0</v>
      </c>
      <c r="FN79" s="48">
        <v>0</v>
      </c>
      <c r="FO79" s="48">
        <v>0</v>
      </c>
      <c r="FP79" s="48">
        <v>0</v>
      </c>
      <c r="FQ79" s="48">
        <v>0</v>
      </c>
      <c r="FR79" s="48">
        <v>0</v>
      </c>
      <c r="FS79" s="48">
        <v>0</v>
      </c>
      <c r="FT79" s="48">
        <v>0</v>
      </c>
      <c r="FU79" s="48">
        <v>0</v>
      </c>
      <c r="FV79" s="48">
        <v>0</v>
      </c>
      <c r="FW79" s="48">
        <v>0</v>
      </c>
      <c r="FX79" s="48">
        <v>0</v>
      </c>
      <c r="FY79" s="48">
        <v>0</v>
      </c>
      <c r="FZ79" s="48">
        <v>0</v>
      </c>
      <c r="GA79" s="48">
        <v>0</v>
      </c>
      <c r="GB79" s="48">
        <v>0</v>
      </c>
      <c r="GC79" s="48">
        <v>0</v>
      </c>
      <c r="GD79" s="48">
        <v>0</v>
      </c>
      <c r="GE79" s="48">
        <v>0</v>
      </c>
      <c r="GF79" s="48">
        <v>0</v>
      </c>
      <c r="GG79" s="48">
        <v>0</v>
      </c>
      <c r="GH79" s="48">
        <v>0</v>
      </c>
      <c r="GI79" s="48">
        <v>0</v>
      </c>
      <c r="GJ79" s="48">
        <v>0</v>
      </c>
      <c r="GK79" s="48">
        <v>0</v>
      </c>
      <c r="GL79" s="48">
        <v>0</v>
      </c>
      <c r="GM79" s="48">
        <v>0</v>
      </c>
      <c r="GN79" s="48">
        <v>0</v>
      </c>
      <c r="GO79" s="48">
        <v>0</v>
      </c>
      <c r="GP79" s="48">
        <v>0</v>
      </c>
      <c r="GQ79" s="48">
        <v>0</v>
      </c>
      <c r="GR79" s="48">
        <v>0</v>
      </c>
      <c r="GS79" s="48">
        <v>0</v>
      </c>
      <c r="GT79" s="48">
        <v>0</v>
      </c>
      <c r="GU79" s="48">
        <v>0</v>
      </c>
      <c r="GV79" s="48">
        <v>0</v>
      </c>
      <c r="GW79" s="48">
        <v>0</v>
      </c>
      <c r="GX79" s="48">
        <v>0</v>
      </c>
      <c r="GY79" s="48">
        <v>0</v>
      </c>
      <c r="GZ79" s="48">
        <v>0</v>
      </c>
      <c r="HA79" s="48">
        <v>0</v>
      </c>
      <c r="HB79" s="48">
        <v>0</v>
      </c>
      <c r="HC79" s="48">
        <v>0</v>
      </c>
      <c r="HD79" s="48">
        <v>0</v>
      </c>
      <c r="HE79" s="48">
        <v>0</v>
      </c>
      <c r="HF79" s="48">
        <v>0</v>
      </c>
      <c r="HG79" s="48">
        <v>0</v>
      </c>
      <c r="HH79" s="48">
        <v>0</v>
      </c>
      <c r="HI79" s="48">
        <v>0</v>
      </c>
      <c r="HJ79" s="48">
        <v>0</v>
      </c>
      <c r="HK79" s="48">
        <v>0</v>
      </c>
      <c r="HL79" s="48">
        <v>0</v>
      </c>
      <c r="HM79" s="48">
        <v>0</v>
      </c>
      <c r="HN79" s="48">
        <v>0</v>
      </c>
      <c r="HO79" s="48">
        <v>0</v>
      </c>
      <c r="HP79" s="48">
        <v>0</v>
      </c>
      <c r="HQ79" s="48">
        <v>0</v>
      </c>
      <c r="HR79" s="48">
        <v>0</v>
      </c>
      <c r="HS79" s="48">
        <v>0</v>
      </c>
      <c r="HT79" s="48">
        <v>0</v>
      </c>
      <c r="HU79" s="48">
        <v>0</v>
      </c>
      <c r="HV79" s="48">
        <v>0</v>
      </c>
      <c r="HW79" s="48">
        <v>0</v>
      </c>
      <c r="HX79" s="48">
        <v>0</v>
      </c>
      <c r="HY79" s="48">
        <v>0</v>
      </c>
      <c r="HZ79" s="48">
        <v>0</v>
      </c>
      <c r="IA79" s="48">
        <v>0</v>
      </c>
      <c r="IB79" s="48">
        <v>0</v>
      </c>
      <c r="IC79" s="48">
        <v>0</v>
      </c>
      <c r="ID79" s="48">
        <v>0</v>
      </c>
      <c r="IE79" s="48">
        <v>0</v>
      </c>
      <c r="IF79" s="48">
        <v>0</v>
      </c>
      <c r="IG79" s="48">
        <v>0</v>
      </c>
      <c r="IH79" s="48">
        <v>0</v>
      </c>
      <c r="II79" s="48">
        <v>0</v>
      </c>
      <c r="IJ79" s="48">
        <v>0</v>
      </c>
      <c r="IK79" s="48">
        <v>0</v>
      </c>
      <c r="IL79" s="48">
        <v>0</v>
      </c>
      <c r="IM79" s="48">
        <v>0</v>
      </c>
      <c r="IN79" s="48">
        <v>0</v>
      </c>
      <c r="IO79" s="48">
        <v>0</v>
      </c>
      <c r="IP79" s="23">
        <v>27200.999999999822</v>
      </c>
      <c r="IQ79" s="25">
        <v>59191</v>
      </c>
      <c r="IR79" s="25">
        <v>0</v>
      </c>
      <c r="IS79" s="26">
        <v>0</v>
      </c>
      <c r="IT79" s="26">
        <v>0</v>
      </c>
      <c r="IU79" s="26">
        <v>0</v>
      </c>
      <c r="IV79" s="9">
        <v>0</v>
      </c>
      <c r="IW79" s="38">
        <f t="shared" si="5"/>
        <v>86391.999999999825</v>
      </c>
    </row>
    <row r="80" spans="1:257" ht="30" customHeight="1" x14ac:dyDescent="0.25">
      <c r="A80" s="112" t="b">
        <v>0</v>
      </c>
      <c r="B80" s="113" t="str">
        <f>IFERROR(VLOOKUP(C80,'Bridge matrix'!$D$3:$E$727,2,FALSE)='symmetric IOT 245 2012'!D80,"FALSCH")</f>
        <v>FALSCH</v>
      </c>
      <c r="C80" s="108">
        <v>75</v>
      </c>
      <c r="D80" s="49" t="s">
        <v>1393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19065.905880736289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  <c r="CM80" s="48">
        <v>0</v>
      </c>
      <c r="CN80" s="48">
        <v>0</v>
      </c>
      <c r="CO80" s="48">
        <v>0</v>
      </c>
      <c r="CP80" s="48">
        <v>0</v>
      </c>
      <c r="CQ80" s="48">
        <v>0</v>
      </c>
      <c r="CR80" s="48">
        <v>0</v>
      </c>
      <c r="CS80" s="48">
        <v>0</v>
      </c>
      <c r="CT80" s="48">
        <v>0</v>
      </c>
      <c r="CU80" s="48">
        <v>0</v>
      </c>
      <c r="CV80" s="48">
        <v>0</v>
      </c>
      <c r="CW80" s="48">
        <v>0</v>
      </c>
      <c r="CX80" s="48">
        <v>0</v>
      </c>
      <c r="CY80" s="48">
        <v>0</v>
      </c>
      <c r="CZ80" s="48">
        <v>0</v>
      </c>
      <c r="DA80" s="48">
        <v>0</v>
      </c>
      <c r="DB80" s="48">
        <v>0</v>
      </c>
      <c r="DC80" s="48">
        <v>0</v>
      </c>
      <c r="DD80" s="48">
        <v>0</v>
      </c>
      <c r="DE80" s="48">
        <v>0</v>
      </c>
      <c r="DF80" s="48">
        <v>0</v>
      </c>
      <c r="DG80" s="48">
        <v>0</v>
      </c>
      <c r="DH80" s="48">
        <v>0</v>
      </c>
      <c r="DI80" s="48">
        <v>0</v>
      </c>
      <c r="DJ80" s="48">
        <v>0</v>
      </c>
      <c r="DK80" s="48">
        <v>0</v>
      </c>
      <c r="DL80" s="48">
        <v>0</v>
      </c>
      <c r="DM80" s="48">
        <v>0</v>
      </c>
      <c r="DN80" s="48">
        <v>0</v>
      </c>
      <c r="DO80" s="48">
        <v>0</v>
      </c>
      <c r="DP80" s="48">
        <v>0</v>
      </c>
      <c r="DQ80" s="48">
        <v>0</v>
      </c>
      <c r="DR80" s="48">
        <v>0</v>
      </c>
      <c r="DS80" s="48">
        <v>0</v>
      </c>
      <c r="DT80" s="48">
        <v>0</v>
      </c>
      <c r="DU80" s="48">
        <v>0</v>
      </c>
      <c r="DV80" s="48">
        <v>0</v>
      </c>
      <c r="DW80" s="48">
        <v>0</v>
      </c>
      <c r="DX80" s="48">
        <v>0</v>
      </c>
      <c r="DY80" s="48">
        <v>0</v>
      </c>
      <c r="DZ80" s="48">
        <v>0</v>
      </c>
      <c r="EA80" s="48">
        <v>0</v>
      </c>
      <c r="EB80" s="48">
        <v>0</v>
      </c>
      <c r="EC80" s="48">
        <v>0</v>
      </c>
      <c r="ED80" s="48">
        <v>388150.04326272593</v>
      </c>
      <c r="EE80" s="48">
        <v>342059.99648276583</v>
      </c>
      <c r="EF80" s="48">
        <v>151892.62196295615</v>
      </c>
      <c r="EG80" s="48">
        <v>106516.21234224869</v>
      </c>
      <c r="EH80" s="48">
        <v>54638.674117915398</v>
      </c>
      <c r="EI80" s="48">
        <v>0</v>
      </c>
      <c r="EJ80" s="48">
        <v>0</v>
      </c>
      <c r="EK80" s="48">
        <v>0</v>
      </c>
      <c r="EL80" s="48">
        <v>0</v>
      </c>
      <c r="EM80" s="48">
        <v>0</v>
      </c>
      <c r="EN80" s="48">
        <v>0</v>
      </c>
      <c r="EO80" s="48">
        <v>0</v>
      </c>
      <c r="EP80" s="48">
        <v>0</v>
      </c>
      <c r="EQ80" s="48">
        <v>0</v>
      </c>
      <c r="ER80" s="48">
        <v>0</v>
      </c>
      <c r="ES80" s="48">
        <v>0</v>
      </c>
      <c r="ET80" s="48">
        <v>0</v>
      </c>
      <c r="EU80" s="48">
        <v>0</v>
      </c>
      <c r="EV80" s="48">
        <v>0</v>
      </c>
      <c r="EW80" s="48">
        <v>1.5328244770868504</v>
      </c>
      <c r="EX80" s="48">
        <v>0</v>
      </c>
      <c r="EY80" s="48">
        <v>0</v>
      </c>
      <c r="EZ80" s="48">
        <v>0</v>
      </c>
      <c r="FA80" s="48">
        <v>0</v>
      </c>
      <c r="FB80" s="48">
        <v>0</v>
      </c>
      <c r="FC80" s="48">
        <v>0</v>
      </c>
      <c r="FD80" s="48">
        <v>0</v>
      </c>
      <c r="FE80" s="48">
        <v>0</v>
      </c>
      <c r="FF80" s="48">
        <v>0</v>
      </c>
      <c r="FG80" s="48">
        <v>0</v>
      </c>
      <c r="FH80" s="48">
        <v>0</v>
      </c>
      <c r="FI80" s="48">
        <v>0</v>
      </c>
      <c r="FJ80" s="48">
        <v>0</v>
      </c>
      <c r="FK80" s="48">
        <v>0</v>
      </c>
      <c r="FL80" s="48">
        <v>0</v>
      </c>
      <c r="FM80" s="48">
        <v>0</v>
      </c>
      <c r="FN80" s="48">
        <v>0</v>
      </c>
      <c r="FO80" s="48">
        <v>0</v>
      </c>
      <c r="FP80" s="48">
        <v>0</v>
      </c>
      <c r="FQ80" s="48">
        <v>0</v>
      </c>
      <c r="FR80" s="48">
        <v>0</v>
      </c>
      <c r="FS80" s="48">
        <v>0</v>
      </c>
      <c r="FT80" s="48">
        <v>0</v>
      </c>
      <c r="FU80" s="48">
        <v>0</v>
      </c>
      <c r="FV80" s="48">
        <v>0</v>
      </c>
      <c r="FW80" s="48">
        <v>0</v>
      </c>
      <c r="FX80" s="48">
        <v>0</v>
      </c>
      <c r="FY80" s="48">
        <v>0</v>
      </c>
      <c r="FZ80" s="48">
        <v>0</v>
      </c>
      <c r="GA80" s="48">
        <v>0</v>
      </c>
      <c r="GB80" s="48">
        <v>0</v>
      </c>
      <c r="GC80" s="48">
        <v>0</v>
      </c>
      <c r="GD80" s="48">
        <v>0</v>
      </c>
      <c r="GE80" s="48">
        <v>0</v>
      </c>
      <c r="GF80" s="48">
        <v>0</v>
      </c>
      <c r="GG80" s="48">
        <v>0</v>
      </c>
      <c r="GH80" s="48">
        <v>0</v>
      </c>
      <c r="GI80" s="48">
        <v>0</v>
      </c>
      <c r="GJ80" s="48">
        <v>13428.013126362766</v>
      </c>
      <c r="GK80" s="48">
        <v>0</v>
      </c>
      <c r="GL80" s="48">
        <v>0</v>
      </c>
      <c r="GM80" s="48">
        <v>0</v>
      </c>
      <c r="GN80" s="48">
        <v>0</v>
      </c>
      <c r="GO80" s="48">
        <v>0</v>
      </c>
      <c r="GP80" s="48">
        <v>0</v>
      </c>
      <c r="GQ80" s="48">
        <v>0</v>
      </c>
      <c r="GR80" s="48">
        <v>0</v>
      </c>
      <c r="GS80" s="48">
        <v>0</v>
      </c>
      <c r="GT80" s="48">
        <v>0</v>
      </c>
      <c r="GU80" s="48">
        <v>0</v>
      </c>
      <c r="GV80" s="48">
        <v>0</v>
      </c>
      <c r="GW80" s="48">
        <v>0</v>
      </c>
      <c r="GX80" s="48">
        <v>0</v>
      </c>
      <c r="GY80" s="48">
        <v>0</v>
      </c>
      <c r="GZ80" s="48">
        <v>0</v>
      </c>
      <c r="HA80" s="48">
        <v>0</v>
      </c>
      <c r="HB80" s="48">
        <v>0</v>
      </c>
      <c r="HC80" s="48">
        <v>0</v>
      </c>
      <c r="HD80" s="48">
        <v>0</v>
      </c>
      <c r="HE80" s="48">
        <v>0</v>
      </c>
      <c r="HF80" s="48">
        <v>0</v>
      </c>
      <c r="HG80" s="48">
        <v>0</v>
      </c>
      <c r="HH80" s="48">
        <v>0</v>
      </c>
      <c r="HI80" s="48">
        <v>0</v>
      </c>
      <c r="HJ80" s="48">
        <v>0</v>
      </c>
      <c r="HK80" s="48">
        <v>0</v>
      </c>
      <c r="HL80" s="48">
        <v>0</v>
      </c>
      <c r="HM80" s="48">
        <v>0</v>
      </c>
      <c r="HN80" s="48">
        <v>0</v>
      </c>
      <c r="HO80" s="48">
        <v>0</v>
      </c>
      <c r="HP80" s="48">
        <v>0</v>
      </c>
      <c r="HQ80" s="48">
        <v>0</v>
      </c>
      <c r="HR80" s="48">
        <v>0</v>
      </c>
      <c r="HS80" s="48">
        <v>0</v>
      </c>
      <c r="HT80" s="48">
        <v>0</v>
      </c>
      <c r="HU80" s="48">
        <v>0</v>
      </c>
      <c r="HV80" s="48">
        <v>0</v>
      </c>
      <c r="HW80" s="48">
        <v>0</v>
      </c>
      <c r="HX80" s="48">
        <v>0</v>
      </c>
      <c r="HY80" s="48">
        <v>0</v>
      </c>
      <c r="HZ80" s="48">
        <v>0</v>
      </c>
      <c r="IA80" s="48">
        <v>0</v>
      </c>
      <c r="IB80" s="48">
        <v>0</v>
      </c>
      <c r="IC80" s="48">
        <v>0</v>
      </c>
      <c r="ID80" s="48">
        <v>0</v>
      </c>
      <c r="IE80" s="48">
        <v>0</v>
      </c>
      <c r="IF80" s="48">
        <v>0</v>
      </c>
      <c r="IG80" s="48">
        <v>0</v>
      </c>
      <c r="IH80" s="48">
        <v>0</v>
      </c>
      <c r="II80" s="48">
        <v>0</v>
      </c>
      <c r="IJ80" s="48">
        <v>0</v>
      </c>
      <c r="IK80" s="48">
        <v>0</v>
      </c>
      <c r="IL80" s="48">
        <v>0</v>
      </c>
      <c r="IM80" s="48">
        <v>0</v>
      </c>
      <c r="IN80" s="48">
        <v>0</v>
      </c>
      <c r="IO80" s="48">
        <v>0</v>
      </c>
      <c r="IP80" s="23">
        <v>1075753.0000001884</v>
      </c>
      <c r="IQ80" s="25">
        <v>0</v>
      </c>
      <c r="IR80" s="25">
        <v>0</v>
      </c>
      <c r="IS80" s="26">
        <v>0</v>
      </c>
      <c r="IT80" s="26">
        <v>0</v>
      </c>
      <c r="IU80" s="26">
        <v>-59550</v>
      </c>
      <c r="IV80" s="9">
        <v>12711230</v>
      </c>
      <c r="IW80" s="38">
        <f t="shared" si="5"/>
        <v>13727433.000000188</v>
      </c>
    </row>
    <row r="81" spans="1:257" s="74" customFormat="1" ht="30" customHeight="1" x14ac:dyDescent="0.25">
      <c r="A81" s="114" t="b">
        <v>0</v>
      </c>
      <c r="B81" s="113" t="b">
        <f>IFERROR(VLOOKUP(C81,'Bridge matrix'!$D$3:$E$727,2,FALSE)='symmetric IOT 245 2012'!D81,"FALSCH")</f>
        <v>1</v>
      </c>
      <c r="C81" s="109">
        <v>76</v>
      </c>
      <c r="D81" s="90" t="s">
        <v>1394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48">
        <v>0</v>
      </c>
      <c r="CB81" s="48">
        <v>0</v>
      </c>
      <c r="CC81" s="48">
        <v>0</v>
      </c>
      <c r="CD81" s="48">
        <v>0</v>
      </c>
      <c r="CE81" s="48">
        <v>0</v>
      </c>
      <c r="CF81" s="48">
        <v>0</v>
      </c>
      <c r="CG81" s="48">
        <v>0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  <c r="CM81" s="48">
        <v>1.662895806578622E-6</v>
      </c>
      <c r="CN81" s="48">
        <v>0</v>
      </c>
      <c r="CO81" s="48">
        <v>0</v>
      </c>
      <c r="CP81" s="48">
        <v>0</v>
      </c>
      <c r="CQ81" s="48">
        <v>0</v>
      </c>
      <c r="CR81" s="48">
        <v>7.4266888630396624E-8</v>
      </c>
      <c r="CS81" s="48">
        <v>0</v>
      </c>
      <c r="CT81" s="48">
        <v>0</v>
      </c>
      <c r="CU81" s="48">
        <v>0</v>
      </c>
      <c r="CV81" s="48">
        <v>0</v>
      </c>
      <c r="CW81" s="48">
        <v>0</v>
      </c>
      <c r="CX81" s="48">
        <v>0</v>
      </c>
      <c r="CY81" s="48">
        <v>0</v>
      </c>
      <c r="CZ81" s="48">
        <v>0</v>
      </c>
      <c r="DA81" s="48">
        <v>1.4343266719024728E-6</v>
      </c>
      <c r="DB81" s="48">
        <v>0</v>
      </c>
      <c r="DC81" s="48">
        <v>0</v>
      </c>
      <c r="DD81" s="48">
        <v>0</v>
      </c>
      <c r="DE81" s="48">
        <v>2.8144616227994165E-3</v>
      </c>
      <c r="DF81" s="48">
        <v>0</v>
      </c>
      <c r="DG81" s="48">
        <v>0</v>
      </c>
      <c r="DH81" s="48">
        <v>0</v>
      </c>
      <c r="DI81" s="48">
        <v>0</v>
      </c>
      <c r="DJ81" s="48">
        <v>1.5445167149322244E-5</v>
      </c>
      <c r="DK81" s="48">
        <v>0</v>
      </c>
      <c r="DL81" s="48">
        <v>1.5556427810261841</v>
      </c>
      <c r="DM81" s="48">
        <v>0</v>
      </c>
      <c r="DN81" s="48">
        <v>0</v>
      </c>
      <c r="DO81" s="48">
        <v>0</v>
      </c>
      <c r="DP81" s="48">
        <v>0</v>
      </c>
      <c r="DQ81" s="48">
        <v>0</v>
      </c>
      <c r="DR81" s="48">
        <v>5.261654008843203E-4</v>
      </c>
      <c r="DS81" s="48">
        <v>0</v>
      </c>
      <c r="DT81" s="48">
        <v>0</v>
      </c>
      <c r="DU81" s="48">
        <v>0</v>
      </c>
      <c r="DV81" s="48">
        <v>0</v>
      </c>
      <c r="DW81" s="48">
        <v>0</v>
      </c>
      <c r="DX81" s="48">
        <v>0</v>
      </c>
      <c r="DY81" s="48">
        <v>0</v>
      </c>
      <c r="DZ81" s="48">
        <v>0</v>
      </c>
      <c r="EA81" s="48">
        <v>0</v>
      </c>
      <c r="EB81" s="48">
        <v>4.6347812346467041E-3</v>
      </c>
      <c r="EC81" s="48">
        <v>2.0984501603900442E-4</v>
      </c>
      <c r="ED81" s="48">
        <v>0</v>
      </c>
      <c r="EE81" s="48">
        <v>0</v>
      </c>
      <c r="EF81" s="48">
        <v>0</v>
      </c>
      <c r="EG81" s="48">
        <v>0</v>
      </c>
      <c r="EH81" s="48">
        <v>0</v>
      </c>
      <c r="EI81" s="48">
        <v>0</v>
      </c>
      <c r="EJ81" s="48">
        <v>0</v>
      </c>
      <c r="EK81" s="48">
        <v>0</v>
      </c>
      <c r="EL81" s="48">
        <v>2.4181138231972724E-3</v>
      </c>
      <c r="EM81" s="48">
        <v>2.3262589075370051E-3</v>
      </c>
      <c r="EN81" s="48">
        <v>68.349765509129199</v>
      </c>
      <c r="EO81" s="48">
        <v>0</v>
      </c>
      <c r="EP81" s="48">
        <v>4.169931122608282E-3</v>
      </c>
      <c r="EQ81" s="48">
        <v>0</v>
      </c>
      <c r="ER81" s="48">
        <v>5.0914296277503272E-3</v>
      </c>
      <c r="ES81" s="48">
        <v>1.7762261337582843E-6</v>
      </c>
      <c r="ET81" s="48">
        <v>0</v>
      </c>
      <c r="EU81" s="48">
        <v>0</v>
      </c>
      <c r="EV81" s="48">
        <v>0</v>
      </c>
      <c r="EW81" s="48">
        <v>0.54593109398843176</v>
      </c>
      <c r="EX81" s="48">
        <v>0</v>
      </c>
      <c r="EY81" s="48">
        <v>0</v>
      </c>
      <c r="EZ81" s="48">
        <v>0</v>
      </c>
      <c r="FA81" s="48">
        <v>8.152523129619263E-2</v>
      </c>
      <c r="FB81" s="48">
        <v>2.2350672180098349E-3</v>
      </c>
      <c r="FC81" s="48">
        <v>23.869543658437138</v>
      </c>
      <c r="FD81" s="48">
        <v>30.829021280479935</v>
      </c>
      <c r="FE81" s="48">
        <v>0</v>
      </c>
      <c r="FF81" s="48">
        <v>0</v>
      </c>
      <c r="FG81" s="48">
        <v>0</v>
      </c>
      <c r="FH81" s="48">
        <v>431.72556240393226</v>
      </c>
      <c r="FI81" s="48">
        <v>254.42570827456109</v>
      </c>
      <c r="FJ81" s="48">
        <v>287.42625244227992</v>
      </c>
      <c r="FK81" s="48">
        <v>84.510224263518396</v>
      </c>
      <c r="FL81" s="48">
        <v>3.4395000263215092</v>
      </c>
      <c r="FM81" s="48">
        <v>269.83429252547029</v>
      </c>
      <c r="FN81" s="48">
        <v>65.724540410485716</v>
      </c>
      <c r="FO81" s="48">
        <v>38.062094629942735</v>
      </c>
      <c r="FP81" s="48">
        <v>0</v>
      </c>
      <c r="FQ81" s="48">
        <v>0</v>
      </c>
      <c r="FR81" s="48">
        <v>0</v>
      </c>
      <c r="FS81" s="48">
        <v>0</v>
      </c>
      <c r="FT81" s="48">
        <v>0</v>
      </c>
      <c r="FU81" s="48">
        <v>0</v>
      </c>
      <c r="FV81" s="48">
        <v>0</v>
      </c>
      <c r="FW81" s="48">
        <v>46096.966313313504</v>
      </c>
      <c r="FX81" s="48">
        <v>0</v>
      </c>
      <c r="FY81" s="48">
        <v>35.370885630095238</v>
      </c>
      <c r="FZ81" s="48">
        <v>0.88003218955931095</v>
      </c>
      <c r="GA81" s="48">
        <v>7.3787178890500025</v>
      </c>
      <c r="GB81" s="48">
        <v>0</v>
      </c>
      <c r="GC81" s="48">
        <v>0</v>
      </c>
      <c r="GD81" s="48">
        <v>0</v>
      </c>
      <c r="GE81" s="48">
        <v>0</v>
      </c>
      <c r="GF81" s="48">
        <v>0</v>
      </c>
      <c r="GG81" s="48">
        <v>0</v>
      </c>
      <c r="GH81" s="48">
        <v>0</v>
      </c>
      <c r="GI81" s="48">
        <v>0</v>
      </c>
      <c r="GJ81" s="48">
        <v>0</v>
      </c>
      <c r="GK81" s="48">
        <v>0</v>
      </c>
      <c r="GL81" s="48">
        <v>0</v>
      </c>
      <c r="GM81" s="48">
        <v>0</v>
      </c>
      <c r="GN81" s="48">
        <v>0</v>
      </c>
      <c r="GO81" s="48">
        <v>0</v>
      </c>
      <c r="GP81" s="48">
        <v>0</v>
      </c>
      <c r="GQ81" s="48">
        <v>0</v>
      </c>
      <c r="GR81" s="48">
        <v>0</v>
      </c>
      <c r="GS81" s="48">
        <v>0</v>
      </c>
      <c r="GT81" s="48">
        <v>0</v>
      </c>
      <c r="GU81" s="48">
        <v>0</v>
      </c>
      <c r="GV81" s="48">
        <v>0</v>
      </c>
      <c r="GW81" s="48">
        <v>0</v>
      </c>
      <c r="GX81" s="48">
        <v>0</v>
      </c>
      <c r="GY81" s="48">
        <v>0</v>
      </c>
      <c r="GZ81" s="48">
        <v>0</v>
      </c>
      <c r="HA81" s="48">
        <v>0</v>
      </c>
      <c r="HB81" s="48">
        <v>0</v>
      </c>
      <c r="HC81" s="48">
        <v>0</v>
      </c>
      <c r="HD81" s="48">
        <v>0</v>
      </c>
      <c r="HE81" s="48">
        <v>0</v>
      </c>
      <c r="HF81" s="48">
        <v>0</v>
      </c>
      <c r="HG81" s="48">
        <v>0</v>
      </c>
      <c r="HH81" s="48">
        <v>0</v>
      </c>
      <c r="HI81" s="48">
        <v>0</v>
      </c>
      <c r="HJ81" s="48">
        <v>0</v>
      </c>
      <c r="HK81" s="48">
        <v>0</v>
      </c>
      <c r="HL81" s="48">
        <v>0</v>
      </c>
      <c r="HM81" s="48">
        <v>0</v>
      </c>
      <c r="HN81" s="48">
        <v>0</v>
      </c>
      <c r="HO81" s="48">
        <v>0</v>
      </c>
      <c r="HP81" s="48">
        <v>0</v>
      </c>
      <c r="HQ81" s="48">
        <v>0</v>
      </c>
      <c r="HR81" s="48">
        <v>0</v>
      </c>
      <c r="HS81" s="48">
        <v>0</v>
      </c>
      <c r="HT81" s="48">
        <v>0</v>
      </c>
      <c r="HU81" s="48">
        <v>0</v>
      </c>
      <c r="HV81" s="48">
        <v>0</v>
      </c>
      <c r="HW81" s="48">
        <v>0</v>
      </c>
      <c r="HX81" s="48">
        <v>0</v>
      </c>
      <c r="HY81" s="48">
        <v>0</v>
      </c>
      <c r="HZ81" s="48">
        <v>0</v>
      </c>
      <c r="IA81" s="48">
        <v>0</v>
      </c>
      <c r="IB81" s="48">
        <v>0</v>
      </c>
      <c r="IC81" s="48">
        <v>0</v>
      </c>
      <c r="ID81" s="48">
        <v>0</v>
      </c>
      <c r="IE81" s="48">
        <v>0</v>
      </c>
      <c r="IF81" s="48">
        <v>0</v>
      </c>
      <c r="IG81" s="48">
        <v>0</v>
      </c>
      <c r="IH81" s="48">
        <v>0</v>
      </c>
      <c r="II81" s="48">
        <v>0</v>
      </c>
      <c r="IJ81" s="48">
        <v>0</v>
      </c>
      <c r="IK81" s="48">
        <v>0</v>
      </c>
      <c r="IL81" s="48">
        <v>0</v>
      </c>
      <c r="IM81" s="48">
        <v>0</v>
      </c>
      <c r="IN81" s="48">
        <v>0</v>
      </c>
      <c r="IO81" s="48">
        <v>0</v>
      </c>
      <c r="IP81" s="23">
        <v>47700.999999999935</v>
      </c>
      <c r="IQ81" s="72">
        <v>0</v>
      </c>
      <c r="IR81" s="72">
        <v>0</v>
      </c>
      <c r="IS81" s="73">
        <v>0</v>
      </c>
      <c r="IT81" s="73">
        <v>0</v>
      </c>
      <c r="IU81" s="73">
        <v>0</v>
      </c>
      <c r="IV81" s="9">
        <v>0</v>
      </c>
      <c r="IW81" s="38">
        <f t="shared" si="5"/>
        <v>47700.999999999935</v>
      </c>
    </row>
    <row r="82" spans="1:257" s="74" customFormat="1" ht="30" customHeight="1" x14ac:dyDescent="0.25">
      <c r="A82" s="114" t="b">
        <v>0</v>
      </c>
      <c r="B82" s="113" t="b">
        <f>IFERROR(VLOOKUP(C82,'Bridge matrix'!$D$3:$E$727,2,FALSE)='symmetric IOT 245 2012'!D82,"FALSCH")</f>
        <v>0</v>
      </c>
      <c r="C82" s="109">
        <v>76</v>
      </c>
      <c r="D82" s="71" t="s">
        <v>1395</v>
      </c>
      <c r="E82" s="76">
        <f>E81/E257</f>
        <v>0</v>
      </c>
      <c r="F82" s="76">
        <f t="shared" ref="F82:BN82" si="6">F81/F257</f>
        <v>0</v>
      </c>
      <c r="G82" s="76">
        <f t="shared" si="6"/>
        <v>0</v>
      </c>
      <c r="H82" s="76">
        <f t="shared" si="6"/>
        <v>0</v>
      </c>
      <c r="I82" s="76">
        <f t="shared" si="6"/>
        <v>0</v>
      </c>
      <c r="J82" s="76">
        <f t="shared" si="6"/>
        <v>0</v>
      </c>
      <c r="K82" s="76">
        <f t="shared" si="6"/>
        <v>0</v>
      </c>
      <c r="L82" s="76">
        <f t="shared" si="6"/>
        <v>0</v>
      </c>
      <c r="M82" s="76">
        <f t="shared" si="6"/>
        <v>0</v>
      </c>
      <c r="N82" s="76">
        <f t="shared" si="6"/>
        <v>0</v>
      </c>
      <c r="O82" s="76">
        <f t="shared" si="6"/>
        <v>0</v>
      </c>
      <c r="P82" s="76">
        <f t="shared" si="6"/>
        <v>0</v>
      </c>
      <c r="Q82" s="76">
        <f t="shared" si="6"/>
        <v>0</v>
      </c>
      <c r="R82" s="76">
        <f t="shared" si="6"/>
        <v>0</v>
      </c>
      <c r="S82" s="76">
        <f t="shared" si="6"/>
        <v>0</v>
      </c>
      <c r="T82" s="76">
        <f t="shared" si="6"/>
        <v>0</v>
      </c>
      <c r="U82" s="76">
        <f t="shared" si="6"/>
        <v>0</v>
      </c>
      <c r="V82" s="76">
        <f t="shared" si="6"/>
        <v>0</v>
      </c>
      <c r="W82" s="76">
        <f t="shared" si="6"/>
        <v>0</v>
      </c>
      <c r="X82" s="76">
        <f t="shared" si="6"/>
        <v>0</v>
      </c>
      <c r="Y82" s="76">
        <f t="shared" si="6"/>
        <v>0</v>
      </c>
      <c r="Z82" s="76">
        <f t="shared" si="6"/>
        <v>0</v>
      </c>
      <c r="AA82" s="76">
        <f t="shared" si="6"/>
        <v>0</v>
      </c>
      <c r="AB82" s="76">
        <f t="shared" si="6"/>
        <v>0</v>
      </c>
      <c r="AC82" s="76">
        <f t="shared" si="6"/>
        <v>0</v>
      </c>
      <c r="AD82" s="76">
        <f t="shared" si="6"/>
        <v>0</v>
      </c>
      <c r="AE82" s="76">
        <f t="shared" si="6"/>
        <v>0</v>
      </c>
      <c r="AF82" s="76">
        <f t="shared" si="6"/>
        <v>0</v>
      </c>
      <c r="AG82" s="76">
        <f t="shared" si="6"/>
        <v>0</v>
      </c>
      <c r="AH82" s="76">
        <f t="shared" si="6"/>
        <v>0</v>
      </c>
      <c r="AI82" s="76">
        <f t="shared" si="6"/>
        <v>0</v>
      </c>
      <c r="AJ82" s="76">
        <f t="shared" si="6"/>
        <v>0</v>
      </c>
      <c r="AK82" s="76">
        <f t="shared" si="6"/>
        <v>0</v>
      </c>
      <c r="AL82" s="76">
        <f t="shared" si="6"/>
        <v>0</v>
      </c>
      <c r="AM82" s="76">
        <f t="shared" si="6"/>
        <v>0</v>
      </c>
      <c r="AN82" s="76">
        <f t="shared" si="6"/>
        <v>0</v>
      </c>
      <c r="AO82" s="76">
        <f t="shared" si="6"/>
        <v>0</v>
      </c>
      <c r="AP82" s="76">
        <f t="shared" si="6"/>
        <v>0</v>
      </c>
      <c r="AQ82" s="76">
        <f t="shared" si="6"/>
        <v>0</v>
      </c>
      <c r="AR82" s="76">
        <f t="shared" si="6"/>
        <v>0</v>
      </c>
      <c r="AS82" s="76">
        <f t="shared" si="6"/>
        <v>0</v>
      </c>
      <c r="AT82" s="76">
        <f t="shared" si="6"/>
        <v>0</v>
      </c>
      <c r="AU82" s="76">
        <f t="shared" si="6"/>
        <v>0</v>
      </c>
      <c r="AV82" s="76">
        <f t="shared" si="6"/>
        <v>0</v>
      </c>
      <c r="AW82" s="76">
        <f t="shared" si="6"/>
        <v>0</v>
      </c>
      <c r="AX82" s="76">
        <f t="shared" si="6"/>
        <v>0</v>
      </c>
      <c r="AY82" s="76">
        <f t="shared" si="6"/>
        <v>0</v>
      </c>
      <c r="AZ82" s="76">
        <f t="shared" si="6"/>
        <v>0</v>
      </c>
      <c r="BA82" s="76">
        <f t="shared" si="6"/>
        <v>0</v>
      </c>
      <c r="BB82" s="76">
        <f t="shared" si="6"/>
        <v>0</v>
      </c>
      <c r="BC82" s="76">
        <f t="shared" si="6"/>
        <v>0</v>
      </c>
      <c r="BD82" s="76">
        <f t="shared" si="6"/>
        <v>0</v>
      </c>
      <c r="BE82" s="76">
        <f t="shared" si="6"/>
        <v>0</v>
      </c>
      <c r="BF82" s="76">
        <f t="shared" si="6"/>
        <v>0</v>
      </c>
      <c r="BG82" s="76">
        <f t="shared" si="6"/>
        <v>0</v>
      </c>
      <c r="BH82" s="76">
        <f t="shared" si="6"/>
        <v>0</v>
      </c>
      <c r="BI82" s="76">
        <f t="shared" si="6"/>
        <v>0</v>
      </c>
      <c r="BJ82" s="76">
        <f t="shared" si="6"/>
        <v>0</v>
      </c>
      <c r="BK82" s="76">
        <f t="shared" si="6"/>
        <v>0</v>
      </c>
      <c r="BL82" s="76">
        <f t="shared" si="6"/>
        <v>0</v>
      </c>
      <c r="BM82" s="76">
        <f t="shared" si="6"/>
        <v>0</v>
      </c>
      <c r="BN82" s="76">
        <f t="shared" si="6"/>
        <v>0</v>
      </c>
      <c r="BO82" s="76">
        <f t="shared" ref="BO82:CT82" si="7">BO81/BO257</f>
        <v>0</v>
      </c>
      <c r="BP82" s="76">
        <f t="shared" si="7"/>
        <v>0</v>
      </c>
      <c r="BQ82" s="76">
        <f t="shared" si="7"/>
        <v>0</v>
      </c>
      <c r="BR82" s="76">
        <f t="shared" si="7"/>
        <v>0</v>
      </c>
      <c r="BS82" s="76">
        <f t="shared" si="7"/>
        <v>0</v>
      </c>
      <c r="BT82" s="76">
        <f t="shared" si="7"/>
        <v>0</v>
      </c>
      <c r="BU82" s="76">
        <f t="shared" si="7"/>
        <v>0</v>
      </c>
      <c r="BV82" s="76">
        <f t="shared" si="7"/>
        <v>0</v>
      </c>
      <c r="BW82" s="76">
        <f t="shared" si="7"/>
        <v>0</v>
      </c>
      <c r="BX82" s="76">
        <f t="shared" si="7"/>
        <v>0</v>
      </c>
      <c r="BY82" s="76">
        <f t="shared" si="7"/>
        <v>0</v>
      </c>
      <c r="BZ82" s="76">
        <f t="shared" si="7"/>
        <v>0</v>
      </c>
      <c r="CA82" s="76">
        <f t="shared" si="7"/>
        <v>0</v>
      </c>
      <c r="CB82" s="76">
        <f t="shared" si="7"/>
        <v>0</v>
      </c>
      <c r="CC82" s="76">
        <f t="shared" si="7"/>
        <v>0</v>
      </c>
      <c r="CD82" s="76">
        <f t="shared" si="7"/>
        <v>0</v>
      </c>
      <c r="CE82" s="76">
        <f t="shared" si="7"/>
        <v>0</v>
      </c>
      <c r="CF82" s="76">
        <f t="shared" si="7"/>
        <v>0</v>
      </c>
      <c r="CG82" s="76">
        <f t="shared" si="7"/>
        <v>0</v>
      </c>
      <c r="CH82" s="76">
        <f t="shared" si="7"/>
        <v>0</v>
      </c>
      <c r="CI82" s="76">
        <f t="shared" si="7"/>
        <v>0</v>
      </c>
      <c r="CJ82" s="76">
        <f t="shared" si="7"/>
        <v>0</v>
      </c>
      <c r="CK82" s="76">
        <f t="shared" si="7"/>
        <v>0</v>
      </c>
      <c r="CL82" s="76">
        <f t="shared" si="7"/>
        <v>0</v>
      </c>
      <c r="CM82" s="76">
        <f t="shared" si="7"/>
        <v>1.580462732241776E-11</v>
      </c>
      <c r="CN82" s="76">
        <f t="shared" si="7"/>
        <v>0</v>
      </c>
      <c r="CO82" s="76">
        <f t="shared" si="7"/>
        <v>0</v>
      </c>
      <c r="CP82" s="76">
        <f t="shared" si="7"/>
        <v>0</v>
      </c>
      <c r="CQ82" s="76">
        <f t="shared" si="7"/>
        <v>0</v>
      </c>
      <c r="CR82" s="76">
        <f t="shared" si="7"/>
        <v>1.6282658603279283E-13</v>
      </c>
      <c r="CS82" s="76">
        <f t="shared" si="7"/>
        <v>0</v>
      </c>
      <c r="CT82" s="76">
        <f t="shared" si="7"/>
        <v>0</v>
      </c>
      <c r="CU82" s="76">
        <f t="shared" ref="CU82:DZ82" si="8">CU81/CU257</f>
        <v>0</v>
      </c>
      <c r="CV82" s="76">
        <f t="shared" si="8"/>
        <v>0</v>
      </c>
      <c r="CW82" s="76">
        <f t="shared" si="8"/>
        <v>0</v>
      </c>
      <c r="CX82" s="76">
        <f t="shared" si="8"/>
        <v>0</v>
      </c>
      <c r="CY82" s="76">
        <f t="shared" si="8"/>
        <v>0</v>
      </c>
      <c r="CZ82" s="76">
        <f t="shared" si="8"/>
        <v>0</v>
      </c>
      <c r="DA82" s="76">
        <f t="shared" si="8"/>
        <v>1.916208803129358E-12</v>
      </c>
      <c r="DB82" s="76">
        <f t="shared" si="8"/>
        <v>0</v>
      </c>
      <c r="DC82" s="76">
        <f t="shared" si="8"/>
        <v>0</v>
      </c>
      <c r="DD82" s="76">
        <f t="shared" si="8"/>
        <v>0</v>
      </c>
      <c r="DE82" s="76">
        <f t="shared" si="8"/>
        <v>4.6305349304444002E-8</v>
      </c>
      <c r="DF82" s="76">
        <f t="shared" si="8"/>
        <v>0</v>
      </c>
      <c r="DG82" s="76">
        <f t="shared" si="8"/>
        <v>0</v>
      </c>
      <c r="DH82" s="76">
        <f t="shared" si="8"/>
        <v>0</v>
      </c>
      <c r="DI82" s="76">
        <f t="shared" si="8"/>
        <v>0</v>
      </c>
      <c r="DJ82" s="76">
        <f t="shared" si="8"/>
        <v>6.6667980117198889E-11</v>
      </c>
      <c r="DK82" s="76">
        <f t="shared" si="8"/>
        <v>0</v>
      </c>
      <c r="DL82" s="76">
        <f t="shared" si="8"/>
        <v>2.9150975075964677E-6</v>
      </c>
      <c r="DM82" s="76">
        <f t="shared" si="8"/>
        <v>0</v>
      </c>
      <c r="DN82" s="76">
        <f t="shared" si="8"/>
        <v>0</v>
      </c>
      <c r="DO82" s="76">
        <f t="shared" si="8"/>
        <v>0</v>
      </c>
      <c r="DP82" s="76">
        <f t="shared" si="8"/>
        <v>0</v>
      </c>
      <c r="DQ82" s="76">
        <f t="shared" si="8"/>
        <v>0</v>
      </c>
      <c r="DR82" s="76">
        <f t="shared" si="8"/>
        <v>5.3389536009008534E-9</v>
      </c>
      <c r="DS82" s="76">
        <f t="shared" si="8"/>
        <v>0</v>
      </c>
      <c r="DT82" s="76">
        <f t="shared" si="8"/>
        <v>0</v>
      </c>
      <c r="DU82" s="76">
        <f t="shared" si="8"/>
        <v>0</v>
      </c>
      <c r="DV82" s="76">
        <f t="shared" si="8"/>
        <v>0</v>
      </c>
      <c r="DW82" s="76">
        <f t="shared" si="8"/>
        <v>0</v>
      </c>
      <c r="DX82" s="76">
        <f t="shared" si="8"/>
        <v>0</v>
      </c>
      <c r="DY82" s="76">
        <f t="shared" si="8"/>
        <v>0</v>
      </c>
      <c r="DZ82" s="76">
        <f t="shared" si="8"/>
        <v>0</v>
      </c>
      <c r="EA82" s="76">
        <f t="shared" ref="EA82:FF82" si="9">EA81/EA257</f>
        <v>0</v>
      </c>
      <c r="EB82" s="76">
        <f t="shared" si="9"/>
        <v>4.3322472755174792E-8</v>
      </c>
      <c r="EC82" s="76">
        <f t="shared" si="9"/>
        <v>6.940316406544775E-10</v>
      </c>
      <c r="ED82" s="76">
        <f t="shared" si="9"/>
        <v>0</v>
      </c>
      <c r="EE82" s="76">
        <f t="shared" si="9"/>
        <v>0</v>
      </c>
      <c r="EF82" s="76">
        <f t="shared" si="9"/>
        <v>0</v>
      </c>
      <c r="EG82" s="76">
        <f t="shared" si="9"/>
        <v>0</v>
      </c>
      <c r="EH82" s="76">
        <f t="shared" si="9"/>
        <v>0</v>
      </c>
      <c r="EI82" s="76">
        <f t="shared" si="9"/>
        <v>0</v>
      </c>
      <c r="EJ82" s="76">
        <f t="shared" si="9"/>
        <v>0</v>
      </c>
      <c r="EK82" s="76">
        <f t="shared" si="9"/>
        <v>0</v>
      </c>
      <c r="EL82" s="76">
        <f t="shared" si="9"/>
        <v>3.9152986450132957E-8</v>
      </c>
      <c r="EM82" s="76">
        <f t="shared" si="9"/>
        <v>1.7271432553823964E-8</v>
      </c>
      <c r="EN82" s="76">
        <f t="shared" si="9"/>
        <v>7.5458812274726672E-4</v>
      </c>
      <c r="EO82" s="76">
        <f t="shared" si="9"/>
        <v>0</v>
      </c>
      <c r="EP82" s="76">
        <f t="shared" si="9"/>
        <v>1.8066567278065408E-7</v>
      </c>
      <c r="EQ82" s="76">
        <f t="shared" si="9"/>
        <v>0</v>
      </c>
      <c r="ER82" s="76">
        <f t="shared" si="9"/>
        <v>1.4283192292237192E-7</v>
      </c>
      <c r="ES82" s="76">
        <f t="shared" si="9"/>
        <v>2.1004776076032825E-10</v>
      </c>
      <c r="ET82" s="76">
        <f t="shared" si="9"/>
        <v>0</v>
      </c>
      <c r="EU82" s="76">
        <f t="shared" si="9"/>
        <v>0</v>
      </c>
      <c r="EV82" s="76">
        <f t="shared" si="9"/>
        <v>0</v>
      </c>
      <c r="EW82" s="76">
        <f t="shared" si="9"/>
        <v>6.064812713199249E-6</v>
      </c>
      <c r="EX82" s="76">
        <f t="shared" si="9"/>
        <v>0</v>
      </c>
      <c r="EY82" s="76">
        <f t="shared" si="9"/>
        <v>0</v>
      </c>
      <c r="EZ82" s="76">
        <f t="shared" si="9"/>
        <v>0</v>
      </c>
      <c r="FA82" s="76">
        <f t="shared" si="9"/>
        <v>6.2892936194458162E-7</v>
      </c>
      <c r="FB82" s="76">
        <f t="shared" si="9"/>
        <v>7.7154187872312623E-9</v>
      </c>
      <c r="FC82" s="76">
        <f t="shared" si="9"/>
        <v>2.3198916612526073E-4</v>
      </c>
      <c r="FD82" s="76">
        <f t="shared" si="9"/>
        <v>1.0803301357012129E-4</v>
      </c>
      <c r="FE82" s="76">
        <f t="shared" si="9"/>
        <v>0</v>
      </c>
      <c r="FF82" s="76">
        <f t="shared" si="9"/>
        <v>0</v>
      </c>
      <c r="FG82" s="76">
        <f t="shared" ref="FG82:GL82" si="10">FG81/FG257</f>
        <v>0</v>
      </c>
      <c r="FH82" s="76">
        <f t="shared" si="10"/>
        <v>2.9157627090041147E-3</v>
      </c>
      <c r="FI82" s="76">
        <f t="shared" si="10"/>
        <v>4.3773508030463875E-3</v>
      </c>
      <c r="FJ82" s="76">
        <f t="shared" si="10"/>
        <v>2.0446279814659331E-3</v>
      </c>
      <c r="FK82" s="76">
        <f t="shared" si="10"/>
        <v>3.9671330800025604E-3</v>
      </c>
      <c r="FL82" s="76">
        <f t="shared" si="10"/>
        <v>5.236332504494544E-3</v>
      </c>
      <c r="FM82" s="76">
        <f t="shared" si="10"/>
        <v>2.9285428534447447E-3</v>
      </c>
      <c r="FN82" s="76">
        <f t="shared" si="10"/>
        <v>1.9105611743648445E-3</v>
      </c>
      <c r="FO82" s="76">
        <f t="shared" si="10"/>
        <v>2.8401037054149414E-3</v>
      </c>
      <c r="FP82" s="76">
        <f t="shared" si="10"/>
        <v>0</v>
      </c>
      <c r="FQ82" s="76">
        <f t="shared" si="10"/>
        <v>0</v>
      </c>
      <c r="FR82" s="76">
        <f t="shared" si="10"/>
        <v>0</v>
      </c>
      <c r="FS82" s="76">
        <f t="shared" si="10"/>
        <v>0</v>
      </c>
      <c r="FT82" s="76">
        <f t="shared" si="10"/>
        <v>0</v>
      </c>
      <c r="FU82" s="76">
        <f t="shared" si="10"/>
        <v>0</v>
      </c>
      <c r="FV82" s="76">
        <f t="shared" si="10"/>
        <v>0</v>
      </c>
      <c r="FW82" s="76">
        <f t="shared" si="10"/>
        <v>6.5078325835367171E-2</v>
      </c>
      <c r="FX82" s="76">
        <f t="shared" si="10"/>
        <v>0</v>
      </c>
      <c r="FY82" s="76">
        <f t="shared" si="10"/>
        <v>4.7857770695048458E-4</v>
      </c>
      <c r="FZ82" s="76">
        <f t="shared" si="10"/>
        <v>3.9142756160591083E-4</v>
      </c>
      <c r="GA82" s="76">
        <f t="shared" si="10"/>
        <v>2.2224466704619269E-4</v>
      </c>
      <c r="GB82" s="76">
        <f t="shared" si="10"/>
        <v>0</v>
      </c>
      <c r="GC82" s="76">
        <f t="shared" si="10"/>
        <v>0</v>
      </c>
      <c r="GD82" s="76">
        <f t="shared" si="10"/>
        <v>0</v>
      </c>
      <c r="GE82" s="76">
        <f t="shared" si="10"/>
        <v>0</v>
      </c>
      <c r="GF82" s="76">
        <f t="shared" si="10"/>
        <v>0</v>
      </c>
      <c r="GG82" s="76">
        <f t="shared" si="10"/>
        <v>0</v>
      </c>
      <c r="GH82" s="76">
        <f t="shared" si="10"/>
        <v>0</v>
      </c>
      <c r="GI82" s="76">
        <f t="shared" si="10"/>
        <v>0</v>
      </c>
      <c r="GJ82" s="76">
        <f t="shared" si="10"/>
        <v>0</v>
      </c>
      <c r="GK82" s="76">
        <f t="shared" si="10"/>
        <v>0</v>
      </c>
      <c r="GL82" s="76">
        <f t="shared" si="10"/>
        <v>0</v>
      </c>
      <c r="GM82" s="76">
        <f t="shared" ref="GM82:HR82" si="11">GM81/GM257</f>
        <v>0</v>
      </c>
      <c r="GN82" s="76">
        <f t="shared" si="11"/>
        <v>0</v>
      </c>
      <c r="GO82" s="76">
        <f t="shared" si="11"/>
        <v>0</v>
      </c>
      <c r="GP82" s="76">
        <f t="shared" si="11"/>
        <v>0</v>
      </c>
      <c r="GQ82" s="76">
        <f t="shared" si="11"/>
        <v>0</v>
      </c>
      <c r="GR82" s="76">
        <f t="shared" si="11"/>
        <v>0</v>
      </c>
      <c r="GS82" s="76">
        <f t="shared" si="11"/>
        <v>0</v>
      </c>
      <c r="GT82" s="76">
        <f t="shared" si="11"/>
        <v>0</v>
      </c>
      <c r="GU82" s="76">
        <f t="shared" si="11"/>
        <v>0</v>
      </c>
      <c r="GV82" s="76">
        <f t="shared" si="11"/>
        <v>0</v>
      </c>
      <c r="GW82" s="76">
        <f t="shared" si="11"/>
        <v>0</v>
      </c>
      <c r="GX82" s="76">
        <f t="shared" si="11"/>
        <v>0</v>
      </c>
      <c r="GY82" s="76">
        <f t="shared" si="11"/>
        <v>0</v>
      </c>
      <c r="GZ82" s="76">
        <f t="shared" si="11"/>
        <v>0</v>
      </c>
      <c r="HA82" s="76">
        <f t="shared" si="11"/>
        <v>0</v>
      </c>
      <c r="HB82" s="76">
        <f t="shared" si="11"/>
        <v>0</v>
      </c>
      <c r="HC82" s="76">
        <f t="shared" si="11"/>
        <v>0</v>
      </c>
      <c r="HD82" s="76">
        <f t="shared" si="11"/>
        <v>0</v>
      </c>
      <c r="HE82" s="76">
        <f t="shared" si="11"/>
        <v>0</v>
      </c>
      <c r="HF82" s="76">
        <f t="shared" si="11"/>
        <v>0</v>
      </c>
      <c r="HG82" s="76">
        <f t="shared" si="11"/>
        <v>0</v>
      </c>
      <c r="HH82" s="76">
        <f t="shared" si="11"/>
        <v>0</v>
      </c>
      <c r="HI82" s="76">
        <f t="shared" si="11"/>
        <v>0</v>
      </c>
      <c r="HJ82" s="76">
        <f t="shared" si="11"/>
        <v>0</v>
      </c>
      <c r="HK82" s="76">
        <f t="shared" si="11"/>
        <v>0</v>
      </c>
      <c r="HL82" s="76">
        <f t="shared" si="11"/>
        <v>0</v>
      </c>
      <c r="HM82" s="76">
        <f t="shared" si="11"/>
        <v>0</v>
      </c>
      <c r="HN82" s="76">
        <f t="shared" si="11"/>
        <v>0</v>
      </c>
      <c r="HO82" s="76">
        <f t="shared" si="11"/>
        <v>0</v>
      </c>
      <c r="HP82" s="76">
        <f t="shared" si="11"/>
        <v>0</v>
      </c>
      <c r="HQ82" s="76">
        <f t="shared" si="11"/>
        <v>0</v>
      </c>
      <c r="HR82" s="76">
        <f t="shared" si="11"/>
        <v>0</v>
      </c>
      <c r="HS82" s="76">
        <f t="shared" ref="HS82:IO82" si="12">HS81/HS257</f>
        <v>0</v>
      </c>
      <c r="HT82" s="76">
        <f t="shared" si="12"/>
        <v>0</v>
      </c>
      <c r="HU82" s="76">
        <f t="shared" si="12"/>
        <v>0</v>
      </c>
      <c r="HV82" s="76">
        <f t="shared" si="12"/>
        <v>0</v>
      </c>
      <c r="HW82" s="76">
        <f t="shared" si="12"/>
        <v>0</v>
      </c>
      <c r="HX82" s="76">
        <f t="shared" si="12"/>
        <v>0</v>
      </c>
      <c r="HY82" s="76">
        <f t="shared" si="12"/>
        <v>0</v>
      </c>
      <c r="HZ82" s="76">
        <f t="shared" si="12"/>
        <v>0</v>
      </c>
      <c r="IA82" s="76">
        <f t="shared" si="12"/>
        <v>0</v>
      </c>
      <c r="IB82" s="76">
        <f t="shared" si="12"/>
        <v>0</v>
      </c>
      <c r="IC82" s="76">
        <f t="shared" si="12"/>
        <v>0</v>
      </c>
      <c r="ID82" s="76">
        <f t="shared" si="12"/>
        <v>0</v>
      </c>
      <c r="IE82" s="76">
        <f t="shared" si="12"/>
        <v>0</v>
      </c>
      <c r="IF82" s="76">
        <f t="shared" si="12"/>
        <v>0</v>
      </c>
      <c r="IG82" s="76">
        <f t="shared" si="12"/>
        <v>0</v>
      </c>
      <c r="IH82" s="76">
        <f t="shared" si="12"/>
        <v>0</v>
      </c>
      <c r="II82" s="76">
        <f t="shared" si="12"/>
        <v>0</v>
      </c>
      <c r="IJ82" s="76">
        <f t="shared" si="12"/>
        <v>0</v>
      </c>
      <c r="IK82" s="76">
        <f t="shared" si="12"/>
        <v>0</v>
      </c>
      <c r="IL82" s="76">
        <f t="shared" si="12"/>
        <v>0</v>
      </c>
      <c r="IM82" s="76">
        <f t="shared" si="12"/>
        <v>0</v>
      </c>
      <c r="IN82" s="76">
        <f t="shared" si="12"/>
        <v>0</v>
      </c>
      <c r="IO82" s="75" t="e">
        <f t="shared" si="12"/>
        <v>#DIV/0!</v>
      </c>
      <c r="IP82" s="23"/>
      <c r="IQ82" s="72"/>
      <c r="IR82" s="72"/>
      <c r="IS82" s="73"/>
      <c r="IT82" s="73"/>
      <c r="IU82" s="73"/>
      <c r="IV82" s="9"/>
      <c r="IW82" s="38">
        <f t="shared" si="5"/>
        <v>0</v>
      </c>
    </row>
    <row r="83" spans="1:257" ht="30" customHeight="1" x14ac:dyDescent="0.25">
      <c r="A83" s="112" t="b">
        <v>1</v>
      </c>
      <c r="B83" s="113" t="str">
        <f>IFERROR(VLOOKUP(C83,'Bridge matrix'!$D$3:$E$727,2,FALSE)='symmetric IOT 245 2012'!D83,"FALSCH")</f>
        <v>FALSCH</v>
      </c>
      <c r="C83" s="108">
        <v>77</v>
      </c>
      <c r="D83" s="49" t="s">
        <v>1396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1594595.1989582311</v>
      </c>
      <c r="CB83" s="48">
        <v>5475.3340719732769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  <c r="CM83" s="48">
        <v>0</v>
      </c>
      <c r="CN83" s="48">
        <v>0</v>
      </c>
      <c r="CO83" s="48">
        <v>0</v>
      </c>
      <c r="CP83" s="48">
        <v>0</v>
      </c>
      <c r="CQ83" s="48">
        <v>0</v>
      </c>
      <c r="CR83" s="48">
        <v>0</v>
      </c>
      <c r="CS83" s="48">
        <v>0</v>
      </c>
      <c r="CT83" s="48">
        <v>0</v>
      </c>
      <c r="CU83" s="48">
        <v>0</v>
      </c>
      <c r="CV83" s="48">
        <v>0</v>
      </c>
      <c r="CW83" s="48">
        <v>0</v>
      </c>
      <c r="CX83" s="48">
        <v>0</v>
      </c>
      <c r="CY83" s="48">
        <v>0</v>
      </c>
      <c r="CZ83" s="48">
        <v>0</v>
      </c>
      <c r="DA83" s="48">
        <v>0</v>
      </c>
      <c r="DB83" s="48">
        <v>0</v>
      </c>
      <c r="DC83" s="48">
        <v>0</v>
      </c>
      <c r="DD83" s="48">
        <v>0</v>
      </c>
      <c r="DE83" s="48">
        <v>0</v>
      </c>
      <c r="DF83" s="48">
        <v>0</v>
      </c>
      <c r="DG83" s="48">
        <v>0</v>
      </c>
      <c r="DH83" s="48">
        <v>0</v>
      </c>
      <c r="DI83" s="48">
        <v>0</v>
      </c>
      <c r="DJ83" s="48">
        <v>0</v>
      </c>
      <c r="DK83" s="48">
        <v>0</v>
      </c>
      <c r="DL83" s="48">
        <v>0</v>
      </c>
      <c r="DM83" s="48">
        <v>0</v>
      </c>
      <c r="DN83" s="48">
        <v>0</v>
      </c>
      <c r="DO83" s="48">
        <v>0</v>
      </c>
      <c r="DP83" s="48">
        <v>0</v>
      </c>
      <c r="DQ83" s="48">
        <v>0</v>
      </c>
      <c r="DR83" s="48">
        <v>0</v>
      </c>
      <c r="DS83" s="48">
        <v>0</v>
      </c>
      <c r="DT83" s="48">
        <v>0</v>
      </c>
      <c r="DU83" s="48">
        <v>0</v>
      </c>
      <c r="DV83" s="48">
        <v>0</v>
      </c>
      <c r="DW83" s="48">
        <v>0</v>
      </c>
      <c r="DX83" s="48">
        <v>0</v>
      </c>
      <c r="DY83" s="48">
        <v>0</v>
      </c>
      <c r="DZ83" s="48">
        <v>0</v>
      </c>
      <c r="EA83" s="48">
        <v>0</v>
      </c>
      <c r="EB83" s="48">
        <v>0</v>
      </c>
      <c r="EC83" s="48">
        <v>0</v>
      </c>
      <c r="ED83" s="48">
        <v>56.565960740828281</v>
      </c>
      <c r="EE83" s="48">
        <v>123.14591597023082</v>
      </c>
      <c r="EF83" s="48">
        <v>87.640639577385031</v>
      </c>
      <c r="EG83" s="48">
        <v>52.744314755944586</v>
      </c>
      <c r="EH83" s="48">
        <v>43.3693797437559</v>
      </c>
      <c r="EI83" s="48">
        <v>0</v>
      </c>
      <c r="EJ83" s="48">
        <v>0</v>
      </c>
      <c r="EK83" s="48">
        <v>0</v>
      </c>
      <c r="EL83" s="48">
        <v>0</v>
      </c>
      <c r="EM83" s="48">
        <v>0</v>
      </c>
      <c r="EN83" s="48">
        <v>0</v>
      </c>
      <c r="EO83" s="48">
        <v>0</v>
      </c>
      <c r="EP83" s="48">
        <v>0</v>
      </c>
      <c r="EQ83" s="48">
        <v>0</v>
      </c>
      <c r="ER83" s="48">
        <v>0</v>
      </c>
      <c r="ES83" s="48">
        <v>0</v>
      </c>
      <c r="ET83" s="48">
        <v>0</v>
      </c>
      <c r="EU83" s="48">
        <v>0</v>
      </c>
      <c r="EV83" s="48">
        <v>0</v>
      </c>
      <c r="EW83" s="48">
        <v>7.5901850908209124E-4</v>
      </c>
      <c r="EX83" s="48">
        <v>0</v>
      </c>
      <c r="EY83" s="48">
        <v>0</v>
      </c>
      <c r="EZ83" s="48">
        <v>0</v>
      </c>
      <c r="FA83" s="48">
        <v>0</v>
      </c>
      <c r="FB83" s="48">
        <v>0</v>
      </c>
      <c r="FC83" s="48">
        <v>0</v>
      </c>
      <c r="FD83" s="48">
        <v>0</v>
      </c>
      <c r="FE83" s="48">
        <v>0</v>
      </c>
      <c r="FF83" s="48">
        <v>0</v>
      </c>
      <c r="FG83" s="48">
        <v>0</v>
      </c>
      <c r="FH83" s="48">
        <v>0</v>
      </c>
      <c r="FI83" s="48">
        <v>0</v>
      </c>
      <c r="FJ83" s="48">
        <v>0</v>
      </c>
      <c r="FK83" s="48">
        <v>0</v>
      </c>
      <c r="FL83" s="48">
        <v>0</v>
      </c>
      <c r="FM83" s="48">
        <v>0</v>
      </c>
      <c r="FN83" s="48">
        <v>0</v>
      </c>
      <c r="FO83" s="48">
        <v>0</v>
      </c>
      <c r="FP83" s="48">
        <v>0</v>
      </c>
      <c r="FQ83" s="48">
        <v>0</v>
      </c>
      <c r="FR83" s="48">
        <v>0</v>
      </c>
      <c r="FS83" s="48">
        <v>0</v>
      </c>
      <c r="FT83" s="48">
        <v>0</v>
      </c>
      <c r="FU83" s="48">
        <v>0</v>
      </c>
      <c r="FV83" s="48">
        <v>0</v>
      </c>
      <c r="FW83" s="48">
        <v>0</v>
      </c>
      <c r="FX83" s="48">
        <v>0</v>
      </c>
      <c r="FY83" s="48">
        <v>0</v>
      </c>
      <c r="FZ83" s="48">
        <v>0</v>
      </c>
      <c r="GA83" s="48">
        <v>0</v>
      </c>
      <c r="GB83" s="48">
        <v>0</v>
      </c>
      <c r="GC83" s="48">
        <v>0</v>
      </c>
      <c r="GD83" s="48">
        <v>0</v>
      </c>
      <c r="GE83" s="48">
        <v>0</v>
      </c>
      <c r="GF83" s="48">
        <v>0</v>
      </c>
      <c r="GG83" s="48">
        <v>0</v>
      </c>
      <c r="GH83" s="48">
        <v>0</v>
      </c>
      <c r="GI83" s="48">
        <v>0</v>
      </c>
      <c r="GJ83" s="48">
        <v>0</v>
      </c>
      <c r="GK83" s="48">
        <v>0</v>
      </c>
      <c r="GL83" s="48">
        <v>0</v>
      </c>
      <c r="GM83" s="48">
        <v>0</v>
      </c>
      <c r="GN83" s="48">
        <v>0</v>
      </c>
      <c r="GO83" s="48">
        <v>0</v>
      </c>
      <c r="GP83" s="48">
        <v>0</v>
      </c>
      <c r="GQ83" s="48">
        <v>0</v>
      </c>
      <c r="GR83" s="48">
        <v>0</v>
      </c>
      <c r="GS83" s="48">
        <v>0</v>
      </c>
      <c r="GT83" s="48">
        <v>0</v>
      </c>
      <c r="GU83" s="48">
        <v>0</v>
      </c>
      <c r="GV83" s="48">
        <v>0</v>
      </c>
      <c r="GW83" s="48">
        <v>0</v>
      </c>
      <c r="GX83" s="48">
        <v>0</v>
      </c>
      <c r="GY83" s="48">
        <v>0</v>
      </c>
      <c r="GZ83" s="48">
        <v>0</v>
      </c>
      <c r="HA83" s="48">
        <v>0</v>
      </c>
      <c r="HB83" s="48">
        <v>0</v>
      </c>
      <c r="HC83" s="48">
        <v>0</v>
      </c>
      <c r="HD83" s="48">
        <v>0</v>
      </c>
      <c r="HE83" s="48">
        <v>0</v>
      </c>
      <c r="HF83" s="48">
        <v>0</v>
      </c>
      <c r="HG83" s="48">
        <v>0</v>
      </c>
      <c r="HH83" s="48">
        <v>0</v>
      </c>
      <c r="HI83" s="48">
        <v>0</v>
      </c>
      <c r="HJ83" s="48">
        <v>0</v>
      </c>
      <c r="HK83" s="48">
        <v>0</v>
      </c>
      <c r="HL83" s="48">
        <v>0</v>
      </c>
      <c r="HM83" s="48">
        <v>0</v>
      </c>
      <c r="HN83" s="48">
        <v>0</v>
      </c>
      <c r="HO83" s="48">
        <v>0</v>
      </c>
      <c r="HP83" s="48">
        <v>0</v>
      </c>
      <c r="HQ83" s="48">
        <v>0</v>
      </c>
      <c r="HR83" s="48">
        <v>0</v>
      </c>
      <c r="HS83" s="48">
        <v>0</v>
      </c>
      <c r="HT83" s="48">
        <v>0</v>
      </c>
      <c r="HU83" s="48">
        <v>0</v>
      </c>
      <c r="HV83" s="48">
        <v>0</v>
      </c>
      <c r="HW83" s="48">
        <v>0</v>
      </c>
      <c r="HX83" s="48">
        <v>0</v>
      </c>
      <c r="HY83" s="48">
        <v>0</v>
      </c>
      <c r="HZ83" s="48">
        <v>0</v>
      </c>
      <c r="IA83" s="48">
        <v>0</v>
      </c>
      <c r="IB83" s="48">
        <v>0</v>
      </c>
      <c r="IC83" s="48">
        <v>0</v>
      </c>
      <c r="ID83" s="48">
        <v>0</v>
      </c>
      <c r="IE83" s="48">
        <v>0</v>
      </c>
      <c r="IF83" s="48">
        <v>0</v>
      </c>
      <c r="IG83" s="48">
        <v>0</v>
      </c>
      <c r="IH83" s="48">
        <v>0</v>
      </c>
      <c r="II83" s="48">
        <v>0</v>
      </c>
      <c r="IJ83" s="48">
        <v>0</v>
      </c>
      <c r="IK83" s="48">
        <v>0</v>
      </c>
      <c r="IL83" s="48">
        <v>0</v>
      </c>
      <c r="IM83" s="48">
        <v>0</v>
      </c>
      <c r="IN83" s="48">
        <v>0</v>
      </c>
      <c r="IO83" s="48">
        <v>0</v>
      </c>
      <c r="IP83" s="23">
        <v>1600434.0000000112</v>
      </c>
      <c r="IQ83" s="25">
        <v>0</v>
      </c>
      <c r="IR83" s="25">
        <v>0</v>
      </c>
      <c r="IS83" s="26">
        <v>0</v>
      </c>
      <c r="IT83" s="26">
        <v>0</v>
      </c>
      <c r="IU83" s="26">
        <v>0</v>
      </c>
      <c r="IV83" s="9">
        <v>0</v>
      </c>
      <c r="IW83" s="38">
        <f t="shared" si="5"/>
        <v>1600434.0000000112</v>
      </c>
    </row>
    <row r="84" spans="1:257" ht="30" customHeight="1" x14ac:dyDescent="0.25">
      <c r="A84" s="112" t="b">
        <v>1</v>
      </c>
      <c r="B84" s="113" t="str">
        <f>IFERROR(VLOOKUP(C84,'Bridge matrix'!$D$3:$E$727,2,FALSE)='symmetric IOT 245 2012'!D84,"FALSCH")</f>
        <v>FALSCH</v>
      </c>
      <c r="C84" s="108">
        <v>78</v>
      </c>
      <c r="D84" s="49" t="s">
        <v>1397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48">
        <v>0</v>
      </c>
      <c r="CB84" s="48">
        <v>0</v>
      </c>
      <c r="CC84" s="48">
        <v>0</v>
      </c>
      <c r="CD84" s="48">
        <v>0</v>
      </c>
      <c r="CE84" s="48">
        <v>0</v>
      </c>
      <c r="CF84" s="48">
        <v>0</v>
      </c>
      <c r="CG84" s="48">
        <v>0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  <c r="CM84" s="48">
        <v>0</v>
      </c>
      <c r="CN84" s="48">
        <v>0</v>
      </c>
      <c r="CO84" s="48">
        <v>0</v>
      </c>
      <c r="CP84" s="48">
        <v>0</v>
      </c>
      <c r="CQ84" s="48">
        <v>0</v>
      </c>
      <c r="CR84" s="48">
        <v>0</v>
      </c>
      <c r="CS84" s="48">
        <v>0</v>
      </c>
      <c r="CT84" s="48">
        <v>0</v>
      </c>
      <c r="CU84" s="48">
        <v>0</v>
      </c>
      <c r="CV84" s="48">
        <v>0</v>
      </c>
      <c r="CW84" s="48">
        <v>0</v>
      </c>
      <c r="CX84" s="48">
        <v>0</v>
      </c>
      <c r="CY84" s="48">
        <v>0</v>
      </c>
      <c r="CZ84" s="48">
        <v>0</v>
      </c>
      <c r="DA84" s="48">
        <v>0</v>
      </c>
      <c r="DB84" s="48">
        <v>0</v>
      </c>
      <c r="DC84" s="48">
        <v>0</v>
      </c>
      <c r="DD84" s="48">
        <v>0</v>
      </c>
      <c r="DE84" s="48">
        <v>0</v>
      </c>
      <c r="DF84" s="48">
        <v>0</v>
      </c>
      <c r="DG84" s="48">
        <v>0</v>
      </c>
      <c r="DH84" s="48">
        <v>0</v>
      </c>
      <c r="DI84" s="48">
        <v>0</v>
      </c>
      <c r="DJ84" s="48">
        <v>0</v>
      </c>
      <c r="DK84" s="48">
        <v>0</v>
      </c>
      <c r="DL84" s="48">
        <v>0</v>
      </c>
      <c r="DM84" s="48">
        <v>0</v>
      </c>
      <c r="DN84" s="48">
        <v>0</v>
      </c>
      <c r="DO84" s="48">
        <v>0</v>
      </c>
      <c r="DP84" s="48">
        <v>0</v>
      </c>
      <c r="DQ84" s="48">
        <v>0</v>
      </c>
      <c r="DR84" s="48">
        <v>0</v>
      </c>
      <c r="DS84" s="48">
        <v>0</v>
      </c>
      <c r="DT84" s="48">
        <v>0</v>
      </c>
      <c r="DU84" s="48">
        <v>0</v>
      </c>
      <c r="DV84" s="48">
        <v>0</v>
      </c>
      <c r="DW84" s="48">
        <v>0</v>
      </c>
      <c r="DX84" s="48">
        <v>0</v>
      </c>
      <c r="DY84" s="48">
        <v>0</v>
      </c>
      <c r="DZ84" s="48">
        <v>0</v>
      </c>
      <c r="EA84" s="48">
        <v>0</v>
      </c>
      <c r="EB84" s="48">
        <v>0</v>
      </c>
      <c r="EC84" s="48">
        <v>0</v>
      </c>
      <c r="ED84" s="48">
        <v>0</v>
      </c>
      <c r="EE84" s="48">
        <v>0</v>
      </c>
      <c r="EF84" s="48">
        <v>0</v>
      </c>
      <c r="EG84" s="48">
        <v>0</v>
      </c>
      <c r="EH84" s="48">
        <v>0</v>
      </c>
      <c r="EI84" s="48">
        <v>0</v>
      </c>
      <c r="EJ84" s="48">
        <v>0</v>
      </c>
      <c r="EK84" s="48">
        <v>0</v>
      </c>
      <c r="EL84" s="48">
        <v>0</v>
      </c>
      <c r="EM84" s="48">
        <v>0</v>
      </c>
      <c r="EN84" s="48">
        <v>0</v>
      </c>
      <c r="EO84" s="48">
        <v>0</v>
      </c>
      <c r="EP84" s="48">
        <v>0</v>
      </c>
      <c r="EQ84" s="48">
        <v>0</v>
      </c>
      <c r="ER84" s="48">
        <v>0</v>
      </c>
      <c r="ES84" s="48">
        <v>0</v>
      </c>
      <c r="ET84" s="48">
        <v>0</v>
      </c>
      <c r="EU84" s="48">
        <v>0</v>
      </c>
      <c r="EV84" s="48">
        <v>0</v>
      </c>
      <c r="EW84" s="48">
        <v>0</v>
      </c>
      <c r="EX84" s="48">
        <v>0</v>
      </c>
      <c r="EY84" s="48">
        <v>0</v>
      </c>
      <c r="EZ84" s="48">
        <v>0</v>
      </c>
      <c r="FA84" s="48">
        <v>0</v>
      </c>
      <c r="FB84" s="48">
        <v>207352.99999999729</v>
      </c>
      <c r="FC84" s="48">
        <v>0</v>
      </c>
      <c r="FD84" s="48">
        <v>0</v>
      </c>
      <c r="FE84" s="48">
        <v>0</v>
      </c>
      <c r="FF84" s="48">
        <v>0</v>
      </c>
      <c r="FG84" s="48">
        <v>0</v>
      </c>
      <c r="FH84" s="48">
        <v>0</v>
      </c>
      <c r="FI84" s="48">
        <v>0</v>
      </c>
      <c r="FJ84" s="48">
        <v>0</v>
      </c>
      <c r="FK84" s="48">
        <v>0</v>
      </c>
      <c r="FL84" s="48">
        <v>0</v>
      </c>
      <c r="FM84" s="48">
        <v>0</v>
      </c>
      <c r="FN84" s="48">
        <v>0</v>
      </c>
      <c r="FO84" s="48">
        <v>0</v>
      </c>
      <c r="FP84" s="48">
        <v>0</v>
      </c>
      <c r="FQ84" s="48">
        <v>0</v>
      </c>
      <c r="FR84" s="48">
        <v>0</v>
      </c>
      <c r="FS84" s="48">
        <v>0</v>
      </c>
      <c r="FT84" s="48">
        <v>0</v>
      </c>
      <c r="FU84" s="48">
        <v>0</v>
      </c>
      <c r="FV84" s="48">
        <v>0</v>
      </c>
      <c r="FW84" s="48">
        <v>0</v>
      </c>
      <c r="FX84" s="48">
        <v>0</v>
      </c>
      <c r="FY84" s="48">
        <v>0</v>
      </c>
      <c r="FZ84" s="48">
        <v>0</v>
      </c>
      <c r="GA84" s="48">
        <v>0</v>
      </c>
      <c r="GB84" s="48">
        <v>0</v>
      </c>
      <c r="GC84" s="48">
        <v>0</v>
      </c>
      <c r="GD84" s="48">
        <v>0</v>
      </c>
      <c r="GE84" s="48">
        <v>0</v>
      </c>
      <c r="GF84" s="48">
        <v>0</v>
      </c>
      <c r="GG84" s="48">
        <v>0</v>
      </c>
      <c r="GH84" s="48">
        <v>0</v>
      </c>
      <c r="GI84" s="48">
        <v>0</v>
      </c>
      <c r="GJ84" s="48">
        <v>0</v>
      </c>
      <c r="GK84" s="48">
        <v>0</v>
      </c>
      <c r="GL84" s="48">
        <v>0</v>
      </c>
      <c r="GM84" s="48">
        <v>0</v>
      </c>
      <c r="GN84" s="48">
        <v>0</v>
      </c>
      <c r="GO84" s="48">
        <v>0</v>
      </c>
      <c r="GP84" s="48">
        <v>0</v>
      </c>
      <c r="GQ84" s="48">
        <v>0</v>
      </c>
      <c r="GR84" s="48">
        <v>0</v>
      </c>
      <c r="GS84" s="48">
        <v>0</v>
      </c>
      <c r="GT84" s="48">
        <v>0</v>
      </c>
      <c r="GU84" s="48">
        <v>0</v>
      </c>
      <c r="GV84" s="48">
        <v>0</v>
      </c>
      <c r="GW84" s="48">
        <v>0</v>
      </c>
      <c r="GX84" s="48">
        <v>0</v>
      </c>
      <c r="GY84" s="48">
        <v>0</v>
      </c>
      <c r="GZ84" s="48">
        <v>0</v>
      </c>
      <c r="HA84" s="48">
        <v>0</v>
      </c>
      <c r="HB84" s="48">
        <v>0</v>
      </c>
      <c r="HC84" s="48">
        <v>0</v>
      </c>
      <c r="HD84" s="48">
        <v>0</v>
      </c>
      <c r="HE84" s="48">
        <v>0</v>
      </c>
      <c r="HF84" s="48">
        <v>0</v>
      </c>
      <c r="HG84" s="48">
        <v>0</v>
      </c>
      <c r="HH84" s="48">
        <v>0</v>
      </c>
      <c r="HI84" s="48">
        <v>0</v>
      </c>
      <c r="HJ84" s="48">
        <v>0</v>
      </c>
      <c r="HK84" s="48">
        <v>0</v>
      </c>
      <c r="HL84" s="48">
        <v>0</v>
      </c>
      <c r="HM84" s="48">
        <v>0</v>
      </c>
      <c r="HN84" s="48">
        <v>0</v>
      </c>
      <c r="HO84" s="48">
        <v>0</v>
      </c>
      <c r="HP84" s="48">
        <v>0</v>
      </c>
      <c r="HQ84" s="48">
        <v>0</v>
      </c>
      <c r="HR84" s="48">
        <v>0</v>
      </c>
      <c r="HS84" s="48">
        <v>0</v>
      </c>
      <c r="HT84" s="48">
        <v>0</v>
      </c>
      <c r="HU84" s="48">
        <v>0</v>
      </c>
      <c r="HV84" s="48">
        <v>0</v>
      </c>
      <c r="HW84" s="48">
        <v>0</v>
      </c>
      <c r="HX84" s="48">
        <v>0</v>
      </c>
      <c r="HY84" s="48">
        <v>0</v>
      </c>
      <c r="HZ84" s="48">
        <v>0</v>
      </c>
      <c r="IA84" s="48">
        <v>0</v>
      </c>
      <c r="IB84" s="48">
        <v>0</v>
      </c>
      <c r="IC84" s="48">
        <v>0</v>
      </c>
      <c r="ID84" s="48">
        <v>0</v>
      </c>
      <c r="IE84" s="48">
        <v>0</v>
      </c>
      <c r="IF84" s="48">
        <v>0</v>
      </c>
      <c r="IG84" s="48">
        <v>0</v>
      </c>
      <c r="IH84" s="48">
        <v>0</v>
      </c>
      <c r="II84" s="48">
        <v>0</v>
      </c>
      <c r="IJ84" s="48">
        <v>0</v>
      </c>
      <c r="IK84" s="48">
        <v>0</v>
      </c>
      <c r="IL84" s="48">
        <v>0</v>
      </c>
      <c r="IM84" s="48">
        <v>0</v>
      </c>
      <c r="IN84" s="48">
        <v>0</v>
      </c>
      <c r="IO84" s="48">
        <v>0</v>
      </c>
      <c r="IP84" s="23">
        <v>207352.99999999729</v>
      </c>
      <c r="IQ84" s="25">
        <v>0</v>
      </c>
      <c r="IR84" s="25">
        <v>0</v>
      </c>
      <c r="IS84" s="26">
        <v>0</v>
      </c>
      <c r="IT84" s="26">
        <v>0</v>
      </c>
      <c r="IU84" s="26">
        <v>0</v>
      </c>
      <c r="IV84" s="9">
        <v>27719</v>
      </c>
      <c r="IW84" s="38">
        <f t="shared" si="5"/>
        <v>235071.99999999729</v>
      </c>
    </row>
    <row r="85" spans="1:257" ht="30" customHeight="1" x14ac:dyDescent="0.25">
      <c r="A85" s="112" t="b">
        <v>1</v>
      </c>
      <c r="B85" s="113" t="str">
        <f>IFERROR(VLOOKUP(C85,'Bridge matrix'!$D$3:$E$727,2,FALSE)='symmetric IOT 245 2012'!D85,"FALSCH")</f>
        <v>FALSCH</v>
      </c>
      <c r="C85" s="108">
        <v>79</v>
      </c>
      <c r="D85" s="49" t="s">
        <v>1398</v>
      </c>
      <c r="E85" s="48">
        <v>0</v>
      </c>
      <c r="F85" s="48">
        <v>0</v>
      </c>
      <c r="G85" s="48">
        <v>0</v>
      </c>
      <c r="H85" s="48">
        <v>0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48">
        <v>0</v>
      </c>
      <c r="AF85" s="48">
        <v>0</v>
      </c>
      <c r="AG85" s="48">
        <v>0</v>
      </c>
      <c r="AH85" s="48">
        <v>0</v>
      </c>
      <c r="AI85" s="48">
        <v>0</v>
      </c>
      <c r="AJ85" s="48">
        <v>0</v>
      </c>
      <c r="AK85" s="48">
        <v>0</v>
      </c>
      <c r="AL85" s="48">
        <v>0</v>
      </c>
      <c r="AM85" s="48">
        <v>0</v>
      </c>
      <c r="AN85" s="48">
        <v>0</v>
      </c>
      <c r="AO85" s="48">
        <v>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0</v>
      </c>
      <c r="BS85" s="48">
        <v>0</v>
      </c>
      <c r="BT85" s="48">
        <v>0</v>
      </c>
      <c r="BU85" s="48">
        <v>0</v>
      </c>
      <c r="BV85" s="48">
        <v>0</v>
      </c>
      <c r="BW85" s="48">
        <v>0</v>
      </c>
      <c r="BX85" s="48">
        <v>0</v>
      </c>
      <c r="BY85" s="48">
        <v>0</v>
      </c>
      <c r="BZ85" s="48">
        <v>0</v>
      </c>
      <c r="CA85" s="48">
        <v>0</v>
      </c>
      <c r="CB85" s="48">
        <v>0</v>
      </c>
      <c r="CC85" s="48">
        <v>0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2.6738693422072723E-9</v>
      </c>
      <c r="CJ85" s="48">
        <v>0</v>
      </c>
      <c r="CK85" s="48">
        <v>0</v>
      </c>
      <c r="CL85" s="48">
        <v>0</v>
      </c>
      <c r="CM85" s="48">
        <v>5.2327220798862414E-11</v>
      </c>
      <c r="CN85" s="48">
        <v>0</v>
      </c>
      <c r="CO85" s="48">
        <v>0</v>
      </c>
      <c r="CP85" s="48">
        <v>0</v>
      </c>
      <c r="CQ85" s="48">
        <v>0</v>
      </c>
      <c r="CR85" s="48">
        <v>8.2451451042983335E-9</v>
      </c>
      <c r="CS85" s="48">
        <v>0</v>
      </c>
      <c r="CT85" s="48">
        <v>0</v>
      </c>
      <c r="CU85" s="48">
        <v>2.3005115337592589E-4</v>
      </c>
      <c r="CV85" s="48">
        <v>0</v>
      </c>
      <c r="CW85" s="48">
        <v>0</v>
      </c>
      <c r="CX85" s="48">
        <v>0</v>
      </c>
      <c r="CY85" s="48">
        <v>0</v>
      </c>
      <c r="CZ85" s="48">
        <v>0</v>
      </c>
      <c r="DA85" s="48">
        <v>4.3969890229705599E-11</v>
      </c>
      <c r="DB85" s="48">
        <v>0</v>
      </c>
      <c r="DC85" s="48">
        <v>0</v>
      </c>
      <c r="DD85" s="48">
        <v>0</v>
      </c>
      <c r="DE85" s="48">
        <v>0</v>
      </c>
      <c r="DF85" s="48">
        <v>0</v>
      </c>
      <c r="DG85" s="48">
        <v>0</v>
      </c>
      <c r="DH85" s="48">
        <v>0</v>
      </c>
      <c r="DI85" s="48">
        <v>0</v>
      </c>
      <c r="DJ85" s="48">
        <v>1.714729762546997E-6</v>
      </c>
      <c r="DK85" s="48">
        <v>0</v>
      </c>
      <c r="DL85" s="48">
        <v>4.7688886819366248E-5</v>
      </c>
      <c r="DM85" s="48">
        <v>0</v>
      </c>
      <c r="DN85" s="48">
        <v>0</v>
      </c>
      <c r="DO85" s="48">
        <v>0</v>
      </c>
      <c r="DP85" s="48">
        <v>0</v>
      </c>
      <c r="DQ85" s="48">
        <v>0</v>
      </c>
      <c r="DR85" s="48">
        <v>4.507204676442195E-5</v>
      </c>
      <c r="DS85" s="48">
        <v>0</v>
      </c>
      <c r="DT85" s="48">
        <v>0</v>
      </c>
      <c r="DU85" s="48">
        <v>0</v>
      </c>
      <c r="DV85" s="48">
        <v>0</v>
      </c>
      <c r="DW85" s="48">
        <v>0</v>
      </c>
      <c r="DX85" s="48">
        <v>0</v>
      </c>
      <c r="DY85" s="48">
        <v>1.4144259002668726E-10</v>
      </c>
      <c r="DZ85" s="48">
        <v>0</v>
      </c>
      <c r="EA85" s="48">
        <v>0</v>
      </c>
      <c r="EB85" s="48">
        <v>4.7570742520308641E-4</v>
      </c>
      <c r="EC85" s="48">
        <v>1.4994045781732627E-5</v>
      </c>
      <c r="ED85" s="48">
        <v>0</v>
      </c>
      <c r="EE85" s="48">
        <v>0</v>
      </c>
      <c r="EF85" s="48">
        <v>0</v>
      </c>
      <c r="EG85" s="48">
        <v>0</v>
      </c>
      <c r="EH85" s="48">
        <v>0</v>
      </c>
      <c r="EI85" s="48">
        <v>0</v>
      </c>
      <c r="EJ85" s="48">
        <v>0</v>
      </c>
      <c r="EK85" s="48">
        <v>0</v>
      </c>
      <c r="EL85" s="48">
        <v>5.8505514512906427E-4</v>
      </c>
      <c r="EM85" s="48">
        <v>4.1977554972791499E-4</v>
      </c>
      <c r="EN85" s="48">
        <v>6.7152733746475785E-4</v>
      </c>
      <c r="EO85" s="48">
        <v>0</v>
      </c>
      <c r="EP85" s="48">
        <v>4.0969017571867951E-8</v>
      </c>
      <c r="EQ85" s="48">
        <v>0</v>
      </c>
      <c r="ER85" s="48">
        <v>1.1885368950876688E-5</v>
      </c>
      <c r="ES85" s="48">
        <v>2.067688325626259E-7</v>
      </c>
      <c r="ET85" s="48">
        <v>0</v>
      </c>
      <c r="EU85" s="48">
        <v>0</v>
      </c>
      <c r="EV85" s="48">
        <v>0</v>
      </c>
      <c r="EW85" s="48">
        <v>0</v>
      </c>
      <c r="EX85" s="48">
        <v>3.7126647368905752E-4</v>
      </c>
      <c r="EY85" s="48">
        <v>0</v>
      </c>
      <c r="EZ85" s="48">
        <v>0</v>
      </c>
      <c r="FA85" s="48">
        <v>1.328872380405699E-3</v>
      </c>
      <c r="FB85" s="48">
        <v>3.6431900249048265E-5</v>
      </c>
      <c r="FC85" s="48">
        <v>23.995001621608509</v>
      </c>
      <c r="FD85" s="48">
        <v>0</v>
      </c>
      <c r="FE85" s="48">
        <v>0</v>
      </c>
      <c r="FF85" s="48">
        <v>0</v>
      </c>
      <c r="FG85" s="48">
        <v>0</v>
      </c>
      <c r="FH85" s="48">
        <v>0</v>
      </c>
      <c r="FI85" s="48">
        <v>2.5832438306029346E-7</v>
      </c>
      <c r="FJ85" s="48">
        <v>0</v>
      </c>
      <c r="FK85" s="48">
        <v>0</v>
      </c>
      <c r="FL85" s="48">
        <v>0</v>
      </c>
      <c r="FM85" s="48">
        <v>1.9777407291868899E-5</v>
      </c>
      <c r="FN85" s="48">
        <v>0</v>
      </c>
      <c r="FO85" s="48">
        <v>0</v>
      </c>
      <c r="FP85" s="48">
        <v>6.2726643910226369E-4</v>
      </c>
      <c r="FQ85" s="48">
        <v>6.7984919532993292E-5</v>
      </c>
      <c r="FR85" s="48">
        <v>0</v>
      </c>
      <c r="FS85" s="48">
        <v>0</v>
      </c>
      <c r="FT85" s="48">
        <v>0</v>
      </c>
      <c r="FU85" s="48">
        <v>0</v>
      </c>
      <c r="FV85" s="48">
        <v>4.2789963168485601E-5</v>
      </c>
      <c r="FW85" s="48">
        <v>0</v>
      </c>
      <c r="FX85" s="48">
        <v>0</v>
      </c>
      <c r="FY85" s="48">
        <v>0</v>
      </c>
      <c r="FZ85" s="48">
        <v>0</v>
      </c>
      <c r="GA85" s="48">
        <v>0</v>
      </c>
      <c r="GB85" s="48">
        <v>0</v>
      </c>
      <c r="GC85" s="48">
        <v>0</v>
      </c>
      <c r="GD85" s="48">
        <v>0</v>
      </c>
      <c r="GE85" s="48">
        <v>0</v>
      </c>
      <c r="GF85" s="48">
        <v>0</v>
      </c>
      <c r="GG85" s="48">
        <v>0</v>
      </c>
      <c r="GH85" s="48">
        <v>0</v>
      </c>
      <c r="GI85" s="48">
        <v>0</v>
      </c>
      <c r="GJ85" s="48">
        <v>0</v>
      </c>
      <c r="GK85" s="48">
        <v>0</v>
      </c>
      <c r="GL85" s="48">
        <v>0</v>
      </c>
      <c r="GM85" s="48">
        <v>0</v>
      </c>
      <c r="GN85" s="48">
        <v>0</v>
      </c>
      <c r="GO85" s="48">
        <v>0</v>
      </c>
      <c r="GP85" s="48">
        <v>0</v>
      </c>
      <c r="GQ85" s="48">
        <v>0</v>
      </c>
      <c r="GR85" s="48">
        <v>0</v>
      </c>
      <c r="GS85" s="48">
        <v>0</v>
      </c>
      <c r="GT85" s="48">
        <v>0</v>
      </c>
      <c r="GU85" s="48">
        <v>0</v>
      </c>
      <c r="GV85" s="48">
        <v>0</v>
      </c>
      <c r="GW85" s="48">
        <v>0</v>
      </c>
      <c r="GX85" s="48">
        <v>0</v>
      </c>
      <c r="GY85" s="48">
        <v>0</v>
      </c>
      <c r="GZ85" s="48">
        <v>0</v>
      </c>
      <c r="HA85" s="48">
        <v>0</v>
      </c>
      <c r="HB85" s="48">
        <v>0</v>
      </c>
      <c r="HC85" s="48">
        <v>0</v>
      </c>
      <c r="HD85" s="48">
        <v>0</v>
      </c>
      <c r="HE85" s="48">
        <v>0</v>
      </c>
      <c r="HF85" s="48">
        <v>0</v>
      </c>
      <c r="HG85" s="48">
        <v>0</v>
      </c>
      <c r="HH85" s="48">
        <v>0</v>
      </c>
      <c r="HI85" s="48">
        <v>0</v>
      </c>
      <c r="HJ85" s="48">
        <v>0</v>
      </c>
      <c r="HK85" s="48">
        <v>0</v>
      </c>
      <c r="HL85" s="48">
        <v>0</v>
      </c>
      <c r="HM85" s="48">
        <v>0</v>
      </c>
      <c r="HN85" s="48">
        <v>0</v>
      </c>
      <c r="HO85" s="48">
        <v>0</v>
      </c>
      <c r="HP85" s="48">
        <v>0</v>
      </c>
      <c r="HQ85" s="48">
        <v>0</v>
      </c>
      <c r="HR85" s="48">
        <v>0</v>
      </c>
      <c r="HS85" s="48">
        <v>0</v>
      </c>
      <c r="HT85" s="48">
        <v>0</v>
      </c>
      <c r="HU85" s="48">
        <v>0</v>
      </c>
      <c r="HV85" s="48">
        <v>0</v>
      </c>
      <c r="HW85" s="48">
        <v>0</v>
      </c>
      <c r="HX85" s="48">
        <v>0</v>
      </c>
      <c r="HY85" s="48">
        <v>0</v>
      </c>
      <c r="HZ85" s="48">
        <v>0</v>
      </c>
      <c r="IA85" s="48">
        <v>0</v>
      </c>
      <c r="IB85" s="48">
        <v>0</v>
      </c>
      <c r="IC85" s="48">
        <v>0</v>
      </c>
      <c r="ID85" s="48">
        <v>0</v>
      </c>
      <c r="IE85" s="48">
        <v>0</v>
      </c>
      <c r="IF85" s="48">
        <v>0</v>
      </c>
      <c r="IG85" s="48">
        <v>0</v>
      </c>
      <c r="IH85" s="48">
        <v>0</v>
      </c>
      <c r="II85" s="48">
        <v>0</v>
      </c>
      <c r="IJ85" s="48">
        <v>0</v>
      </c>
      <c r="IK85" s="48">
        <v>0</v>
      </c>
      <c r="IL85" s="48">
        <v>0</v>
      </c>
      <c r="IM85" s="48">
        <v>0</v>
      </c>
      <c r="IN85" s="48">
        <v>0</v>
      </c>
      <c r="IO85" s="48">
        <v>0</v>
      </c>
      <c r="IP85" s="23">
        <v>23.999999999999915</v>
      </c>
      <c r="IQ85" s="25">
        <v>0</v>
      </c>
      <c r="IR85" s="25">
        <v>0</v>
      </c>
      <c r="IS85" s="26">
        <v>0</v>
      </c>
      <c r="IT85" s="26">
        <v>0</v>
      </c>
      <c r="IU85" s="26">
        <v>785</v>
      </c>
      <c r="IV85" s="9">
        <v>16277</v>
      </c>
      <c r="IW85" s="38">
        <f t="shared" si="5"/>
        <v>17086</v>
      </c>
    </row>
    <row r="86" spans="1:257" ht="30" customHeight="1" x14ac:dyDescent="0.25">
      <c r="A86" s="112" t="b">
        <v>1</v>
      </c>
      <c r="B86" s="113" t="str">
        <f>IFERROR(VLOOKUP(C86,'Bridge matrix'!$D$3:$E$727,2,FALSE)='symmetric IOT 245 2012'!D86,"FALSCH")</f>
        <v>FALSCH</v>
      </c>
      <c r="C86" s="108">
        <v>80</v>
      </c>
      <c r="D86" s="49" t="s">
        <v>1399</v>
      </c>
      <c r="E86" s="48">
        <v>0</v>
      </c>
      <c r="F86" s="48">
        <v>0</v>
      </c>
      <c r="G86" s="48">
        <v>0</v>
      </c>
      <c r="H86" s="48">
        <v>0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48">
        <v>0</v>
      </c>
      <c r="AF86" s="48">
        <v>0</v>
      </c>
      <c r="AG86" s="48">
        <v>0</v>
      </c>
      <c r="AH86" s="48">
        <v>0</v>
      </c>
      <c r="AI86" s="48">
        <v>0</v>
      </c>
      <c r="AJ86" s="48">
        <v>0</v>
      </c>
      <c r="AK86" s="48">
        <v>0</v>
      </c>
      <c r="AL86" s="48">
        <v>0</v>
      </c>
      <c r="AM86" s="48">
        <v>0</v>
      </c>
      <c r="AN86" s="48">
        <v>0</v>
      </c>
      <c r="AO86" s="48">
        <v>0</v>
      </c>
      <c r="AP86" s="48">
        <v>0</v>
      </c>
      <c r="AQ86" s="48">
        <v>0</v>
      </c>
      <c r="AR86" s="48">
        <v>0</v>
      </c>
      <c r="AS86" s="48">
        <v>0</v>
      </c>
      <c r="AT86" s="48">
        <v>0</v>
      </c>
      <c r="AU86" s="48">
        <v>0</v>
      </c>
      <c r="AV86" s="48">
        <v>0</v>
      </c>
      <c r="AW86" s="48">
        <v>0</v>
      </c>
      <c r="AX86" s="48">
        <v>0</v>
      </c>
      <c r="AY86" s="48">
        <v>0</v>
      </c>
      <c r="AZ86" s="48">
        <v>0</v>
      </c>
      <c r="BA86" s="48">
        <v>0</v>
      </c>
      <c r="BB86" s="48">
        <v>0</v>
      </c>
      <c r="BC86" s="48">
        <v>0</v>
      </c>
      <c r="BD86" s="48">
        <v>0</v>
      </c>
      <c r="BE86" s="48">
        <v>0</v>
      </c>
      <c r="BF86" s="48">
        <v>0</v>
      </c>
      <c r="BG86" s="48">
        <v>0</v>
      </c>
      <c r="BH86" s="48">
        <v>0</v>
      </c>
      <c r="BI86" s="48">
        <v>0</v>
      </c>
      <c r="BJ86" s="48">
        <v>0</v>
      </c>
      <c r="BK86" s="48">
        <v>0</v>
      </c>
      <c r="BL86" s="48">
        <v>0</v>
      </c>
      <c r="BM86" s="48">
        <v>0</v>
      </c>
      <c r="BN86" s="48">
        <v>0</v>
      </c>
      <c r="BO86" s="48">
        <v>0</v>
      </c>
      <c r="BP86" s="48">
        <v>0</v>
      </c>
      <c r="BQ86" s="48">
        <v>0</v>
      </c>
      <c r="BR86" s="48">
        <v>0</v>
      </c>
      <c r="BS86" s="48">
        <v>0</v>
      </c>
      <c r="BT86" s="48">
        <v>0</v>
      </c>
      <c r="BU86" s="48">
        <v>0</v>
      </c>
      <c r="BV86" s="48">
        <v>0</v>
      </c>
      <c r="BW86" s="48">
        <v>0</v>
      </c>
      <c r="BX86" s="48">
        <v>0</v>
      </c>
      <c r="BY86" s="48">
        <v>0</v>
      </c>
      <c r="BZ86" s="48">
        <v>0</v>
      </c>
      <c r="CA86" s="48">
        <v>0</v>
      </c>
      <c r="CB86" s="48">
        <v>0</v>
      </c>
      <c r="CC86" s="48">
        <v>0</v>
      </c>
      <c r="CD86" s="48">
        <v>0</v>
      </c>
      <c r="CE86" s="48">
        <v>0</v>
      </c>
      <c r="CF86" s="48">
        <v>0</v>
      </c>
      <c r="CG86" s="48">
        <v>0</v>
      </c>
      <c r="CH86" s="48">
        <v>0</v>
      </c>
      <c r="CI86" s="48">
        <v>1.7335586235310401E-7</v>
      </c>
      <c r="CJ86" s="48">
        <v>0</v>
      </c>
      <c r="CK86" s="48">
        <v>0</v>
      </c>
      <c r="CL86" s="48">
        <v>0</v>
      </c>
      <c r="CM86" s="48">
        <v>3.3925481484595644E-9</v>
      </c>
      <c r="CN86" s="48">
        <v>0</v>
      </c>
      <c r="CO86" s="48">
        <v>0</v>
      </c>
      <c r="CP86" s="48">
        <v>0</v>
      </c>
      <c r="CQ86" s="48">
        <v>0</v>
      </c>
      <c r="CR86" s="48">
        <v>5.3456024092867317E-7</v>
      </c>
      <c r="CS86" s="48">
        <v>0</v>
      </c>
      <c r="CT86" s="48">
        <v>0</v>
      </c>
      <c r="CU86" s="48">
        <v>1.4914983110539123E-2</v>
      </c>
      <c r="CV86" s="48">
        <v>0</v>
      </c>
      <c r="CW86" s="48">
        <v>0</v>
      </c>
      <c r="CX86" s="48">
        <v>0</v>
      </c>
      <c r="CY86" s="48">
        <v>0</v>
      </c>
      <c r="CZ86" s="48">
        <v>0</v>
      </c>
      <c r="DA86" s="48">
        <v>2.8507145498925705E-9</v>
      </c>
      <c r="DB86" s="48">
        <v>0</v>
      </c>
      <c r="DC86" s="48">
        <v>0</v>
      </c>
      <c r="DD86" s="48">
        <v>0</v>
      </c>
      <c r="DE86" s="48">
        <v>0</v>
      </c>
      <c r="DF86" s="48">
        <v>0</v>
      </c>
      <c r="DG86" s="48">
        <v>0</v>
      </c>
      <c r="DH86" s="48">
        <v>0</v>
      </c>
      <c r="DI86" s="48">
        <v>0</v>
      </c>
      <c r="DJ86" s="48">
        <v>1.111716462717966E-4</v>
      </c>
      <c r="DK86" s="48">
        <v>0</v>
      </c>
      <c r="DL86" s="48">
        <v>3.0918294954555619E-3</v>
      </c>
      <c r="DM86" s="48">
        <v>0</v>
      </c>
      <c r="DN86" s="48">
        <v>0</v>
      </c>
      <c r="DO86" s="48">
        <v>0</v>
      </c>
      <c r="DP86" s="48">
        <v>0</v>
      </c>
      <c r="DQ86" s="48">
        <v>0</v>
      </c>
      <c r="DR86" s="48">
        <v>2.9221710318933446E-3</v>
      </c>
      <c r="DS86" s="48">
        <v>0</v>
      </c>
      <c r="DT86" s="48">
        <v>0</v>
      </c>
      <c r="DU86" s="48">
        <v>0</v>
      </c>
      <c r="DV86" s="48">
        <v>0</v>
      </c>
      <c r="DW86" s="48">
        <v>0</v>
      </c>
      <c r="DX86" s="48">
        <v>0</v>
      </c>
      <c r="DY86" s="48">
        <v>9.1701945867301845E-9</v>
      </c>
      <c r="DZ86" s="48">
        <v>0</v>
      </c>
      <c r="EA86" s="48">
        <v>0</v>
      </c>
      <c r="EB86" s="48">
        <v>3.0841698067333317E-2</v>
      </c>
      <c r="EC86" s="48">
        <v>9.7211396818232742E-4</v>
      </c>
      <c r="ED86" s="48">
        <v>0</v>
      </c>
      <c r="EE86" s="48">
        <v>0</v>
      </c>
      <c r="EF86" s="48">
        <v>0</v>
      </c>
      <c r="EG86" s="48">
        <v>0</v>
      </c>
      <c r="EH86" s="48">
        <v>0</v>
      </c>
      <c r="EI86" s="48">
        <v>0</v>
      </c>
      <c r="EJ86" s="48">
        <v>0</v>
      </c>
      <c r="EK86" s="48">
        <v>0</v>
      </c>
      <c r="EL86" s="48">
        <v>3.7931075242534175E-2</v>
      </c>
      <c r="EM86" s="48">
        <v>2.7215448140693026E-2</v>
      </c>
      <c r="EN86" s="48">
        <v>4.3537355712298338E-2</v>
      </c>
      <c r="EO86" s="48">
        <v>0</v>
      </c>
      <c r="EP86" s="48">
        <v>2.6561579725760918E-6</v>
      </c>
      <c r="EQ86" s="48">
        <v>0</v>
      </c>
      <c r="ER86" s="48">
        <v>7.7056808698183581E-4</v>
      </c>
      <c r="ES86" s="48">
        <v>1.3405512644476861E-5</v>
      </c>
      <c r="ET86" s="48">
        <v>0</v>
      </c>
      <c r="EU86" s="48">
        <v>0</v>
      </c>
      <c r="EV86" s="48">
        <v>0</v>
      </c>
      <c r="EW86" s="48">
        <v>0</v>
      </c>
      <c r="EX86" s="48">
        <v>2.4070443044173776E-2</v>
      </c>
      <c r="EY86" s="48">
        <v>0</v>
      </c>
      <c r="EZ86" s="48">
        <v>0</v>
      </c>
      <c r="FA86" s="48">
        <v>8.6155225996302418E-2</v>
      </c>
      <c r="FB86" s="48">
        <v>2.3620015328132877E-3</v>
      </c>
      <c r="FC86" s="48">
        <v>1555.6759384676182</v>
      </c>
      <c r="FD86" s="48">
        <v>0</v>
      </c>
      <c r="FE86" s="48">
        <v>0</v>
      </c>
      <c r="FF86" s="48">
        <v>0</v>
      </c>
      <c r="FG86" s="48">
        <v>0</v>
      </c>
      <c r="FH86" s="48">
        <v>0</v>
      </c>
      <c r="FI86" s="48">
        <v>1.6748030835075608E-5</v>
      </c>
      <c r="FJ86" s="48">
        <v>0</v>
      </c>
      <c r="FK86" s="48">
        <v>0</v>
      </c>
      <c r="FL86" s="48">
        <v>0</v>
      </c>
      <c r="FM86" s="48">
        <v>1.2822352394228284E-3</v>
      </c>
      <c r="FN86" s="48">
        <v>0</v>
      </c>
      <c r="FO86" s="48">
        <v>0</v>
      </c>
      <c r="FP86" s="48">
        <v>4.0667774135129973E-2</v>
      </c>
      <c r="FQ86" s="48">
        <v>4.4076889497223796E-3</v>
      </c>
      <c r="FR86" s="48">
        <v>0</v>
      </c>
      <c r="FS86" s="48">
        <v>0</v>
      </c>
      <c r="FT86" s="48">
        <v>0</v>
      </c>
      <c r="FU86" s="48">
        <v>0</v>
      </c>
      <c r="FV86" s="48">
        <v>2.77421594542347E-3</v>
      </c>
      <c r="FW86" s="48">
        <v>0</v>
      </c>
      <c r="FX86" s="48">
        <v>0</v>
      </c>
      <c r="FY86" s="48">
        <v>0</v>
      </c>
      <c r="FZ86" s="48">
        <v>0</v>
      </c>
      <c r="GA86" s="48">
        <v>0</v>
      </c>
      <c r="GB86" s="48">
        <v>0</v>
      </c>
      <c r="GC86" s="48">
        <v>0</v>
      </c>
      <c r="GD86" s="48">
        <v>0</v>
      </c>
      <c r="GE86" s="48">
        <v>0</v>
      </c>
      <c r="GF86" s="48">
        <v>0</v>
      </c>
      <c r="GG86" s="48">
        <v>0</v>
      </c>
      <c r="GH86" s="48">
        <v>0</v>
      </c>
      <c r="GI86" s="48">
        <v>0</v>
      </c>
      <c r="GJ86" s="48">
        <v>0</v>
      </c>
      <c r="GK86" s="48">
        <v>0</v>
      </c>
      <c r="GL86" s="48">
        <v>0</v>
      </c>
      <c r="GM86" s="48">
        <v>0</v>
      </c>
      <c r="GN86" s="48">
        <v>0</v>
      </c>
      <c r="GO86" s="48">
        <v>0</v>
      </c>
      <c r="GP86" s="48">
        <v>0</v>
      </c>
      <c r="GQ86" s="48">
        <v>0</v>
      </c>
      <c r="GR86" s="48">
        <v>0</v>
      </c>
      <c r="GS86" s="48">
        <v>0</v>
      </c>
      <c r="GT86" s="48">
        <v>0</v>
      </c>
      <c r="GU86" s="48">
        <v>0</v>
      </c>
      <c r="GV86" s="48">
        <v>0</v>
      </c>
      <c r="GW86" s="48">
        <v>0</v>
      </c>
      <c r="GX86" s="48">
        <v>0</v>
      </c>
      <c r="GY86" s="48">
        <v>0</v>
      </c>
      <c r="GZ86" s="48">
        <v>0</v>
      </c>
      <c r="HA86" s="48">
        <v>0</v>
      </c>
      <c r="HB86" s="48">
        <v>0</v>
      </c>
      <c r="HC86" s="48">
        <v>0</v>
      </c>
      <c r="HD86" s="48">
        <v>0</v>
      </c>
      <c r="HE86" s="48">
        <v>0</v>
      </c>
      <c r="HF86" s="48">
        <v>0</v>
      </c>
      <c r="HG86" s="48">
        <v>0</v>
      </c>
      <c r="HH86" s="48">
        <v>0</v>
      </c>
      <c r="HI86" s="48">
        <v>0</v>
      </c>
      <c r="HJ86" s="48">
        <v>0</v>
      </c>
      <c r="HK86" s="48">
        <v>0</v>
      </c>
      <c r="HL86" s="48">
        <v>0</v>
      </c>
      <c r="HM86" s="48">
        <v>0</v>
      </c>
      <c r="HN86" s="48">
        <v>0</v>
      </c>
      <c r="HO86" s="48">
        <v>0</v>
      </c>
      <c r="HP86" s="48">
        <v>0</v>
      </c>
      <c r="HQ86" s="48">
        <v>0</v>
      </c>
      <c r="HR86" s="48">
        <v>0</v>
      </c>
      <c r="HS86" s="48">
        <v>0</v>
      </c>
      <c r="HT86" s="48">
        <v>0</v>
      </c>
      <c r="HU86" s="48">
        <v>0</v>
      </c>
      <c r="HV86" s="48">
        <v>0</v>
      </c>
      <c r="HW86" s="48">
        <v>0</v>
      </c>
      <c r="HX86" s="48">
        <v>0</v>
      </c>
      <c r="HY86" s="48">
        <v>0</v>
      </c>
      <c r="HZ86" s="48">
        <v>0</v>
      </c>
      <c r="IA86" s="48">
        <v>0</v>
      </c>
      <c r="IB86" s="48">
        <v>0</v>
      </c>
      <c r="IC86" s="48">
        <v>0</v>
      </c>
      <c r="ID86" s="48">
        <v>0</v>
      </c>
      <c r="IE86" s="48">
        <v>0</v>
      </c>
      <c r="IF86" s="48">
        <v>0</v>
      </c>
      <c r="IG86" s="48">
        <v>0</v>
      </c>
      <c r="IH86" s="48">
        <v>0</v>
      </c>
      <c r="II86" s="48">
        <v>0</v>
      </c>
      <c r="IJ86" s="48">
        <v>0</v>
      </c>
      <c r="IK86" s="48">
        <v>0</v>
      </c>
      <c r="IL86" s="48">
        <v>0</v>
      </c>
      <c r="IM86" s="48">
        <v>0</v>
      </c>
      <c r="IN86" s="48">
        <v>0</v>
      </c>
      <c r="IO86" s="48">
        <v>0</v>
      </c>
      <c r="IP86" s="23">
        <v>1555.9999999999943</v>
      </c>
      <c r="IQ86" s="25">
        <v>0</v>
      </c>
      <c r="IR86" s="25">
        <v>0</v>
      </c>
      <c r="IS86" s="26">
        <v>0</v>
      </c>
      <c r="IT86" s="26">
        <v>0</v>
      </c>
      <c r="IU86" s="26">
        <v>-107</v>
      </c>
      <c r="IV86" s="9">
        <v>1199</v>
      </c>
      <c r="IW86" s="38">
        <f t="shared" si="5"/>
        <v>2647.9999999999945</v>
      </c>
    </row>
    <row r="87" spans="1:257" ht="30" customHeight="1" x14ac:dyDescent="0.25">
      <c r="A87" s="112" t="b">
        <v>1</v>
      </c>
      <c r="B87" s="113" t="str">
        <f>IFERROR(VLOOKUP(C87,'Bridge matrix'!$D$3:$E$727,2,FALSE)='symmetric IOT 245 2012'!D87,"FALSCH")</f>
        <v>FALSCH</v>
      </c>
      <c r="C87" s="108">
        <v>81</v>
      </c>
      <c r="D87" s="49" t="s">
        <v>1400</v>
      </c>
      <c r="E87" s="48">
        <v>0</v>
      </c>
      <c r="F87" s="48">
        <v>0</v>
      </c>
      <c r="G87" s="48">
        <v>0</v>
      </c>
      <c r="H87" s="48">
        <v>0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48">
        <v>0</v>
      </c>
      <c r="AF87" s="48">
        <v>0</v>
      </c>
      <c r="AG87" s="48">
        <v>0</v>
      </c>
      <c r="AH87" s="48">
        <v>0</v>
      </c>
      <c r="AI87" s="48">
        <v>0</v>
      </c>
      <c r="AJ87" s="48">
        <v>0</v>
      </c>
      <c r="AK87" s="48">
        <v>0</v>
      </c>
      <c r="AL87" s="48">
        <v>0</v>
      </c>
      <c r="AM87" s="48">
        <v>0</v>
      </c>
      <c r="AN87" s="48">
        <v>0</v>
      </c>
      <c r="AO87" s="48">
        <v>0</v>
      </c>
      <c r="AP87" s="48">
        <v>0</v>
      </c>
      <c r="AQ87" s="48">
        <v>0</v>
      </c>
      <c r="AR87" s="48">
        <v>0</v>
      </c>
      <c r="AS87" s="48">
        <v>0</v>
      </c>
      <c r="AT87" s="48">
        <v>0</v>
      </c>
      <c r="AU87" s="48">
        <v>0</v>
      </c>
      <c r="AV87" s="48">
        <v>0</v>
      </c>
      <c r="AW87" s="48">
        <v>0</v>
      </c>
      <c r="AX87" s="48">
        <v>0</v>
      </c>
      <c r="AY87" s="48">
        <v>0</v>
      </c>
      <c r="AZ87" s="48">
        <v>0</v>
      </c>
      <c r="BA87" s="48">
        <v>0</v>
      </c>
      <c r="BB87" s="48">
        <v>0</v>
      </c>
      <c r="BC87" s="48">
        <v>0</v>
      </c>
      <c r="BD87" s="48">
        <v>0</v>
      </c>
      <c r="BE87" s="48">
        <v>0</v>
      </c>
      <c r="BF87" s="48">
        <v>0</v>
      </c>
      <c r="BG87" s="48">
        <v>0</v>
      </c>
      <c r="BH87" s="48">
        <v>0</v>
      </c>
      <c r="BI87" s="48">
        <v>0</v>
      </c>
      <c r="BJ87" s="48">
        <v>0</v>
      </c>
      <c r="BK87" s="48">
        <v>0</v>
      </c>
      <c r="BL87" s="48">
        <v>0</v>
      </c>
      <c r="BM87" s="48">
        <v>0</v>
      </c>
      <c r="BN87" s="48">
        <v>0</v>
      </c>
      <c r="BO87" s="48">
        <v>0</v>
      </c>
      <c r="BP87" s="48">
        <v>0</v>
      </c>
      <c r="BQ87" s="48">
        <v>0</v>
      </c>
      <c r="BR87" s="48">
        <v>0</v>
      </c>
      <c r="BS87" s="48">
        <v>0</v>
      </c>
      <c r="BT87" s="48">
        <v>0</v>
      </c>
      <c r="BU87" s="48">
        <v>0</v>
      </c>
      <c r="BV87" s="48">
        <v>0</v>
      </c>
      <c r="BW87" s="48">
        <v>0</v>
      </c>
      <c r="BX87" s="48">
        <v>0</v>
      </c>
      <c r="BY87" s="48">
        <v>0</v>
      </c>
      <c r="BZ87" s="48">
        <v>0</v>
      </c>
      <c r="CA87" s="48">
        <v>0</v>
      </c>
      <c r="CB87" s="48">
        <v>0</v>
      </c>
      <c r="CC87" s="48">
        <v>0</v>
      </c>
      <c r="CD87" s="48">
        <v>0</v>
      </c>
      <c r="CE87" s="48">
        <v>0</v>
      </c>
      <c r="CF87" s="48">
        <v>0</v>
      </c>
      <c r="CG87" s="48">
        <v>0</v>
      </c>
      <c r="CH87" s="48">
        <v>0</v>
      </c>
      <c r="CI87" s="48">
        <v>2.531434011475352E-13</v>
      </c>
      <c r="CJ87" s="48">
        <v>0</v>
      </c>
      <c r="CK87" s="48">
        <v>0</v>
      </c>
      <c r="CL87" s="48">
        <v>0</v>
      </c>
      <c r="CM87" s="48">
        <v>4.9539782802877114E-15</v>
      </c>
      <c r="CN87" s="48">
        <v>0</v>
      </c>
      <c r="CO87" s="48">
        <v>0</v>
      </c>
      <c r="CP87" s="48">
        <v>0</v>
      </c>
      <c r="CQ87" s="48">
        <v>0</v>
      </c>
      <c r="CR87" s="48">
        <v>7.8059314331868166E-13</v>
      </c>
      <c r="CS87" s="48">
        <v>0</v>
      </c>
      <c r="CT87" s="48">
        <v>0</v>
      </c>
      <c r="CU87" s="48">
        <v>2.1779647376270591E-8</v>
      </c>
      <c r="CV87" s="48">
        <v>0</v>
      </c>
      <c r="CW87" s="48">
        <v>0</v>
      </c>
      <c r="CX87" s="48">
        <v>0</v>
      </c>
      <c r="CY87" s="48">
        <v>0</v>
      </c>
      <c r="CZ87" s="48">
        <v>0</v>
      </c>
      <c r="DA87" s="48">
        <v>4.1627641953675538E-15</v>
      </c>
      <c r="DB87" s="48">
        <v>0</v>
      </c>
      <c r="DC87" s="48">
        <v>0</v>
      </c>
      <c r="DD87" s="48">
        <v>0</v>
      </c>
      <c r="DE87" s="48">
        <v>0</v>
      </c>
      <c r="DF87" s="48">
        <v>0</v>
      </c>
      <c r="DG87" s="48">
        <v>0</v>
      </c>
      <c r="DH87" s="48">
        <v>0</v>
      </c>
      <c r="DI87" s="48">
        <v>0</v>
      </c>
      <c r="DJ87" s="48">
        <v>1.6233871913192504E-10</v>
      </c>
      <c r="DK87" s="48">
        <v>0</v>
      </c>
      <c r="DL87" s="48">
        <v>4.51485299443565E-9</v>
      </c>
      <c r="DM87" s="48">
        <v>0</v>
      </c>
      <c r="DN87" s="48">
        <v>0</v>
      </c>
      <c r="DO87" s="48">
        <v>0</v>
      </c>
      <c r="DP87" s="48">
        <v>0</v>
      </c>
      <c r="DQ87" s="48">
        <v>0</v>
      </c>
      <c r="DR87" s="48">
        <v>0</v>
      </c>
      <c r="DS87" s="48">
        <v>0</v>
      </c>
      <c r="DT87" s="48">
        <v>0</v>
      </c>
      <c r="DU87" s="48">
        <v>0</v>
      </c>
      <c r="DV87" s="48">
        <v>0</v>
      </c>
      <c r="DW87" s="48">
        <v>0</v>
      </c>
      <c r="DX87" s="48">
        <v>0</v>
      </c>
      <c r="DY87" s="48">
        <v>0</v>
      </c>
      <c r="DZ87" s="48">
        <v>0</v>
      </c>
      <c r="EA87" s="48">
        <v>0</v>
      </c>
      <c r="EB87" s="48">
        <v>0</v>
      </c>
      <c r="EC87" s="48">
        <v>0</v>
      </c>
      <c r="ED87" s="48">
        <v>0</v>
      </c>
      <c r="EE87" s="48">
        <v>0</v>
      </c>
      <c r="EF87" s="48">
        <v>0</v>
      </c>
      <c r="EG87" s="48">
        <v>0</v>
      </c>
      <c r="EH87" s="48">
        <v>0</v>
      </c>
      <c r="EI87" s="48">
        <v>0</v>
      </c>
      <c r="EJ87" s="48">
        <v>0</v>
      </c>
      <c r="EK87" s="48">
        <v>0</v>
      </c>
      <c r="EL87" s="48">
        <v>3.6895903410859506E-5</v>
      </c>
      <c r="EM87" s="48">
        <v>3.9741437137306061E-8</v>
      </c>
      <c r="EN87" s="48">
        <v>6.357555004129297E-8</v>
      </c>
      <c r="EO87" s="48">
        <v>0</v>
      </c>
      <c r="EP87" s="48">
        <v>3.878662388662012E-12</v>
      </c>
      <c r="EQ87" s="48">
        <v>0</v>
      </c>
      <c r="ER87" s="48">
        <v>0</v>
      </c>
      <c r="ES87" s="48">
        <v>0</v>
      </c>
      <c r="ET87" s="48">
        <v>28.097010320131368</v>
      </c>
      <c r="EU87" s="48">
        <v>0</v>
      </c>
      <c r="EV87" s="48">
        <v>0</v>
      </c>
      <c r="EW87" s="48">
        <v>0</v>
      </c>
      <c r="EX87" s="48">
        <v>45268.993640829736</v>
      </c>
      <c r="EY87" s="48">
        <v>450.66995082725776</v>
      </c>
      <c r="EZ87" s="48">
        <v>699.95053265039815</v>
      </c>
      <c r="FA87" s="48">
        <v>0</v>
      </c>
      <c r="FB87" s="48">
        <v>0</v>
      </c>
      <c r="FC87" s="48">
        <v>0</v>
      </c>
      <c r="FD87" s="48">
        <v>2.3134375632403932E-4</v>
      </c>
      <c r="FE87" s="48">
        <v>0</v>
      </c>
      <c r="FF87" s="48">
        <v>0</v>
      </c>
      <c r="FG87" s="48">
        <v>5.9379417170617178E-5</v>
      </c>
      <c r="FH87" s="48">
        <v>4.2564708956066963E-5</v>
      </c>
      <c r="FI87" s="48">
        <v>6.5919909940743743E-5</v>
      </c>
      <c r="FJ87" s="48">
        <v>0</v>
      </c>
      <c r="FK87" s="48">
        <v>0</v>
      </c>
      <c r="FL87" s="48">
        <v>0</v>
      </c>
      <c r="FM87" s="48">
        <v>0</v>
      </c>
      <c r="FN87" s="48">
        <v>0</v>
      </c>
      <c r="FO87" s="48">
        <v>0</v>
      </c>
      <c r="FP87" s="48">
        <v>0</v>
      </c>
      <c r="FQ87" s="48">
        <v>0.39436491991576733</v>
      </c>
      <c r="FR87" s="48">
        <v>1.1352231595788344E-5</v>
      </c>
      <c r="FS87" s="48">
        <v>0</v>
      </c>
      <c r="FT87" s="48">
        <v>3.0921261346611356E-6</v>
      </c>
      <c r="FU87" s="48">
        <v>0</v>
      </c>
      <c r="FV87" s="48">
        <v>0</v>
      </c>
      <c r="FW87" s="48">
        <v>0</v>
      </c>
      <c r="FX87" s="48">
        <v>0</v>
      </c>
      <c r="FY87" s="48">
        <v>0</v>
      </c>
      <c r="FZ87" s="48">
        <v>0</v>
      </c>
      <c r="GA87" s="48">
        <v>0</v>
      </c>
      <c r="GB87" s="48">
        <v>112474.89404561874</v>
      </c>
      <c r="GC87" s="48">
        <v>0</v>
      </c>
      <c r="GD87" s="48">
        <v>0</v>
      </c>
      <c r="GE87" s="48">
        <v>0</v>
      </c>
      <c r="GF87" s="48">
        <v>0</v>
      </c>
      <c r="GG87" s="48">
        <v>0</v>
      </c>
      <c r="GH87" s="48">
        <v>0</v>
      </c>
      <c r="GI87" s="48">
        <v>0</v>
      </c>
      <c r="GJ87" s="48">
        <v>0</v>
      </c>
      <c r="GK87" s="48">
        <v>0</v>
      </c>
      <c r="GL87" s="48">
        <v>0</v>
      </c>
      <c r="GM87" s="48">
        <v>0</v>
      </c>
      <c r="GN87" s="48">
        <v>0</v>
      </c>
      <c r="GO87" s="48">
        <v>0</v>
      </c>
      <c r="GP87" s="48">
        <v>0</v>
      </c>
      <c r="GQ87" s="48">
        <v>0</v>
      </c>
      <c r="GR87" s="48">
        <v>0</v>
      </c>
      <c r="GS87" s="48">
        <v>0</v>
      </c>
      <c r="GT87" s="48">
        <v>2.8229616890999922E-8</v>
      </c>
      <c r="GU87" s="48">
        <v>0</v>
      </c>
      <c r="GV87" s="48">
        <v>0</v>
      </c>
      <c r="GW87" s="48">
        <v>0</v>
      </c>
      <c r="GX87" s="48">
        <v>4.1272395147139489E-6</v>
      </c>
      <c r="GY87" s="48">
        <v>0</v>
      </c>
      <c r="GZ87" s="48">
        <v>0</v>
      </c>
      <c r="HA87" s="48">
        <v>0</v>
      </c>
      <c r="HB87" s="48">
        <v>0</v>
      </c>
      <c r="HC87" s="48">
        <v>0</v>
      </c>
      <c r="HD87" s="48">
        <v>0</v>
      </c>
      <c r="HE87" s="48">
        <v>0</v>
      </c>
      <c r="HF87" s="48">
        <v>0</v>
      </c>
      <c r="HG87" s="48">
        <v>0</v>
      </c>
      <c r="HH87" s="48">
        <v>0</v>
      </c>
      <c r="HI87" s="48">
        <v>0</v>
      </c>
      <c r="HJ87" s="48">
        <v>0</v>
      </c>
      <c r="HK87" s="48">
        <v>0</v>
      </c>
      <c r="HL87" s="48">
        <v>0</v>
      </c>
      <c r="HM87" s="48">
        <v>0</v>
      </c>
      <c r="HN87" s="48">
        <v>0</v>
      </c>
      <c r="HO87" s="48">
        <v>0</v>
      </c>
      <c r="HP87" s="48">
        <v>0</v>
      </c>
      <c r="HQ87" s="48">
        <v>0</v>
      </c>
      <c r="HR87" s="48">
        <v>0</v>
      </c>
      <c r="HS87" s="48">
        <v>0</v>
      </c>
      <c r="HT87" s="48">
        <v>0</v>
      </c>
      <c r="HU87" s="48">
        <v>0</v>
      </c>
      <c r="HV87" s="48">
        <v>0</v>
      </c>
      <c r="HW87" s="48">
        <v>0</v>
      </c>
      <c r="HX87" s="48">
        <v>0</v>
      </c>
      <c r="HY87" s="48">
        <v>0</v>
      </c>
      <c r="HZ87" s="48">
        <v>0</v>
      </c>
      <c r="IA87" s="48">
        <v>0</v>
      </c>
      <c r="IB87" s="48">
        <v>0</v>
      </c>
      <c r="IC87" s="48">
        <v>0</v>
      </c>
      <c r="ID87" s="48">
        <v>0</v>
      </c>
      <c r="IE87" s="48">
        <v>0</v>
      </c>
      <c r="IF87" s="48">
        <v>0</v>
      </c>
      <c r="IG87" s="48">
        <v>0</v>
      </c>
      <c r="IH87" s="48">
        <v>0</v>
      </c>
      <c r="II87" s="48">
        <v>0</v>
      </c>
      <c r="IJ87" s="48">
        <v>0</v>
      </c>
      <c r="IK87" s="48">
        <v>0</v>
      </c>
      <c r="IL87" s="48">
        <v>0</v>
      </c>
      <c r="IM87" s="48">
        <v>0</v>
      </c>
      <c r="IN87" s="48">
        <v>0</v>
      </c>
      <c r="IO87" s="48">
        <v>0</v>
      </c>
      <c r="IP87" s="23">
        <v>158922.99999999951</v>
      </c>
      <c r="IQ87" s="25">
        <v>0</v>
      </c>
      <c r="IR87" s="25">
        <v>0</v>
      </c>
      <c r="IS87" s="26">
        <v>0</v>
      </c>
      <c r="IT87" s="26">
        <v>0</v>
      </c>
      <c r="IU87" s="26">
        <v>-518</v>
      </c>
      <c r="IV87" s="9">
        <v>209</v>
      </c>
      <c r="IW87" s="38">
        <f t="shared" si="5"/>
        <v>158613.99999999951</v>
      </c>
    </row>
    <row r="88" spans="1:257" ht="30" customHeight="1" x14ac:dyDescent="0.25">
      <c r="A88" s="112" t="b">
        <v>0</v>
      </c>
      <c r="B88" s="113" t="str">
        <f>IFERROR(VLOOKUP(C88,'Bridge matrix'!$D$3:$E$727,2,FALSE)='symmetric IOT 245 2012'!D88,"FALSCH")</f>
        <v>FALSCH</v>
      </c>
      <c r="C88" s="108">
        <v>82</v>
      </c>
      <c r="D88" s="49" t="s">
        <v>1401</v>
      </c>
      <c r="E88" s="48">
        <v>0</v>
      </c>
      <c r="F88" s="48">
        <v>0</v>
      </c>
      <c r="G88" s="48">
        <v>0</v>
      </c>
      <c r="H88" s="48">
        <v>0</v>
      </c>
      <c r="I88" s="48">
        <v>0</v>
      </c>
      <c r="J88" s="48">
        <v>0</v>
      </c>
      <c r="K88" s="48">
        <v>0</v>
      </c>
      <c r="L88" s="48">
        <v>0</v>
      </c>
      <c r="M88" s="48">
        <v>0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48">
        <v>0</v>
      </c>
      <c r="AF88" s="48">
        <v>0</v>
      </c>
      <c r="AG88" s="48">
        <v>0</v>
      </c>
      <c r="AH88" s="48">
        <v>0</v>
      </c>
      <c r="AI88" s="48">
        <v>0</v>
      </c>
      <c r="AJ88" s="48">
        <v>0</v>
      </c>
      <c r="AK88" s="48">
        <v>0</v>
      </c>
      <c r="AL88" s="48">
        <v>0</v>
      </c>
      <c r="AM88" s="48">
        <v>0</v>
      </c>
      <c r="AN88" s="48">
        <v>0</v>
      </c>
      <c r="AO88" s="48">
        <v>0</v>
      </c>
      <c r="AP88" s="48">
        <v>0</v>
      </c>
      <c r="AQ88" s="48">
        <v>0</v>
      </c>
      <c r="AR88" s="48">
        <v>0</v>
      </c>
      <c r="AS88" s="48">
        <v>0</v>
      </c>
      <c r="AT88" s="48">
        <v>0</v>
      </c>
      <c r="AU88" s="48">
        <v>0</v>
      </c>
      <c r="AV88" s="48">
        <v>0</v>
      </c>
      <c r="AW88" s="48">
        <v>0</v>
      </c>
      <c r="AX88" s="48">
        <v>0</v>
      </c>
      <c r="AY88" s="48">
        <v>0</v>
      </c>
      <c r="AZ88" s="48">
        <v>0</v>
      </c>
      <c r="BA88" s="48">
        <v>0</v>
      </c>
      <c r="BB88" s="48">
        <v>0</v>
      </c>
      <c r="BC88" s="48">
        <v>0</v>
      </c>
      <c r="BD88" s="48">
        <v>0</v>
      </c>
      <c r="BE88" s="48">
        <v>0</v>
      </c>
      <c r="BF88" s="48">
        <v>0</v>
      </c>
      <c r="BG88" s="48">
        <v>0</v>
      </c>
      <c r="BH88" s="48">
        <v>0</v>
      </c>
      <c r="BI88" s="48">
        <v>0</v>
      </c>
      <c r="BJ88" s="48">
        <v>0</v>
      </c>
      <c r="BK88" s="48">
        <v>0</v>
      </c>
      <c r="BL88" s="48">
        <v>0</v>
      </c>
      <c r="BM88" s="48">
        <v>0</v>
      </c>
      <c r="BN88" s="48">
        <v>0</v>
      </c>
      <c r="BO88" s="48">
        <v>0</v>
      </c>
      <c r="BP88" s="48">
        <v>0</v>
      </c>
      <c r="BQ88" s="48">
        <v>0</v>
      </c>
      <c r="BR88" s="48">
        <v>0</v>
      </c>
      <c r="BS88" s="48">
        <v>0</v>
      </c>
      <c r="BT88" s="48">
        <v>0</v>
      </c>
      <c r="BU88" s="48">
        <v>0</v>
      </c>
      <c r="BV88" s="48">
        <v>0</v>
      </c>
      <c r="BW88" s="48">
        <v>0</v>
      </c>
      <c r="BX88" s="48">
        <v>0</v>
      </c>
      <c r="BY88" s="48">
        <v>0</v>
      </c>
      <c r="BZ88" s="48">
        <v>0</v>
      </c>
      <c r="CA88" s="48">
        <v>0</v>
      </c>
      <c r="CB88" s="48">
        <v>0</v>
      </c>
      <c r="CC88" s="48">
        <v>0</v>
      </c>
      <c r="CD88" s="48">
        <v>0</v>
      </c>
      <c r="CE88" s="48">
        <v>0</v>
      </c>
      <c r="CF88" s="48">
        <v>0</v>
      </c>
      <c r="CG88" s="48">
        <v>0</v>
      </c>
      <c r="CH88" s="48">
        <v>0</v>
      </c>
      <c r="CI88" s="48">
        <v>0</v>
      </c>
      <c r="CJ88" s="48">
        <v>0</v>
      </c>
      <c r="CK88" s="48">
        <v>0</v>
      </c>
      <c r="CL88" s="48">
        <v>0</v>
      </c>
      <c r="CM88" s="48">
        <v>0</v>
      </c>
      <c r="CN88" s="48">
        <v>0</v>
      </c>
      <c r="CO88" s="48">
        <v>0</v>
      </c>
      <c r="CP88" s="48">
        <v>0</v>
      </c>
      <c r="CQ88" s="48">
        <v>0</v>
      </c>
      <c r="CR88" s="48">
        <v>0</v>
      </c>
      <c r="CS88" s="48">
        <v>0</v>
      </c>
      <c r="CT88" s="48">
        <v>0</v>
      </c>
      <c r="CU88" s="48">
        <v>0</v>
      </c>
      <c r="CV88" s="48">
        <v>0</v>
      </c>
      <c r="CW88" s="48">
        <v>0</v>
      </c>
      <c r="CX88" s="48">
        <v>0</v>
      </c>
      <c r="CY88" s="48">
        <v>0</v>
      </c>
      <c r="CZ88" s="48">
        <v>0</v>
      </c>
      <c r="DA88" s="48">
        <v>0</v>
      </c>
      <c r="DB88" s="48">
        <v>0</v>
      </c>
      <c r="DC88" s="48">
        <v>0</v>
      </c>
      <c r="DD88" s="48">
        <v>0</v>
      </c>
      <c r="DE88" s="48">
        <v>0</v>
      </c>
      <c r="DF88" s="48">
        <v>0</v>
      </c>
      <c r="DG88" s="48">
        <v>0</v>
      </c>
      <c r="DH88" s="48">
        <v>0</v>
      </c>
      <c r="DI88" s="48">
        <v>0</v>
      </c>
      <c r="DJ88" s="48">
        <v>0</v>
      </c>
      <c r="DK88" s="48">
        <v>0</v>
      </c>
      <c r="DL88" s="48">
        <v>0</v>
      </c>
      <c r="DM88" s="48">
        <v>0</v>
      </c>
      <c r="DN88" s="48">
        <v>0</v>
      </c>
      <c r="DO88" s="48">
        <v>0</v>
      </c>
      <c r="DP88" s="48">
        <v>0</v>
      </c>
      <c r="DQ88" s="48">
        <v>0</v>
      </c>
      <c r="DR88" s="48">
        <v>0</v>
      </c>
      <c r="DS88" s="48">
        <v>0</v>
      </c>
      <c r="DT88" s="48">
        <v>0</v>
      </c>
      <c r="DU88" s="48">
        <v>0</v>
      </c>
      <c r="DV88" s="48">
        <v>0</v>
      </c>
      <c r="DW88" s="48">
        <v>0</v>
      </c>
      <c r="DX88" s="48">
        <v>0</v>
      </c>
      <c r="DY88" s="48">
        <v>0</v>
      </c>
      <c r="DZ88" s="48">
        <v>0</v>
      </c>
      <c r="EA88" s="48">
        <v>0</v>
      </c>
      <c r="EB88" s="48">
        <v>0</v>
      </c>
      <c r="EC88" s="48">
        <v>0</v>
      </c>
      <c r="ED88" s="48">
        <v>0</v>
      </c>
      <c r="EE88" s="48">
        <v>0</v>
      </c>
      <c r="EF88" s="48">
        <v>0</v>
      </c>
      <c r="EG88" s="48">
        <v>0</v>
      </c>
      <c r="EH88" s="48">
        <v>0</v>
      </c>
      <c r="EI88" s="48">
        <v>0</v>
      </c>
      <c r="EJ88" s="48">
        <v>0</v>
      </c>
      <c r="EK88" s="48">
        <v>0</v>
      </c>
      <c r="EL88" s="48">
        <v>0</v>
      </c>
      <c r="EM88" s="48">
        <v>0</v>
      </c>
      <c r="EN88" s="48">
        <v>0</v>
      </c>
      <c r="EO88" s="48">
        <v>0</v>
      </c>
      <c r="EP88" s="48">
        <v>0</v>
      </c>
      <c r="EQ88" s="48">
        <v>0</v>
      </c>
      <c r="ER88" s="48">
        <v>0</v>
      </c>
      <c r="ES88" s="48">
        <v>0</v>
      </c>
      <c r="ET88" s="48">
        <v>0</v>
      </c>
      <c r="EU88" s="48">
        <v>0</v>
      </c>
      <c r="EV88" s="48">
        <v>0</v>
      </c>
      <c r="EW88" s="48">
        <v>0</v>
      </c>
      <c r="EX88" s="48">
        <v>7011.5507461923507</v>
      </c>
      <c r="EY88" s="48">
        <v>0.63036882296726682</v>
      </c>
      <c r="EZ88" s="48">
        <v>0</v>
      </c>
      <c r="FA88" s="48">
        <v>0</v>
      </c>
      <c r="FB88" s="48">
        <v>0</v>
      </c>
      <c r="FC88" s="48">
        <v>0</v>
      </c>
      <c r="FD88" s="48">
        <v>0</v>
      </c>
      <c r="FE88" s="48">
        <v>0</v>
      </c>
      <c r="FF88" s="48">
        <v>0</v>
      </c>
      <c r="FG88" s="48">
        <v>0</v>
      </c>
      <c r="FH88" s="48">
        <v>0</v>
      </c>
      <c r="FI88" s="48">
        <v>0</v>
      </c>
      <c r="FJ88" s="48">
        <v>0</v>
      </c>
      <c r="FK88" s="48">
        <v>0</v>
      </c>
      <c r="FL88" s="48">
        <v>0</v>
      </c>
      <c r="FM88" s="48">
        <v>0</v>
      </c>
      <c r="FN88" s="48">
        <v>0</v>
      </c>
      <c r="FO88" s="48">
        <v>0</v>
      </c>
      <c r="FP88" s="48">
        <v>0</v>
      </c>
      <c r="FQ88" s="48">
        <v>6.0888981380547672E-2</v>
      </c>
      <c r="FR88" s="48">
        <v>0</v>
      </c>
      <c r="FS88" s="48">
        <v>0</v>
      </c>
      <c r="FT88" s="48">
        <v>0</v>
      </c>
      <c r="FU88" s="48">
        <v>0</v>
      </c>
      <c r="FV88" s="48">
        <v>0</v>
      </c>
      <c r="FW88" s="48">
        <v>0</v>
      </c>
      <c r="FX88" s="48">
        <v>0</v>
      </c>
      <c r="FY88" s="48">
        <v>0</v>
      </c>
      <c r="FZ88" s="48">
        <v>0</v>
      </c>
      <c r="GA88" s="48">
        <v>0</v>
      </c>
      <c r="GB88" s="48">
        <v>6024.7579960032617</v>
      </c>
      <c r="GC88" s="48">
        <v>0</v>
      </c>
      <c r="GD88" s="48">
        <v>0</v>
      </c>
      <c r="GE88" s="48">
        <v>0</v>
      </c>
      <c r="GF88" s="48">
        <v>0</v>
      </c>
      <c r="GG88" s="48">
        <v>0</v>
      </c>
      <c r="GH88" s="48">
        <v>0</v>
      </c>
      <c r="GI88" s="48">
        <v>0</v>
      </c>
      <c r="GJ88" s="48">
        <v>0</v>
      </c>
      <c r="GK88" s="48">
        <v>0</v>
      </c>
      <c r="GL88" s="48">
        <v>0</v>
      </c>
      <c r="GM88" s="48">
        <v>0</v>
      </c>
      <c r="GN88" s="48">
        <v>0</v>
      </c>
      <c r="GO88" s="48">
        <v>0</v>
      </c>
      <c r="GP88" s="48">
        <v>0</v>
      </c>
      <c r="GQ88" s="48">
        <v>0</v>
      </c>
      <c r="GR88" s="48">
        <v>0</v>
      </c>
      <c r="GS88" s="48">
        <v>0</v>
      </c>
      <c r="GT88" s="48">
        <v>0</v>
      </c>
      <c r="GU88" s="48">
        <v>0</v>
      </c>
      <c r="GV88" s="48">
        <v>0</v>
      </c>
      <c r="GW88" s="48">
        <v>0</v>
      </c>
      <c r="GX88" s="48">
        <v>0</v>
      </c>
      <c r="GY88" s="48">
        <v>0</v>
      </c>
      <c r="GZ88" s="48">
        <v>0</v>
      </c>
      <c r="HA88" s="48">
        <v>0</v>
      </c>
      <c r="HB88" s="48">
        <v>0</v>
      </c>
      <c r="HC88" s="48">
        <v>0</v>
      </c>
      <c r="HD88" s="48">
        <v>0</v>
      </c>
      <c r="HE88" s="48">
        <v>0</v>
      </c>
      <c r="HF88" s="48">
        <v>0</v>
      </c>
      <c r="HG88" s="48">
        <v>0</v>
      </c>
      <c r="HH88" s="48">
        <v>0</v>
      </c>
      <c r="HI88" s="48">
        <v>0</v>
      </c>
      <c r="HJ88" s="48">
        <v>0</v>
      </c>
      <c r="HK88" s="48">
        <v>0</v>
      </c>
      <c r="HL88" s="48">
        <v>0</v>
      </c>
      <c r="HM88" s="48">
        <v>0</v>
      </c>
      <c r="HN88" s="48">
        <v>0</v>
      </c>
      <c r="HO88" s="48">
        <v>0</v>
      </c>
      <c r="HP88" s="48">
        <v>0</v>
      </c>
      <c r="HQ88" s="48">
        <v>0</v>
      </c>
      <c r="HR88" s="48">
        <v>0</v>
      </c>
      <c r="HS88" s="48">
        <v>0</v>
      </c>
      <c r="HT88" s="48">
        <v>0</v>
      </c>
      <c r="HU88" s="48">
        <v>0</v>
      </c>
      <c r="HV88" s="48">
        <v>0</v>
      </c>
      <c r="HW88" s="48">
        <v>0</v>
      </c>
      <c r="HX88" s="48">
        <v>0</v>
      </c>
      <c r="HY88" s="48">
        <v>0</v>
      </c>
      <c r="HZ88" s="48">
        <v>0</v>
      </c>
      <c r="IA88" s="48">
        <v>0</v>
      </c>
      <c r="IB88" s="48">
        <v>0</v>
      </c>
      <c r="IC88" s="48">
        <v>0</v>
      </c>
      <c r="ID88" s="48">
        <v>0</v>
      </c>
      <c r="IE88" s="48">
        <v>0</v>
      </c>
      <c r="IF88" s="48">
        <v>0</v>
      </c>
      <c r="IG88" s="48">
        <v>0</v>
      </c>
      <c r="IH88" s="48">
        <v>0</v>
      </c>
      <c r="II88" s="48">
        <v>0</v>
      </c>
      <c r="IJ88" s="48">
        <v>0</v>
      </c>
      <c r="IK88" s="48">
        <v>0</v>
      </c>
      <c r="IL88" s="48">
        <v>0</v>
      </c>
      <c r="IM88" s="48">
        <v>0</v>
      </c>
      <c r="IN88" s="48">
        <v>0</v>
      </c>
      <c r="IO88" s="48">
        <v>0</v>
      </c>
      <c r="IP88" s="23">
        <v>13036.99999999996</v>
      </c>
      <c r="IQ88" s="25">
        <v>0</v>
      </c>
      <c r="IR88" s="25">
        <v>0</v>
      </c>
      <c r="IS88" s="26">
        <v>0</v>
      </c>
      <c r="IT88" s="26">
        <v>0</v>
      </c>
      <c r="IU88" s="26">
        <v>598</v>
      </c>
      <c r="IV88" s="9">
        <v>934</v>
      </c>
      <c r="IW88" s="38">
        <f t="shared" si="5"/>
        <v>14568.99999999996</v>
      </c>
    </row>
    <row r="89" spans="1:257" ht="30" customHeight="1" x14ac:dyDescent="0.25">
      <c r="A89" s="112" t="b">
        <v>0</v>
      </c>
      <c r="B89" s="113" t="b">
        <f>IFERROR(VLOOKUP(C89,'Bridge matrix'!$D$3:$E$727,2,FALSE)='symmetric IOT 245 2012'!D89,"FALSCH")</f>
        <v>1</v>
      </c>
      <c r="C89" s="108">
        <v>83</v>
      </c>
      <c r="D89" s="49" t="s">
        <v>1402</v>
      </c>
      <c r="E89" s="48">
        <v>0</v>
      </c>
      <c r="F89" s="48">
        <v>0</v>
      </c>
      <c r="G89" s="48">
        <v>0</v>
      </c>
      <c r="H89" s="48">
        <v>0</v>
      </c>
      <c r="I89" s="48">
        <v>0</v>
      </c>
      <c r="J89" s="48">
        <v>0</v>
      </c>
      <c r="K89" s="48">
        <v>0</v>
      </c>
      <c r="L89" s="48">
        <v>0</v>
      </c>
      <c r="M89" s="48">
        <v>0</v>
      </c>
      <c r="N89" s="48">
        <v>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48">
        <v>0</v>
      </c>
      <c r="AF89" s="48">
        <v>0</v>
      </c>
      <c r="AG89" s="48">
        <v>0</v>
      </c>
      <c r="AH89" s="48">
        <v>0</v>
      </c>
      <c r="AI89" s="48">
        <v>0</v>
      </c>
      <c r="AJ89" s="48">
        <v>0</v>
      </c>
      <c r="AK89" s="48">
        <v>0</v>
      </c>
      <c r="AL89" s="48">
        <v>0</v>
      </c>
      <c r="AM89" s="48">
        <v>0</v>
      </c>
      <c r="AN89" s="48">
        <v>0</v>
      </c>
      <c r="AO89" s="48">
        <v>0</v>
      </c>
      <c r="AP89" s="48">
        <v>0</v>
      </c>
      <c r="AQ89" s="48">
        <v>0</v>
      </c>
      <c r="AR89" s="48">
        <v>0</v>
      </c>
      <c r="AS89" s="48">
        <v>0</v>
      </c>
      <c r="AT89" s="48">
        <v>0</v>
      </c>
      <c r="AU89" s="48">
        <v>0</v>
      </c>
      <c r="AV89" s="48">
        <v>0</v>
      </c>
      <c r="AW89" s="48">
        <v>0</v>
      </c>
      <c r="AX89" s="48">
        <v>0</v>
      </c>
      <c r="AY89" s="48">
        <v>0</v>
      </c>
      <c r="AZ89" s="48">
        <v>0</v>
      </c>
      <c r="BA89" s="48">
        <v>0</v>
      </c>
      <c r="BB89" s="48">
        <v>0</v>
      </c>
      <c r="BC89" s="48">
        <v>0</v>
      </c>
      <c r="BD89" s="48">
        <v>0</v>
      </c>
      <c r="BE89" s="48">
        <v>0</v>
      </c>
      <c r="BF89" s="48">
        <v>0</v>
      </c>
      <c r="BG89" s="48">
        <v>0</v>
      </c>
      <c r="BH89" s="48">
        <v>0</v>
      </c>
      <c r="BI89" s="48">
        <v>0</v>
      </c>
      <c r="BJ89" s="48">
        <v>0</v>
      </c>
      <c r="BK89" s="48">
        <v>0</v>
      </c>
      <c r="BL89" s="48">
        <v>0</v>
      </c>
      <c r="BM89" s="48">
        <v>0</v>
      </c>
      <c r="BN89" s="48">
        <v>0</v>
      </c>
      <c r="BO89" s="48">
        <v>0</v>
      </c>
      <c r="BP89" s="48">
        <v>0</v>
      </c>
      <c r="BQ89" s="48">
        <v>0</v>
      </c>
      <c r="BR89" s="48">
        <v>0</v>
      </c>
      <c r="BS89" s="48">
        <v>0</v>
      </c>
      <c r="BT89" s="48">
        <v>0</v>
      </c>
      <c r="BU89" s="48">
        <v>0</v>
      </c>
      <c r="BV89" s="48">
        <v>0</v>
      </c>
      <c r="BW89" s="48">
        <v>0</v>
      </c>
      <c r="BX89" s="48">
        <v>0</v>
      </c>
      <c r="BY89" s="48">
        <v>0</v>
      </c>
      <c r="BZ89" s="48">
        <v>0</v>
      </c>
      <c r="CA89" s="48">
        <v>0</v>
      </c>
      <c r="CB89" s="48">
        <v>0</v>
      </c>
      <c r="CC89" s="48">
        <v>0</v>
      </c>
      <c r="CD89" s="48">
        <v>0</v>
      </c>
      <c r="CE89" s="48">
        <v>0</v>
      </c>
      <c r="CF89" s="48">
        <v>0</v>
      </c>
      <c r="CG89" s="48">
        <v>0</v>
      </c>
      <c r="CH89" s="48">
        <v>0</v>
      </c>
      <c r="CI89" s="48">
        <v>14650.473922848905</v>
      </c>
      <c r="CJ89" s="48">
        <v>567.62807010619633</v>
      </c>
      <c r="CK89" s="48">
        <v>0</v>
      </c>
      <c r="CL89" s="48">
        <v>2100.1990525324486</v>
      </c>
      <c r="CM89" s="48">
        <v>15084.707825497484</v>
      </c>
      <c r="CN89" s="48">
        <v>167.98408827790325</v>
      </c>
      <c r="CO89" s="48">
        <v>0</v>
      </c>
      <c r="CP89" s="48">
        <v>0</v>
      </c>
      <c r="CQ89" s="48">
        <v>799.54284149878686</v>
      </c>
      <c r="CR89" s="48">
        <v>0</v>
      </c>
      <c r="CS89" s="48">
        <v>0</v>
      </c>
      <c r="CT89" s="48">
        <v>0</v>
      </c>
      <c r="CU89" s="48">
        <v>0.62643175499758463</v>
      </c>
      <c r="CV89" s="48">
        <v>1.4683156450024142</v>
      </c>
      <c r="CW89" s="48">
        <v>0</v>
      </c>
      <c r="CX89" s="48">
        <v>0</v>
      </c>
      <c r="CY89" s="48">
        <v>0</v>
      </c>
      <c r="CZ89" s="48">
        <v>0</v>
      </c>
      <c r="DA89" s="48">
        <v>17.265700672388522</v>
      </c>
      <c r="DB89" s="48">
        <v>1.2162851250360005</v>
      </c>
      <c r="DC89" s="48">
        <v>0</v>
      </c>
      <c r="DD89" s="48">
        <v>64.234583387153165</v>
      </c>
      <c r="DE89" s="48">
        <v>0</v>
      </c>
      <c r="DF89" s="48">
        <v>0</v>
      </c>
      <c r="DG89" s="48">
        <v>0</v>
      </c>
      <c r="DH89" s="48">
        <v>0</v>
      </c>
      <c r="DI89" s="48">
        <v>0</v>
      </c>
      <c r="DJ89" s="48">
        <v>1355.4463702456483</v>
      </c>
      <c r="DK89" s="48">
        <v>0</v>
      </c>
      <c r="DL89" s="48">
        <v>23313.193339729918</v>
      </c>
      <c r="DM89" s="48">
        <v>0</v>
      </c>
      <c r="DN89" s="48">
        <v>0</v>
      </c>
      <c r="DO89" s="48">
        <v>0</v>
      </c>
      <c r="DP89" s="48">
        <v>0</v>
      </c>
      <c r="DQ89" s="48">
        <v>0</v>
      </c>
      <c r="DR89" s="48">
        <v>0.75725708600954</v>
      </c>
      <c r="DS89" s="48">
        <v>0</v>
      </c>
      <c r="DT89" s="48">
        <v>681.39610692900499</v>
      </c>
      <c r="DU89" s="48">
        <v>340.2147655587907</v>
      </c>
      <c r="DV89" s="48">
        <v>5046.6900061997658</v>
      </c>
      <c r="DW89" s="48">
        <v>0</v>
      </c>
      <c r="DX89" s="48">
        <v>0</v>
      </c>
      <c r="DY89" s="48">
        <v>0</v>
      </c>
      <c r="DZ89" s="48">
        <v>0</v>
      </c>
      <c r="EA89" s="48">
        <v>0</v>
      </c>
      <c r="EB89" s="48">
        <v>8.0470244643358146</v>
      </c>
      <c r="EC89" s="48">
        <v>0.23273683743365051</v>
      </c>
      <c r="ED89" s="48">
        <v>0</v>
      </c>
      <c r="EE89" s="48">
        <v>0</v>
      </c>
      <c r="EF89" s="48">
        <v>0</v>
      </c>
      <c r="EG89" s="48">
        <v>0</v>
      </c>
      <c r="EH89" s="48">
        <v>0</v>
      </c>
      <c r="EI89" s="48">
        <v>1.0505543749932508E-3</v>
      </c>
      <c r="EJ89" s="48">
        <v>2.8695731374959402E-2</v>
      </c>
      <c r="EK89" s="48">
        <v>0</v>
      </c>
      <c r="EL89" s="48">
        <v>0</v>
      </c>
      <c r="EM89" s="48">
        <v>0</v>
      </c>
      <c r="EN89" s="48">
        <v>0</v>
      </c>
      <c r="EO89" s="48">
        <v>0</v>
      </c>
      <c r="EP89" s="48">
        <v>0</v>
      </c>
      <c r="EQ89" s="48">
        <v>0</v>
      </c>
      <c r="ER89" s="48">
        <v>0.20067224724038937</v>
      </c>
      <c r="ES89" s="48">
        <v>3.5118603689441824E-3</v>
      </c>
      <c r="ET89" s="48">
        <v>0</v>
      </c>
      <c r="EU89" s="48">
        <v>0</v>
      </c>
      <c r="EV89" s="48">
        <v>0</v>
      </c>
      <c r="EW89" s="48">
        <v>0</v>
      </c>
      <c r="EX89" s="48">
        <v>2.01281807199608</v>
      </c>
      <c r="EY89" s="48">
        <v>1.686434874521028E-4</v>
      </c>
      <c r="EZ89" s="48">
        <v>0</v>
      </c>
      <c r="FA89" s="48">
        <v>0</v>
      </c>
      <c r="FB89" s="48">
        <v>0</v>
      </c>
      <c r="FC89" s="48">
        <v>0</v>
      </c>
      <c r="FD89" s="48">
        <v>0.67972204265822578</v>
      </c>
      <c r="FE89" s="48">
        <v>0</v>
      </c>
      <c r="FF89" s="48">
        <v>0</v>
      </c>
      <c r="FG89" s="48">
        <v>3.7192509734147457E-2</v>
      </c>
      <c r="FH89" s="48">
        <v>0</v>
      </c>
      <c r="FI89" s="48">
        <v>0</v>
      </c>
      <c r="FJ89" s="48">
        <v>0</v>
      </c>
      <c r="FK89" s="48">
        <v>0</v>
      </c>
      <c r="FL89" s="48">
        <v>0</v>
      </c>
      <c r="FM89" s="48">
        <v>0.26605785962609219</v>
      </c>
      <c r="FN89" s="48">
        <v>0</v>
      </c>
      <c r="FO89" s="48">
        <v>0</v>
      </c>
      <c r="FP89" s="48">
        <v>11.793393467617907</v>
      </c>
      <c r="FQ89" s="48">
        <v>0</v>
      </c>
      <c r="FR89" s="48">
        <v>0</v>
      </c>
      <c r="FS89" s="48">
        <v>0</v>
      </c>
      <c r="FT89" s="48">
        <v>0</v>
      </c>
      <c r="FU89" s="48">
        <v>6359.8821564191003</v>
      </c>
      <c r="FV89" s="48">
        <v>0</v>
      </c>
      <c r="FW89" s="48">
        <v>0</v>
      </c>
      <c r="FX89" s="48">
        <v>0</v>
      </c>
      <c r="FY89" s="48">
        <v>0</v>
      </c>
      <c r="FZ89" s="48">
        <v>0</v>
      </c>
      <c r="GA89" s="48">
        <v>0</v>
      </c>
      <c r="GB89" s="48">
        <v>0</v>
      </c>
      <c r="GC89" s="48">
        <v>0</v>
      </c>
      <c r="GD89" s="48">
        <v>0</v>
      </c>
      <c r="GE89" s="48">
        <v>177.91038860377532</v>
      </c>
      <c r="GF89" s="48">
        <v>13241.924793147271</v>
      </c>
      <c r="GG89" s="48">
        <v>0</v>
      </c>
      <c r="GH89" s="48">
        <v>0</v>
      </c>
      <c r="GI89" s="48">
        <v>0</v>
      </c>
      <c r="GJ89" s="48">
        <v>0</v>
      </c>
      <c r="GK89" s="48">
        <v>0</v>
      </c>
      <c r="GL89" s="48">
        <v>0</v>
      </c>
      <c r="GM89" s="48">
        <v>0</v>
      </c>
      <c r="GN89" s="48">
        <v>0</v>
      </c>
      <c r="GO89" s="48">
        <v>0</v>
      </c>
      <c r="GP89" s="48">
        <v>0</v>
      </c>
      <c r="GQ89" s="48">
        <v>0</v>
      </c>
      <c r="GR89" s="48">
        <v>0</v>
      </c>
      <c r="GS89" s="48">
        <v>0</v>
      </c>
      <c r="GT89" s="48">
        <v>0</v>
      </c>
      <c r="GU89" s="48">
        <v>0</v>
      </c>
      <c r="GV89" s="48">
        <v>0</v>
      </c>
      <c r="GW89" s="48">
        <v>0</v>
      </c>
      <c r="GX89" s="48">
        <v>0</v>
      </c>
      <c r="GY89" s="48">
        <v>0</v>
      </c>
      <c r="GZ89" s="48">
        <v>0</v>
      </c>
      <c r="HA89" s="48">
        <v>0</v>
      </c>
      <c r="HB89" s="48">
        <v>0</v>
      </c>
      <c r="HC89" s="48">
        <v>0</v>
      </c>
      <c r="HD89" s="48">
        <v>0</v>
      </c>
      <c r="HE89" s="48">
        <v>0</v>
      </c>
      <c r="HF89" s="48">
        <v>0</v>
      </c>
      <c r="HG89" s="48">
        <v>0</v>
      </c>
      <c r="HH89" s="48">
        <v>0</v>
      </c>
      <c r="HI89" s="48">
        <v>0</v>
      </c>
      <c r="HJ89" s="48">
        <v>0</v>
      </c>
      <c r="HK89" s="48">
        <v>0</v>
      </c>
      <c r="HL89" s="48">
        <v>0</v>
      </c>
      <c r="HM89" s="48">
        <v>0</v>
      </c>
      <c r="HN89" s="48">
        <v>0</v>
      </c>
      <c r="HO89" s="48">
        <v>0</v>
      </c>
      <c r="HP89" s="48">
        <v>0</v>
      </c>
      <c r="HQ89" s="48">
        <v>0</v>
      </c>
      <c r="HR89" s="48">
        <v>0</v>
      </c>
      <c r="HS89" s="48">
        <v>0</v>
      </c>
      <c r="HT89" s="48">
        <v>0</v>
      </c>
      <c r="HU89" s="48">
        <v>0</v>
      </c>
      <c r="HV89" s="48">
        <v>93957.686904809321</v>
      </c>
      <c r="HW89" s="48">
        <v>0</v>
      </c>
      <c r="HX89" s="48">
        <v>131.60350087235983</v>
      </c>
      <c r="HY89" s="48">
        <v>111.40461747584688</v>
      </c>
      <c r="HZ89" s="48">
        <v>165.42750495060614</v>
      </c>
      <c r="IA89" s="48">
        <v>46.780788691825201</v>
      </c>
      <c r="IB89" s="48">
        <v>2.4188074519434122</v>
      </c>
      <c r="IC89" s="48">
        <v>0</v>
      </c>
      <c r="ID89" s="48">
        <v>0</v>
      </c>
      <c r="IE89" s="48">
        <v>0</v>
      </c>
      <c r="IF89" s="48">
        <v>0</v>
      </c>
      <c r="IG89" s="48">
        <v>37.502973267235582</v>
      </c>
      <c r="IH89" s="48">
        <v>2.5742545178640399</v>
      </c>
      <c r="II89" s="48">
        <v>0.79813055719408754</v>
      </c>
      <c r="IJ89" s="48">
        <v>173.69537715521957</v>
      </c>
      <c r="IK89" s="48">
        <v>2703.0786984442225</v>
      </c>
      <c r="IL89" s="48">
        <v>0</v>
      </c>
      <c r="IM89" s="48">
        <v>435.95708507035982</v>
      </c>
      <c r="IN89" s="48">
        <v>0</v>
      </c>
      <c r="IO89" s="48">
        <v>0</v>
      </c>
      <c r="IP89" s="23">
        <v>181764.99398881977</v>
      </c>
      <c r="IQ89" s="25">
        <v>597648</v>
      </c>
      <c r="IR89" s="25">
        <v>0</v>
      </c>
      <c r="IS89" s="26">
        <v>0</v>
      </c>
      <c r="IT89" s="26">
        <v>0</v>
      </c>
      <c r="IU89" s="26">
        <v>0</v>
      </c>
      <c r="IV89" s="9">
        <v>344</v>
      </c>
      <c r="IW89" s="38">
        <f t="shared" si="5"/>
        <v>779756.99398881977</v>
      </c>
    </row>
    <row r="90" spans="1:257" ht="30" customHeight="1" x14ac:dyDescent="0.25">
      <c r="A90" s="112" t="b">
        <v>0</v>
      </c>
      <c r="B90" s="113" t="b">
        <f>IFERROR(VLOOKUP(C90,'Bridge matrix'!$D$3:$E$727,2,FALSE)='symmetric IOT 245 2012'!D90,"FALSCH")</f>
        <v>1</v>
      </c>
      <c r="C90" s="108">
        <v>84</v>
      </c>
      <c r="D90" s="49" t="s">
        <v>1403</v>
      </c>
      <c r="E90" s="48">
        <v>0</v>
      </c>
      <c r="F90" s="48">
        <v>0</v>
      </c>
      <c r="G90" s="48">
        <v>0</v>
      </c>
      <c r="H90" s="48">
        <v>0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48">
        <v>0</v>
      </c>
      <c r="AF90" s="48">
        <v>0</v>
      </c>
      <c r="AG90" s="48">
        <v>0</v>
      </c>
      <c r="AH90" s="48">
        <v>0</v>
      </c>
      <c r="AI90" s="48">
        <v>0</v>
      </c>
      <c r="AJ90" s="48">
        <v>0</v>
      </c>
      <c r="AK90" s="48">
        <v>0</v>
      </c>
      <c r="AL90" s="48">
        <v>0</v>
      </c>
      <c r="AM90" s="48">
        <v>0</v>
      </c>
      <c r="AN90" s="48">
        <v>0</v>
      </c>
      <c r="AO90" s="48">
        <v>0</v>
      </c>
      <c r="AP90" s="48">
        <v>0</v>
      </c>
      <c r="AQ90" s="48">
        <v>0</v>
      </c>
      <c r="AR90" s="48">
        <v>0</v>
      </c>
      <c r="AS90" s="48">
        <v>0</v>
      </c>
      <c r="AT90" s="48">
        <v>0</v>
      </c>
      <c r="AU90" s="48">
        <v>0</v>
      </c>
      <c r="AV90" s="48">
        <v>0</v>
      </c>
      <c r="AW90" s="48">
        <v>0</v>
      </c>
      <c r="AX90" s="48">
        <v>0</v>
      </c>
      <c r="AY90" s="48">
        <v>0</v>
      </c>
      <c r="AZ90" s="48">
        <v>0</v>
      </c>
      <c r="BA90" s="48">
        <v>0</v>
      </c>
      <c r="BB90" s="48">
        <v>0</v>
      </c>
      <c r="BC90" s="48">
        <v>0</v>
      </c>
      <c r="BD90" s="48">
        <v>0</v>
      </c>
      <c r="BE90" s="48">
        <v>0</v>
      </c>
      <c r="BF90" s="48">
        <v>0</v>
      </c>
      <c r="BG90" s="48">
        <v>0</v>
      </c>
      <c r="BH90" s="48">
        <v>0</v>
      </c>
      <c r="BI90" s="48">
        <v>0</v>
      </c>
      <c r="BJ90" s="48">
        <v>0</v>
      </c>
      <c r="BK90" s="48">
        <v>0</v>
      </c>
      <c r="BL90" s="48">
        <v>0</v>
      </c>
      <c r="BM90" s="48">
        <v>0</v>
      </c>
      <c r="BN90" s="48">
        <v>0</v>
      </c>
      <c r="BO90" s="48">
        <v>0</v>
      </c>
      <c r="BP90" s="48">
        <v>0</v>
      </c>
      <c r="BQ90" s="48">
        <v>0</v>
      </c>
      <c r="BR90" s="48">
        <v>0</v>
      </c>
      <c r="BS90" s="48">
        <v>0</v>
      </c>
      <c r="BT90" s="48">
        <v>0</v>
      </c>
      <c r="BU90" s="48">
        <v>0</v>
      </c>
      <c r="BV90" s="48">
        <v>0</v>
      </c>
      <c r="BW90" s="48">
        <v>0</v>
      </c>
      <c r="BX90" s="48">
        <v>0</v>
      </c>
      <c r="BY90" s="48">
        <v>0</v>
      </c>
      <c r="BZ90" s="48">
        <v>0</v>
      </c>
      <c r="CA90" s="48">
        <v>0</v>
      </c>
      <c r="CB90" s="48">
        <v>0</v>
      </c>
      <c r="CC90" s="48">
        <v>0</v>
      </c>
      <c r="CD90" s="48">
        <v>0</v>
      </c>
      <c r="CE90" s="48">
        <v>0</v>
      </c>
      <c r="CF90" s="48">
        <v>0</v>
      </c>
      <c r="CG90" s="48">
        <v>0</v>
      </c>
      <c r="CH90" s="48">
        <v>0</v>
      </c>
      <c r="CI90" s="48">
        <v>6176.5677209149762</v>
      </c>
      <c r="CJ90" s="48">
        <v>29498.200766879985</v>
      </c>
      <c r="CK90" s="48">
        <v>0</v>
      </c>
      <c r="CL90" s="48">
        <v>4775.6583642597352</v>
      </c>
      <c r="CM90" s="48">
        <v>29466.709273218104</v>
      </c>
      <c r="CN90" s="48">
        <v>584.16902854445425</v>
      </c>
      <c r="CO90" s="48">
        <v>0</v>
      </c>
      <c r="CP90" s="48">
        <v>0</v>
      </c>
      <c r="CQ90" s="48">
        <v>0</v>
      </c>
      <c r="CR90" s="48">
        <v>0</v>
      </c>
      <c r="CS90" s="48">
        <v>0</v>
      </c>
      <c r="CT90" s="48">
        <v>0.37230922973055058</v>
      </c>
      <c r="CU90" s="48">
        <v>0</v>
      </c>
      <c r="CV90" s="48">
        <v>18590.748812066933</v>
      </c>
      <c r="CW90" s="48">
        <v>0</v>
      </c>
      <c r="CX90" s="48">
        <v>64.032234066775018</v>
      </c>
      <c r="CY90" s="48">
        <v>0</v>
      </c>
      <c r="CZ90" s="48">
        <v>0</v>
      </c>
      <c r="DA90" s="48">
        <v>1.3130115889377125E-2</v>
      </c>
      <c r="DB90" s="48">
        <v>0</v>
      </c>
      <c r="DC90" s="48">
        <v>0.16673819265801149</v>
      </c>
      <c r="DD90" s="48">
        <v>1.0774972653204742</v>
      </c>
      <c r="DE90" s="48">
        <v>0</v>
      </c>
      <c r="DF90" s="48">
        <v>0</v>
      </c>
      <c r="DG90" s="48">
        <v>0</v>
      </c>
      <c r="DH90" s="48">
        <v>0</v>
      </c>
      <c r="DI90" s="48">
        <v>0</v>
      </c>
      <c r="DJ90" s="48">
        <v>0</v>
      </c>
      <c r="DK90" s="48">
        <v>0</v>
      </c>
      <c r="DL90" s="48">
        <v>14240.66804130064</v>
      </c>
      <c r="DM90" s="48">
        <v>0</v>
      </c>
      <c r="DN90" s="48">
        <v>0</v>
      </c>
      <c r="DO90" s="48">
        <v>0</v>
      </c>
      <c r="DP90" s="48">
        <v>0</v>
      </c>
      <c r="DQ90" s="48">
        <v>0</v>
      </c>
      <c r="DR90" s="48">
        <v>0</v>
      </c>
      <c r="DS90" s="48">
        <v>0</v>
      </c>
      <c r="DT90" s="48">
        <v>0</v>
      </c>
      <c r="DU90" s="48">
        <v>0</v>
      </c>
      <c r="DV90" s="48">
        <v>0</v>
      </c>
      <c r="DW90" s="48">
        <v>0</v>
      </c>
      <c r="DX90" s="48">
        <v>0</v>
      </c>
      <c r="DY90" s="48">
        <v>0</v>
      </c>
      <c r="DZ90" s="48">
        <v>0</v>
      </c>
      <c r="EA90" s="48">
        <v>0</v>
      </c>
      <c r="EB90" s="48">
        <v>0</v>
      </c>
      <c r="EC90" s="48">
        <v>0</v>
      </c>
      <c r="ED90" s="48">
        <v>0</v>
      </c>
      <c r="EE90" s="48">
        <v>0</v>
      </c>
      <c r="EF90" s="48">
        <v>0</v>
      </c>
      <c r="EG90" s="48">
        <v>0</v>
      </c>
      <c r="EH90" s="48">
        <v>0</v>
      </c>
      <c r="EI90" s="48">
        <v>0</v>
      </c>
      <c r="EJ90" s="48">
        <v>0</v>
      </c>
      <c r="EK90" s="48">
        <v>0</v>
      </c>
      <c r="EL90" s="48">
        <v>3.3132522217369502E-2</v>
      </c>
      <c r="EM90" s="48">
        <v>5.0362036024610909E-2</v>
      </c>
      <c r="EN90" s="48">
        <v>1496.3546175019355</v>
      </c>
      <c r="EO90" s="48">
        <v>0</v>
      </c>
      <c r="EP90" s="48">
        <v>9.1290667107651158E-2</v>
      </c>
      <c r="EQ90" s="48">
        <v>0</v>
      </c>
      <c r="ER90" s="48">
        <v>0</v>
      </c>
      <c r="ES90" s="48">
        <v>0</v>
      </c>
      <c r="ET90" s="48">
        <v>1.0831552200041733E-2</v>
      </c>
      <c r="EU90" s="48">
        <v>0</v>
      </c>
      <c r="EV90" s="48">
        <v>0</v>
      </c>
      <c r="EW90" s="48">
        <v>0</v>
      </c>
      <c r="EX90" s="48">
        <v>1.7092834818153084E-3</v>
      </c>
      <c r="EY90" s="48">
        <v>0</v>
      </c>
      <c r="EZ90" s="48">
        <v>0</v>
      </c>
      <c r="FA90" s="48">
        <v>0</v>
      </c>
      <c r="FB90" s="48">
        <v>0</v>
      </c>
      <c r="FC90" s="48">
        <v>0</v>
      </c>
      <c r="FD90" s="48">
        <v>8.9184292002133981E-8</v>
      </c>
      <c r="FE90" s="48">
        <v>0</v>
      </c>
      <c r="FF90" s="48">
        <v>0</v>
      </c>
      <c r="FG90" s="48">
        <v>2.2891092303538273E-8</v>
      </c>
      <c r="FH90" s="48">
        <v>1.6408929693380494E-8</v>
      </c>
      <c r="FI90" s="48">
        <v>2.5412488282912644E-8</v>
      </c>
      <c r="FJ90" s="48">
        <v>0</v>
      </c>
      <c r="FK90" s="48">
        <v>0</v>
      </c>
      <c r="FL90" s="48">
        <v>0</v>
      </c>
      <c r="FM90" s="48">
        <v>0</v>
      </c>
      <c r="FN90" s="48">
        <v>0</v>
      </c>
      <c r="FO90" s="48">
        <v>0</v>
      </c>
      <c r="FP90" s="48">
        <v>0</v>
      </c>
      <c r="FQ90" s="48">
        <v>1.4777858255132451E-8</v>
      </c>
      <c r="FR90" s="48">
        <v>4.3763477934391671E-9</v>
      </c>
      <c r="FS90" s="48">
        <v>0</v>
      </c>
      <c r="FT90" s="48">
        <v>1.1920316523035265E-9</v>
      </c>
      <c r="FU90" s="48">
        <v>0</v>
      </c>
      <c r="FV90" s="48">
        <v>0</v>
      </c>
      <c r="FW90" s="48">
        <v>0</v>
      </c>
      <c r="FX90" s="48">
        <v>0</v>
      </c>
      <c r="FY90" s="48">
        <v>0</v>
      </c>
      <c r="FZ90" s="48">
        <v>0</v>
      </c>
      <c r="GA90" s="48">
        <v>0</v>
      </c>
      <c r="GB90" s="48">
        <v>0</v>
      </c>
      <c r="GC90" s="48">
        <v>0</v>
      </c>
      <c r="GD90" s="48">
        <v>0</v>
      </c>
      <c r="GE90" s="48">
        <v>1736.8700950812593</v>
      </c>
      <c r="GF90" s="48">
        <v>54171.655458429988</v>
      </c>
      <c r="GG90" s="48">
        <v>0</v>
      </c>
      <c r="GH90" s="48">
        <v>0</v>
      </c>
      <c r="GI90" s="48">
        <v>0</v>
      </c>
      <c r="GJ90" s="48">
        <v>0</v>
      </c>
      <c r="GK90" s="48">
        <v>0</v>
      </c>
      <c r="GL90" s="48">
        <v>0</v>
      </c>
      <c r="GM90" s="48">
        <v>0</v>
      </c>
      <c r="GN90" s="48">
        <v>0</v>
      </c>
      <c r="GO90" s="48">
        <v>0</v>
      </c>
      <c r="GP90" s="48">
        <v>0</v>
      </c>
      <c r="GQ90" s="48">
        <v>0</v>
      </c>
      <c r="GR90" s="48">
        <v>0</v>
      </c>
      <c r="GS90" s="48">
        <v>0</v>
      </c>
      <c r="GT90" s="48">
        <v>1.0882672763335328E-11</v>
      </c>
      <c r="GU90" s="48">
        <v>0</v>
      </c>
      <c r="GV90" s="48">
        <v>0</v>
      </c>
      <c r="GW90" s="48">
        <v>0</v>
      </c>
      <c r="GX90" s="48">
        <v>1.591073560366261E-9</v>
      </c>
      <c r="GY90" s="48">
        <v>0</v>
      </c>
      <c r="GZ90" s="48">
        <v>0</v>
      </c>
      <c r="HA90" s="48">
        <v>0</v>
      </c>
      <c r="HB90" s="48">
        <v>0</v>
      </c>
      <c r="HC90" s="48">
        <v>0</v>
      </c>
      <c r="HD90" s="48">
        <v>0</v>
      </c>
      <c r="HE90" s="48">
        <v>0</v>
      </c>
      <c r="HF90" s="48">
        <v>0</v>
      </c>
      <c r="HG90" s="48">
        <v>0</v>
      </c>
      <c r="HH90" s="48">
        <v>0</v>
      </c>
      <c r="HI90" s="48">
        <v>0</v>
      </c>
      <c r="HJ90" s="48">
        <v>0</v>
      </c>
      <c r="HK90" s="48">
        <v>0</v>
      </c>
      <c r="HL90" s="48">
        <v>0</v>
      </c>
      <c r="HM90" s="48">
        <v>0</v>
      </c>
      <c r="HN90" s="48">
        <v>0</v>
      </c>
      <c r="HO90" s="48">
        <v>0</v>
      </c>
      <c r="HP90" s="48">
        <v>0</v>
      </c>
      <c r="HQ90" s="48">
        <v>0</v>
      </c>
      <c r="HR90" s="48">
        <v>0</v>
      </c>
      <c r="HS90" s="48">
        <v>0</v>
      </c>
      <c r="HT90" s="48">
        <v>0</v>
      </c>
      <c r="HU90" s="48">
        <v>0</v>
      </c>
      <c r="HV90" s="48">
        <v>8.4225129380796588E-9</v>
      </c>
      <c r="HW90" s="48">
        <v>0</v>
      </c>
      <c r="HX90" s="48">
        <v>139.25651040601815</v>
      </c>
      <c r="HY90" s="48">
        <v>118.23616432958384</v>
      </c>
      <c r="HZ90" s="48">
        <v>175.72960660425446</v>
      </c>
      <c r="IA90" s="48">
        <v>49.739585179104573</v>
      </c>
      <c r="IB90" s="48">
        <v>2.3306869102361714</v>
      </c>
      <c r="IC90" s="48">
        <v>0</v>
      </c>
      <c r="ID90" s="48">
        <v>0</v>
      </c>
      <c r="IE90" s="48">
        <v>0</v>
      </c>
      <c r="IF90" s="48">
        <v>0</v>
      </c>
      <c r="IG90" s="48">
        <v>39.981015900422868</v>
      </c>
      <c r="IH90" s="48">
        <v>2.4804708219256866</v>
      </c>
      <c r="II90" s="48">
        <v>0.76905354364489509</v>
      </c>
      <c r="IJ90" s="48">
        <v>0</v>
      </c>
      <c r="IK90" s="48">
        <v>139.02258704253975</v>
      </c>
      <c r="IL90" s="48">
        <v>0</v>
      </c>
      <c r="IM90" s="48">
        <v>0</v>
      </c>
      <c r="IN90" s="48">
        <v>0</v>
      </c>
      <c r="IO90" s="48">
        <v>0</v>
      </c>
      <c r="IP90" s="23">
        <v>161470.99709405139</v>
      </c>
      <c r="IQ90" s="25">
        <v>437309</v>
      </c>
      <c r="IR90" s="25">
        <v>0</v>
      </c>
      <c r="IS90" s="26">
        <v>0</v>
      </c>
      <c r="IT90" s="26">
        <v>0</v>
      </c>
      <c r="IU90" s="26">
        <v>0</v>
      </c>
      <c r="IV90" s="9">
        <v>73</v>
      </c>
      <c r="IW90" s="38">
        <f t="shared" si="5"/>
        <v>598852.99709405145</v>
      </c>
    </row>
    <row r="91" spans="1:257" ht="30" customHeight="1" x14ac:dyDescent="0.25">
      <c r="A91" s="112" t="b">
        <v>0</v>
      </c>
      <c r="B91" s="113" t="b">
        <f>IFERROR(VLOOKUP(C91,'Bridge matrix'!$D$3:$E$727,2,FALSE)='symmetric IOT 245 2012'!D91,"FALSCH")</f>
        <v>1</v>
      </c>
      <c r="C91" s="108">
        <v>85</v>
      </c>
      <c r="D91" s="49" t="s">
        <v>1404</v>
      </c>
      <c r="E91" s="48">
        <v>0</v>
      </c>
      <c r="F91" s="48">
        <v>0</v>
      </c>
      <c r="G91" s="48">
        <v>0</v>
      </c>
      <c r="H91" s="48">
        <v>0</v>
      </c>
      <c r="I91" s="48">
        <v>0</v>
      </c>
      <c r="J91" s="48">
        <v>0</v>
      </c>
      <c r="K91" s="48">
        <v>0</v>
      </c>
      <c r="L91" s="48">
        <v>0</v>
      </c>
      <c r="M91" s="48">
        <v>0</v>
      </c>
      <c r="N91" s="48">
        <v>0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48">
        <v>0</v>
      </c>
      <c r="AF91" s="48">
        <v>0</v>
      </c>
      <c r="AG91" s="48">
        <v>0</v>
      </c>
      <c r="AH91" s="48">
        <v>0</v>
      </c>
      <c r="AI91" s="48">
        <v>0</v>
      </c>
      <c r="AJ91" s="48">
        <v>0</v>
      </c>
      <c r="AK91" s="48">
        <v>0</v>
      </c>
      <c r="AL91" s="48">
        <v>0</v>
      </c>
      <c r="AM91" s="48">
        <v>0</v>
      </c>
      <c r="AN91" s="48">
        <v>0</v>
      </c>
      <c r="AO91" s="48">
        <v>0</v>
      </c>
      <c r="AP91" s="48">
        <v>0</v>
      </c>
      <c r="AQ91" s="48">
        <v>0</v>
      </c>
      <c r="AR91" s="48">
        <v>0</v>
      </c>
      <c r="AS91" s="48">
        <v>0</v>
      </c>
      <c r="AT91" s="48">
        <v>0</v>
      </c>
      <c r="AU91" s="48">
        <v>0</v>
      </c>
      <c r="AV91" s="48">
        <v>0</v>
      </c>
      <c r="AW91" s="48">
        <v>0</v>
      </c>
      <c r="AX91" s="48">
        <v>0</v>
      </c>
      <c r="AY91" s="48">
        <v>0</v>
      </c>
      <c r="AZ91" s="48">
        <v>0</v>
      </c>
      <c r="BA91" s="48">
        <v>0</v>
      </c>
      <c r="BB91" s="48">
        <v>0</v>
      </c>
      <c r="BC91" s="48">
        <v>0</v>
      </c>
      <c r="BD91" s="48">
        <v>0</v>
      </c>
      <c r="BE91" s="48">
        <v>0</v>
      </c>
      <c r="BF91" s="48">
        <v>0</v>
      </c>
      <c r="BG91" s="48">
        <v>0</v>
      </c>
      <c r="BH91" s="48">
        <v>0</v>
      </c>
      <c r="BI91" s="48">
        <v>0</v>
      </c>
      <c r="BJ91" s="48">
        <v>0</v>
      </c>
      <c r="BK91" s="48">
        <v>0</v>
      </c>
      <c r="BL91" s="48">
        <v>0</v>
      </c>
      <c r="BM91" s="48">
        <v>0</v>
      </c>
      <c r="BN91" s="48">
        <v>0</v>
      </c>
      <c r="BO91" s="48">
        <v>0</v>
      </c>
      <c r="BP91" s="48">
        <v>0</v>
      </c>
      <c r="BQ91" s="48">
        <v>0</v>
      </c>
      <c r="BR91" s="48">
        <v>0</v>
      </c>
      <c r="BS91" s="48">
        <v>0</v>
      </c>
      <c r="BT91" s="48">
        <v>0</v>
      </c>
      <c r="BU91" s="48">
        <v>0</v>
      </c>
      <c r="BV91" s="48">
        <v>0</v>
      </c>
      <c r="BW91" s="48">
        <v>0</v>
      </c>
      <c r="BX91" s="48">
        <v>0</v>
      </c>
      <c r="BY91" s="48">
        <v>0</v>
      </c>
      <c r="BZ91" s="48">
        <v>0</v>
      </c>
      <c r="CA91" s="48">
        <v>0</v>
      </c>
      <c r="CB91" s="48">
        <v>0</v>
      </c>
      <c r="CC91" s="48">
        <v>0</v>
      </c>
      <c r="CD91" s="48">
        <v>0</v>
      </c>
      <c r="CE91" s="48">
        <v>0</v>
      </c>
      <c r="CF91" s="48">
        <v>0</v>
      </c>
      <c r="CG91" s="48">
        <v>0</v>
      </c>
      <c r="CH91" s="48">
        <v>0</v>
      </c>
      <c r="CI91" s="48">
        <v>215.49683594784253</v>
      </c>
      <c r="CJ91" s="48">
        <v>0</v>
      </c>
      <c r="CK91" s="48">
        <v>0</v>
      </c>
      <c r="CL91" s="48">
        <v>0</v>
      </c>
      <c r="CM91" s="48">
        <v>2.0301779265693735E-3</v>
      </c>
      <c r="CN91" s="48">
        <v>11.847393033944945</v>
      </c>
      <c r="CO91" s="48">
        <v>0</v>
      </c>
      <c r="CP91" s="48">
        <v>0</v>
      </c>
      <c r="CQ91" s="48">
        <v>0</v>
      </c>
      <c r="CR91" s="48">
        <v>0</v>
      </c>
      <c r="CS91" s="48">
        <v>0</v>
      </c>
      <c r="CT91" s="48">
        <v>0</v>
      </c>
      <c r="CU91" s="48">
        <v>4.9045150688657418E-2</v>
      </c>
      <c r="CV91" s="48">
        <v>0.11495959084096236</v>
      </c>
      <c r="CW91" s="48">
        <v>0</v>
      </c>
      <c r="CX91" s="48">
        <v>0</v>
      </c>
      <c r="CY91" s="48">
        <v>0</v>
      </c>
      <c r="CZ91" s="48">
        <v>0</v>
      </c>
      <c r="DA91" s="48">
        <v>1.6829236453021136E-3</v>
      </c>
      <c r="DB91" s="48">
        <v>0</v>
      </c>
      <c r="DC91" s="48">
        <v>0</v>
      </c>
      <c r="DD91" s="48">
        <v>0</v>
      </c>
      <c r="DE91" s="48">
        <v>0</v>
      </c>
      <c r="DF91" s="48">
        <v>0</v>
      </c>
      <c r="DG91" s="48">
        <v>0</v>
      </c>
      <c r="DH91" s="48">
        <v>0</v>
      </c>
      <c r="DI91" s="48">
        <v>0</v>
      </c>
      <c r="DJ91" s="48">
        <v>110.37443883776443</v>
      </c>
      <c r="DK91" s="48">
        <v>0</v>
      </c>
      <c r="DL91" s="48">
        <v>1825.2662180226905</v>
      </c>
      <c r="DM91" s="48">
        <v>0</v>
      </c>
      <c r="DN91" s="48">
        <v>0</v>
      </c>
      <c r="DO91" s="48">
        <v>0</v>
      </c>
      <c r="DP91" s="48">
        <v>0</v>
      </c>
      <c r="DQ91" s="48">
        <v>0</v>
      </c>
      <c r="DR91" s="48">
        <v>1.071338133055474E-8</v>
      </c>
      <c r="DS91" s="48">
        <v>0</v>
      </c>
      <c r="DT91" s="48">
        <v>0</v>
      </c>
      <c r="DU91" s="48">
        <v>0</v>
      </c>
      <c r="DV91" s="48">
        <v>0</v>
      </c>
      <c r="DW91" s="48">
        <v>0</v>
      </c>
      <c r="DX91" s="48">
        <v>0</v>
      </c>
      <c r="DY91" s="48">
        <v>4.0898617333335975E-14</v>
      </c>
      <c r="DZ91" s="48">
        <v>0</v>
      </c>
      <c r="EA91" s="48">
        <v>0</v>
      </c>
      <c r="EB91" s="48">
        <v>1.1384637559843665E-7</v>
      </c>
      <c r="EC91" s="48">
        <v>3.2926996754642186E-9</v>
      </c>
      <c r="ED91" s="48">
        <v>0</v>
      </c>
      <c r="EE91" s="48">
        <v>0</v>
      </c>
      <c r="EF91" s="48">
        <v>0</v>
      </c>
      <c r="EG91" s="48">
        <v>0</v>
      </c>
      <c r="EH91" s="48">
        <v>0</v>
      </c>
      <c r="EI91" s="48">
        <v>1.2090659018970747E-4</v>
      </c>
      <c r="EJ91" s="48">
        <v>2.24668963310137E-3</v>
      </c>
      <c r="EK91" s="48">
        <v>0</v>
      </c>
      <c r="EL91" s="48">
        <v>0</v>
      </c>
      <c r="EM91" s="48">
        <v>0</v>
      </c>
      <c r="EN91" s="48">
        <v>0</v>
      </c>
      <c r="EO91" s="48">
        <v>0</v>
      </c>
      <c r="EP91" s="48">
        <v>0</v>
      </c>
      <c r="EQ91" s="48">
        <v>0</v>
      </c>
      <c r="ER91" s="48">
        <v>2.8413015255002228E-9</v>
      </c>
      <c r="ES91" s="48">
        <v>4.9684568562232449E-11</v>
      </c>
      <c r="ET91" s="48">
        <v>0</v>
      </c>
      <c r="EU91" s="48">
        <v>0</v>
      </c>
      <c r="EV91" s="48">
        <v>0</v>
      </c>
      <c r="EW91" s="48">
        <v>3.5369358995212907E-9</v>
      </c>
      <c r="EX91" s="48">
        <v>0</v>
      </c>
      <c r="EY91" s="48">
        <v>8.5896434882260177E-7</v>
      </c>
      <c r="EZ91" s="48">
        <v>0</v>
      </c>
      <c r="FA91" s="48">
        <v>7.1995292343506662E-13</v>
      </c>
      <c r="FB91" s="48">
        <v>1.9737977459196852E-14</v>
      </c>
      <c r="FC91" s="48">
        <v>0</v>
      </c>
      <c r="FD91" s="48">
        <v>0</v>
      </c>
      <c r="FE91" s="48">
        <v>0</v>
      </c>
      <c r="FF91" s="48">
        <v>0</v>
      </c>
      <c r="FG91" s="48">
        <v>0</v>
      </c>
      <c r="FH91" s="48">
        <v>0</v>
      </c>
      <c r="FI91" s="48">
        <v>0</v>
      </c>
      <c r="FJ91" s="48">
        <v>0</v>
      </c>
      <c r="FK91" s="48">
        <v>0</v>
      </c>
      <c r="FL91" s="48">
        <v>0</v>
      </c>
      <c r="FM91" s="48">
        <v>3.7646292078194486E-9</v>
      </c>
      <c r="FN91" s="48">
        <v>0</v>
      </c>
      <c r="FO91" s="48">
        <v>0</v>
      </c>
      <c r="FP91" s="48">
        <v>1.602189156664817E-7</v>
      </c>
      <c r="FQ91" s="48">
        <v>0</v>
      </c>
      <c r="FR91" s="48">
        <v>0</v>
      </c>
      <c r="FS91" s="48">
        <v>0</v>
      </c>
      <c r="FT91" s="48">
        <v>0</v>
      </c>
      <c r="FU91" s="48">
        <v>0</v>
      </c>
      <c r="FV91" s="48">
        <v>1.3370884368987878E-13</v>
      </c>
      <c r="FW91" s="48">
        <v>0</v>
      </c>
      <c r="FX91" s="48">
        <v>0</v>
      </c>
      <c r="FY91" s="48">
        <v>0</v>
      </c>
      <c r="FZ91" s="48">
        <v>0</v>
      </c>
      <c r="GA91" s="48">
        <v>0</v>
      </c>
      <c r="GB91" s="48">
        <v>0</v>
      </c>
      <c r="GC91" s="48">
        <v>0</v>
      </c>
      <c r="GD91" s="48">
        <v>0</v>
      </c>
      <c r="GE91" s="48">
        <v>0</v>
      </c>
      <c r="GF91" s="48">
        <v>11092.845027561127</v>
      </c>
      <c r="GG91" s="48">
        <v>0</v>
      </c>
      <c r="GH91" s="48">
        <v>0</v>
      </c>
      <c r="GI91" s="48">
        <v>0</v>
      </c>
      <c r="GJ91" s="48">
        <v>0</v>
      </c>
      <c r="GK91" s="48">
        <v>0</v>
      </c>
      <c r="GL91" s="48">
        <v>0</v>
      </c>
      <c r="GM91" s="48">
        <v>0</v>
      </c>
      <c r="GN91" s="48">
        <v>0</v>
      </c>
      <c r="GO91" s="48">
        <v>0</v>
      </c>
      <c r="GP91" s="48">
        <v>0</v>
      </c>
      <c r="GQ91" s="48">
        <v>0</v>
      </c>
      <c r="GR91" s="48">
        <v>0</v>
      </c>
      <c r="GS91" s="48">
        <v>0</v>
      </c>
      <c r="GT91" s="48">
        <v>0</v>
      </c>
      <c r="GU91" s="48">
        <v>0</v>
      </c>
      <c r="GV91" s="48">
        <v>0</v>
      </c>
      <c r="GW91" s="48">
        <v>0</v>
      </c>
      <c r="GX91" s="48">
        <v>0</v>
      </c>
      <c r="GY91" s="48">
        <v>0</v>
      </c>
      <c r="GZ91" s="48">
        <v>0</v>
      </c>
      <c r="HA91" s="48">
        <v>0</v>
      </c>
      <c r="HB91" s="48">
        <v>0</v>
      </c>
      <c r="HC91" s="48">
        <v>0</v>
      </c>
      <c r="HD91" s="48">
        <v>0</v>
      </c>
      <c r="HE91" s="48">
        <v>0</v>
      </c>
      <c r="HF91" s="48">
        <v>0</v>
      </c>
      <c r="HG91" s="48">
        <v>0</v>
      </c>
      <c r="HH91" s="48">
        <v>0</v>
      </c>
      <c r="HI91" s="48">
        <v>0</v>
      </c>
      <c r="HJ91" s="48">
        <v>0</v>
      </c>
      <c r="HK91" s="48">
        <v>0</v>
      </c>
      <c r="HL91" s="48">
        <v>0</v>
      </c>
      <c r="HM91" s="48">
        <v>0</v>
      </c>
      <c r="HN91" s="48">
        <v>0</v>
      </c>
      <c r="HO91" s="48">
        <v>0</v>
      </c>
      <c r="HP91" s="48">
        <v>0</v>
      </c>
      <c r="HQ91" s="48">
        <v>0</v>
      </c>
      <c r="HR91" s="48">
        <v>0</v>
      </c>
      <c r="HS91" s="48">
        <v>0</v>
      </c>
      <c r="HT91" s="48">
        <v>0</v>
      </c>
      <c r="HU91" s="48">
        <v>0</v>
      </c>
      <c r="HV91" s="48">
        <v>0</v>
      </c>
      <c r="HW91" s="48">
        <v>0</v>
      </c>
      <c r="HX91" s="48">
        <v>0</v>
      </c>
      <c r="HY91" s="48">
        <v>0</v>
      </c>
      <c r="HZ91" s="48">
        <v>0</v>
      </c>
      <c r="IA91" s="48">
        <v>0</v>
      </c>
      <c r="IB91" s="48">
        <v>0</v>
      </c>
      <c r="IC91" s="48">
        <v>0</v>
      </c>
      <c r="ID91" s="48">
        <v>0</v>
      </c>
      <c r="IE91" s="48">
        <v>0</v>
      </c>
      <c r="IF91" s="48">
        <v>0</v>
      </c>
      <c r="IG91" s="48">
        <v>0</v>
      </c>
      <c r="IH91" s="48">
        <v>0</v>
      </c>
      <c r="II91" s="48">
        <v>0</v>
      </c>
      <c r="IJ91" s="48">
        <v>0</v>
      </c>
      <c r="IK91" s="48">
        <v>0</v>
      </c>
      <c r="IL91" s="48">
        <v>0</v>
      </c>
      <c r="IM91" s="48">
        <v>0</v>
      </c>
      <c r="IN91" s="48">
        <v>0</v>
      </c>
      <c r="IO91" s="48">
        <v>0</v>
      </c>
      <c r="IP91" s="23">
        <v>13255.999999999924</v>
      </c>
      <c r="IQ91" s="25">
        <v>51192</v>
      </c>
      <c r="IR91" s="25">
        <v>0</v>
      </c>
      <c r="IS91" s="26">
        <v>0</v>
      </c>
      <c r="IT91" s="26">
        <v>0</v>
      </c>
      <c r="IU91" s="26">
        <v>0</v>
      </c>
      <c r="IV91" s="9">
        <v>10</v>
      </c>
      <c r="IW91" s="38">
        <f t="shared" si="5"/>
        <v>64457.999999999927</v>
      </c>
    </row>
    <row r="92" spans="1:257" ht="30" customHeight="1" x14ac:dyDescent="0.25">
      <c r="A92" s="112" t="b">
        <v>0</v>
      </c>
      <c r="B92" s="113" t="b">
        <f>IFERROR(VLOOKUP(C92,'Bridge matrix'!$D$3:$E$727,2,FALSE)='symmetric IOT 245 2012'!D92,"FALSCH")</f>
        <v>1</v>
      </c>
      <c r="C92" s="108">
        <v>86</v>
      </c>
      <c r="D92" s="49" t="s">
        <v>1405</v>
      </c>
      <c r="E92" s="48">
        <v>0</v>
      </c>
      <c r="F92" s="48">
        <v>0</v>
      </c>
      <c r="G92" s="48">
        <v>0</v>
      </c>
      <c r="H92" s="48">
        <v>0</v>
      </c>
      <c r="I92" s="48">
        <v>0</v>
      </c>
      <c r="J92" s="48">
        <v>0</v>
      </c>
      <c r="K92" s="48">
        <v>0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48">
        <v>0</v>
      </c>
      <c r="AF92" s="48">
        <v>0</v>
      </c>
      <c r="AG92" s="48">
        <v>0</v>
      </c>
      <c r="AH92" s="48">
        <v>0</v>
      </c>
      <c r="AI92" s="48">
        <v>0</v>
      </c>
      <c r="AJ92" s="48">
        <v>0</v>
      </c>
      <c r="AK92" s="48">
        <v>0</v>
      </c>
      <c r="AL92" s="48">
        <v>0</v>
      </c>
      <c r="AM92" s="48">
        <v>0</v>
      </c>
      <c r="AN92" s="48">
        <v>0</v>
      </c>
      <c r="AO92" s="48">
        <v>0</v>
      </c>
      <c r="AP92" s="48">
        <v>0</v>
      </c>
      <c r="AQ92" s="48">
        <v>0</v>
      </c>
      <c r="AR92" s="48">
        <v>0</v>
      </c>
      <c r="AS92" s="48">
        <v>0</v>
      </c>
      <c r="AT92" s="48">
        <v>0</v>
      </c>
      <c r="AU92" s="48">
        <v>0</v>
      </c>
      <c r="AV92" s="48">
        <v>0</v>
      </c>
      <c r="AW92" s="48">
        <v>0</v>
      </c>
      <c r="AX92" s="48">
        <v>0</v>
      </c>
      <c r="AY92" s="48">
        <v>0</v>
      </c>
      <c r="AZ92" s="48">
        <v>0</v>
      </c>
      <c r="BA92" s="48">
        <v>0</v>
      </c>
      <c r="BB92" s="48">
        <v>0</v>
      </c>
      <c r="BC92" s="48">
        <v>0</v>
      </c>
      <c r="BD92" s="48">
        <v>0</v>
      </c>
      <c r="BE92" s="48">
        <v>0</v>
      </c>
      <c r="BF92" s="48">
        <v>0</v>
      </c>
      <c r="BG92" s="48">
        <v>0</v>
      </c>
      <c r="BH92" s="48">
        <v>0</v>
      </c>
      <c r="BI92" s="48">
        <v>0</v>
      </c>
      <c r="BJ92" s="48">
        <v>0</v>
      </c>
      <c r="BK92" s="48">
        <v>0</v>
      </c>
      <c r="BL92" s="48">
        <v>0</v>
      </c>
      <c r="BM92" s="48">
        <v>0</v>
      </c>
      <c r="BN92" s="48">
        <v>0</v>
      </c>
      <c r="BO92" s="48">
        <v>0</v>
      </c>
      <c r="BP92" s="48">
        <v>0</v>
      </c>
      <c r="BQ92" s="48">
        <v>0</v>
      </c>
      <c r="BR92" s="48">
        <v>0</v>
      </c>
      <c r="BS92" s="48">
        <v>0</v>
      </c>
      <c r="BT92" s="48">
        <v>0</v>
      </c>
      <c r="BU92" s="48">
        <v>0</v>
      </c>
      <c r="BV92" s="48">
        <v>0</v>
      </c>
      <c r="BW92" s="48">
        <v>0</v>
      </c>
      <c r="BX92" s="48">
        <v>0</v>
      </c>
      <c r="BY92" s="48">
        <v>0</v>
      </c>
      <c r="BZ92" s="48">
        <v>0</v>
      </c>
      <c r="CA92" s="48">
        <v>0</v>
      </c>
      <c r="CB92" s="48">
        <v>0</v>
      </c>
      <c r="CC92" s="48">
        <v>0</v>
      </c>
      <c r="CD92" s="48">
        <v>0</v>
      </c>
      <c r="CE92" s="48">
        <v>0</v>
      </c>
      <c r="CF92" s="48">
        <v>0</v>
      </c>
      <c r="CG92" s="48">
        <v>0</v>
      </c>
      <c r="CH92" s="48">
        <v>0</v>
      </c>
      <c r="CI92" s="48">
        <v>1492.2043982080197</v>
      </c>
      <c r="CJ92" s="48">
        <v>40.024706804416937</v>
      </c>
      <c r="CK92" s="48">
        <v>0</v>
      </c>
      <c r="CL92" s="48">
        <v>936.05455616403469</v>
      </c>
      <c r="CM92" s="48">
        <v>1.6164097288444049E-2</v>
      </c>
      <c r="CN92" s="48">
        <v>141.18815824830003</v>
      </c>
      <c r="CO92" s="48">
        <v>0</v>
      </c>
      <c r="CP92" s="48">
        <v>0</v>
      </c>
      <c r="CQ92" s="48">
        <v>0</v>
      </c>
      <c r="CR92" s="48">
        <v>0</v>
      </c>
      <c r="CS92" s="48">
        <v>0</v>
      </c>
      <c r="CT92" s="48">
        <v>0</v>
      </c>
      <c r="CU92" s="48">
        <v>0.56592282604172195</v>
      </c>
      <c r="CV92" s="48">
        <v>1.3264972299160149</v>
      </c>
      <c r="CW92" s="48">
        <v>0</v>
      </c>
      <c r="CX92" s="48">
        <v>4.2891051590423208</v>
      </c>
      <c r="CY92" s="48">
        <v>0</v>
      </c>
      <c r="CZ92" s="48">
        <v>0</v>
      </c>
      <c r="DA92" s="48">
        <v>1.9418941362985123E-2</v>
      </c>
      <c r="DB92" s="48">
        <v>0</v>
      </c>
      <c r="DC92" s="48">
        <v>0</v>
      </c>
      <c r="DD92" s="48">
        <v>0</v>
      </c>
      <c r="DE92" s="48">
        <v>0</v>
      </c>
      <c r="DF92" s="48">
        <v>0</v>
      </c>
      <c r="DG92" s="48">
        <v>0</v>
      </c>
      <c r="DH92" s="48">
        <v>0</v>
      </c>
      <c r="DI92" s="48">
        <v>0</v>
      </c>
      <c r="DJ92" s="48">
        <v>1268.4926390583253</v>
      </c>
      <c r="DK92" s="48">
        <v>0</v>
      </c>
      <c r="DL92" s="48">
        <v>21061.405702251785</v>
      </c>
      <c r="DM92" s="48">
        <v>0</v>
      </c>
      <c r="DN92" s="48">
        <v>0</v>
      </c>
      <c r="DO92" s="48">
        <v>0</v>
      </c>
      <c r="DP92" s="48">
        <v>0</v>
      </c>
      <c r="DQ92" s="48">
        <v>0</v>
      </c>
      <c r="DR92" s="48">
        <v>1.2361970457667184E-7</v>
      </c>
      <c r="DS92" s="48">
        <v>0</v>
      </c>
      <c r="DT92" s="48">
        <v>0</v>
      </c>
      <c r="DU92" s="48">
        <v>0</v>
      </c>
      <c r="DV92" s="48">
        <v>0</v>
      </c>
      <c r="DW92" s="48">
        <v>0</v>
      </c>
      <c r="DX92" s="48">
        <v>0</v>
      </c>
      <c r="DY92" s="48">
        <v>4.7192150044373982E-13</v>
      </c>
      <c r="DZ92" s="48">
        <v>0</v>
      </c>
      <c r="EA92" s="48">
        <v>0</v>
      </c>
      <c r="EB92" s="48">
        <v>1.3136520473200406E-6</v>
      </c>
      <c r="EC92" s="48">
        <v>3.7993846067972594E-8</v>
      </c>
      <c r="ED92" s="48">
        <v>0</v>
      </c>
      <c r="EE92" s="48">
        <v>0</v>
      </c>
      <c r="EF92" s="48">
        <v>0</v>
      </c>
      <c r="EG92" s="48">
        <v>0</v>
      </c>
      <c r="EH92" s="48">
        <v>0</v>
      </c>
      <c r="EI92" s="48">
        <v>1.3951185437595553E-3</v>
      </c>
      <c r="EJ92" s="48">
        <v>2.59241317143598E-2</v>
      </c>
      <c r="EK92" s="48">
        <v>0</v>
      </c>
      <c r="EL92" s="48">
        <v>0</v>
      </c>
      <c r="EM92" s="48">
        <v>0</v>
      </c>
      <c r="EN92" s="48">
        <v>0</v>
      </c>
      <c r="EO92" s="48">
        <v>0</v>
      </c>
      <c r="EP92" s="48">
        <v>0</v>
      </c>
      <c r="EQ92" s="48">
        <v>0</v>
      </c>
      <c r="ER92" s="48">
        <v>3.2785247193044369E-8</v>
      </c>
      <c r="ES92" s="48">
        <v>5.7330094936184987E-10</v>
      </c>
      <c r="ET92" s="48">
        <v>0</v>
      </c>
      <c r="EU92" s="48">
        <v>0</v>
      </c>
      <c r="EV92" s="48">
        <v>0</v>
      </c>
      <c r="EW92" s="48">
        <v>4.0812042203561283E-8</v>
      </c>
      <c r="EX92" s="48">
        <v>0</v>
      </c>
      <c r="EY92" s="48">
        <v>9.911429059329939E-6</v>
      </c>
      <c r="EZ92" s="48">
        <v>0</v>
      </c>
      <c r="FA92" s="48">
        <v>8.3074022064652319E-12</v>
      </c>
      <c r="FB92" s="48">
        <v>2.2775283238429997E-13</v>
      </c>
      <c r="FC92" s="48">
        <v>0</v>
      </c>
      <c r="FD92" s="48">
        <v>0</v>
      </c>
      <c r="FE92" s="48">
        <v>0</v>
      </c>
      <c r="FF92" s="48">
        <v>0</v>
      </c>
      <c r="FG92" s="48">
        <v>0</v>
      </c>
      <c r="FH92" s="48">
        <v>0</v>
      </c>
      <c r="FI92" s="48">
        <v>0</v>
      </c>
      <c r="FJ92" s="48">
        <v>0</v>
      </c>
      <c r="FK92" s="48">
        <v>0</v>
      </c>
      <c r="FL92" s="48">
        <v>0</v>
      </c>
      <c r="FM92" s="48">
        <v>4.3439352726489117E-8</v>
      </c>
      <c r="FN92" s="48">
        <v>0</v>
      </c>
      <c r="FO92" s="48">
        <v>0</v>
      </c>
      <c r="FP92" s="48">
        <v>1.8487361189877178E-6</v>
      </c>
      <c r="FQ92" s="48">
        <v>0</v>
      </c>
      <c r="FR92" s="48">
        <v>0</v>
      </c>
      <c r="FS92" s="48">
        <v>0</v>
      </c>
      <c r="FT92" s="48">
        <v>0</v>
      </c>
      <c r="FU92" s="48">
        <v>0</v>
      </c>
      <c r="FV92" s="48">
        <v>1.5428413538394425E-12</v>
      </c>
      <c r="FW92" s="48">
        <v>0</v>
      </c>
      <c r="FX92" s="48">
        <v>0</v>
      </c>
      <c r="FY92" s="48">
        <v>0</v>
      </c>
      <c r="FZ92" s="48">
        <v>0</v>
      </c>
      <c r="GA92" s="48">
        <v>0</v>
      </c>
      <c r="GB92" s="48">
        <v>0</v>
      </c>
      <c r="GC92" s="48">
        <v>0</v>
      </c>
      <c r="GD92" s="48">
        <v>0</v>
      </c>
      <c r="GE92" s="48">
        <v>667.7470769349992</v>
      </c>
      <c r="GF92" s="48">
        <v>9617.9417117111407</v>
      </c>
      <c r="GG92" s="48">
        <v>0</v>
      </c>
      <c r="GH92" s="48">
        <v>0</v>
      </c>
      <c r="GI92" s="48">
        <v>0</v>
      </c>
      <c r="GJ92" s="48">
        <v>0</v>
      </c>
      <c r="GK92" s="48">
        <v>0</v>
      </c>
      <c r="GL92" s="48">
        <v>0</v>
      </c>
      <c r="GM92" s="48">
        <v>0</v>
      </c>
      <c r="GN92" s="48">
        <v>0</v>
      </c>
      <c r="GO92" s="48">
        <v>0</v>
      </c>
      <c r="GP92" s="48">
        <v>0</v>
      </c>
      <c r="GQ92" s="48">
        <v>0</v>
      </c>
      <c r="GR92" s="48">
        <v>0</v>
      </c>
      <c r="GS92" s="48">
        <v>0</v>
      </c>
      <c r="GT92" s="48">
        <v>0</v>
      </c>
      <c r="GU92" s="48">
        <v>0</v>
      </c>
      <c r="GV92" s="48">
        <v>0</v>
      </c>
      <c r="GW92" s="48">
        <v>0</v>
      </c>
      <c r="GX92" s="48">
        <v>0</v>
      </c>
      <c r="GY92" s="48">
        <v>0</v>
      </c>
      <c r="GZ92" s="48">
        <v>0</v>
      </c>
      <c r="HA92" s="48">
        <v>0</v>
      </c>
      <c r="HB92" s="48">
        <v>0</v>
      </c>
      <c r="HC92" s="48">
        <v>0</v>
      </c>
      <c r="HD92" s="48">
        <v>0</v>
      </c>
      <c r="HE92" s="48">
        <v>0</v>
      </c>
      <c r="HF92" s="48">
        <v>0</v>
      </c>
      <c r="HG92" s="48">
        <v>0</v>
      </c>
      <c r="HH92" s="48">
        <v>0</v>
      </c>
      <c r="HI92" s="48">
        <v>0</v>
      </c>
      <c r="HJ92" s="48">
        <v>0</v>
      </c>
      <c r="HK92" s="48">
        <v>0</v>
      </c>
      <c r="HL92" s="48">
        <v>0</v>
      </c>
      <c r="HM92" s="48">
        <v>0</v>
      </c>
      <c r="HN92" s="48">
        <v>0</v>
      </c>
      <c r="HO92" s="48">
        <v>0</v>
      </c>
      <c r="HP92" s="48">
        <v>0</v>
      </c>
      <c r="HQ92" s="48">
        <v>0</v>
      </c>
      <c r="HR92" s="48">
        <v>0</v>
      </c>
      <c r="HS92" s="48">
        <v>0</v>
      </c>
      <c r="HT92" s="48">
        <v>0</v>
      </c>
      <c r="HU92" s="48">
        <v>0</v>
      </c>
      <c r="HV92" s="48">
        <v>0</v>
      </c>
      <c r="HW92" s="48">
        <v>0</v>
      </c>
      <c r="HX92" s="48">
        <v>672.94065650990126</v>
      </c>
      <c r="HY92" s="48">
        <v>570.28948591528842</v>
      </c>
      <c r="HZ92" s="48">
        <v>845.64633314345122</v>
      </c>
      <c r="IA92" s="48">
        <v>238.37932538156946</v>
      </c>
      <c r="IB92" s="48">
        <v>12.350489232231686</v>
      </c>
      <c r="IC92" s="48">
        <v>0</v>
      </c>
      <c r="ID92" s="48">
        <v>0</v>
      </c>
      <c r="IE92" s="48">
        <v>0</v>
      </c>
      <c r="IF92" s="48">
        <v>0</v>
      </c>
      <c r="IG92" s="48">
        <v>4492.9704662614013</v>
      </c>
      <c r="IH92" s="48">
        <v>104.38045705195516</v>
      </c>
      <c r="II92" s="48">
        <v>94.929909425109585</v>
      </c>
      <c r="IJ92" s="48">
        <v>0</v>
      </c>
      <c r="IK92" s="48">
        <v>2958.046958031161</v>
      </c>
      <c r="IL92" s="48">
        <v>0</v>
      </c>
      <c r="IM92" s="48">
        <v>444.62591228379625</v>
      </c>
      <c r="IN92" s="48">
        <v>0</v>
      </c>
      <c r="IO92" s="48">
        <v>0</v>
      </c>
      <c r="IP92" s="23">
        <v>45665.863383473843</v>
      </c>
      <c r="IQ92" s="25">
        <v>383464</v>
      </c>
      <c r="IR92" s="25">
        <v>0</v>
      </c>
      <c r="IS92" s="26">
        <v>0</v>
      </c>
      <c r="IT92" s="26">
        <v>0</v>
      </c>
      <c r="IU92" s="26">
        <v>0</v>
      </c>
      <c r="IV92" s="9">
        <v>115</v>
      </c>
      <c r="IW92" s="38">
        <f t="shared" si="5"/>
        <v>429244.86338347383</v>
      </c>
    </row>
    <row r="93" spans="1:257" ht="30" customHeight="1" x14ac:dyDescent="0.25">
      <c r="A93" s="112" t="b">
        <v>0</v>
      </c>
      <c r="B93" s="113" t="b">
        <f>IFERROR(VLOOKUP(C93,'Bridge matrix'!$D$3:$E$727,2,FALSE)='symmetric IOT 245 2012'!D93,"FALSCH")</f>
        <v>1</v>
      </c>
      <c r="C93" s="108">
        <v>87</v>
      </c>
      <c r="D93" s="49" t="s">
        <v>1406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91.182907587610828</v>
      </c>
      <c r="CJ93" s="48">
        <v>81.933709801917388</v>
      </c>
      <c r="CK93" s="48">
        <v>7.9346316213914019</v>
      </c>
      <c r="CL93" s="48">
        <v>52.264483053862428</v>
      </c>
      <c r="CM93" s="48">
        <v>32.719582675928734</v>
      </c>
      <c r="CN93" s="48">
        <v>1.3698730968636528</v>
      </c>
      <c r="CO93" s="48">
        <v>0</v>
      </c>
      <c r="CP93" s="48">
        <v>0</v>
      </c>
      <c r="CQ93" s="48">
        <v>0</v>
      </c>
      <c r="CR93" s="48">
        <v>0</v>
      </c>
      <c r="CS93" s="48">
        <v>0</v>
      </c>
      <c r="CT93" s="48">
        <v>1.8024572994357162E-3</v>
      </c>
      <c r="CU93" s="48">
        <v>5.5276893920308434E-2</v>
      </c>
      <c r="CV93" s="48">
        <v>0.12956542091124407</v>
      </c>
      <c r="CW93" s="48">
        <v>0</v>
      </c>
      <c r="CX93" s="48">
        <v>1.6776955735501589E-4</v>
      </c>
      <c r="CY93" s="48">
        <v>0</v>
      </c>
      <c r="CZ93" s="48">
        <v>0</v>
      </c>
      <c r="DA93" s="48">
        <v>1.8967442169935346E-3</v>
      </c>
      <c r="DB93" s="48">
        <v>0</v>
      </c>
      <c r="DC93" s="48">
        <v>8.0722810086835003E-4</v>
      </c>
      <c r="DD93" s="48">
        <v>143.45421115989308</v>
      </c>
      <c r="DE93" s="48">
        <v>0</v>
      </c>
      <c r="DF93" s="48">
        <v>0</v>
      </c>
      <c r="DG93" s="48">
        <v>0</v>
      </c>
      <c r="DH93" s="48">
        <v>0</v>
      </c>
      <c r="DI93" s="48">
        <v>0</v>
      </c>
      <c r="DJ93" s="48">
        <v>0</v>
      </c>
      <c r="DK93" s="48">
        <v>0</v>
      </c>
      <c r="DL93" s="48">
        <v>2057.1718468467411</v>
      </c>
      <c r="DM93" s="48">
        <v>0</v>
      </c>
      <c r="DN93" s="48">
        <v>0</v>
      </c>
      <c r="DO93" s="48">
        <v>0</v>
      </c>
      <c r="DP93" s="48">
        <v>0</v>
      </c>
      <c r="DQ93" s="48">
        <v>0</v>
      </c>
      <c r="DR93" s="48">
        <v>2.6895987462444319E-2</v>
      </c>
      <c r="DS93" s="48">
        <v>0</v>
      </c>
      <c r="DT93" s="48">
        <v>0</v>
      </c>
      <c r="DU93" s="48">
        <v>0</v>
      </c>
      <c r="DV93" s="48">
        <v>0</v>
      </c>
      <c r="DW93" s="48">
        <v>0</v>
      </c>
      <c r="DX93" s="48">
        <v>0</v>
      </c>
      <c r="DY93" s="48">
        <v>0</v>
      </c>
      <c r="DZ93" s="48">
        <v>0</v>
      </c>
      <c r="EA93" s="48">
        <v>0</v>
      </c>
      <c r="EB93" s="48">
        <v>0.28581069613861032</v>
      </c>
      <c r="EC93" s="48">
        <v>8.2661577342221879E-3</v>
      </c>
      <c r="ED93" s="48">
        <v>0</v>
      </c>
      <c r="EE93" s="48">
        <v>0</v>
      </c>
      <c r="EF93" s="48">
        <v>0</v>
      </c>
      <c r="EG93" s="48">
        <v>0</v>
      </c>
      <c r="EH93" s="48">
        <v>0</v>
      </c>
      <c r="EI93" s="48">
        <v>9.0411272575808549E-5</v>
      </c>
      <c r="EJ93" s="48">
        <v>2.5321357343069599E-3</v>
      </c>
      <c r="EK93" s="48">
        <v>0</v>
      </c>
      <c r="EL93" s="48">
        <v>0</v>
      </c>
      <c r="EM93" s="48">
        <v>0</v>
      </c>
      <c r="EN93" s="48">
        <v>0</v>
      </c>
      <c r="EO93" s="48">
        <v>0</v>
      </c>
      <c r="EP93" s="48">
        <v>0</v>
      </c>
      <c r="EQ93" s="48">
        <v>0</v>
      </c>
      <c r="ER93" s="48">
        <v>7.1189768030469501E-3</v>
      </c>
      <c r="ES93" s="48">
        <v>1.2473255276611162E-4</v>
      </c>
      <c r="ET93" s="48">
        <v>0</v>
      </c>
      <c r="EU93" s="48">
        <v>0</v>
      </c>
      <c r="EV93" s="48">
        <v>0</v>
      </c>
      <c r="EW93" s="48">
        <v>0</v>
      </c>
      <c r="EX93" s="48">
        <v>7.1489874619434485E-2</v>
      </c>
      <c r="EY93" s="48">
        <v>6.7221675722909383E-6</v>
      </c>
      <c r="EZ93" s="48">
        <v>0</v>
      </c>
      <c r="FA93" s="48">
        <v>0</v>
      </c>
      <c r="FB93" s="48">
        <v>0</v>
      </c>
      <c r="FC93" s="48">
        <v>0</v>
      </c>
      <c r="FD93" s="48">
        <v>6.0103921899186265E-2</v>
      </c>
      <c r="FE93" s="48">
        <v>0</v>
      </c>
      <c r="FF93" s="48">
        <v>0</v>
      </c>
      <c r="FG93" s="48">
        <v>3.3337512915653789E-3</v>
      </c>
      <c r="FH93" s="48">
        <v>0</v>
      </c>
      <c r="FI93" s="48">
        <v>0</v>
      </c>
      <c r="FJ93" s="48">
        <v>0</v>
      </c>
      <c r="FK93" s="48">
        <v>0</v>
      </c>
      <c r="FL93" s="48">
        <v>0</v>
      </c>
      <c r="FM93" s="48">
        <v>9.4477221908088414E-3</v>
      </c>
      <c r="FN93" s="48">
        <v>0</v>
      </c>
      <c r="FO93" s="48">
        <v>0</v>
      </c>
      <c r="FP93" s="48">
        <v>0.44351148765711029</v>
      </c>
      <c r="FQ93" s="48">
        <v>0</v>
      </c>
      <c r="FR93" s="48">
        <v>0</v>
      </c>
      <c r="FS93" s="48">
        <v>0</v>
      </c>
      <c r="FT93" s="48">
        <v>0</v>
      </c>
      <c r="FU93" s="48">
        <v>560.28161112240571</v>
      </c>
      <c r="FV93" s="48">
        <v>0</v>
      </c>
      <c r="FW93" s="48">
        <v>0</v>
      </c>
      <c r="FX93" s="48">
        <v>0</v>
      </c>
      <c r="FY93" s="48">
        <v>0</v>
      </c>
      <c r="FZ93" s="48">
        <v>0</v>
      </c>
      <c r="GA93" s="48">
        <v>0</v>
      </c>
      <c r="GB93" s="48">
        <v>0</v>
      </c>
      <c r="GC93" s="48">
        <v>0</v>
      </c>
      <c r="GD93" s="48">
        <v>0</v>
      </c>
      <c r="GE93" s="48">
        <v>456.1560182326844</v>
      </c>
      <c r="GF93" s="48">
        <v>33053.187415705979</v>
      </c>
      <c r="GG93" s="48">
        <v>0</v>
      </c>
      <c r="GH93" s="48">
        <v>0</v>
      </c>
      <c r="GI93" s="48">
        <v>0</v>
      </c>
      <c r="GJ93" s="48">
        <v>0</v>
      </c>
      <c r="GK93" s="48">
        <v>0</v>
      </c>
      <c r="GL93" s="48">
        <v>0</v>
      </c>
      <c r="GM93" s="48">
        <v>0</v>
      </c>
      <c r="GN93" s="48">
        <v>0</v>
      </c>
      <c r="GO93" s="48">
        <v>0</v>
      </c>
      <c r="GP93" s="48">
        <v>0</v>
      </c>
      <c r="GQ93" s="48">
        <v>0</v>
      </c>
      <c r="GR93" s="48">
        <v>0</v>
      </c>
      <c r="GS93" s="48">
        <v>0</v>
      </c>
      <c r="GT93" s="48">
        <v>0</v>
      </c>
      <c r="GU93" s="48">
        <v>0</v>
      </c>
      <c r="GV93" s="48">
        <v>0</v>
      </c>
      <c r="GW93" s="48">
        <v>0</v>
      </c>
      <c r="GX93" s="48">
        <v>0</v>
      </c>
      <c r="GY93" s="48">
        <v>0</v>
      </c>
      <c r="GZ93" s="48">
        <v>0</v>
      </c>
      <c r="HA93" s="48">
        <v>0</v>
      </c>
      <c r="HB93" s="48">
        <v>0</v>
      </c>
      <c r="HC93" s="48">
        <v>0</v>
      </c>
      <c r="HD93" s="48">
        <v>0</v>
      </c>
      <c r="HE93" s="48">
        <v>0</v>
      </c>
      <c r="HF93" s="48">
        <v>0</v>
      </c>
      <c r="HG93" s="48">
        <v>0</v>
      </c>
      <c r="HH93" s="48">
        <v>0</v>
      </c>
      <c r="HI93" s="48">
        <v>0</v>
      </c>
      <c r="HJ93" s="48">
        <v>0</v>
      </c>
      <c r="HK93" s="48">
        <v>0</v>
      </c>
      <c r="HL93" s="48">
        <v>0</v>
      </c>
      <c r="HM93" s="48">
        <v>0</v>
      </c>
      <c r="HN93" s="48">
        <v>0</v>
      </c>
      <c r="HO93" s="48">
        <v>0</v>
      </c>
      <c r="HP93" s="48">
        <v>0</v>
      </c>
      <c r="HQ93" s="48">
        <v>0</v>
      </c>
      <c r="HR93" s="48">
        <v>0</v>
      </c>
      <c r="HS93" s="48">
        <v>0</v>
      </c>
      <c r="HT93" s="48">
        <v>0</v>
      </c>
      <c r="HU93" s="48">
        <v>0</v>
      </c>
      <c r="HV93" s="48">
        <v>0</v>
      </c>
      <c r="HW93" s="48">
        <v>0</v>
      </c>
      <c r="HX93" s="48">
        <v>0</v>
      </c>
      <c r="HY93" s="48">
        <v>0</v>
      </c>
      <c r="HZ93" s="48">
        <v>0</v>
      </c>
      <c r="IA93" s="48">
        <v>0</v>
      </c>
      <c r="IB93" s="48">
        <v>0</v>
      </c>
      <c r="IC93" s="48">
        <v>0</v>
      </c>
      <c r="ID93" s="48">
        <v>0</v>
      </c>
      <c r="IE93" s="48">
        <v>0</v>
      </c>
      <c r="IF93" s="48">
        <v>0</v>
      </c>
      <c r="IG93" s="48">
        <v>0</v>
      </c>
      <c r="IH93" s="48">
        <v>0</v>
      </c>
      <c r="II93" s="48">
        <v>0</v>
      </c>
      <c r="IJ93" s="48">
        <v>110.56241121239408</v>
      </c>
      <c r="IK93" s="48">
        <v>0.6730487906050987</v>
      </c>
      <c r="IL93" s="48">
        <v>0</v>
      </c>
      <c r="IM93" s="48">
        <v>0</v>
      </c>
      <c r="IN93" s="48">
        <v>0</v>
      </c>
      <c r="IO93" s="48">
        <v>0</v>
      </c>
      <c r="IP93" s="23">
        <v>36649.999999999804</v>
      </c>
      <c r="IQ93" s="25">
        <v>235613</v>
      </c>
      <c r="IR93" s="25">
        <v>0</v>
      </c>
      <c r="IS93" s="26">
        <v>0</v>
      </c>
      <c r="IT93" s="26">
        <v>0</v>
      </c>
      <c r="IU93" s="26">
        <v>0</v>
      </c>
      <c r="IV93" s="9">
        <v>180</v>
      </c>
      <c r="IW93" s="38">
        <f t="shared" si="5"/>
        <v>272442.99999999983</v>
      </c>
    </row>
    <row r="94" spans="1:257" ht="30" customHeight="1" x14ac:dyDescent="0.25">
      <c r="A94" s="112" t="b">
        <v>0</v>
      </c>
      <c r="B94" s="113" t="b">
        <f>IFERROR(VLOOKUP(C94,'Bridge matrix'!$D$3:$E$727,2,FALSE)='symmetric IOT 245 2012'!D94,"FALSCH")</f>
        <v>1</v>
      </c>
      <c r="C94" s="108">
        <v>88</v>
      </c>
      <c r="D94" s="96" t="s">
        <v>1407</v>
      </c>
      <c r="E94" s="48">
        <v>0</v>
      </c>
      <c r="F94" s="48">
        <v>0</v>
      </c>
      <c r="G94" s="48">
        <v>0</v>
      </c>
      <c r="H94" s="48">
        <v>0</v>
      </c>
      <c r="I94" s="48">
        <v>0</v>
      </c>
      <c r="J94" s="48">
        <v>0</v>
      </c>
      <c r="K94" s="48">
        <v>0</v>
      </c>
      <c r="L94" s="48">
        <v>0</v>
      </c>
      <c r="M94" s="48">
        <v>0</v>
      </c>
      <c r="N94" s="48">
        <v>0</v>
      </c>
      <c r="O94" s="48">
        <v>0</v>
      </c>
      <c r="P94" s="48">
        <v>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  <c r="CM94" s="48">
        <v>0</v>
      </c>
      <c r="CN94" s="48">
        <v>0</v>
      </c>
      <c r="CO94" s="48">
        <v>0</v>
      </c>
      <c r="CP94" s="48">
        <v>0</v>
      </c>
      <c r="CQ94" s="48">
        <v>0</v>
      </c>
      <c r="CR94" s="48">
        <v>0</v>
      </c>
      <c r="CS94" s="48">
        <v>0</v>
      </c>
      <c r="CT94" s="48">
        <v>0</v>
      </c>
      <c r="CU94" s="48">
        <v>0</v>
      </c>
      <c r="CV94" s="48">
        <v>0</v>
      </c>
      <c r="CW94" s="48">
        <v>0</v>
      </c>
      <c r="CX94" s="48">
        <v>0</v>
      </c>
      <c r="CY94" s="48">
        <v>0</v>
      </c>
      <c r="CZ94" s="48">
        <v>0</v>
      </c>
      <c r="DA94" s="48">
        <v>0</v>
      </c>
      <c r="DB94" s="48">
        <v>0</v>
      </c>
      <c r="DC94" s="48">
        <v>0</v>
      </c>
      <c r="DD94" s="48">
        <v>0</v>
      </c>
      <c r="DE94" s="48">
        <v>0</v>
      </c>
      <c r="DF94" s="48">
        <v>0</v>
      </c>
      <c r="DG94" s="48">
        <v>0</v>
      </c>
      <c r="DH94" s="48">
        <v>0</v>
      </c>
      <c r="DI94" s="48">
        <v>0</v>
      </c>
      <c r="DJ94" s="48">
        <v>0</v>
      </c>
      <c r="DK94" s="48">
        <v>0</v>
      </c>
      <c r="DL94" s="48">
        <v>0</v>
      </c>
      <c r="DM94" s="48">
        <v>0</v>
      </c>
      <c r="DN94" s="48">
        <v>0</v>
      </c>
      <c r="DO94" s="48">
        <v>0</v>
      </c>
      <c r="DP94" s="48">
        <v>0</v>
      </c>
      <c r="DQ94" s="48">
        <v>0</v>
      </c>
      <c r="DR94" s="48">
        <v>0</v>
      </c>
      <c r="DS94" s="48">
        <v>0</v>
      </c>
      <c r="DT94" s="48">
        <v>0</v>
      </c>
      <c r="DU94" s="48">
        <v>0</v>
      </c>
      <c r="DV94" s="48">
        <v>0</v>
      </c>
      <c r="DW94" s="48">
        <v>0</v>
      </c>
      <c r="DX94" s="48">
        <v>0</v>
      </c>
      <c r="DY94" s="48">
        <v>0</v>
      </c>
      <c r="DZ94" s="48">
        <v>0</v>
      </c>
      <c r="EA94" s="48">
        <v>0</v>
      </c>
      <c r="EB94" s="48">
        <v>0</v>
      </c>
      <c r="EC94" s="48">
        <v>0</v>
      </c>
      <c r="ED94" s="48">
        <v>0</v>
      </c>
      <c r="EE94" s="48">
        <v>0</v>
      </c>
      <c r="EF94" s="48">
        <v>0</v>
      </c>
      <c r="EG94" s="48">
        <v>0</v>
      </c>
      <c r="EH94" s="48">
        <v>0</v>
      </c>
      <c r="EI94" s="48">
        <v>0</v>
      </c>
      <c r="EJ94" s="48">
        <v>0</v>
      </c>
      <c r="EK94" s="48">
        <v>0</v>
      </c>
      <c r="EL94" s="48">
        <v>0</v>
      </c>
      <c r="EM94" s="48">
        <v>0</v>
      </c>
      <c r="EN94" s="48">
        <v>0</v>
      </c>
      <c r="EO94" s="48">
        <v>0</v>
      </c>
      <c r="EP94" s="48">
        <v>0</v>
      </c>
      <c r="EQ94" s="48">
        <v>0</v>
      </c>
      <c r="ER94" s="48">
        <v>0</v>
      </c>
      <c r="ES94" s="48">
        <v>0</v>
      </c>
      <c r="ET94" s="48">
        <v>0</v>
      </c>
      <c r="EU94" s="48">
        <v>0</v>
      </c>
      <c r="EV94" s="48">
        <v>0</v>
      </c>
      <c r="EW94" s="48">
        <v>0</v>
      </c>
      <c r="EX94" s="48">
        <v>0</v>
      </c>
      <c r="EY94" s="48">
        <v>0</v>
      </c>
      <c r="EZ94" s="48">
        <v>0</v>
      </c>
      <c r="FA94" s="48">
        <v>0</v>
      </c>
      <c r="FB94" s="48">
        <v>0</v>
      </c>
      <c r="FC94" s="48">
        <v>0</v>
      </c>
      <c r="FD94" s="48">
        <v>0</v>
      </c>
      <c r="FE94" s="48">
        <v>0</v>
      </c>
      <c r="FF94" s="48">
        <v>0</v>
      </c>
      <c r="FG94" s="48">
        <v>0</v>
      </c>
      <c r="FH94" s="48">
        <v>0</v>
      </c>
      <c r="FI94" s="48">
        <v>0</v>
      </c>
      <c r="FJ94" s="48">
        <v>0</v>
      </c>
      <c r="FK94" s="48">
        <v>0</v>
      </c>
      <c r="FL94" s="48">
        <v>0</v>
      </c>
      <c r="FM94" s="48">
        <v>0</v>
      </c>
      <c r="FN94" s="48">
        <v>0</v>
      </c>
      <c r="FO94" s="48">
        <v>0</v>
      </c>
      <c r="FP94" s="48">
        <v>0</v>
      </c>
      <c r="FQ94" s="48">
        <v>0</v>
      </c>
      <c r="FR94" s="48">
        <v>0</v>
      </c>
      <c r="FS94" s="48">
        <v>0</v>
      </c>
      <c r="FT94" s="48">
        <v>0</v>
      </c>
      <c r="FU94" s="48">
        <v>0</v>
      </c>
      <c r="FV94" s="48">
        <v>0</v>
      </c>
      <c r="FW94" s="48">
        <v>0</v>
      </c>
      <c r="FX94" s="48">
        <v>0</v>
      </c>
      <c r="FY94" s="48">
        <v>0</v>
      </c>
      <c r="FZ94" s="48">
        <v>0</v>
      </c>
      <c r="GA94" s="48">
        <v>0</v>
      </c>
      <c r="GB94" s="48">
        <v>0</v>
      </c>
      <c r="GC94" s="48">
        <v>0</v>
      </c>
      <c r="GD94" s="48">
        <v>0</v>
      </c>
      <c r="GE94" s="48">
        <v>1248.2705304066692</v>
      </c>
      <c r="GF94" s="48">
        <v>44456.835039758895</v>
      </c>
      <c r="GG94" s="48">
        <v>0</v>
      </c>
      <c r="GH94" s="48">
        <v>0</v>
      </c>
      <c r="GI94" s="48">
        <v>0</v>
      </c>
      <c r="GJ94" s="48">
        <v>0</v>
      </c>
      <c r="GK94" s="48">
        <v>0</v>
      </c>
      <c r="GL94" s="48">
        <v>0</v>
      </c>
      <c r="GM94" s="48">
        <v>0</v>
      </c>
      <c r="GN94" s="48">
        <v>0</v>
      </c>
      <c r="GO94" s="48">
        <v>0</v>
      </c>
      <c r="GP94" s="48">
        <v>0</v>
      </c>
      <c r="GQ94" s="48">
        <v>0</v>
      </c>
      <c r="GR94" s="48">
        <v>0</v>
      </c>
      <c r="GS94" s="48">
        <v>0</v>
      </c>
      <c r="GT94" s="48">
        <v>0</v>
      </c>
      <c r="GU94" s="48">
        <v>0</v>
      </c>
      <c r="GV94" s="48">
        <v>0</v>
      </c>
      <c r="GW94" s="48">
        <v>0</v>
      </c>
      <c r="GX94" s="48">
        <v>0</v>
      </c>
      <c r="GY94" s="48">
        <v>0</v>
      </c>
      <c r="GZ94" s="48">
        <v>0</v>
      </c>
      <c r="HA94" s="48">
        <v>0</v>
      </c>
      <c r="HB94" s="48">
        <v>0</v>
      </c>
      <c r="HC94" s="48">
        <v>0</v>
      </c>
      <c r="HD94" s="48">
        <v>0</v>
      </c>
      <c r="HE94" s="48">
        <v>0</v>
      </c>
      <c r="HF94" s="48">
        <v>0</v>
      </c>
      <c r="HG94" s="48">
        <v>0</v>
      </c>
      <c r="HH94" s="48">
        <v>0</v>
      </c>
      <c r="HI94" s="48">
        <v>0</v>
      </c>
      <c r="HJ94" s="48">
        <v>0</v>
      </c>
      <c r="HK94" s="48">
        <v>0</v>
      </c>
      <c r="HL94" s="48">
        <v>0</v>
      </c>
      <c r="HM94" s="48">
        <v>0</v>
      </c>
      <c r="HN94" s="48">
        <v>0</v>
      </c>
      <c r="HO94" s="48">
        <v>0</v>
      </c>
      <c r="HP94" s="48">
        <v>0</v>
      </c>
      <c r="HQ94" s="48">
        <v>0</v>
      </c>
      <c r="HR94" s="48">
        <v>0</v>
      </c>
      <c r="HS94" s="48">
        <v>0</v>
      </c>
      <c r="HT94" s="48">
        <v>0</v>
      </c>
      <c r="HU94" s="48">
        <v>0</v>
      </c>
      <c r="HV94" s="48">
        <v>0</v>
      </c>
      <c r="HW94" s="48">
        <v>0</v>
      </c>
      <c r="HX94" s="48">
        <v>0</v>
      </c>
      <c r="HY94" s="48">
        <v>0</v>
      </c>
      <c r="HZ94" s="48">
        <v>0</v>
      </c>
      <c r="IA94" s="48">
        <v>0</v>
      </c>
      <c r="IB94" s="48">
        <v>0</v>
      </c>
      <c r="IC94" s="48">
        <v>0</v>
      </c>
      <c r="ID94" s="48">
        <v>0</v>
      </c>
      <c r="IE94" s="48">
        <v>0</v>
      </c>
      <c r="IF94" s="48">
        <v>0</v>
      </c>
      <c r="IG94" s="48">
        <v>0</v>
      </c>
      <c r="IH94" s="48">
        <v>0</v>
      </c>
      <c r="II94" s="48">
        <v>0</v>
      </c>
      <c r="IJ94" s="48">
        <v>0</v>
      </c>
      <c r="IK94" s="48">
        <v>335.90300703329399</v>
      </c>
      <c r="IL94" s="48">
        <v>0</v>
      </c>
      <c r="IM94" s="48">
        <v>47.991422800894831</v>
      </c>
      <c r="IN94" s="48">
        <v>0</v>
      </c>
      <c r="IO94" s="48">
        <v>0</v>
      </c>
      <c r="IP94" s="23">
        <v>46088.999999999753</v>
      </c>
      <c r="IQ94" s="25">
        <v>102705</v>
      </c>
      <c r="IR94" s="25">
        <v>0</v>
      </c>
      <c r="IS94" s="26">
        <v>0</v>
      </c>
      <c r="IT94" s="26">
        <v>0</v>
      </c>
      <c r="IU94" s="26">
        <v>-17701</v>
      </c>
      <c r="IV94" s="9">
        <v>1286715</v>
      </c>
      <c r="IW94" s="38">
        <f t="shared" si="5"/>
        <v>1417807.9999999998</v>
      </c>
    </row>
    <row r="95" spans="1:257" ht="30" customHeight="1" x14ac:dyDescent="0.25">
      <c r="A95" s="112" t="b">
        <v>0</v>
      </c>
      <c r="B95" s="113" t="b">
        <f>IFERROR(VLOOKUP(C95,'Bridge matrix'!$D$3:$E$727,2,FALSE)='symmetric IOT 245 2012'!D95,"FALSCH")</f>
        <v>1</v>
      </c>
      <c r="C95" s="108">
        <v>89</v>
      </c>
      <c r="D95" s="96" t="s">
        <v>1408</v>
      </c>
      <c r="E95" s="48">
        <v>0</v>
      </c>
      <c r="F95" s="48">
        <v>0</v>
      </c>
      <c r="G95" s="48">
        <v>0</v>
      </c>
      <c r="H95" s="48">
        <v>0</v>
      </c>
      <c r="I95" s="48">
        <v>0</v>
      </c>
      <c r="J95" s="48">
        <v>0</v>
      </c>
      <c r="K95" s="48">
        <v>0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1069.5158894921667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1547.9077059502156</v>
      </c>
      <c r="CM95" s="48">
        <v>0</v>
      </c>
      <c r="CN95" s="48">
        <v>0</v>
      </c>
      <c r="CO95" s="48">
        <v>0</v>
      </c>
      <c r="CP95" s="48">
        <v>0</v>
      </c>
      <c r="CQ95" s="48">
        <v>0</v>
      </c>
      <c r="CR95" s="48">
        <v>17722.532091174424</v>
      </c>
      <c r="CS95" s="48">
        <v>0</v>
      </c>
      <c r="CT95" s="48">
        <v>0</v>
      </c>
      <c r="CU95" s="48">
        <v>0</v>
      </c>
      <c r="CV95" s="48">
        <v>0</v>
      </c>
      <c r="CW95" s="48">
        <v>0</v>
      </c>
      <c r="CX95" s="48">
        <v>0</v>
      </c>
      <c r="CY95" s="48">
        <v>0</v>
      </c>
      <c r="CZ95" s="48">
        <v>1.5022409586331475E-4</v>
      </c>
      <c r="DA95" s="48">
        <v>0</v>
      </c>
      <c r="DB95" s="48">
        <v>0</v>
      </c>
      <c r="DC95" s="48">
        <v>0</v>
      </c>
      <c r="DD95" s="48">
        <v>26.222010933704048</v>
      </c>
      <c r="DE95" s="48">
        <v>9.5797246118524773E-4</v>
      </c>
      <c r="DF95" s="48">
        <v>0</v>
      </c>
      <c r="DG95" s="48">
        <v>0</v>
      </c>
      <c r="DH95" s="48">
        <v>0</v>
      </c>
      <c r="DI95" s="48">
        <v>0</v>
      </c>
      <c r="DJ95" s="48">
        <v>62.720333849844785</v>
      </c>
      <c r="DK95" s="48">
        <v>2.820237130899109E-3</v>
      </c>
      <c r="DL95" s="48">
        <v>0</v>
      </c>
      <c r="DM95" s="48">
        <v>0</v>
      </c>
      <c r="DN95" s="48">
        <v>0</v>
      </c>
      <c r="DO95" s="48">
        <v>0</v>
      </c>
      <c r="DP95" s="48">
        <v>0</v>
      </c>
      <c r="DQ95" s="48">
        <v>0</v>
      </c>
      <c r="DR95" s="48">
        <v>0</v>
      </c>
      <c r="DS95" s="48">
        <v>0</v>
      </c>
      <c r="DT95" s="48">
        <v>0</v>
      </c>
      <c r="DU95" s="48">
        <v>0</v>
      </c>
      <c r="DV95" s="48">
        <v>0</v>
      </c>
      <c r="DW95" s="48">
        <v>0</v>
      </c>
      <c r="DX95" s="48">
        <v>0</v>
      </c>
      <c r="DY95" s="48">
        <v>0</v>
      </c>
      <c r="DZ95" s="48">
        <v>0</v>
      </c>
      <c r="EA95" s="48">
        <v>0</v>
      </c>
      <c r="EB95" s="48">
        <v>0</v>
      </c>
      <c r="EC95" s="48">
        <v>0</v>
      </c>
      <c r="ED95" s="48">
        <v>0</v>
      </c>
      <c r="EE95" s="48">
        <v>0</v>
      </c>
      <c r="EF95" s="48">
        <v>0</v>
      </c>
      <c r="EG95" s="48">
        <v>0</v>
      </c>
      <c r="EH95" s="48">
        <v>0</v>
      </c>
      <c r="EI95" s="48">
        <v>0</v>
      </c>
      <c r="EJ95" s="48">
        <v>0</v>
      </c>
      <c r="EK95" s="48">
        <v>0</v>
      </c>
      <c r="EL95" s="48">
        <v>8.9032004694541297E-10</v>
      </c>
      <c r="EM95" s="48">
        <v>1.3533026548214851E-9</v>
      </c>
      <c r="EN95" s="48">
        <v>4.0209269447132277E-5</v>
      </c>
      <c r="EO95" s="48">
        <v>0</v>
      </c>
      <c r="EP95" s="48">
        <v>2.4531157178958261E-9</v>
      </c>
      <c r="EQ95" s="48">
        <v>0</v>
      </c>
      <c r="ER95" s="48">
        <v>0</v>
      </c>
      <c r="ES95" s="48">
        <v>0</v>
      </c>
      <c r="ET95" s="48">
        <v>2.9105988369871966E-10</v>
      </c>
      <c r="EU95" s="48">
        <v>0</v>
      </c>
      <c r="EV95" s="48">
        <v>0</v>
      </c>
      <c r="EW95" s="48">
        <v>0</v>
      </c>
      <c r="EX95" s="48">
        <v>4.5930984058165695E-11</v>
      </c>
      <c r="EY95" s="48">
        <v>0</v>
      </c>
      <c r="EZ95" s="48">
        <v>0</v>
      </c>
      <c r="FA95" s="48">
        <v>0</v>
      </c>
      <c r="FB95" s="48">
        <v>0</v>
      </c>
      <c r="FC95" s="48">
        <v>0</v>
      </c>
      <c r="FD95" s="48">
        <v>2.3965142925492979E-15</v>
      </c>
      <c r="FE95" s="48">
        <v>0</v>
      </c>
      <c r="FF95" s="48">
        <v>0</v>
      </c>
      <c r="FG95" s="48">
        <v>6.1511762493087908E-16</v>
      </c>
      <c r="FH95" s="48">
        <v>4.409322948337364E-16</v>
      </c>
      <c r="FI95" s="48">
        <v>6.8287127712786666E-16</v>
      </c>
      <c r="FJ95" s="48">
        <v>0</v>
      </c>
      <c r="FK95" s="48">
        <v>0</v>
      </c>
      <c r="FL95" s="48">
        <v>0</v>
      </c>
      <c r="FM95" s="48">
        <v>0</v>
      </c>
      <c r="FN95" s="48">
        <v>0</v>
      </c>
      <c r="FO95" s="48">
        <v>0</v>
      </c>
      <c r="FP95" s="48">
        <v>0</v>
      </c>
      <c r="FQ95" s="48">
        <v>3.9710298446777117E-16</v>
      </c>
      <c r="FR95" s="48">
        <v>1.175989605422064E-16</v>
      </c>
      <c r="FS95" s="48">
        <v>0</v>
      </c>
      <c r="FT95" s="48">
        <v>3.2031659699089171E-17</v>
      </c>
      <c r="FU95" s="48">
        <v>0</v>
      </c>
      <c r="FV95" s="48">
        <v>0</v>
      </c>
      <c r="FW95" s="48">
        <v>0</v>
      </c>
      <c r="FX95" s="48">
        <v>0</v>
      </c>
      <c r="FY95" s="48">
        <v>0</v>
      </c>
      <c r="FZ95" s="48">
        <v>0</v>
      </c>
      <c r="GA95" s="48">
        <v>0</v>
      </c>
      <c r="GB95" s="48">
        <v>0</v>
      </c>
      <c r="GC95" s="48">
        <v>0</v>
      </c>
      <c r="GD95" s="48">
        <v>0</v>
      </c>
      <c r="GE95" s="48">
        <v>9241.4964857607811</v>
      </c>
      <c r="GF95" s="48">
        <v>100665.69084025759</v>
      </c>
      <c r="GG95" s="48">
        <v>0</v>
      </c>
      <c r="GH95" s="48">
        <v>0</v>
      </c>
      <c r="GI95" s="48">
        <v>0</v>
      </c>
      <c r="GJ95" s="48">
        <v>0</v>
      </c>
      <c r="GK95" s="48">
        <v>0</v>
      </c>
      <c r="GL95" s="48">
        <v>0</v>
      </c>
      <c r="GM95" s="48">
        <v>0</v>
      </c>
      <c r="GN95" s="48">
        <v>0</v>
      </c>
      <c r="GO95" s="48">
        <v>0</v>
      </c>
      <c r="GP95" s="48">
        <v>0</v>
      </c>
      <c r="GQ95" s="48">
        <v>0</v>
      </c>
      <c r="GR95" s="48">
        <v>0</v>
      </c>
      <c r="GS95" s="48">
        <v>0</v>
      </c>
      <c r="GT95" s="48">
        <v>2.9243356910705782E-19</v>
      </c>
      <c r="GU95" s="48">
        <v>0</v>
      </c>
      <c r="GV95" s="48">
        <v>0</v>
      </c>
      <c r="GW95" s="48">
        <v>0</v>
      </c>
      <c r="GX95" s="48">
        <v>4.2754508022823192E-17</v>
      </c>
      <c r="GY95" s="48">
        <v>0</v>
      </c>
      <c r="GZ95" s="48">
        <v>0</v>
      </c>
      <c r="HA95" s="48">
        <v>0</v>
      </c>
      <c r="HB95" s="48">
        <v>0</v>
      </c>
      <c r="HC95" s="48">
        <v>0</v>
      </c>
      <c r="HD95" s="48">
        <v>0</v>
      </c>
      <c r="HE95" s="48">
        <v>0</v>
      </c>
      <c r="HF95" s="48">
        <v>0</v>
      </c>
      <c r="HG95" s="48">
        <v>0</v>
      </c>
      <c r="HH95" s="48">
        <v>0</v>
      </c>
      <c r="HI95" s="48">
        <v>0</v>
      </c>
      <c r="HJ95" s="48">
        <v>0</v>
      </c>
      <c r="HK95" s="48">
        <v>0</v>
      </c>
      <c r="HL95" s="48">
        <v>0</v>
      </c>
      <c r="HM95" s="48">
        <v>0</v>
      </c>
      <c r="HN95" s="48">
        <v>0</v>
      </c>
      <c r="HO95" s="48">
        <v>0</v>
      </c>
      <c r="HP95" s="48">
        <v>0</v>
      </c>
      <c r="HQ95" s="48">
        <v>0</v>
      </c>
      <c r="HR95" s="48">
        <v>0</v>
      </c>
      <c r="HS95" s="48">
        <v>0</v>
      </c>
      <c r="HT95" s="48">
        <v>0</v>
      </c>
      <c r="HU95" s="48">
        <v>0</v>
      </c>
      <c r="HV95" s="48">
        <v>273.58582605521042</v>
      </c>
      <c r="HW95" s="48">
        <v>0</v>
      </c>
      <c r="HX95" s="48">
        <v>272.35978434297215</v>
      </c>
      <c r="HY95" s="48">
        <v>230.6660782829357</v>
      </c>
      <c r="HZ95" s="48">
        <v>341.6221511072597</v>
      </c>
      <c r="IA95" s="48">
        <v>96.346955799703522</v>
      </c>
      <c r="IB95" s="48">
        <v>5.3934483174514742</v>
      </c>
      <c r="IC95" s="48">
        <v>0</v>
      </c>
      <c r="ID95" s="48">
        <v>0</v>
      </c>
      <c r="IE95" s="48">
        <v>0</v>
      </c>
      <c r="IF95" s="48">
        <v>0</v>
      </c>
      <c r="IG95" s="48">
        <v>74.727827462050044</v>
      </c>
      <c r="IH95" s="48">
        <v>3.2800363635890935</v>
      </c>
      <c r="II95" s="48">
        <v>1.5254303133128368</v>
      </c>
      <c r="IJ95" s="48">
        <v>443.4031358880996</v>
      </c>
      <c r="IK95" s="48">
        <v>0</v>
      </c>
      <c r="IL95" s="48">
        <v>0</v>
      </c>
      <c r="IM95" s="48">
        <v>0</v>
      </c>
      <c r="IN95" s="48">
        <v>0</v>
      </c>
      <c r="IO95" s="48">
        <v>0</v>
      </c>
      <c r="IP95" s="23">
        <v>132078.9999999993</v>
      </c>
      <c r="IQ95" s="25">
        <v>54606</v>
      </c>
      <c r="IR95" s="25">
        <v>0</v>
      </c>
      <c r="IS95" s="26">
        <v>0</v>
      </c>
      <c r="IT95" s="26">
        <v>0</v>
      </c>
      <c r="IU95" s="26">
        <v>796</v>
      </c>
      <c r="IV95" s="9">
        <v>261731</v>
      </c>
      <c r="IW95" s="38">
        <f t="shared" si="5"/>
        <v>449211.9999999993</v>
      </c>
    </row>
    <row r="96" spans="1:257" ht="30" customHeight="1" x14ac:dyDescent="0.25">
      <c r="A96" s="112" t="b">
        <v>0</v>
      </c>
      <c r="B96" s="113" t="str">
        <f>IFERROR(VLOOKUP(C96,'Bridge matrix'!$D$3:$E$727,2,FALSE)='symmetric IOT 245 2012'!D96,"FALSCH")</f>
        <v>FALSCH</v>
      </c>
      <c r="C96" s="108">
        <v>90</v>
      </c>
      <c r="D96" s="49" t="s">
        <v>1409</v>
      </c>
      <c r="E96" s="48">
        <v>0</v>
      </c>
      <c r="F96" s="48">
        <v>0</v>
      </c>
      <c r="G96" s="48">
        <v>0</v>
      </c>
      <c r="H96" s="48">
        <v>0</v>
      </c>
      <c r="I96" s="48">
        <v>0</v>
      </c>
      <c r="J96" s="48">
        <v>0</v>
      </c>
      <c r="K96" s="48">
        <v>0</v>
      </c>
      <c r="L96" s="48">
        <v>0</v>
      </c>
      <c r="M96" s="48">
        <v>0</v>
      </c>
      <c r="N96" s="48">
        <v>0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48">
        <v>0</v>
      </c>
      <c r="AF96" s="48">
        <v>0</v>
      </c>
      <c r="AG96" s="48">
        <v>0</v>
      </c>
      <c r="AH96" s="48">
        <v>0</v>
      </c>
      <c r="AI96" s="48">
        <v>0</v>
      </c>
      <c r="AJ96" s="48">
        <v>0</v>
      </c>
      <c r="AK96" s="48">
        <v>0</v>
      </c>
      <c r="AL96" s="48">
        <v>0</v>
      </c>
      <c r="AM96" s="48">
        <v>0</v>
      </c>
      <c r="AN96" s="48">
        <v>0</v>
      </c>
      <c r="AO96" s="48">
        <v>0</v>
      </c>
      <c r="AP96" s="48">
        <v>0</v>
      </c>
      <c r="AQ96" s="48">
        <v>0</v>
      </c>
      <c r="AR96" s="48">
        <v>0</v>
      </c>
      <c r="AS96" s="48">
        <v>0</v>
      </c>
      <c r="AT96" s="48">
        <v>0</v>
      </c>
      <c r="AU96" s="48">
        <v>0</v>
      </c>
      <c r="AV96" s="48">
        <v>0</v>
      </c>
      <c r="AW96" s="48">
        <v>0</v>
      </c>
      <c r="AX96" s="48">
        <v>0</v>
      </c>
      <c r="AY96" s="48">
        <v>0</v>
      </c>
      <c r="AZ96" s="48">
        <v>0</v>
      </c>
      <c r="BA96" s="48">
        <v>0</v>
      </c>
      <c r="BB96" s="48">
        <v>0</v>
      </c>
      <c r="BC96" s="48">
        <v>0</v>
      </c>
      <c r="BD96" s="48">
        <v>0</v>
      </c>
      <c r="BE96" s="48">
        <v>0</v>
      </c>
      <c r="BF96" s="48">
        <v>0</v>
      </c>
      <c r="BG96" s="48">
        <v>0</v>
      </c>
      <c r="BH96" s="48">
        <v>0</v>
      </c>
      <c r="BI96" s="48">
        <v>0</v>
      </c>
      <c r="BJ96" s="48">
        <v>0</v>
      </c>
      <c r="BK96" s="48">
        <v>0</v>
      </c>
      <c r="BL96" s="48">
        <v>0</v>
      </c>
      <c r="BM96" s="48">
        <v>0</v>
      </c>
      <c r="BN96" s="48">
        <v>0</v>
      </c>
      <c r="BO96" s="48">
        <v>0</v>
      </c>
      <c r="BP96" s="48">
        <v>0</v>
      </c>
      <c r="BQ96" s="48">
        <v>0</v>
      </c>
      <c r="BR96" s="48">
        <v>0</v>
      </c>
      <c r="BS96" s="48">
        <v>0</v>
      </c>
      <c r="BT96" s="48">
        <v>0</v>
      </c>
      <c r="BU96" s="48">
        <v>0</v>
      </c>
      <c r="BV96" s="48">
        <v>0</v>
      </c>
      <c r="BW96" s="48">
        <v>0</v>
      </c>
      <c r="BX96" s="48">
        <v>0</v>
      </c>
      <c r="BY96" s="48">
        <v>0</v>
      </c>
      <c r="BZ96" s="48">
        <v>0</v>
      </c>
      <c r="CA96" s="48">
        <v>0</v>
      </c>
      <c r="CB96" s="48">
        <v>0</v>
      </c>
      <c r="CC96" s="48">
        <v>0</v>
      </c>
      <c r="CD96" s="48">
        <v>0</v>
      </c>
      <c r="CE96" s="48">
        <v>0</v>
      </c>
      <c r="CF96" s="48">
        <v>0</v>
      </c>
      <c r="CG96" s="48">
        <v>0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  <c r="CM96" s="48">
        <v>0</v>
      </c>
      <c r="CN96" s="48">
        <v>0</v>
      </c>
      <c r="CO96" s="48">
        <v>19354.555030954813</v>
      </c>
      <c r="CP96" s="48">
        <v>1880.9356999286347</v>
      </c>
      <c r="CQ96" s="48">
        <v>7345.2942380943859</v>
      </c>
      <c r="CR96" s="48">
        <v>0</v>
      </c>
      <c r="CS96" s="48">
        <v>0</v>
      </c>
      <c r="CT96" s="48">
        <v>0</v>
      </c>
      <c r="CU96" s="48">
        <v>0</v>
      </c>
      <c r="CV96" s="48">
        <v>0</v>
      </c>
      <c r="CW96" s="48">
        <v>0</v>
      </c>
      <c r="CX96" s="48">
        <v>0</v>
      </c>
      <c r="CY96" s="48">
        <v>0</v>
      </c>
      <c r="CZ96" s="48">
        <v>0</v>
      </c>
      <c r="DA96" s="48">
        <v>0</v>
      </c>
      <c r="DB96" s="48">
        <v>0</v>
      </c>
      <c r="DC96" s="48">
        <v>0</v>
      </c>
      <c r="DD96" s="48">
        <v>0</v>
      </c>
      <c r="DE96" s="48">
        <v>0</v>
      </c>
      <c r="DF96" s="48">
        <v>0</v>
      </c>
      <c r="DG96" s="48">
        <v>0</v>
      </c>
      <c r="DH96" s="48">
        <v>0</v>
      </c>
      <c r="DI96" s="48">
        <v>0</v>
      </c>
      <c r="DJ96" s="48">
        <v>0</v>
      </c>
      <c r="DK96" s="48">
        <v>0</v>
      </c>
      <c r="DL96" s="48">
        <v>0</v>
      </c>
      <c r="DM96" s="48">
        <v>0</v>
      </c>
      <c r="DN96" s="48">
        <v>0</v>
      </c>
      <c r="DO96" s="48">
        <v>0</v>
      </c>
      <c r="DP96" s="48">
        <v>0</v>
      </c>
      <c r="DQ96" s="48">
        <v>0</v>
      </c>
      <c r="DR96" s="48">
        <v>0</v>
      </c>
      <c r="DS96" s="48">
        <v>0</v>
      </c>
      <c r="DT96" s="48">
        <v>0</v>
      </c>
      <c r="DU96" s="48">
        <v>0</v>
      </c>
      <c r="DV96" s="48">
        <v>0</v>
      </c>
      <c r="DW96" s="48">
        <v>0</v>
      </c>
      <c r="DX96" s="48">
        <v>0</v>
      </c>
      <c r="DY96" s="48">
        <v>0</v>
      </c>
      <c r="DZ96" s="48">
        <v>0</v>
      </c>
      <c r="EA96" s="48">
        <v>0</v>
      </c>
      <c r="EB96" s="48">
        <v>0</v>
      </c>
      <c r="EC96" s="48">
        <v>0</v>
      </c>
      <c r="ED96" s="48">
        <v>0</v>
      </c>
      <c r="EE96" s="48">
        <v>0</v>
      </c>
      <c r="EF96" s="48">
        <v>0</v>
      </c>
      <c r="EG96" s="48">
        <v>0</v>
      </c>
      <c r="EH96" s="48">
        <v>0</v>
      </c>
      <c r="EI96" s="48">
        <v>0</v>
      </c>
      <c r="EJ96" s="48">
        <v>0</v>
      </c>
      <c r="EK96" s="48">
        <v>0</v>
      </c>
      <c r="EL96" s="48">
        <v>0</v>
      </c>
      <c r="EM96" s="48">
        <v>0</v>
      </c>
      <c r="EN96" s="48">
        <v>0</v>
      </c>
      <c r="EO96" s="48">
        <v>0</v>
      </c>
      <c r="EP96" s="48">
        <v>0</v>
      </c>
      <c r="EQ96" s="48">
        <v>0</v>
      </c>
      <c r="ER96" s="48">
        <v>0</v>
      </c>
      <c r="ES96" s="48">
        <v>0</v>
      </c>
      <c r="ET96" s="48">
        <v>0</v>
      </c>
      <c r="EU96" s="48">
        <v>0</v>
      </c>
      <c r="EV96" s="48">
        <v>0</v>
      </c>
      <c r="EW96" s="48">
        <v>0</v>
      </c>
      <c r="EX96" s="48">
        <v>0</v>
      </c>
      <c r="EY96" s="48">
        <v>0</v>
      </c>
      <c r="EZ96" s="48">
        <v>0</v>
      </c>
      <c r="FA96" s="48">
        <v>0</v>
      </c>
      <c r="FB96" s="48">
        <v>0</v>
      </c>
      <c r="FC96" s="48">
        <v>0</v>
      </c>
      <c r="FD96" s="48">
        <v>0</v>
      </c>
      <c r="FE96" s="48">
        <v>0</v>
      </c>
      <c r="FF96" s="48">
        <v>0</v>
      </c>
      <c r="FG96" s="48">
        <v>0</v>
      </c>
      <c r="FH96" s="48">
        <v>0</v>
      </c>
      <c r="FI96" s="48">
        <v>0</v>
      </c>
      <c r="FJ96" s="48">
        <v>0</v>
      </c>
      <c r="FK96" s="48">
        <v>0</v>
      </c>
      <c r="FL96" s="48">
        <v>0</v>
      </c>
      <c r="FM96" s="48">
        <v>0</v>
      </c>
      <c r="FN96" s="48">
        <v>0</v>
      </c>
      <c r="FO96" s="48">
        <v>0</v>
      </c>
      <c r="FP96" s="48">
        <v>0</v>
      </c>
      <c r="FQ96" s="48">
        <v>0</v>
      </c>
      <c r="FR96" s="48">
        <v>0</v>
      </c>
      <c r="FS96" s="48">
        <v>0</v>
      </c>
      <c r="FT96" s="48">
        <v>0</v>
      </c>
      <c r="FU96" s="48">
        <v>0</v>
      </c>
      <c r="FV96" s="48">
        <v>0</v>
      </c>
      <c r="FW96" s="48">
        <v>0</v>
      </c>
      <c r="FX96" s="48">
        <v>0</v>
      </c>
      <c r="FY96" s="48">
        <v>0</v>
      </c>
      <c r="FZ96" s="48">
        <v>0</v>
      </c>
      <c r="GA96" s="48">
        <v>0</v>
      </c>
      <c r="GB96" s="48">
        <v>0</v>
      </c>
      <c r="GC96" s="48">
        <v>0</v>
      </c>
      <c r="GD96" s="48">
        <v>0</v>
      </c>
      <c r="GE96" s="48">
        <v>30.72405356941119</v>
      </c>
      <c r="GF96" s="48">
        <v>84.490977452574199</v>
      </c>
      <c r="GG96" s="48">
        <v>0</v>
      </c>
      <c r="GH96" s="48">
        <v>0</v>
      </c>
      <c r="GI96" s="48">
        <v>0</v>
      </c>
      <c r="GJ96" s="48">
        <v>0</v>
      </c>
      <c r="GK96" s="48">
        <v>0</v>
      </c>
      <c r="GL96" s="48">
        <v>0</v>
      </c>
      <c r="GM96" s="48">
        <v>0</v>
      </c>
      <c r="GN96" s="48">
        <v>0</v>
      </c>
      <c r="GO96" s="48">
        <v>0</v>
      </c>
      <c r="GP96" s="48">
        <v>0</v>
      </c>
      <c r="GQ96" s="48">
        <v>0</v>
      </c>
      <c r="GR96" s="48">
        <v>0</v>
      </c>
      <c r="GS96" s="48">
        <v>0</v>
      </c>
      <c r="GT96" s="48">
        <v>0</v>
      </c>
      <c r="GU96" s="48">
        <v>0</v>
      </c>
      <c r="GV96" s="48">
        <v>0</v>
      </c>
      <c r="GW96" s="48">
        <v>0</v>
      </c>
      <c r="GX96" s="48">
        <v>0</v>
      </c>
      <c r="GY96" s="48">
        <v>0</v>
      </c>
      <c r="GZ96" s="48">
        <v>0</v>
      </c>
      <c r="HA96" s="48">
        <v>0</v>
      </c>
      <c r="HB96" s="48">
        <v>0</v>
      </c>
      <c r="HC96" s="48">
        <v>0</v>
      </c>
      <c r="HD96" s="48">
        <v>0</v>
      </c>
      <c r="HE96" s="48">
        <v>0</v>
      </c>
      <c r="HF96" s="48">
        <v>0</v>
      </c>
      <c r="HG96" s="48">
        <v>0</v>
      </c>
      <c r="HH96" s="48">
        <v>0</v>
      </c>
      <c r="HI96" s="48">
        <v>0</v>
      </c>
      <c r="HJ96" s="48">
        <v>0</v>
      </c>
      <c r="HK96" s="48">
        <v>0</v>
      </c>
      <c r="HL96" s="48">
        <v>0</v>
      </c>
      <c r="HM96" s="48">
        <v>0</v>
      </c>
      <c r="HN96" s="48">
        <v>0</v>
      </c>
      <c r="HO96" s="48">
        <v>0</v>
      </c>
      <c r="HP96" s="48">
        <v>0</v>
      </c>
      <c r="HQ96" s="48">
        <v>0</v>
      </c>
      <c r="HR96" s="48">
        <v>0</v>
      </c>
      <c r="HS96" s="48">
        <v>0</v>
      </c>
      <c r="HT96" s="48">
        <v>0</v>
      </c>
      <c r="HU96" s="48">
        <v>0</v>
      </c>
      <c r="HV96" s="48">
        <v>0</v>
      </c>
      <c r="HW96" s="48">
        <v>0</v>
      </c>
      <c r="HX96" s="48">
        <v>0</v>
      </c>
      <c r="HY96" s="48">
        <v>0</v>
      </c>
      <c r="HZ96" s="48">
        <v>0</v>
      </c>
      <c r="IA96" s="48">
        <v>0</v>
      </c>
      <c r="IB96" s="48">
        <v>0</v>
      </c>
      <c r="IC96" s="48">
        <v>0</v>
      </c>
      <c r="ID96" s="48">
        <v>0</v>
      </c>
      <c r="IE96" s="48">
        <v>0</v>
      </c>
      <c r="IF96" s="48">
        <v>0</v>
      </c>
      <c r="IG96" s="48">
        <v>0</v>
      </c>
      <c r="IH96" s="48">
        <v>0</v>
      </c>
      <c r="II96" s="48">
        <v>0</v>
      </c>
      <c r="IJ96" s="48">
        <v>0</v>
      </c>
      <c r="IK96" s="48">
        <v>0</v>
      </c>
      <c r="IL96" s="48">
        <v>0</v>
      </c>
      <c r="IM96" s="48">
        <v>0</v>
      </c>
      <c r="IN96" s="48">
        <v>0</v>
      </c>
      <c r="IO96" s="48">
        <v>0</v>
      </c>
      <c r="IP96" s="23">
        <v>28695.999999999818</v>
      </c>
      <c r="IQ96" s="25">
        <v>8099</v>
      </c>
      <c r="IR96" s="25">
        <v>0</v>
      </c>
      <c r="IS96" s="26">
        <v>0</v>
      </c>
      <c r="IT96" s="26">
        <v>0</v>
      </c>
      <c r="IU96" s="26">
        <v>228</v>
      </c>
      <c r="IV96" s="9">
        <v>5447</v>
      </c>
      <c r="IW96" s="38">
        <f t="shared" si="5"/>
        <v>42469.999999999818</v>
      </c>
    </row>
    <row r="97" spans="1:257" ht="30" customHeight="1" x14ac:dyDescent="0.25">
      <c r="A97" s="112" t="b">
        <v>0</v>
      </c>
      <c r="B97" s="113" t="str">
        <f>IFERROR(VLOOKUP(C97,'Bridge matrix'!$D$3:$E$727,2,FALSE)='symmetric IOT 245 2012'!D97,"FALSCH")</f>
        <v>FALSCH</v>
      </c>
      <c r="C97" s="108">
        <v>91</v>
      </c>
      <c r="D97" s="49" t="s">
        <v>1410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4.698770226378257E-5</v>
      </c>
      <c r="CJ97" s="48">
        <v>0</v>
      </c>
      <c r="CK97" s="48">
        <v>0</v>
      </c>
      <c r="CL97" s="48">
        <v>6146.2153008029936</v>
      </c>
      <c r="CM97" s="48">
        <v>9.3074503777826429E-7</v>
      </c>
      <c r="CN97" s="48">
        <v>10490.00859955456</v>
      </c>
      <c r="CO97" s="48">
        <v>0</v>
      </c>
      <c r="CP97" s="48">
        <v>0</v>
      </c>
      <c r="CQ97" s="48">
        <v>559.54469957793754</v>
      </c>
      <c r="CR97" s="48">
        <v>0</v>
      </c>
      <c r="CS97" s="48">
        <v>0</v>
      </c>
      <c r="CT97" s="48">
        <v>0</v>
      </c>
      <c r="CU97" s="48">
        <v>2.2518298775435118E-5</v>
      </c>
      <c r="CV97" s="48">
        <v>5.2781862779702799E-5</v>
      </c>
      <c r="CW97" s="48">
        <v>0</v>
      </c>
      <c r="CX97" s="48">
        <v>0</v>
      </c>
      <c r="CY97" s="48">
        <v>0</v>
      </c>
      <c r="CZ97" s="48">
        <v>0</v>
      </c>
      <c r="DA97" s="48">
        <v>7.7268755277617216E-7</v>
      </c>
      <c r="DB97" s="48">
        <v>0</v>
      </c>
      <c r="DC97" s="48">
        <v>0</v>
      </c>
      <c r="DD97" s="48">
        <v>0</v>
      </c>
      <c r="DE97" s="48">
        <v>0</v>
      </c>
      <c r="DF97" s="48">
        <v>0</v>
      </c>
      <c r="DG97" s="48">
        <v>0</v>
      </c>
      <c r="DH97" s="48">
        <v>0</v>
      </c>
      <c r="DI97" s="48">
        <v>0</v>
      </c>
      <c r="DJ97" s="48">
        <v>25056.393233110153</v>
      </c>
      <c r="DK97" s="48">
        <v>0</v>
      </c>
      <c r="DL97" s="48">
        <v>0.83804187498701976</v>
      </c>
      <c r="DM97" s="48">
        <v>0</v>
      </c>
      <c r="DN97" s="48">
        <v>0</v>
      </c>
      <c r="DO97" s="48">
        <v>0</v>
      </c>
      <c r="DP97" s="48">
        <v>0</v>
      </c>
      <c r="DQ97" s="48">
        <v>0</v>
      </c>
      <c r="DR97" s="48">
        <v>4.9188781828412977E-12</v>
      </c>
      <c r="DS97" s="48">
        <v>0</v>
      </c>
      <c r="DT97" s="48">
        <v>0</v>
      </c>
      <c r="DU97" s="48">
        <v>0</v>
      </c>
      <c r="DV97" s="48">
        <v>0</v>
      </c>
      <c r="DW97" s="48">
        <v>0</v>
      </c>
      <c r="DX97" s="48">
        <v>0</v>
      </c>
      <c r="DY97" s="48">
        <v>1.8777947904791358E-17</v>
      </c>
      <c r="DZ97" s="48">
        <v>0</v>
      </c>
      <c r="EA97" s="48">
        <v>0</v>
      </c>
      <c r="EB97" s="48">
        <v>5.2270747754454068E-11</v>
      </c>
      <c r="EC97" s="48">
        <v>1.5117905446058489E-12</v>
      </c>
      <c r="ED97" s="48">
        <v>0</v>
      </c>
      <c r="EE97" s="48">
        <v>0</v>
      </c>
      <c r="EF97" s="48">
        <v>0</v>
      </c>
      <c r="EG97" s="48">
        <v>0</v>
      </c>
      <c r="EH97" s="48">
        <v>0</v>
      </c>
      <c r="EI97" s="48">
        <v>5.5512332689000714E-8</v>
      </c>
      <c r="EJ97" s="48">
        <v>1.0315317152354014E-6</v>
      </c>
      <c r="EK97" s="48">
        <v>0</v>
      </c>
      <c r="EL97" s="48">
        <v>0</v>
      </c>
      <c r="EM97" s="48">
        <v>0</v>
      </c>
      <c r="EN97" s="48">
        <v>0</v>
      </c>
      <c r="EO97" s="48">
        <v>0</v>
      </c>
      <c r="EP97" s="48">
        <v>0</v>
      </c>
      <c r="EQ97" s="48">
        <v>0</v>
      </c>
      <c r="ER97" s="48">
        <v>1.3045382828665747E-12</v>
      </c>
      <c r="ES97" s="48">
        <v>2.2811877294765544E-14</v>
      </c>
      <c r="ET97" s="48">
        <v>0</v>
      </c>
      <c r="EU97" s="48">
        <v>0</v>
      </c>
      <c r="EV97" s="48">
        <v>0</v>
      </c>
      <c r="EW97" s="48">
        <v>1.6239277118461828E-12</v>
      </c>
      <c r="EX97" s="48">
        <v>0</v>
      </c>
      <c r="EY97" s="48">
        <v>3.9437978215260467E-10</v>
      </c>
      <c r="EZ97" s="48">
        <v>0</v>
      </c>
      <c r="FA97" s="48">
        <v>3.3055490311518487E-16</v>
      </c>
      <c r="FB97" s="48">
        <v>9.0623775726677494E-18</v>
      </c>
      <c r="FC97" s="48">
        <v>0</v>
      </c>
      <c r="FD97" s="48">
        <v>0</v>
      </c>
      <c r="FE97" s="48">
        <v>0</v>
      </c>
      <c r="FF97" s="48">
        <v>0</v>
      </c>
      <c r="FG97" s="48">
        <v>0</v>
      </c>
      <c r="FH97" s="48">
        <v>0</v>
      </c>
      <c r="FI97" s="48">
        <v>0</v>
      </c>
      <c r="FJ97" s="48">
        <v>0</v>
      </c>
      <c r="FK97" s="48">
        <v>0</v>
      </c>
      <c r="FL97" s="48">
        <v>0</v>
      </c>
      <c r="FM97" s="48">
        <v>1.7284694631392661E-12</v>
      </c>
      <c r="FN97" s="48">
        <v>0</v>
      </c>
      <c r="FO97" s="48">
        <v>0</v>
      </c>
      <c r="FP97" s="48">
        <v>7.3561959985749872E-11</v>
      </c>
      <c r="FQ97" s="48">
        <v>0</v>
      </c>
      <c r="FR97" s="48">
        <v>0</v>
      </c>
      <c r="FS97" s="48">
        <v>0</v>
      </c>
      <c r="FT97" s="48">
        <v>0</v>
      </c>
      <c r="FU97" s="48">
        <v>0</v>
      </c>
      <c r="FV97" s="48">
        <v>6.1390283215563138E-17</v>
      </c>
      <c r="FW97" s="48">
        <v>0</v>
      </c>
      <c r="FX97" s="48">
        <v>0</v>
      </c>
      <c r="FY97" s="48">
        <v>0</v>
      </c>
      <c r="FZ97" s="48">
        <v>0</v>
      </c>
      <c r="GA97" s="48">
        <v>0</v>
      </c>
      <c r="GB97" s="48">
        <v>0</v>
      </c>
      <c r="GC97" s="48">
        <v>0</v>
      </c>
      <c r="GD97" s="48">
        <v>0</v>
      </c>
      <c r="GE97" s="48">
        <v>0</v>
      </c>
      <c r="GF97" s="48">
        <v>0</v>
      </c>
      <c r="GG97" s="48">
        <v>0</v>
      </c>
      <c r="GH97" s="48">
        <v>0</v>
      </c>
      <c r="GI97" s="48">
        <v>0</v>
      </c>
      <c r="GJ97" s="48">
        <v>0</v>
      </c>
      <c r="GK97" s="48">
        <v>0</v>
      </c>
      <c r="GL97" s="48">
        <v>0</v>
      </c>
      <c r="GM97" s="48">
        <v>0</v>
      </c>
      <c r="GN97" s="48">
        <v>0</v>
      </c>
      <c r="GO97" s="48">
        <v>0</v>
      </c>
      <c r="GP97" s="48">
        <v>0</v>
      </c>
      <c r="GQ97" s="48">
        <v>0</v>
      </c>
      <c r="GR97" s="48">
        <v>0</v>
      </c>
      <c r="GS97" s="48">
        <v>0</v>
      </c>
      <c r="GT97" s="48">
        <v>0</v>
      </c>
      <c r="GU97" s="48">
        <v>0</v>
      </c>
      <c r="GV97" s="48">
        <v>0</v>
      </c>
      <c r="GW97" s="48">
        <v>0</v>
      </c>
      <c r="GX97" s="48">
        <v>0</v>
      </c>
      <c r="GY97" s="48">
        <v>0</v>
      </c>
      <c r="GZ97" s="48">
        <v>0</v>
      </c>
      <c r="HA97" s="48">
        <v>0</v>
      </c>
      <c r="HB97" s="48">
        <v>0</v>
      </c>
      <c r="HC97" s="48">
        <v>0</v>
      </c>
      <c r="HD97" s="48">
        <v>0</v>
      </c>
      <c r="HE97" s="48">
        <v>0</v>
      </c>
      <c r="HF97" s="48">
        <v>0</v>
      </c>
      <c r="HG97" s="48">
        <v>0</v>
      </c>
      <c r="HH97" s="48">
        <v>0</v>
      </c>
      <c r="HI97" s="48">
        <v>0</v>
      </c>
      <c r="HJ97" s="48">
        <v>0</v>
      </c>
      <c r="HK97" s="48">
        <v>0</v>
      </c>
      <c r="HL97" s="48">
        <v>0</v>
      </c>
      <c r="HM97" s="48">
        <v>0</v>
      </c>
      <c r="HN97" s="48">
        <v>0</v>
      </c>
      <c r="HO97" s="48">
        <v>0</v>
      </c>
      <c r="HP97" s="48">
        <v>0</v>
      </c>
      <c r="HQ97" s="48">
        <v>0</v>
      </c>
      <c r="HR97" s="48">
        <v>0</v>
      </c>
      <c r="HS97" s="48">
        <v>0</v>
      </c>
      <c r="HT97" s="48">
        <v>0</v>
      </c>
      <c r="HU97" s="48">
        <v>0</v>
      </c>
      <c r="HV97" s="48">
        <v>0</v>
      </c>
      <c r="HW97" s="48">
        <v>0</v>
      </c>
      <c r="HX97" s="48">
        <v>0</v>
      </c>
      <c r="HY97" s="48">
        <v>0</v>
      </c>
      <c r="HZ97" s="48">
        <v>0</v>
      </c>
      <c r="IA97" s="48">
        <v>0</v>
      </c>
      <c r="IB97" s="48">
        <v>0</v>
      </c>
      <c r="IC97" s="48">
        <v>0</v>
      </c>
      <c r="ID97" s="48">
        <v>0</v>
      </c>
      <c r="IE97" s="48">
        <v>0</v>
      </c>
      <c r="IF97" s="48">
        <v>0</v>
      </c>
      <c r="IG97" s="48">
        <v>0</v>
      </c>
      <c r="IH97" s="48">
        <v>0</v>
      </c>
      <c r="II97" s="48">
        <v>0</v>
      </c>
      <c r="IJ97" s="48">
        <v>0</v>
      </c>
      <c r="IK97" s="48">
        <v>0</v>
      </c>
      <c r="IL97" s="48">
        <v>0</v>
      </c>
      <c r="IM97" s="48">
        <v>0</v>
      </c>
      <c r="IN97" s="48">
        <v>0</v>
      </c>
      <c r="IO97" s="48">
        <v>0</v>
      </c>
      <c r="IP97" s="23">
        <v>42252.999999999505</v>
      </c>
      <c r="IQ97" s="25">
        <v>0</v>
      </c>
      <c r="IR97" s="25">
        <v>0</v>
      </c>
      <c r="IS97" s="26">
        <v>0</v>
      </c>
      <c r="IT97" s="26">
        <v>0</v>
      </c>
      <c r="IU97" s="26">
        <v>7482</v>
      </c>
      <c r="IV97" s="9">
        <v>115723</v>
      </c>
      <c r="IW97" s="38">
        <f t="shared" si="5"/>
        <v>165457.99999999951</v>
      </c>
    </row>
    <row r="98" spans="1:257" ht="30" customHeight="1" x14ac:dyDescent="0.25">
      <c r="A98" s="112" t="b">
        <v>0</v>
      </c>
      <c r="B98" s="113" t="b">
        <f>IFERROR(VLOOKUP(C98,'Bridge matrix'!$D$3:$E$727,2,FALSE)='symmetric IOT 245 2012'!D98,"FALSCH")</f>
        <v>1</v>
      </c>
      <c r="C98" s="108">
        <v>92</v>
      </c>
      <c r="D98" s="96" t="s">
        <v>1326</v>
      </c>
      <c r="E98" s="48">
        <v>0</v>
      </c>
      <c r="F98" s="48">
        <v>0</v>
      </c>
      <c r="G98" s="48">
        <v>0</v>
      </c>
      <c r="H98" s="48">
        <v>0</v>
      </c>
      <c r="I98" s="48">
        <v>0</v>
      </c>
      <c r="J98" s="48">
        <v>0</v>
      </c>
      <c r="K98" s="48">
        <v>0</v>
      </c>
      <c r="L98" s="48">
        <v>0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48">
        <v>0</v>
      </c>
      <c r="AF98" s="48">
        <v>0</v>
      </c>
      <c r="AG98" s="48">
        <v>0</v>
      </c>
      <c r="AH98" s="48">
        <v>0</v>
      </c>
      <c r="AI98" s="48">
        <v>0</v>
      </c>
      <c r="AJ98" s="48">
        <v>0</v>
      </c>
      <c r="AK98" s="48">
        <v>0</v>
      </c>
      <c r="AL98" s="48">
        <v>0</v>
      </c>
      <c r="AM98" s="48">
        <v>0</v>
      </c>
      <c r="AN98" s="48">
        <v>0</v>
      </c>
      <c r="AO98" s="48">
        <v>0</v>
      </c>
      <c r="AP98" s="48">
        <v>0</v>
      </c>
      <c r="AQ98" s="48">
        <v>0</v>
      </c>
      <c r="AR98" s="48">
        <v>0</v>
      </c>
      <c r="AS98" s="48">
        <v>0</v>
      </c>
      <c r="AT98" s="48">
        <v>0</v>
      </c>
      <c r="AU98" s="48">
        <v>0</v>
      </c>
      <c r="AV98" s="48">
        <v>0</v>
      </c>
      <c r="AW98" s="48">
        <v>0</v>
      </c>
      <c r="AX98" s="48">
        <v>0</v>
      </c>
      <c r="AY98" s="48">
        <v>0</v>
      </c>
      <c r="AZ98" s="48">
        <v>0</v>
      </c>
      <c r="BA98" s="48">
        <v>0</v>
      </c>
      <c r="BB98" s="48">
        <v>0</v>
      </c>
      <c r="BC98" s="48">
        <v>0</v>
      </c>
      <c r="BD98" s="48">
        <v>0</v>
      </c>
      <c r="BE98" s="48">
        <v>0</v>
      </c>
      <c r="BF98" s="48">
        <v>0</v>
      </c>
      <c r="BG98" s="48">
        <v>0</v>
      </c>
      <c r="BH98" s="48">
        <v>0</v>
      </c>
      <c r="BI98" s="48">
        <v>0</v>
      </c>
      <c r="BJ98" s="48">
        <v>0</v>
      </c>
      <c r="BK98" s="48">
        <v>0</v>
      </c>
      <c r="BL98" s="48">
        <v>0</v>
      </c>
      <c r="BM98" s="48">
        <v>0</v>
      </c>
      <c r="BN98" s="48">
        <v>0</v>
      </c>
      <c r="BO98" s="48">
        <v>0</v>
      </c>
      <c r="BP98" s="48">
        <v>0</v>
      </c>
      <c r="BQ98" s="48">
        <v>0</v>
      </c>
      <c r="BR98" s="48">
        <v>0</v>
      </c>
      <c r="BS98" s="48">
        <v>0</v>
      </c>
      <c r="BT98" s="48">
        <v>0</v>
      </c>
      <c r="BU98" s="48">
        <v>0</v>
      </c>
      <c r="BV98" s="48">
        <v>0</v>
      </c>
      <c r="BW98" s="48">
        <v>0</v>
      </c>
      <c r="BX98" s="48">
        <v>0</v>
      </c>
      <c r="BY98" s="48">
        <v>0</v>
      </c>
      <c r="BZ98" s="48">
        <v>0</v>
      </c>
      <c r="CA98" s="48">
        <v>0</v>
      </c>
      <c r="CB98" s="48">
        <v>0</v>
      </c>
      <c r="CC98" s="48">
        <v>0</v>
      </c>
      <c r="CD98" s="48">
        <v>0</v>
      </c>
      <c r="CE98" s="48">
        <v>0</v>
      </c>
      <c r="CF98" s="48">
        <v>0</v>
      </c>
      <c r="CG98" s="48">
        <v>0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  <c r="CM98" s="48">
        <v>0</v>
      </c>
      <c r="CN98" s="48">
        <v>0</v>
      </c>
      <c r="CO98" s="48">
        <v>0</v>
      </c>
      <c r="CP98" s="48">
        <v>0</v>
      </c>
      <c r="CQ98" s="48">
        <v>0</v>
      </c>
      <c r="CR98" s="48">
        <v>3130.8410926562437</v>
      </c>
      <c r="CS98" s="48">
        <v>0</v>
      </c>
      <c r="CT98" s="48">
        <v>0</v>
      </c>
      <c r="CU98" s="48">
        <v>0</v>
      </c>
      <c r="CV98" s="48">
        <v>0</v>
      </c>
      <c r="CW98" s="48">
        <v>0</v>
      </c>
      <c r="CX98" s="48">
        <v>0</v>
      </c>
      <c r="CY98" s="48">
        <v>0</v>
      </c>
      <c r="CZ98" s="48">
        <v>0</v>
      </c>
      <c r="DA98" s="48">
        <v>0</v>
      </c>
      <c r="DB98" s="48">
        <v>0</v>
      </c>
      <c r="DC98" s="48">
        <v>0</v>
      </c>
      <c r="DD98" s="48">
        <v>0</v>
      </c>
      <c r="DE98" s="48">
        <v>0</v>
      </c>
      <c r="DF98" s="48">
        <v>0</v>
      </c>
      <c r="DG98" s="48">
        <v>0</v>
      </c>
      <c r="DH98" s="48">
        <v>0</v>
      </c>
      <c r="DI98" s="48">
        <v>0</v>
      </c>
      <c r="DJ98" s="48">
        <v>0</v>
      </c>
      <c r="DK98" s="48">
        <v>0</v>
      </c>
      <c r="DL98" s="48">
        <v>0</v>
      </c>
      <c r="DM98" s="48">
        <v>0</v>
      </c>
      <c r="DN98" s="48">
        <v>0</v>
      </c>
      <c r="DO98" s="48">
        <v>0</v>
      </c>
      <c r="DP98" s="48">
        <v>0</v>
      </c>
      <c r="DQ98" s="48">
        <v>0</v>
      </c>
      <c r="DR98" s="48">
        <v>0</v>
      </c>
      <c r="DS98" s="48">
        <v>0</v>
      </c>
      <c r="DT98" s="48">
        <v>0</v>
      </c>
      <c r="DU98" s="48">
        <v>0</v>
      </c>
      <c r="DV98" s="48">
        <v>0</v>
      </c>
      <c r="DW98" s="48">
        <v>0</v>
      </c>
      <c r="DX98" s="48">
        <v>0</v>
      </c>
      <c r="DY98" s="48">
        <v>0</v>
      </c>
      <c r="DZ98" s="48">
        <v>0</v>
      </c>
      <c r="EA98" s="48">
        <v>0</v>
      </c>
      <c r="EB98" s="48">
        <v>0</v>
      </c>
      <c r="EC98" s="48">
        <v>0</v>
      </c>
      <c r="ED98" s="48">
        <v>0</v>
      </c>
      <c r="EE98" s="48">
        <v>0</v>
      </c>
      <c r="EF98" s="48">
        <v>0</v>
      </c>
      <c r="EG98" s="48">
        <v>0</v>
      </c>
      <c r="EH98" s="48">
        <v>0</v>
      </c>
      <c r="EI98" s="48">
        <v>0</v>
      </c>
      <c r="EJ98" s="48">
        <v>0</v>
      </c>
      <c r="EK98" s="48">
        <v>0</v>
      </c>
      <c r="EL98" s="48">
        <v>0</v>
      </c>
      <c r="EM98" s="48">
        <v>0</v>
      </c>
      <c r="EN98" s="48">
        <v>0</v>
      </c>
      <c r="EO98" s="48">
        <v>0</v>
      </c>
      <c r="EP98" s="48">
        <v>0</v>
      </c>
      <c r="EQ98" s="48">
        <v>0</v>
      </c>
      <c r="ER98" s="48">
        <v>0</v>
      </c>
      <c r="ES98" s="48">
        <v>0</v>
      </c>
      <c r="ET98" s="48">
        <v>0</v>
      </c>
      <c r="EU98" s="48">
        <v>0</v>
      </c>
      <c r="EV98" s="48">
        <v>0</v>
      </c>
      <c r="EW98" s="48">
        <v>0</v>
      </c>
      <c r="EX98" s="48">
        <v>0</v>
      </c>
      <c r="EY98" s="48">
        <v>0</v>
      </c>
      <c r="EZ98" s="48">
        <v>0</v>
      </c>
      <c r="FA98" s="48">
        <v>0</v>
      </c>
      <c r="FB98" s="48">
        <v>0</v>
      </c>
      <c r="FC98" s="48">
        <v>0</v>
      </c>
      <c r="FD98" s="48">
        <v>0</v>
      </c>
      <c r="FE98" s="48">
        <v>0</v>
      </c>
      <c r="FF98" s="48">
        <v>0</v>
      </c>
      <c r="FG98" s="48">
        <v>0</v>
      </c>
      <c r="FH98" s="48">
        <v>0</v>
      </c>
      <c r="FI98" s="48">
        <v>0</v>
      </c>
      <c r="FJ98" s="48">
        <v>0</v>
      </c>
      <c r="FK98" s="48">
        <v>0</v>
      </c>
      <c r="FL98" s="48">
        <v>0</v>
      </c>
      <c r="FM98" s="48">
        <v>0</v>
      </c>
      <c r="FN98" s="48">
        <v>0</v>
      </c>
      <c r="FO98" s="48">
        <v>0</v>
      </c>
      <c r="FP98" s="48">
        <v>0</v>
      </c>
      <c r="FQ98" s="48">
        <v>0</v>
      </c>
      <c r="FR98" s="48">
        <v>0</v>
      </c>
      <c r="FS98" s="48">
        <v>0</v>
      </c>
      <c r="FT98" s="48">
        <v>0</v>
      </c>
      <c r="FU98" s="48">
        <v>0</v>
      </c>
      <c r="FV98" s="48">
        <v>0</v>
      </c>
      <c r="FW98" s="48">
        <v>0</v>
      </c>
      <c r="FX98" s="48">
        <v>0</v>
      </c>
      <c r="FY98" s="48">
        <v>0</v>
      </c>
      <c r="FZ98" s="48">
        <v>0</v>
      </c>
      <c r="GA98" s="48">
        <v>0</v>
      </c>
      <c r="GB98" s="48">
        <v>0</v>
      </c>
      <c r="GC98" s="48">
        <v>0</v>
      </c>
      <c r="GD98" s="48">
        <v>0</v>
      </c>
      <c r="GE98" s="48">
        <v>9150.4507333515958</v>
      </c>
      <c r="GF98" s="48">
        <v>47861.928189392667</v>
      </c>
      <c r="GG98" s="48">
        <v>0</v>
      </c>
      <c r="GH98" s="48">
        <v>0</v>
      </c>
      <c r="GI98" s="48">
        <v>0</v>
      </c>
      <c r="GJ98" s="48">
        <v>0</v>
      </c>
      <c r="GK98" s="48">
        <v>0</v>
      </c>
      <c r="GL98" s="48">
        <v>0</v>
      </c>
      <c r="GM98" s="48">
        <v>0</v>
      </c>
      <c r="GN98" s="48">
        <v>0</v>
      </c>
      <c r="GO98" s="48">
        <v>0</v>
      </c>
      <c r="GP98" s="48">
        <v>0</v>
      </c>
      <c r="GQ98" s="48">
        <v>0</v>
      </c>
      <c r="GR98" s="48">
        <v>0</v>
      </c>
      <c r="GS98" s="48">
        <v>0</v>
      </c>
      <c r="GT98" s="48">
        <v>0</v>
      </c>
      <c r="GU98" s="48">
        <v>0</v>
      </c>
      <c r="GV98" s="48">
        <v>0</v>
      </c>
      <c r="GW98" s="48">
        <v>0</v>
      </c>
      <c r="GX98" s="48">
        <v>0</v>
      </c>
      <c r="GY98" s="48">
        <v>0</v>
      </c>
      <c r="GZ98" s="48">
        <v>0</v>
      </c>
      <c r="HA98" s="48">
        <v>0</v>
      </c>
      <c r="HB98" s="48">
        <v>0</v>
      </c>
      <c r="HC98" s="48">
        <v>0</v>
      </c>
      <c r="HD98" s="48">
        <v>0</v>
      </c>
      <c r="HE98" s="48">
        <v>0</v>
      </c>
      <c r="HF98" s="48">
        <v>0</v>
      </c>
      <c r="HG98" s="48">
        <v>0</v>
      </c>
      <c r="HH98" s="48">
        <v>0</v>
      </c>
      <c r="HI98" s="48">
        <v>0</v>
      </c>
      <c r="HJ98" s="48">
        <v>0</v>
      </c>
      <c r="HK98" s="48">
        <v>0</v>
      </c>
      <c r="HL98" s="48">
        <v>0</v>
      </c>
      <c r="HM98" s="48">
        <v>0</v>
      </c>
      <c r="HN98" s="48">
        <v>0</v>
      </c>
      <c r="HO98" s="48">
        <v>0</v>
      </c>
      <c r="HP98" s="48">
        <v>0</v>
      </c>
      <c r="HQ98" s="48">
        <v>0</v>
      </c>
      <c r="HR98" s="48">
        <v>0</v>
      </c>
      <c r="HS98" s="48">
        <v>0</v>
      </c>
      <c r="HT98" s="48">
        <v>0</v>
      </c>
      <c r="HU98" s="48">
        <v>0</v>
      </c>
      <c r="HV98" s="48">
        <v>0</v>
      </c>
      <c r="HW98" s="48">
        <v>0</v>
      </c>
      <c r="HX98" s="48">
        <v>627.52602709446376</v>
      </c>
      <c r="HY98" s="48">
        <v>532.53777935024459</v>
      </c>
      <c r="HZ98" s="48">
        <v>789.08183341522852</v>
      </c>
      <c r="IA98" s="48">
        <v>222.76048806337369</v>
      </c>
      <c r="IB98" s="48">
        <v>11.284393083472265</v>
      </c>
      <c r="IC98" s="48">
        <v>0</v>
      </c>
      <c r="ID98" s="48">
        <v>0</v>
      </c>
      <c r="IE98" s="48">
        <v>0</v>
      </c>
      <c r="IF98" s="48">
        <v>0</v>
      </c>
      <c r="IG98" s="48">
        <v>175.7060635815956</v>
      </c>
      <c r="IH98" s="48">
        <v>8.8070369383769016</v>
      </c>
      <c r="II98" s="48">
        <v>3.7234956143667124</v>
      </c>
      <c r="IJ98" s="48">
        <v>0</v>
      </c>
      <c r="IK98" s="48">
        <v>1318.6018296864463</v>
      </c>
      <c r="IL98" s="48">
        <v>0</v>
      </c>
      <c r="IM98" s="48">
        <v>260.75103777160388</v>
      </c>
      <c r="IN98" s="48">
        <v>0</v>
      </c>
      <c r="IO98" s="48">
        <v>0</v>
      </c>
      <c r="IP98" s="23">
        <v>64093.99999999968</v>
      </c>
      <c r="IQ98" s="25">
        <v>60528</v>
      </c>
      <c r="IR98" s="25">
        <v>0</v>
      </c>
      <c r="IS98" s="26">
        <v>0</v>
      </c>
      <c r="IT98" s="26">
        <v>0</v>
      </c>
      <c r="IU98" s="26">
        <v>-14945</v>
      </c>
      <c r="IV98" s="9">
        <v>1128687</v>
      </c>
      <c r="IW98" s="38">
        <f t="shared" si="5"/>
        <v>1238363.9999999998</v>
      </c>
    </row>
    <row r="99" spans="1:257" ht="30" customHeight="1" x14ac:dyDescent="0.25">
      <c r="A99" s="112" t="b">
        <v>0</v>
      </c>
      <c r="B99" s="113" t="str">
        <f>IFERROR(VLOOKUP(C99,'Bridge matrix'!$D$3:$E$727,2,FALSE)='symmetric IOT 245 2012'!D99,"FALSCH")</f>
        <v>FALSCH</v>
      </c>
      <c r="C99" s="108">
        <v>93</v>
      </c>
      <c r="D99" s="49" t="s">
        <v>1411</v>
      </c>
      <c r="E99" s="48">
        <v>0</v>
      </c>
      <c r="F99" s="48">
        <v>0</v>
      </c>
      <c r="G99" s="48">
        <v>0</v>
      </c>
      <c r="H99" s="48">
        <v>0</v>
      </c>
      <c r="I99" s="48">
        <v>0</v>
      </c>
      <c r="J99" s="48">
        <v>0</v>
      </c>
      <c r="K99" s="48">
        <v>0</v>
      </c>
      <c r="L99" s="48">
        <v>0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48">
        <v>0</v>
      </c>
      <c r="AF99" s="48">
        <v>0</v>
      </c>
      <c r="AG99" s="48">
        <v>0</v>
      </c>
      <c r="AH99" s="48">
        <v>0</v>
      </c>
      <c r="AI99" s="48">
        <v>0</v>
      </c>
      <c r="AJ99" s="48">
        <v>0</v>
      </c>
      <c r="AK99" s="48">
        <v>0</v>
      </c>
      <c r="AL99" s="48">
        <v>0</v>
      </c>
      <c r="AM99" s="48">
        <v>0</v>
      </c>
      <c r="AN99" s="48">
        <v>0</v>
      </c>
      <c r="AO99" s="48">
        <v>0</v>
      </c>
      <c r="AP99" s="48">
        <v>0</v>
      </c>
      <c r="AQ99" s="48">
        <v>0</v>
      </c>
      <c r="AR99" s="48">
        <v>0</v>
      </c>
      <c r="AS99" s="48">
        <v>0</v>
      </c>
      <c r="AT99" s="48">
        <v>0</v>
      </c>
      <c r="AU99" s="48">
        <v>0</v>
      </c>
      <c r="AV99" s="48">
        <v>0</v>
      </c>
      <c r="AW99" s="48">
        <v>0</v>
      </c>
      <c r="AX99" s="48">
        <v>0</v>
      </c>
      <c r="AY99" s="48">
        <v>0</v>
      </c>
      <c r="AZ99" s="48">
        <v>0</v>
      </c>
      <c r="BA99" s="48">
        <v>0</v>
      </c>
      <c r="BB99" s="48">
        <v>0</v>
      </c>
      <c r="BC99" s="48">
        <v>0</v>
      </c>
      <c r="BD99" s="48">
        <v>0</v>
      </c>
      <c r="BE99" s="48">
        <v>0</v>
      </c>
      <c r="BF99" s="48">
        <v>0</v>
      </c>
      <c r="BG99" s="48">
        <v>0</v>
      </c>
      <c r="BH99" s="48">
        <v>0</v>
      </c>
      <c r="BI99" s="48">
        <v>0</v>
      </c>
      <c r="BJ99" s="48">
        <v>0</v>
      </c>
      <c r="BK99" s="48">
        <v>0</v>
      </c>
      <c r="BL99" s="48">
        <v>0</v>
      </c>
      <c r="BM99" s="48">
        <v>0</v>
      </c>
      <c r="BN99" s="48">
        <v>0</v>
      </c>
      <c r="BO99" s="48">
        <v>0</v>
      </c>
      <c r="BP99" s="48">
        <v>0</v>
      </c>
      <c r="BQ99" s="48">
        <v>0</v>
      </c>
      <c r="BR99" s="48">
        <v>0</v>
      </c>
      <c r="BS99" s="48">
        <v>0</v>
      </c>
      <c r="BT99" s="48">
        <v>0</v>
      </c>
      <c r="BU99" s="48">
        <v>37.060849127968815</v>
      </c>
      <c r="BV99" s="48">
        <v>0</v>
      </c>
      <c r="BW99" s="48">
        <v>0</v>
      </c>
      <c r="BX99" s="48">
        <v>0</v>
      </c>
      <c r="BY99" s="48">
        <v>0</v>
      </c>
      <c r="BZ99" s="48">
        <v>0</v>
      </c>
      <c r="CA99" s="48">
        <v>0</v>
      </c>
      <c r="CB99" s="48">
        <v>0</v>
      </c>
      <c r="CC99" s="48">
        <v>0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815.53291196179021</v>
      </c>
      <c r="CJ99" s="48">
        <v>735.52452971472337</v>
      </c>
      <c r="CK99" s="48">
        <v>68.295680945040374</v>
      </c>
      <c r="CL99" s="48">
        <v>0</v>
      </c>
      <c r="CM99" s="48">
        <v>289.14259256037712</v>
      </c>
      <c r="CN99" s="48">
        <v>4300.6120057397784</v>
      </c>
      <c r="CO99" s="48">
        <v>0</v>
      </c>
      <c r="CP99" s="48">
        <v>0</v>
      </c>
      <c r="CQ99" s="48">
        <v>0</v>
      </c>
      <c r="CR99" s="48">
        <v>0</v>
      </c>
      <c r="CS99" s="48">
        <v>226.14496532680818</v>
      </c>
      <c r="CT99" s="48">
        <v>0</v>
      </c>
      <c r="CU99" s="48">
        <v>0</v>
      </c>
      <c r="CV99" s="48">
        <v>3130.0713188098771</v>
      </c>
      <c r="CW99" s="48">
        <v>0</v>
      </c>
      <c r="CX99" s="48">
        <v>19523.212127155002</v>
      </c>
      <c r="CY99" s="48">
        <v>20494.594297353255</v>
      </c>
      <c r="CZ99" s="48">
        <v>0</v>
      </c>
      <c r="DA99" s="48">
        <v>3.9333231202269271E-4</v>
      </c>
      <c r="DB99" s="48">
        <v>0</v>
      </c>
      <c r="DC99" s="48">
        <v>0</v>
      </c>
      <c r="DD99" s="48">
        <v>0</v>
      </c>
      <c r="DE99" s="48">
        <v>0</v>
      </c>
      <c r="DF99" s="48">
        <v>0</v>
      </c>
      <c r="DG99" s="48">
        <v>0</v>
      </c>
      <c r="DH99" s="48">
        <v>0</v>
      </c>
      <c r="DI99" s="48">
        <v>0</v>
      </c>
      <c r="DJ99" s="48">
        <v>5011.2597400281156</v>
      </c>
      <c r="DK99" s="48">
        <v>0</v>
      </c>
      <c r="DL99" s="48">
        <v>426.60056717124576</v>
      </c>
      <c r="DM99" s="48">
        <v>0</v>
      </c>
      <c r="DN99" s="48">
        <v>0</v>
      </c>
      <c r="DO99" s="48">
        <v>0</v>
      </c>
      <c r="DP99" s="48">
        <v>0</v>
      </c>
      <c r="DQ99" s="48">
        <v>0</v>
      </c>
      <c r="DR99" s="48">
        <v>0</v>
      </c>
      <c r="DS99" s="48">
        <v>0</v>
      </c>
      <c r="DT99" s="48">
        <v>0</v>
      </c>
      <c r="DU99" s="48">
        <v>0</v>
      </c>
      <c r="DV99" s="48">
        <v>0</v>
      </c>
      <c r="DW99" s="48">
        <v>0</v>
      </c>
      <c r="DX99" s="48">
        <v>0</v>
      </c>
      <c r="DY99" s="48">
        <v>0</v>
      </c>
      <c r="DZ99" s="48">
        <v>0</v>
      </c>
      <c r="EA99" s="48">
        <v>0</v>
      </c>
      <c r="EB99" s="48">
        <v>0</v>
      </c>
      <c r="EC99" s="48">
        <v>0</v>
      </c>
      <c r="ED99" s="48">
        <v>103.33915778540086</v>
      </c>
      <c r="EE99" s="48">
        <v>29.284428834796326</v>
      </c>
      <c r="EF99" s="48">
        <v>99.570168896186942</v>
      </c>
      <c r="EG99" s="48">
        <v>34.847995593922441</v>
      </c>
      <c r="EH99" s="48">
        <v>4.6201809430564813</v>
      </c>
      <c r="EI99" s="48">
        <v>0</v>
      </c>
      <c r="EJ99" s="48">
        <v>0</v>
      </c>
      <c r="EK99" s="48">
        <v>0</v>
      </c>
      <c r="EL99" s="48">
        <v>2.5112417085066167E-2</v>
      </c>
      <c r="EM99" s="48">
        <v>3.817133044100491E-2</v>
      </c>
      <c r="EN99" s="48">
        <v>1134.1449049771863</v>
      </c>
      <c r="EO99" s="48">
        <v>0</v>
      </c>
      <c r="EP99" s="48">
        <v>6.9192719266612648E-2</v>
      </c>
      <c r="EQ99" s="48">
        <v>0</v>
      </c>
      <c r="ER99" s="48">
        <v>0</v>
      </c>
      <c r="ES99" s="48">
        <v>0</v>
      </c>
      <c r="ET99" s="48">
        <v>8.2096513734023838E-3</v>
      </c>
      <c r="EU99" s="48">
        <v>0</v>
      </c>
      <c r="EV99" s="48">
        <v>0</v>
      </c>
      <c r="EW99" s="48">
        <v>4.974961348093856E-4</v>
      </c>
      <c r="EX99" s="48">
        <v>0</v>
      </c>
      <c r="EY99" s="48">
        <v>0</v>
      </c>
      <c r="EZ99" s="48">
        <v>0</v>
      </c>
      <c r="FA99" s="48">
        <v>0</v>
      </c>
      <c r="FB99" s="48">
        <v>0</v>
      </c>
      <c r="FC99" s="48">
        <v>0</v>
      </c>
      <c r="FD99" s="48">
        <v>6.7596216294689348E-8</v>
      </c>
      <c r="FE99" s="48">
        <v>0</v>
      </c>
      <c r="FF99" s="48">
        <v>0</v>
      </c>
      <c r="FG99" s="48">
        <v>1.7350042163642927E-8</v>
      </c>
      <c r="FH99" s="48">
        <v>1.2436960991870203E-8</v>
      </c>
      <c r="FI99" s="48">
        <v>1.9261105470422101E-8</v>
      </c>
      <c r="FJ99" s="48">
        <v>0</v>
      </c>
      <c r="FK99" s="48">
        <v>0</v>
      </c>
      <c r="FL99" s="48">
        <v>0</v>
      </c>
      <c r="FM99" s="48">
        <v>0</v>
      </c>
      <c r="FN99" s="48">
        <v>0</v>
      </c>
      <c r="FO99" s="48">
        <v>0</v>
      </c>
      <c r="FP99" s="48">
        <v>0</v>
      </c>
      <c r="FQ99" s="48">
        <v>0</v>
      </c>
      <c r="FR99" s="48">
        <v>3.3170028643499534E-9</v>
      </c>
      <c r="FS99" s="48">
        <v>0</v>
      </c>
      <c r="FT99" s="48">
        <v>9.0348678663387434E-10</v>
      </c>
      <c r="FU99" s="48">
        <v>0</v>
      </c>
      <c r="FV99" s="48">
        <v>0</v>
      </c>
      <c r="FW99" s="48">
        <v>0</v>
      </c>
      <c r="FX99" s="48">
        <v>0</v>
      </c>
      <c r="FY99" s="48">
        <v>0</v>
      </c>
      <c r="FZ99" s="48">
        <v>0</v>
      </c>
      <c r="GA99" s="48">
        <v>0</v>
      </c>
      <c r="GB99" s="48">
        <v>0</v>
      </c>
      <c r="GC99" s="48">
        <v>0</v>
      </c>
      <c r="GD99" s="48">
        <v>0</v>
      </c>
      <c r="GE99" s="48">
        <v>0</v>
      </c>
      <c r="GF99" s="48">
        <v>0</v>
      </c>
      <c r="GG99" s="48">
        <v>0</v>
      </c>
      <c r="GH99" s="48">
        <v>0</v>
      </c>
      <c r="GI99" s="48">
        <v>0</v>
      </c>
      <c r="GJ99" s="48">
        <v>0</v>
      </c>
      <c r="GK99" s="48">
        <v>0</v>
      </c>
      <c r="GL99" s="48">
        <v>0</v>
      </c>
      <c r="GM99" s="48">
        <v>0</v>
      </c>
      <c r="GN99" s="48">
        <v>0</v>
      </c>
      <c r="GO99" s="48">
        <v>0</v>
      </c>
      <c r="GP99" s="48">
        <v>0</v>
      </c>
      <c r="GQ99" s="48">
        <v>0</v>
      </c>
      <c r="GR99" s="48">
        <v>0</v>
      </c>
      <c r="GS99" s="48">
        <v>0</v>
      </c>
      <c r="GT99" s="48">
        <v>8.248397620930133E-12</v>
      </c>
      <c r="GU99" s="48">
        <v>0</v>
      </c>
      <c r="GV99" s="48">
        <v>0</v>
      </c>
      <c r="GW99" s="48">
        <v>0</v>
      </c>
      <c r="GX99" s="48">
        <v>1.2059360467278903E-9</v>
      </c>
      <c r="GY99" s="48">
        <v>0</v>
      </c>
      <c r="GZ99" s="48">
        <v>0</v>
      </c>
      <c r="HA99" s="48">
        <v>0</v>
      </c>
      <c r="HB99" s="48">
        <v>0</v>
      </c>
      <c r="HC99" s="48">
        <v>0</v>
      </c>
      <c r="HD99" s="48">
        <v>0</v>
      </c>
      <c r="HE99" s="48">
        <v>0</v>
      </c>
      <c r="HF99" s="48">
        <v>0</v>
      </c>
      <c r="HG99" s="48">
        <v>0</v>
      </c>
      <c r="HH99" s="48">
        <v>0</v>
      </c>
      <c r="HI99" s="48">
        <v>0</v>
      </c>
      <c r="HJ99" s="48">
        <v>0</v>
      </c>
      <c r="HK99" s="48">
        <v>0</v>
      </c>
      <c r="HL99" s="48">
        <v>0</v>
      </c>
      <c r="HM99" s="48">
        <v>0</v>
      </c>
      <c r="HN99" s="48">
        <v>0</v>
      </c>
      <c r="HO99" s="48">
        <v>0</v>
      </c>
      <c r="HP99" s="48">
        <v>0</v>
      </c>
      <c r="HQ99" s="48">
        <v>0</v>
      </c>
      <c r="HR99" s="48">
        <v>0</v>
      </c>
      <c r="HS99" s="48">
        <v>0</v>
      </c>
      <c r="HT99" s="48">
        <v>0</v>
      </c>
      <c r="HU99" s="48">
        <v>0</v>
      </c>
      <c r="HV99" s="48">
        <v>6.3837475582990676E-9</v>
      </c>
      <c r="HW99" s="48">
        <v>0</v>
      </c>
      <c r="HX99" s="48">
        <v>0</v>
      </c>
      <c r="HY99" s="48">
        <v>0</v>
      </c>
      <c r="HZ99" s="48">
        <v>0</v>
      </c>
      <c r="IA99" s="48">
        <v>0</v>
      </c>
      <c r="IB99" s="48">
        <v>0</v>
      </c>
      <c r="IC99" s="48">
        <v>0</v>
      </c>
      <c r="ID99" s="48">
        <v>0</v>
      </c>
      <c r="IE99" s="48">
        <v>0</v>
      </c>
      <c r="IF99" s="48">
        <v>0</v>
      </c>
      <c r="IG99" s="48">
        <v>0</v>
      </c>
      <c r="IH99" s="48">
        <v>0</v>
      </c>
      <c r="II99" s="48">
        <v>0</v>
      </c>
      <c r="IJ99" s="48">
        <v>0</v>
      </c>
      <c r="IK99" s="48">
        <v>0</v>
      </c>
      <c r="IL99" s="48">
        <v>0</v>
      </c>
      <c r="IM99" s="48">
        <v>0</v>
      </c>
      <c r="IN99" s="48">
        <v>0</v>
      </c>
      <c r="IO99" s="48">
        <v>0</v>
      </c>
      <c r="IP99" s="23">
        <v>56463.999999999593</v>
      </c>
      <c r="IQ99" s="25">
        <v>0</v>
      </c>
      <c r="IR99" s="25">
        <v>0</v>
      </c>
      <c r="IS99" s="26">
        <v>0</v>
      </c>
      <c r="IT99" s="26">
        <v>0</v>
      </c>
      <c r="IU99" s="26">
        <v>0</v>
      </c>
      <c r="IV99" s="9">
        <v>25726</v>
      </c>
      <c r="IW99" s="38">
        <f t="shared" si="5"/>
        <v>82189.999999999593</v>
      </c>
    </row>
    <row r="100" spans="1:257" ht="30" customHeight="1" x14ac:dyDescent="0.25">
      <c r="A100" s="112" t="b">
        <v>0</v>
      </c>
      <c r="B100" s="113" t="str">
        <f>IFERROR(VLOOKUP(C100,'Bridge matrix'!$D$3:$E$727,2,FALSE)='symmetric IOT 245 2012'!D100,"FALSCH")</f>
        <v>FALSCH</v>
      </c>
      <c r="C100" s="108">
        <v>94</v>
      </c>
      <c r="D100" s="49" t="s">
        <v>1412</v>
      </c>
      <c r="E100" s="48">
        <v>0</v>
      </c>
      <c r="F100" s="48">
        <v>0</v>
      </c>
      <c r="G100" s="48">
        <v>0</v>
      </c>
      <c r="H100" s="48">
        <v>0</v>
      </c>
      <c r="I100" s="48">
        <v>0</v>
      </c>
      <c r="J100" s="48">
        <v>0</v>
      </c>
      <c r="K100" s="48">
        <v>0</v>
      </c>
      <c r="L100" s="48">
        <v>0</v>
      </c>
      <c r="M100" s="48">
        <v>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48">
        <v>0</v>
      </c>
      <c r="AF100" s="48">
        <v>0</v>
      </c>
      <c r="AG100" s="48">
        <v>0</v>
      </c>
      <c r="AH100" s="48">
        <v>0</v>
      </c>
      <c r="AI100" s="48">
        <v>0</v>
      </c>
      <c r="AJ100" s="48">
        <v>0</v>
      </c>
      <c r="AK100" s="48">
        <v>0</v>
      </c>
      <c r="AL100" s="48">
        <v>0</v>
      </c>
      <c r="AM100" s="48">
        <v>0</v>
      </c>
      <c r="AN100" s="48">
        <v>0</v>
      </c>
      <c r="AO100" s="48">
        <v>0</v>
      </c>
      <c r="AP100" s="48">
        <v>0</v>
      </c>
      <c r="AQ100" s="48">
        <v>0</v>
      </c>
      <c r="AR100" s="48">
        <v>0</v>
      </c>
      <c r="AS100" s="48">
        <v>0</v>
      </c>
      <c r="AT100" s="48">
        <v>0</v>
      </c>
      <c r="AU100" s="48">
        <v>0</v>
      </c>
      <c r="AV100" s="48">
        <v>0</v>
      </c>
      <c r="AW100" s="48">
        <v>0</v>
      </c>
      <c r="AX100" s="48">
        <v>0</v>
      </c>
      <c r="AY100" s="48">
        <v>0</v>
      </c>
      <c r="AZ100" s="48">
        <v>0</v>
      </c>
      <c r="BA100" s="48">
        <v>0</v>
      </c>
      <c r="BB100" s="48">
        <v>0</v>
      </c>
      <c r="BC100" s="48">
        <v>0</v>
      </c>
      <c r="BD100" s="48">
        <v>0</v>
      </c>
      <c r="BE100" s="48">
        <v>0</v>
      </c>
      <c r="BF100" s="48">
        <v>0</v>
      </c>
      <c r="BG100" s="48">
        <v>0</v>
      </c>
      <c r="BH100" s="48">
        <v>0</v>
      </c>
      <c r="BI100" s="48">
        <v>0</v>
      </c>
      <c r="BJ100" s="48">
        <v>0</v>
      </c>
      <c r="BK100" s="48">
        <v>0</v>
      </c>
      <c r="BL100" s="48">
        <v>0</v>
      </c>
      <c r="BM100" s="48">
        <v>0</v>
      </c>
      <c r="BN100" s="48">
        <v>71.290163289936885</v>
      </c>
      <c r="BO100" s="48">
        <v>0</v>
      </c>
      <c r="BP100" s="48">
        <v>0</v>
      </c>
      <c r="BQ100" s="48">
        <v>0</v>
      </c>
      <c r="BR100" s="48">
        <v>0</v>
      </c>
      <c r="BS100" s="48">
        <v>0</v>
      </c>
      <c r="BT100" s="48">
        <v>0</v>
      </c>
      <c r="BU100" s="48">
        <v>0</v>
      </c>
      <c r="BV100" s="48">
        <v>0</v>
      </c>
      <c r="BW100" s="48">
        <v>0</v>
      </c>
      <c r="BX100" s="48">
        <v>0</v>
      </c>
      <c r="BY100" s="48">
        <v>0</v>
      </c>
      <c r="BZ100" s="48">
        <v>0</v>
      </c>
      <c r="CA100" s="48">
        <v>0</v>
      </c>
      <c r="CB100" s="48">
        <v>0</v>
      </c>
      <c r="CC100" s="48">
        <v>0</v>
      </c>
      <c r="CD100" s="48">
        <v>0</v>
      </c>
      <c r="CE100" s="48">
        <v>0</v>
      </c>
      <c r="CF100" s="48">
        <v>0</v>
      </c>
      <c r="CG100" s="48">
        <v>0</v>
      </c>
      <c r="CH100" s="48">
        <v>0</v>
      </c>
      <c r="CI100" s="48">
        <v>8.374034251497578E-2</v>
      </c>
      <c r="CJ100" s="48">
        <v>0</v>
      </c>
      <c r="CK100" s="48">
        <v>0</v>
      </c>
      <c r="CL100" s="48">
        <v>2291.4824564390565</v>
      </c>
      <c r="CM100" s="48">
        <v>61.068466467121425</v>
      </c>
      <c r="CN100" s="48">
        <v>481.03830704160464</v>
      </c>
      <c r="CO100" s="48">
        <v>0</v>
      </c>
      <c r="CP100" s="48">
        <v>0</v>
      </c>
      <c r="CQ100" s="48">
        <v>0</v>
      </c>
      <c r="CR100" s="48">
        <v>2.9530096186779131</v>
      </c>
      <c r="CS100" s="48">
        <v>19037.435761590939</v>
      </c>
      <c r="CT100" s="48">
        <v>0</v>
      </c>
      <c r="CU100" s="48">
        <v>64030.715326772595</v>
      </c>
      <c r="CV100" s="48">
        <v>62198.558034472982</v>
      </c>
      <c r="CW100" s="48">
        <v>18092.560241891464</v>
      </c>
      <c r="CX100" s="48">
        <v>0</v>
      </c>
      <c r="CY100" s="48">
        <v>0</v>
      </c>
      <c r="CZ100" s="48">
        <v>0</v>
      </c>
      <c r="DA100" s="48">
        <v>1.3770650037962415E-3</v>
      </c>
      <c r="DB100" s="48">
        <v>0</v>
      </c>
      <c r="DC100" s="48">
        <v>0</v>
      </c>
      <c r="DD100" s="48">
        <v>0</v>
      </c>
      <c r="DE100" s="48">
        <v>0</v>
      </c>
      <c r="DF100" s="48">
        <v>0</v>
      </c>
      <c r="DG100" s="48">
        <v>0</v>
      </c>
      <c r="DH100" s="48">
        <v>0</v>
      </c>
      <c r="DI100" s="48">
        <v>0</v>
      </c>
      <c r="DJ100" s="48">
        <v>3327.7282997584225</v>
      </c>
      <c r="DK100" s="48">
        <v>0</v>
      </c>
      <c r="DL100" s="48">
        <v>1493.537890721926</v>
      </c>
      <c r="DM100" s="48">
        <v>0</v>
      </c>
      <c r="DN100" s="48">
        <v>0</v>
      </c>
      <c r="DO100" s="48">
        <v>0</v>
      </c>
      <c r="DP100" s="48">
        <v>0</v>
      </c>
      <c r="DQ100" s="48">
        <v>0</v>
      </c>
      <c r="DR100" s="48">
        <v>0</v>
      </c>
      <c r="DS100" s="48">
        <v>0</v>
      </c>
      <c r="DT100" s="48">
        <v>0</v>
      </c>
      <c r="DU100" s="48">
        <v>0</v>
      </c>
      <c r="DV100" s="48">
        <v>0</v>
      </c>
      <c r="DW100" s="48">
        <v>0</v>
      </c>
      <c r="DX100" s="48">
        <v>0</v>
      </c>
      <c r="DY100" s="48">
        <v>0</v>
      </c>
      <c r="DZ100" s="48">
        <v>0</v>
      </c>
      <c r="EA100" s="48">
        <v>0</v>
      </c>
      <c r="EB100" s="48">
        <v>0</v>
      </c>
      <c r="EC100" s="48">
        <v>0</v>
      </c>
      <c r="ED100" s="48">
        <v>0</v>
      </c>
      <c r="EE100" s="48">
        <v>0</v>
      </c>
      <c r="EF100" s="48">
        <v>0</v>
      </c>
      <c r="EG100" s="48">
        <v>0</v>
      </c>
      <c r="EH100" s="48">
        <v>0</v>
      </c>
      <c r="EI100" s="48">
        <v>0</v>
      </c>
      <c r="EJ100" s="48">
        <v>6.7103457427479286E-3</v>
      </c>
      <c r="EK100" s="48">
        <v>0</v>
      </c>
      <c r="EL100" s="48">
        <v>64.455263034264433</v>
      </c>
      <c r="EM100" s="48">
        <v>0</v>
      </c>
      <c r="EN100" s="48">
        <v>0</v>
      </c>
      <c r="EO100" s="48">
        <v>0</v>
      </c>
      <c r="EP100" s="48">
        <v>0</v>
      </c>
      <c r="EQ100" s="48">
        <v>0</v>
      </c>
      <c r="ER100" s="48">
        <v>0</v>
      </c>
      <c r="ES100" s="48">
        <v>0</v>
      </c>
      <c r="ET100" s="48">
        <v>5.7693966761160821E-2</v>
      </c>
      <c r="EU100" s="48">
        <v>0</v>
      </c>
      <c r="EV100" s="48">
        <v>0</v>
      </c>
      <c r="EW100" s="48">
        <v>0</v>
      </c>
      <c r="EX100" s="48">
        <v>2.7251021939787585E-2</v>
      </c>
      <c r="EY100" s="48">
        <v>5.0187608484464732E-6</v>
      </c>
      <c r="EZ100" s="48">
        <v>0</v>
      </c>
      <c r="FA100" s="48">
        <v>0</v>
      </c>
      <c r="FB100" s="48">
        <v>0</v>
      </c>
      <c r="FC100" s="48">
        <v>0</v>
      </c>
      <c r="FD100" s="48">
        <v>4.7503769389293567E-7</v>
      </c>
      <c r="FE100" s="48">
        <v>0</v>
      </c>
      <c r="FF100" s="48">
        <v>0</v>
      </c>
      <c r="FG100" s="48">
        <v>1.219287775284792E-7</v>
      </c>
      <c r="FH100" s="48">
        <v>8.7401715546592957E-8</v>
      </c>
      <c r="FI100" s="48">
        <v>1.3535892430145908E-7</v>
      </c>
      <c r="FJ100" s="48">
        <v>0</v>
      </c>
      <c r="FK100" s="48">
        <v>0</v>
      </c>
      <c r="FL100" s="48">
        <v>0</v>
      </c>
      <c r="FM100" s="48">
        <v>0</v>
      </c>
      <c r="FN100" s="48">
        <v>0</v>
      </c>
      <c r="FO100" s="48">
        <v>0</v>
      </c>
      <c r="FP100" s="48">
        <v>0</v>
      </c>
      <c r="FQ100" s="48">
        <v>2.3630041982539335E-7</v>
      </c>
      <c r="FR100" s="48">
        <v>2.3310496913728263E-8</v>
      </c>
      <c r="FS100" s="48">
        <v>0</v>
      </c>
      <c r="FT100" s="48">
        <v>6.3493240171049769E-9</v>
      </c>
      <c r="FU100" s="48">
        <v>0</v>
      </c>
      <c r="FV100" s="48">
        <v>0</v>
      </c>
      <c r="FW100" s="48">
        <v>0</v>
      </c>
      <c r="FX100" s="48">
        <v>0</v>
      </c>
      <c r="FY100" s="48">
        <v>0</v>
      </c>
      <c r="FZ100" s="48">
        <v>0</v>
      </c>
      <c r="GA100" s="48">
        <v>0</v>
      </c>
      <c r="GB100" s="48">
        <v>0</v>
      </c>
      <c r="GC100" s="48">
        <v>0</v>
      </c>
      <c r="GD100" s="48">
        <v>0</v>
      </c>
      <c r="GE100" s="48">
        <v>0</v>
      </c>
      <c r="GF100" s="48">
        <v>0</v>
      </c>
      <c r="GG100" s="48">
        <v>0</v>
      </c>
      <c r="GH100" s="48">
        <v>0</v>
      </c>
      <c r="GI100" s="48">
        <v>0</v>
      </c>
      <c r="GJ100" s="48">
        <v>0</v>
      </c>
      <c r="GK100" s="48">
        <v>0</v>
      </c>
      <c r="GL100" s="48">
        <v>0</v>
      </c>
      <c r="GM100" s="48">
        <v>0</v>
      </c>
      <c r="GN100" s="48">
        <v>0</v>
      </c>
      <c r="GO100" s="48">
        <v>0</v>
      </c>
      <c r="GP100" s="48">
        <v>0</v>
      </c>
      <c r="GQ100" s="48">
        <v>0</v>
      </c>
      <c r="GR100" s="48">
        <v>0</v>
      </c>
      <c r="GS100" s="48">
        <v>0</v>
      </c>
      <c r="GT100" s="48">
        <v>5.7966259044390757E-11</v>
      </c>
      <c r="GU100" s="48">
        <v>0</v>
      </c>
      <c r="GV100" s="48">
        <v>0</v>
      </c>
      <c r="GW100" s="48">
        <v>0</v>
      </c>
      <c r="GX100" s="48">
        <v>8.4748098343632767E-9</v>
      </c>
      <c r="GY100" s="48">
        <v>0</v>
      </c>
      <c r="GZ100" s="48">
        <v>0</v>
      </c>
      <c r="HA100" s="48">
        <v>0</v>
      </c>
      <c r="HB100" s="48">
        <v>0</v>
      </c>
      <c r="HC100" s="48">
        <v>0</v>
      </c>
      <c r="HD100" s="48">
        <v>0</v>
      </c>
      <c r="HE100" s="48">
        <v>0</v>
      </c>
      <c r="HF100" s="48">
        <v>0</v>
      </c>
      <c r="HG100" s="48">
        <v>0</v>
      </c>
      <c r="HH100" s="48">
        <v>0</v>
      </c>
      <c r="HI100" s="48">
        <v>0</v>
      </c>
      <c r="HJ100" s="48">
        <v>0</v>
      </c>
      <c r="HK100" s="48">
        <v>0</v>
      </c>
      <c r="HL100" s="48">
        <v>0</v>
      </c>
      <c r="HM100" s="48">
        <v>0</v>
      </c>
      <c r="HN100" s="48">
        <v>0</v>
      </c>
      <c r="HO100" s="48">
        <v>0</v>
      </c>
      <c r="HP100" s="48">
        <v>0</v>
      </c>
      <c r="HQ100" s="48">
        <v>0</v>
      </c>
      <c r="HR100" s="48">
        <v>0</v>
      </c>
      <c r="HS100" s="48">
        <v>0</v>
      </c>
      <c r="HT100" s="48">
        <v>0</v>
      </c>
      <c r="HU100" s="48">
        <v>0</v>
      </c>
      <c r="HV100" s="48">
        <v>4.4862284972706325E-8</v>
      </c>
      <c r="HW100" s="48">
        <v>0</v>
      </c>
      <c r="HX100" s="48">
        <v>0</v>
      </c>
      <c r="HY100" s="48">
        <v>0</v>
      </c>
      <c r="HZ100" s="48">
        <v>0</v>
      </c>
      <c r="IA100" s="48">
        <v>0</v>
      </c>
      <c r="IB100" s="48">
        <v>0</v>
      </c>
      <c r="IC100" s="48">
        <v>0</v>
      </c>
      <c r="ID100" s="48">
        <v>0</v>
      </c>
      <c r="IE100" s="48">
        <v>0</v>
      </c>
      <c r="IF100" s="48">
        <v>0</v>
      </c>
      <c r="IG100" s="48">
        <v>0</v>
      </c>
      <c r="IH100" s="48">
        <v>0</v>
      </c>
      <c r="II100" s="48">
        <v>0</v>
      </c>
      <c r="IJ100" s="48">
        <v>0</v>
      </c>
      <c r="IK100" s="48">
        <v>0</v>
      </c>
      <c r="IL100" s="48">
        <v>0</v>
      </c>
      <c r="IM100" s="48">
        <v>0</v>
      </c>
      <c r="IN100" s="48">
        <v>0</v>
      </c>
      <c r="IO100" s="48">
        <v>0</v>
      </c>
      <c r="IP100" s="23">
        <v>171152.99999999875</v>
      </c>
      <c r="IQ100" s="25">
        <v>0</v>
      </c>
      <c r="IR100" s="25">
        <v>0</v>
      </c>
      <c r="IS100" s="26">
        <v>0</v>
      </c>
      <c r="IT100" s="26">
        <v>0</v>
      </c>
      <c r="IU100" s="26">
        <v>-3676</v>
      </c>
      <c r="IV100" s="9">
        <v>215816</v>
      </c>
      <c r="IW100" s="38">
        <f t="shared" si="5"/>
        <v>383292.99999999872</v>
      </c>
    </row>
    <row r="101" spans="1:257" ht="30" customHeight="1" x14ac:dyDescent="0.25">
      <c r="A101" s="112" t="b">
        <v>0</v>
      </c>
      <c r="B101" s="113" t="b">
        <f>IFERROR(VLOOKUP(C101,'Bridge matrix'!$D$3:$E$727,2,FALSE)='symmetric IOT 245 2012'!D101,"FALSCH")</f>
        <v>1</v>
      </c>
      <c r="C101" s="110">
        <v>95</v>
      </c>
      <c r="D101" s="96" t="s">
        <v>1413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>
        <v>0</v>
      </c>
      <c r="BX101" s="48">
        <v>0</v>
      </c>
      <c r="BY101" s="48">
        <v>0</v>
      </c>
      <c r="BZ101" s="48">
        <v>0</v>
      </c>
      <c r="CA101" s="48">
        <v>0</v>
      </c>
      <c r="CB101" s="48">
        <v>0</v>
      </c>
      <c r="CC101" s="48">
        <v>0</v>
      </c>
      <c r="CD101" s="48">
        <v>0</v>
      </c>
      <c r="CE101" s="48">
        <v>0</v>
      </c>
      <c r="CF101" s="48">
        <v>0</v>
      </c>
      <c r="CG101" s="48">
        <v>0</v>
      </c>
      <c r="CH101" s="48">
        <v>0</v>
      </c>
      <c r="CI101" s="48">
        <v>0</v>
      </c>
      <c r="CJ101" s="48">
        <v>0</v>
      </c>
      <c r="CK101" s="48">
        <v>0</v>
      </c>
      <c r="CL101" s="48">
        <v>3196.0146260563074</v>
      </c>
      <c r="CM101" s="48">
        <v>0</v>
      </c>
      <c r="CN101" s="48">
        <v>0</v>
      </c>
      <c r="CO101" s="48">
        <v>140.441550959121</v>
      </c>
      <c r="CP101" s="48">
        <v>0</v>
      </c>
      <c r="CQ101" s="48">
        <v>0</v>
      </c>
      <c r="CR101" s="48">
        <v>2945.4187917966947</v>
      </c>
      <c r="CS101" s="48">
        <v>0</v>
      </c>
      <c r="CT101" s="48">
        <v>8.9989177988136678E-7</v>
      </c>
      <c r="CU101" s="48">
        <v>0</v>
      </c>
      <c r="CV101" s="48">
        <v>0</v>
      </c>
      <c r="CW101" s="48">
        <v>0</v>
      </c>
      <c r="CX101" s="48">
        <v>8.3760345182867304E-8</v>
      </c>
      <c r="CY101" s="48">
        <v>610.49621549400399</v>
      </c>
      <c r="CZ101" s="48">
        <v>0</v>
      </c>
      <c r="DA101" s="48">
        <v>4.8266604428959524E-4</v>
      </c>
      <c r="DB101" s="48">
        <v>0</v>
      </c>
      <c r="DC101" s="48">
        <v>4.0301533505847337E-7</v>
      </c>
      <c r="DD101" s="48">
        <v>17607.989724328232</v>
      </c>
      <c r="DE101" s="48">
        <v>37.848727748380071</v>
      </c>
      <c r="DF101" s="48">
        <v>0</v>
      </c>
      <c r="DG101" s="48">
        <v>0</v>
      </c>
      <c r="DH101" s="48">
        <v>686.44603822232148</v>
      </c>
      <c r="DI101" s="48">
        <v>0</v>
      </c>
      <c r="DJ101" s="48">
        <v>0</v>
      </c>
      <c r="DK101" s="48">
        <v>0</v>
      </c>
      <c r="DL101" s="48">
        <v>523.49019379919025</v>
      </c>
      <c r="DM101" s="48">
        <v>0</v>
      </c>
      <c r="DN101" s="48">
        <v>0</v>
      </c>
      <c r="DO101" s="48">
        <v>0</v>
      </c>
      <c r="DP101" s="48">
        <v>0</v>
      </c>
      <c r="DQ101" s="48">
        <v>0</v>
      </c>
      <c r="DR101" s="48">
        <v>9.530664135260942E-5</v>
      </c>
      <c r="DS101" s="48">
        <v>0</v>
      </c>
      <c r="DT101" s="48">
        <v>0</v>
      </c>
      <c r="DU101" s="48">
        <v>0</v>
      </c>
      <c r="DV101" s="48">
        <v>0</v>
      </c>
      <c r="DW101" s="48">
        <v>0.89676878723267572</v>
      </c>
      <c r="DX101" s="48">
        <v>0</v>
      </c>
      <c r="DY101" s="48">
        <v>3.6383563076290075E-10</v>
      </c>
      <c r="DZ101" s="48">
        <v>0</v>
      </c>
      <c r="EA101" s="48">
        <v>0</v>
      </c>
      <c r="EB101" s="48">
        <v>1.0127816189562254E-3</v>
      </c>
      <c r="EC101" s="48">
        <v>2.9291979569168443E-5</v>
      </c>
      <c r="ED101" s="48">
        <v>0</v>
      </c>
      <c r="EE101" s="48">
        <v>0</v>
      </c>
      <c r="EF101" s="48">
        <v>0</v>
      </c>
      <c r="EG101" s="48">
        <v>0</v>
      </c>
      <c r="EH101" s="48">
        <v>0</v>
      </c>
      <c r="EI101" s="48">
        <v>0</v>
      </c>
      <c r="EJ101" s="48">
        <v>30.63622827345807</v>
      </c>
      <c r="EK101" s="48">
        <v>0</v>
      </c>
      <c r="EL101" s="48">
        <v>0</v>
      </c>
      <c r="EM101" s="48">
        <v>0</v>
      </c>
      <c r="EN101" s="48">
        <v>422.3095431723292</v>
      </c>
      <c r="EO101" s="48">
        <v>0</v>
      </c>
      <c r="EP101" s="48">
        <v>0</v>
      </c>
      <c r="EQ101" s="48">
        <v>0</v>
      </c>
      <c r="ER101" s="48">
        <v>2.5276324729817909E-5</v>
      </c>
      <c r="ES101" s="48">
        <v>4.4199578178130675E-7</v>
      </c>
      <c r="ET101" s="48">
        <v>0</v>
      </c>
      <c r="EU101" s="48">
        <v>0</v>
      </c>
      <c r="EV101" s="48">
        <v>0</v>
      </c>
      <c r="EW101" s="48">
        <v>0</v>
      </c>
      <c r="EX101" s="48">
        <v>6.3037155583513217E-4</v>
      </c>
      <c r="EY101" s="48">
        <v>1.1714446866438889E-2</v>
      </c>
      <c r="EZ101" s="48">
        <v>0</v>
      </c>
      <c r="FA101" s="48">
        <v>6.404728157009906E-9</v>
      </c>
      <c r="FB101" s="48">
        <v>1.7558978633239346E-10</v>
      </c>
      <c r="FC101" s="48">
        <v>0</v>
      </c>
      <c r="FD101" s="48">
        <v>0</v>
      </c>
      <c r="FE101" s="48">
        <v>0</v>
      </c>
      <c r="FF101" s="48">
        <v>0</v>
      </c>
      <c r="FG101" s="48">
        <v>0</v>
      </c>
      <c r="FH101" s="48">
        <v>0</v>
      </c>
      <c r="FI101" s="48">
        <v>0</v>
      </c>
      <c r="FJ101" s="48">
        <v>0</v>
      </c>
      <c r="FK101" s="48">
        <v>0</v>
      </c>
      <c r="FL101" s="48">
        <v>0</v>
      </c>
      <c r="FM101" s="48">
        <v>3.3490282354826551E-5</v>
      </c>
      <c r="FN101" s="48">
        <v>0</v>
      </c>
      <c r="FO101" s="48">
        <v>0</v>
      </c>
      <c r="FP101" s="48">
        <v>1.4253134712734661E-3</v>
      </c>
      <c r="FQ101" s="48">
        <v>5.8675435220317911E-9</v>
      </c>
      <c r="FR101" s="48">
        <v>0</v>
      </c>
      <c r="FS101" s="48">
        <v>0</v>
      </c>
      <c r="FT101" s="48">
        <v>0</v>
      </c>
      <c r="FU101" s="48">
        <v>0</v>
      </c>
      <c r="FV101" s="48">
        <v>1.1894788786131573E-9</v>
      </c>
      <c r="FW101" s="48">
        <v>0</v>
      </c>
      <c r="FX101" s="48">
        <v>0</v>
      </c>
      <c r="FY101" s="48">
        <v>0</v>
      </c>
      <c r="FZ101" s="48">
        <v>0</v>
      </c>
      <c r="GA101" s="48">
        <v>0</v>
      </c>
      <c r="GB101" s="48">
        <v>0</v>
      </c>
      <c r="GC101" s="48">
        <v>0</v>
      </c>
      <c r="GD101" s="48">
        <v>0</v>
      </c>
      <c r="GE101" s="48">
        <v>144.05754507990477</v>
      </c>
      <c r="GF101" s="48">
        <v>4237.0628092709312</v>
      </c>
      <c r="GG101" s="48">
        <v>0</v>
      </c>
      <c r="GH101" s="48">
        <v>0</v>
      </c>
      <c r="GI101" s="48">
        <v>0</v>
      </c>
      <c r="GJ101" s="48">
        <v>0</v>
      </c>
      <c r="GK101" s="48">
        <v>0</v>
      </c>
      <c r="GL101" s="48">
        <v>0</v>
      </c>
      <c r="GM101" s="48">
        <v>0</v>
      </c>
      <c r="GN101" s="48">
        <v>0</v>
      </c>
      <c r="GO101" s="48">
        <v>0</v>
      </c>
      <c r="GP101" s="48">
        <v>0</v>
      </c>
      <c r="GQ101" s="48">
        <v>0</v>
      </c>
      <c r="GR101" s="48">
        <v>0</v>
      </c>
      <c r="GS101" s="48">
        <v>0</v>
      </c>
      <c r="GT101" s="48">
        <v>0</v>
      </c>
      <c r="GU101" s="48">
        <v>0</v>
      </c>
      <c r="GV101" s="48">
        <v>0</v>
      </c>
      <c r="GW101" s="48">
        <v>0</v>
      </c>
      <c r="GX101" s="48">
        <v>0</v>
      </c>
      <c r="GY101" s="48">
        <v>0</v>
      </c>
      <c r="GZ101" s="48">
        <v>0</v>
      </c>
      <c r="HA101" s="48">
        <v>0</v>
      </c>
      <c r="HB101" s="48">
        <v>0</v>
      </c>
      <c r="HC101" s="48">
        <v>0</v>
      </c>
      <c r="HD101" s="48">
        <v>0</v>
      </c>
      <c r="HE101" s="48">
        <v>0</v>
      </c>
      <c r="HF101" s="48">
        <v>0</v>
      </c>
      <c r="HG101" s="48">
        <v>0</v>
      </c>
      <c r="HH101" s="48">
        <v>0</v>
      </c>
      <c r="HI101" s="48">
        <v>0</v>
      </c>
      <c r="HJ101" s="48">
        <v>0</v>
      </c>
      <c r="HK101" s="48">
        <v>0</v>
      </c>
      <c r="HL101" s="48">
        <v>0</v>
      </c>
      <c r="HM101" s="48">
        <v>0</v>
      </c>
      <c r="HN101" s="48">
        <v>0</v>
      </c>
      <c r="HO101" s="48">
        <v>0</v>
      </c>
      <c r="HP101" s="48">
        <v>0</v>
      </c>
      <c r="HQ101" s="48">
        <v>0</v>
      </c>
      <c r="HR101" s="48">
        <v>0</v>
      </c>
      <c r="HS101" s="48">
        <v>0</v>
      </c>
      <c r="HT101" s="48">
        <v>0</v>
      </c>
      <c r="HU101" s="48">
        <v>0</v>
      </c>
      <c r="HV101" s="48">
        <v>174.93153721192095</v>
      </c>
      <c r="HW101" s="48">
        <v>0</v>
      </c>
      <c r="HX101" s="48">
        <v>197.31273543798576</v>
      </c>
      <c r="HY101" s="48">
        <v>166.93550592589514</v>
      </c>
      <c r="HZ101" s="48">
        <v>248.07423468241871</v>
      </c>
      <c r="IA101" s="48">
        <v>69.5692232368757</v>
      </c>
      <c r="IB101" s="48">
        <v>3.5663424279877756</v>
      </c>
      <c r="IC101" s="48">
        <v>0</v>
      </c>
      <c r="ID101" s="48">
        <v>0</v>
      </c>
      <c r="IE101" s="48">
        <v>0</v>
      </c>
      <c r="IF101" s="48">
        <v>0</v>
      </c>
      <c r="IG101" s="48">
        <v>247.94603520398093</v>
      </c>
      <c r="IH101" s="48">
        <v>11.386610910415509</v>
      </c>
      <c r="II101" s="48">
        <v>5.2955149038775948</v>
      </c>
      <c r="IJ101" s="48">
        <v>10.670843749128816</v>
      </c>
      <c r="IK101" s="48">
        <v>2032.2297791224569</v>
      </c>
      <c r="IL101" s="48">
        <v>0</v>
      </c>
      <c r="IM101" s="48">
        <v>286.95742341125811</v>
      </c>
      <c r="IN101" s="48">
        <v>0</v>
      </c>
      <c r="IO101" s="48">
        <v>0</v>
      </c>
      <c r="IP101" s="23">
        <v>34037.999999999767</v>
      </c>
      <c r="IQ101" s="25">
        <v>183240</v>
      </c>
      <c r="IR101" s="25">
        <v>0</v>
      </c>
      <c r="IS101" s="26">
        <v>0</v>
      </c>
      <c r="IT101" s="26">
        <v>0</v>
      </c>
      <c r="IU101" s="26">
        <v>-1067</v>
      </c>
      <c r="IV101" s="9">
        <v>97729</v>
      </c>
      <c r="IW101" s="38">
        <f t="shared" si="5"/>
        <v>313939.99999999977</v>
      </c>
    </row>
    <row r="102" spans="1:257" ht="30" customHeight="1" x14ac:dyDescent="0.25">
      <c r="A102" s="112" t="b">
        <v>0</v>
      </c>
      <c r="B102" s="113" t="b">
        <f>IFERROR(VLOOKUP(C102,'Bridge matrix'!$D$3:$E$727,2,FALSE)='symmetric IOT 245 2012'!D102,"FALSCH")</f>
        <v>1</v>
      </c>
      <c r="C102" s="110">
        <v>96</v>
      </c>
      <c r="D102" s="96" t="s">
        <v>1414</v>
      </c>
      <c r="E102" s="48">
        <v>0</v>
      </c>
      <c r="F102" s="48">
        <v>0</v>
      </c>
      <c r="G102" s="48">
        <v>0</v>
      </c>
      <c r="H102" s="48">
        <v>0</v>
      </c>
      <c r="I102" s="48">
        <v>0</v>
      </c>
      <c r="J102" s="48">
        <v>0</v>
      </c>
      <c r="K102" s="48">
        <v>0</v>
      </c>
      <c r="L102" s="48">
        <v>0</v>
      </c>
      <c r="M102" s="48">
        <v>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T102" s="48">
        <v>0</v>
      </c>
      <c r="U102" s="48">
        <v>0</v>
      </c>
      <c r="V102" s="48">
        <v>0</v>
      </c>
      <c r="W102" s="48">
        <v>0</v>
      </c>
      <c r="X102" s="48">
        <v>0</v>
      </c>
      <c r="Y102" s="48">
        <v>0</v>
      </c>
      <c r="Z102" s="48">
        <v>0</v>
      </c>
      <c r="AA102" s="48">
        <v>0</v>
      </c>
      <c r="AB102" s="48">
        <v>0</v>
      </c>
      <c r="AC102" s="48">
        <v>0</v>
      </c>
      <c r="AD102" s="48">
        <v>0</v>
      </c>
      <c r="AE102" s="48">
        <v>0</v>
      </c>
      <c r="AF102" s="48">
        <v>0</v>
      </c>
      <c r="AG102" s="48">
        <v>0</v>
      </c>
      <c r="AH102" s="48">
        <v>0</v>
      </c>
      <c r="AI102" s="48">
        <v>0</v>
      </c>
      <c r="AJ102" s="48">
        <v>0</v>
      </c>
      <c r="AK102" s="48">
        <v>0</v>
      </c>
      <c r="AL102" s="48">
        <v>0</v>
      </c>
      <c r="AM102" s="48">
        <v>0</v>
      </c>
      <c r="AN102" s="48">
        <v>0</v>
      </c>
      <c r="AO102" s="48">
        <v>0</v>
      </c>
      <c r="AP102" s="48">
        <v>0</v>
      </c>
      <c r="AQ102" s="48">
        <v>0</v>
      </c>
      <c r="AR102" s="48">
        <v>0</v>
      </c>
      <c r="AS102" s="48">
        <v>0</v>
      </c>
      <c r="AT102" s="48">
        <v>0</v>
      </c>
      <c r="AU102" s="48">
        <v>0</v>
      </c>
      <c r="AV102" s="48">
        <v>0</v>
      </c>
      <c r="AW102" s="48">
        <v>0</v>
      </c>
      <c r="AX102" s="48">
        <v>0</v>
      </c>
      <c r="AY102" s="48">
        <v>0</v>
      </c>
      <c r="AZ102" s="48">
        <v>0</v>
      </c>
      <c r="BA102" s="48">
        <v>0</v>
      </c>
      <c r="BB102" s="48">
        <v>0</v>
      </c>
      <c r="BC102" s="48">
        <v>0</v>
      </c>
      <c r="BD102" s="48">
        <v>0</v>
      </c>
      <c r="BE102" s="48">
        <v>0</v>
      </c>
      <c r="BF102" s="48">
        <v>0</v>
      </c>
      <c r="BG102" s="48">
        <v>0</v>
      </c>
      <c r="BH102" s="48">
        <v>0</v>
      </c>
      <c r="BI102" s="48">
        <v>0</v>
      </c>
      <c r="BJ102" s="48">
        <v>0</v>
      </c>
      <c r="BK102" s="48">
        <v>0</v>
      </c>
      <c r="BL102" s="48">
        <v>0</v>
      </c>
      <c r="BM102" s="48">
        <v>0</v>
      </c>
      <c r="BN102" s="48">
        <v>864.37945920720063</v>
      </c>
      <c r="BO102" s="48">
        <v>0</v>
      </c>
      <c r="BP102" s="48">
        <v>0</v>
      </c>
      <c r="BQ102" s="48">
        <v>0</v>
      </c>
      <c r="BR102" s="48">
        <v>0</v>
      </c>
      <c r="BS102" s="48">
        <v>0</v>
      </c>
      <c r="BT102" s="48">
        <v>0</v>
      </c>
      <c r="BU102" s="48">
        <v>0</v>
      </c>
      <c r="BV102" s="48">
        <v>0</v>
      </c>
      <c r="BW102" s="48">
        <v>0</v>
      </c>
      <c r="BX102" s="48">
        <v>0</v>
      </c>
      <c r="BY102" s="48">
        <v>0</v>
      </c>
      <c r="BZ102" s="48">
        <v>0</v>
      </c>
      <c r="CA102" s="48">
        <v>0</v>
      </c>
      <c r="CB102" s="48">
        <v>0</v>
      </c>
      <c r="CC102" s="48">
        <v>0</v>
      </c>
      <c r="CD102" s="48">
        <v>0</v>
      </c>
      <c r="CE102" s="48">
        <v>0</v>
      </c>
      <c r="CF102" s="48">
        <v>0</v>
      </c>
      <c r="CG102" s="48">
        <v>0</v>
      </c>
      <c r="CH102" s="48">
        <v>0</v>
      </c>
      <c r="CI102" s="48">
        <v>0.15305324166226716</v>
      </c>
      <c r="CJ102" s="48">
        <v>0</v>
      </c>
      <c r="CK102" s="48">
        <v>2985.8220192805497</v>
      </c>
      <c r="CL102" s="48">
        <v>1685.2325071598298</v>
      </c>
      <c r="CM102" s="48">
        <v>0</v>
      </c>
      <c r="CN102" s="48">
        <v>0</v>
      </c>
      <c r="CO102" s="48">
        <v>0</v>
      </c>
      <c r="CP102" s="48">
        <v>0</v>
      </c>
      <c r="CQ102" s="48">
        <v>0</v>
      </c>
      <c r="CR102" s="48">
        <v>4132.5735410238085</v>
      </c>
      <c r="CS102" s="48">
        <v>0</v>
      </c>
      <c r="CT102" s="48">
        <v>5.0873168876121186E-2</v>
      </c>
      <c r="CU102" s="48">
        <v>0</v>
      </c>
      <c r="CV102" s="48">
        <v>0</v>
      </c>
      <c r="CW102" s="48">
        <v>0</v>
      </c>
      <c r="CX102" s="48">
        <v>4.7351851421200469E-3</v>
      </c>
      <c r="CY102" s="48">
        <v>135.25957206465918</v>
      </c>
      <c r="CZ102" s="48">
        <v>0</v>
      </c>
      <c r="DA102" s="48">
        <v>2.51687843272348E-3</v>
      </c>
      <c r="DB102" s="48">
        <v>2931.7738077361487</v>
      </c>
      <c r="DC102" s="48">
        <v>2.2783480923449659E-2</v>
      </c>
      <c r="DD102" s="48">
        <v>9290.8799211191908</v>
      </c>
      <c r="DE102" s="48">
        <v>0</v>
      </c>
      <c r="DF102" s="48">
        <v>0</v>
      </c>
      <c r="DG102" s="48">
        <v>189.0086928175634</v>
      </c>
      <c r="DH102" s="48">
        <v>2394.7112206877719</v>
      </c>
      <c r="DI102" s="48">
        <v>0</v>
      </c>
      <c r="DJ102" s="48">
        <v>0</v>
      </c>
      <c r="DK102" s="48">
        <v>0</v>
      </c>
      <c r="DL102" s="48">
        <v>2729.7573427910174</v>
      </c>
      <c r="DM102" s="48">
        <v>0</v>
      </c>
      <c r="DN102" s="48">
        <v>0</v>
      </c>
      <c r="DO102" s="48">
        <v>0</v>
      </c>
      <c r="DP102" s="48">
        <v>0</v>
      </c>
      <c r="DQ102" s="48">
        <v>0</v>
      </c>
      <c r="DR102" s="48">
        <v>0</v>
      </c>
      <c r="DS102" s="48">
        <v>0</v>
      </c>
      <c r="DT102" s="48">
        <v>0</v>
      </c>
      <c r="DU102" s="48">
        <v>0</v>
      </c>
      <c r="DV102" s="48">
        <v>0</v>
      </c>
      <c r="DW102" s="48">
        <v>0</v>
      </c>
      <c r="DX102" s="48">
        <v>0</v>
      </c>
      <c r="DY102" s="48">
        <v>0</v>
      </c>
      <c r="DZ102" s="48">
        <v>0</v>
      </c>
      <c r="EA102" s="48">
        <v>0</v>
      </c>
      <c r="EB102" s="48">
        <v>0</v>
      </c>
      <c r="EC102" s="48">
        <v>0</v>
      </c>
      <c r="ED102" s="48">
        <v>0</v>
      </c>
      <c r="EE102" s="48">
        <v>0</v>
      </c>
      <c r="EF102" s="48">
        <v>0</v>
      </c>
      <c r="EG102" s="48">
        <v>0</v>
      </c>
      <c r="EH102" s="48">
        <v>0</v>
      </c>
      <c r="EI102" s="48">
        <v>0</v>
      </c>
      <c r="EJ102" s="48">
        <v>0</v>
      </c>
      <c r="EK102" s="48">
        <v>0</v>
      </c>
      <c r="EL102" s="48">
        <v>1.8403458355529785E-4</v>
      </c>
      <c r="EM102" s="48">
        <v>6.7386364022510801</v>
      </c>
      <c r="EN102" s="48">
        <v>8.3115012215595474</v>
      </c>
      <c r="EO102" s="48">
        <v>0</v>
      </c>
      <c r="EP102" s="48">
        <v>5.0707397986242701E-4</v>
      </c>
      <c r="EQ102" s="48">
        <v>0</v>
      </c>
      <c r="ER102" s="48">
        <v>0</v>
      </c>
      <c r="ES102" s="48">
        <v>0</v>
      </c>
      <c r="ET102" s="48">
        <v>6.0163853066010389E-5</v>
      </c>
      <c r="EU102" s="48">
        <v>0</v>
      </c>
      <c r="EV102" s="48">
        <v>0</v>
      </c>
      <c r="EW102" s="48">
        <v>0</v>
      </c>
      <c r="EX102" s="48">
        <v>9.4942145270461425E-6</v>
      </c>
      <c r="EY102" s="48">
        <v>0</v>
      </c>
      <c r="EZ102" s="48">
        <v>0</v>
      </c>
      <c r="FA102" s="48">
        <v>0</v>
      </c>
      <c r="FB102" s="48">
        <v>0</v>
      </c>
      <c r="FC102" s="48">
        <v>0</v>
      </c>
      <c r="FD102" s="48">
        <v>4.9537412004457518E-10</v>
      </c>
      <c r="FE102" s="48">
        <v>0</v>
      </c>
      <c r="FF102" s="48">
        <v>0</v>
      </c>
      <c r="FG102" s="48">
        <v>1.27148564530322E-10</v>
      </c>
      <c r="FH102" s="48">
        <v>9.1143394484055344E-11</v>
      </c>
      <c r="FI102" s="48">
        <v>1.4115365765296119E-10</v>
      </c>
      <c r="FJ102" s="48">
        <v>0</v>
      </c>
      <c r="FK102" s="48">
        <v>0</v>
      </c>
      <c r="FL102" s="48">
        <v>0</v>
      </c>
      <c r="FM102" s="48">
        <v>0</v>
      </c>
      <c r="FN102" s="48">
        <v>0</v>
      </c>
      <c r="FO102" s="48">
        <v>0</v>
      </c>
      <c r="FP102" s="48">
        <v>0</v>
      </c>
      <c r="FQ102" s="48">
        <v>8.2083608726798385E-11</v>
      </c>
      <c r="FR102" s="48">
        <v>2.4308422352358563E-11</v>
      </c>
      <c r="FS102" s="48">
        <v>0</v>
      </c>
      <c r="FT102" s="48">
        <v>6.6211394133286365E-12</v>
      </c>
      <c r="FU102" s="48">
        <v>0</v>
      </c>
      <c r="FV102" s="48">
        <v>0</v>
      </c>
      <c r="FW102" s="48">
        <v>0</v>
      </c>
      <c r="FX102" s="48">
        <v>0</v>
      </c>
      <c r="FY102" s="48">
        <v>0</v>
      </c>
      <c r="FZ102" s="48">
        <v>0</v>
      </c>
      <c r="GA102" s="48">
        <v>0</v>
      </c>
      <c r="GB102" s="48">
        <v>0</v>
      </c>
      <c r="GC102" s="48">
        <v>0</v>
      </c>
      <c r="GD102" s="48">
        <v>0</v>
      </c>
      <c r="GE102" s="48">
        <v>157.87556878948837</v>
      </c>
      <c r="GF102" s="48">
        <v>4427.7265670687029</v>
      </c>
      <c r="GG102" s="48">
        <v>0</v>
      </c>
      <c r="GH102" s="48">
        <v>0</v>
      </c>
      <c r="GI102" s="48">
        <v>0</v>
      </c>
      <c r="GJ102" s="48">
        <v>0</v>
      </c>
      <c r="GK102" s="48">
        <v>0</v>
      </c>
      <c r="GL102" s="48">
        <v>0</v>
      </c>
      <c r="GM102" s="48">
        <v>0</v>
      </c>
      <c r="GN102" s="48">
        <v>0</v>
      </c>
      <c r="GO102" s="48">
        <v>0</v>
      </c>
      <c r="GP102" s="48">
        <v>0</v>
      </c>
      <c r="GQ102" s="48">
        <v>0</v>
      </c>
      <c r="GR102" s="48">
        <v>0</v>
      </c>
      <c r="GS102" s="48">
        <v>0</v>
      </c>
      <c r="GT102" s="48">
        <v>6.0447802217696746E-14</v>
      </c>
      <c r="GU102" s="48">
        <v>0</v>
      </c>
      <c r="GV102" s="48">
        <v>0</v>
      </c>
      <c r="GW102" s="48">
        <v>0</v>
      </c>
      <c r="GX102" s="48">
        <v>8.8376175579637668E-12</v>
      </c>
      <c r="GY102" s="48">
        <v>0</v>
      </c>
      <c r="GZ102" s="48">
        <v>0</v>
      </c>
      <c r="HA102" s="48">
        <v>0</v>
      </c>
      <c r="HB102" s="48">
        <v>0</v>
      </c>
      <c r="HC102" s="48">
        <v>0</v>
      </c>
      <c r="HD102" s="48">
        <v>0</v>
      </c>
      <c r="HE102" s="48">
        <v>0</v>
      </c>
      <c r="HF102" s="48">
        <v>0</v>
      </c>
      <c r="HG102" s="48">
        <v>0</v>
      </c>
      <c r="HH102" s="48">
        <v>0</v>
      </c>
      <c r="HI102" s="48">
        <v>0</v>
      </c>
      <c r="HJ102" s="48">
        <v>0</v>
      </c>
      <c r="HK102" s="48">
        <v>0</v>
      </c>
      <c r="HL102" s="48">
        <v>0</v>
      </c>
      <c r="HM102" s="48">
        <v>0</v>
      </c>
      <c r="HN102" s="48">
        <v>0</v>
      </c>
      <c r="HO102" s="48">
        <v>0</v>
      </c>
      <c r="HP102" s="48">
        <v>0</v>
      </c>
      <c r="HQ102" s="48">
        <v>0</v>
      </c>
      <c r="HR102" s="48">
        <v>0</v>
      </c>
      <c r="HS102" s="48">
        <v>0</v>
      </c>
      <c r="HT102" s="48">
        <v>0</v>
      </c>
      <c r="HU102" s="48">
        <v>0</v>
      </c>
      <c r="HV102" s="48">
        <v>31.774959559475057</v>
      </c>
      <c r="HW102" s="48">
        <v>0</v>
      </c>
      <c r="HX102" s="48">
        <v>0</v>
      </c>
      <c r="HY102" s="48">
        <v>0</v>
      </c>
      <c r="HZ102" s="48">
        <v>0</v>
      </c>
      <c r="IA102" s="48">
        <v>0</v>
      </c>
      <c r="IB102" s="48">
        <v>0</v>
      </c>
      <c r="IC102" s="48">
        <v>0</v>
      </c>
      <c r="ID102" s="48">
        <v>0</v>
      </c>
      <c r="IE102" s="48">
        <v>0</v>
      </c>
      <c r="IF102" s="48">
        <v>0</v>
      </c>
      <c r="IG102" s="48">
        <v>0</v>
      </c>
      <c r="IH102" s="48">
        <v>0</v>
      </c>
      <c r="II102" s="48">
        <v>0</v>
      </c>
      <c r="IJ102" s="48">
        <v>0.84903122464734282</v>
      </c>
      <c r="IK102" s="48">
        <v>812.59655805879072</v>
      </c>
      <c r="IL102" s="48">
        <v>0</v>
      </c>
      <c r="IM102" s="48">
        <v>115.49437106445021</v>
      </c>
      <c r="IN102" s="48">
        <v>0</v>
      </c>
      <c r="IO102" s="48">
        <v>0</v>
      </c>
      <c r="IP102" s="23">
        <v>32900.999999999745</v>
      </c>
      <c r="IQ102" s="25">
        <v>284601</v>
      </c>
      <c r="IR102" s="25">
        <v>0</v>
      </c>
      <c r="IS102" s="26">
        <v>0</v>
      </c>
      <c r="IT102" s="26">
        <v>0</v>
      </c>
      <c r="IU102" s="26">
        <v>978</v>
      </c>
      <c r="IV102" s="9">
        <v>49650</v>
      </c>
      <c r="IW102" s="38">
        <f t="shared" si="5"/>
        <v>368129.99999999977</v>
      </c>
    </row>
    <row r="103" spans="1:257" ht="30" customHeight="1" x14ac:dyDescent="0.25">
      <c r="A103" s="112" t="b">
        <v>0</v>
      </c>
      <c r="B103" s="113" t="str">
        <f>IFERROR(VLOOKUP(C103,'Bridge matrix'!$D$3:$E$727,2,FALSE)='symmetric IOT 245 2012'!D103,"FALSCH")</f>
        <v>FALSCH</v>
      </c>
      <c r="C103" s="108">
        <v>97</v>
      </c>
      <c r="D103" s="49" t="s">
        <v>1415</v>
      </c>
      <c r="E103" s="48">
        <v>0</v>
      </c>
      <c r="F103" s="48">
        <v>0</v>
      </c>
      <c r="G103" s="48">
        <v>0</v>
      </c>
      <c r="H103" s="48">
        <v>0</v>
      </c>
      <c r="I103" s="48">
        <v>0</v>
      </c>
      <c r="J103" s="48">
        <v>0</v>
      </c>
      <c r="K103" s="48">
        <v>0</v>
      </c>
      <c r="L103" s="48">
        <v>0</v>
      </c>
      <c r="M103" s="48">
        <v>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T103" s="48">
        <v>0</v>
      </c>
      <c r="U103" s="48">
        <v>0</v>
      </c>
      <c r="V103" s="48">
        <v>0</v>
      </c>
      <c r="W103" s="48">
        <v>0</v>
      </c>
      <c r="X103" s="48">
        <v>0</v>
      </c>
      <c r="Y103" s="48">
        <v>0</v>
      </c>
      <c r="Z103" s="48">
        <v>0</v>
      </c>
      <c r="AA103" s="48">
        <v>0</v>
      </c>
      <c r="AB103" s="48">
        <v>0</v>
      </c>
      <c r="AC103" s="48">
        <v>0</v>
      </c>
      <c r="AD103" s="48">
        <v>0</v>
      </c>
      <c r="AE103" s="48">
        <v>0</v>
      </c>
      <c r="AF103" s="48">
        <v>0</v>
      </c>
      <c r="AG103" s="48">
        <v>0</v>
      </c>
      <c r="AH103" s="48">
        <v>0</v>
      </c>
      <c r="AI103" s="48">
        <v>0</v>
      </c>
      <c r="AJ103" s="48">
        <v>0</v>
      </c>
      <c r="AK103" s="48">
        <v>0</v>
      </c>
      <c r="AL103" s="48">
        <v>0</v>
      </c>
      <c r="AM103" s="48">
        <v>0</v>
      </c>
      <c r="AN103" s="48">
        <v>0</v>
      </c>
      <c r="AO103" s="48">
        <v>0</v>
      </c>
      <c r="AP103" s="48">
        <v>0</v>
      </c>
      <c r="AQ103" s="48">
        <v>0</v>
      </c>
      <c r="AR103" s="48">
        <v>0</v>
      </c>
      <c r="AS103" s="48">
        <v>0</v>
      </c>
      <c r="AT103" s="48">
        <v>0</v>
      </c>
      <c r="AU103" s="48">
        <v>0</v>
      </c>
      <c r="AV103" s="48">
        <v>0</v>
      </c>
      <c r="AW103" s="48">
        <v>0</v>
      </c>
      <c r="AX103" s="48">
        <v>0</v>
      </c>
      <c r="AY103" s="48">
        <v>0</v>
      </c>
      <c r="AZ103" s="48">
        <v>0</v>
      </c>
      <c r="BA103" s="48">
        <v>0</v>
      </c>
      <c r="BB103" s="48">
        <v>0</v>
      </c>
      <c r="BC103" s="48">
        <v>0</v>
      </c>
      <c r="BD103" s="48">
        <v>0</v>
      </c>
      <c r="BE103" s="48">
        <v>0</v>
      </c>
      <c r="BF103" s="48">
        <v>0</v>
      </c>
      <c r="BG103" s="48">
        <v>0</v>
      </c>
      <c r="BH103" s="48">
        <v>0</v>
      </c>
      <c r="BI103" s="48">
        <v>0</v>
      </c>
      <c r="BJ103" s="48">
        <v>0</v>
      </c>
      <c r="BK103" s="48">
        <v>0</v>
      </c>
      <c r="BL103" s="48">
        <v>0</v>
      </c>
      <c r="BM103" s="48">
        <v>0</v>
      </c>
      <c r="BN103" s="48">
        <v>0</v>
      </c>
      <c r="BO103" s="48">
        <v>0</v>
      </c>
      <c r="BP103" s="48">
        <v>0</v>
      </c>
      <c r="BQ103" s="48">
        <v>0</v>
      </c>
      <c r="BR103" s="48">
        <v>0</v>
      </c>
      <c r="BS103" s="48">
        <v>0</v>
      </c>
      <c r="BT103" s="48">
        <v>0</v>
      </c>
      <c r="BU103" s="48">
        <v>0</v>
      </c>
      <c r="BV103" s="48">
        <v>0</v>
      </c>
      <c r="BW103" s="48">
        <v>0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0</v>
      </c>
      <c r="CE103" s="48">
        <v>0</v>
      </c>
      <c r="CF103" s="48">
        <v>0</v>
      </c>
      <c r="CG103" s="48">
        <v>0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  <c r="CM103" s="48">
        <v>1.9076222022699323E-5</v>
      </c>
      <c r="CN103" s="48">
        <v>8166.5829187719428</v>
      </c>
      <c r="CO103" s="48">
        <v>0</v>
      </c>
      <c r="CP103" s="48">
        <v>0</v>
      </c>
      <c r="CQ103" s="48">
        <v>0</v>
      </c>
      <c r="CR103" s="48">
        <v>0</v>
      </c>
      <c r="CS103" s="48">
        <v>524.72971545315772</v>
      </c>
      <c r="CT103" s="48">
        <v>2505.9097985068215</v>
      </c>
      <c r="CU103" s="48">
        <v>2157.5759009213411</v>
      </c>
      <c r="CV103" s="48">
        <v>2710.9975205643123</v>
      </c>
      <c r="CW103" s="48">
        <v>369.15654970812409</v>
      </c>
      <c r="CX103" s="48">
        <v>41.847001129829685</v>
      </c>
      <c r="CY103" s="48">
        <v>0</v>
      </c>
      <c r="CZ103" s="48">
        <v>6.3813119742757978E-3</v>
      </c>
      <c r="DA103" s="48">
        <v>0</v>
      </c>
      <c r="DB103" s="48">
        <v>0</v>
      </c>
      <c r="DC103" s="48">
        <v>0</v>
      </c>
      <c r="DD103" s="48">
        <v>3.8162926982164044E-2</v>
      </c>
      <c r="DE103" s="48">
        <v>4.0693171700617176E-2</v>
      </c>
      <c r="DF103" s="48">
        <v>0</v>
      </c>
      <c r="DG103" s="48">
        <v>0</v>
      </c>
      <c r="DH103" s="48">
        <v>0</v>
      </c>
      <c r="DI103" s="48">
        <v>0.17447322292814535</v>
      </c>
      <c r="DJ103" s="48">
        <v>38068.803056652971</v>
      </c>
      <c r="DK103" s="48">
        <v>0.11979977559710922</v>
      </c>
      <c r="DL103" s="48">
        <v>0</v>
      </c>
      <c r="DM103" s="48">
        <v>0</v>
      </c>
      <c r="DN103" s="48">
        <v>0</v>
      </c>
      <c r="DO103" s="48">
        <v>0</v>
      </c>
      <c r="DP103" s="48">
        <v>0</v>
      </c>
      <c r="DQ103" s="48">
        <v>0</v>
      </c>
      <c r="DR103" s="48">
        <v>0</v>
      </c>
      <c r="DS103" s="48">
        <v>3.2371314435486251</v>
      </c>
      <c r="DT103" s="48">
        <v>0</v>
      </c>
      <c r="DU103" s="48">
        <v>0</v>
      </c>
      <c r="DV103" s="48">
        <v>0</v>
      </c>
      <c r="DW103" s="48">
        <v>0</v>
      </c>
      <c r="DX103" s="48">
        <v>0</v>
      </c>
      <c r="DY103" s="48">
        <v>0</v>
      </c>
      <c r="DZ103" s="48">
        <v>0</v>
      </c>
      <c r="EA103" s="48">
        <v>0</v>
      </c>
      <c r="EB103" s="48">
        <v>0</v>
      </c>
      <c r="EC103" s="48">
        <v>0</v>
      </c>
      <c r="ED103" s="48">
        <v>0</v>
      </c>
      <c r="EE103" s="48">
        <v>0</v>
      </c>
      <c r="EF103" s="48">
        <v>0</v>
      </c>
      <c r="EG103" s="48">
        <v>0</v>
      </c>
      <c r="EH103" s="48">
        <v>0</v>
      </c>
      <c r="EI103" s="48">
        <v>0</v>
      </c>
      <c r="EJ103" s="48">
        <v>0</v>
      </c>
      <c r="EK103" s="48">
        <v>0</v>
      </c>
      <c r="EL103" s="48">
        <v>3.9888509210006193E-4</v>
      </c>
      <c r="EM103" s="48">
        <v>140.18330761097198</v>
      </c>
      <c r="EN103" s="48">
        <v>18.01473698942166</v>
      </c>
      <c r="EO103" s="48">
        <v>0</v>
      </c>
      <c r="EP103" s="48">
        <v>1.0990558910953167E-3</v>
      </c>
      <c r="EQ103" s="48">
        <v>0</v>
      </c>
      <c r="ER103" s="48">
        <v>0</v>
      </c>
      <c r="ES103" s="48">
        <v>0</v>
      </c>
      <c r="ET103" s="48">
        <v>6.7232318894030116E-5</v>
      </c>
      <c r="EU103" s="48">
        <v>0</v>
      </c>
      <c r="EV103" s="48">
        <v>0</v>
      </c>
      <c r="EW103" s="48">
        <v>0</v>
      </c>
      <c r="EX103" s="48">
        <v>2.0825073110391857E-5</v>
      </c>
      <c r="EY103" s="48">
        <v>0</v>
      </c>
      <c r="EZ103" s="48">
        <v>0</v>
      </c>
      <c r="FA103" s="48">
        <v>0</v>
      </c>
      <c r="FB103" s="48">
        <v>0</v>
      </c>
      <c r="FC103" s="48">
        <v>0</v>
      </c>
      <c r="FD103" s="48">
        <v>5.5357409995242155E-10</v>
      </c>
      <c r="FE103" s="48">
        <v>0</v>
      </c>
      <c r="FF103" s="48">
        <v>0</v>
      </c>
      <c r="FG103" s="48">
        <v>1.4208685783541092E-10</v>
      </c>
      <c r="FH103" s="48">
        <v>1.0185155123481119E-10</v>
      </c>
      <c r="FI103" s="48">
        <v>1.5773736622171354E-10</v>
      </c>
      <c r="FJ103" s="48">
        <v>0</v>
      </c>
      <c r="FK103" s="48">
        <v>0</v>
      </c>
      <c r="FL103" s="48">
        <v>0</v>
      </c>
      <c r="FM103" s="48">
        <v>0</v>
      </c>
      <c r="FN103" s="48">
        <v>0</v>
      </c>
      <c r="FO103" s="48">
        <v>0</v>
      </c>
      <c r="FP103" s="48">
        <v>0</v>
      </c>
      <c r="FQ103" s="48">
        <v>1.8043898477455534E-10</v>
      </c>
      <c r="FR103" s="48">
        <v>2.7164344039126202E-11</v>
      </c>
      <c r="FS103" s="48">
        <v>0</v>
      </c>
      <c r="FT103" s="48">
        <v>7.3990366938488552E-12</v>
      </c>
      <c r="FU103" s="48">
        <v>0</v>
      </c>
      <c r="FV103" s="48">
        <v>0</v>
      </c>
      <c r="FW103" s="48">
        <v>0</v>
      </c>
      <c r="FX103" s="48">
        <v>0</v>
      </c>
      <c r="FY103" s="48">
        <v>0</v>
      </c>
      <c r="FZ103" s="48">
        <v>0</v>
      </c>
      <c r="GA103" s="48">
        <v>0</v>
      </c>
      <c r="GB103" s="48">
        <v>0</v>
      </c>
      <c r="GC103" s="48">
        <v>0</v>
      </c>
      <c r="GD103" s="48">
        <v>0</v>
      </c>
      <c r="GE103" s="48">
        <v>15.462903577833785</v>
      </c>
      <c r="GF103" s="48">
        <v>492.11834318347525</v>
      </c>
      <c r="GG103" s="48">
        <v>0</v>
      </c>
      <c r="GH103" s="48">
        <v>0</v>
      </c>
      <c r="GI103" s="48">
        <v>0</v>
      </c>
      <c r="GJ103" s="48">
        <v>0</v>
      </c>
      <c r="GK103" s="48">
        <v>0</v>
      </c>
      <c r="GL103" s="48">
        <v>0</v>
      </c>
      <c r="GM103" s="48">
        <v>0</v>
      </c>
      <c r="GN103" s="48">
        <v>0</v>
      </c>
      <c r="GO103" s="48">
        <v>0</v>
      </c>
      <c r="GP103" s="48">
        <v>0</v>
      </c>
      <c r="GQ103" s="48">
        <v>0</v>
      </c>
      <c r="GR103" s="48">
        <v>0</v>
      </c>
      <c r="GS103" s="48">
        <v>0</v>
      </c>
      <c r="GT103" s="48">
        <v>6.7549628357154406E-14</v>
      </c>
      <c r="GU103" s="48">
        <v>0</v>
      </c>
      <c r="GV103" s="48">
        <v>0</v>
      </c>
      <c r="GW103" s="48">
        <v>0</v>
      </c>
      <c r="GX103" s="48">
        <v>9.8759220302693422E-12</v>
      </c>
      <c r="GY103" s="48">
        <v>0</v>
      </c>
      <c r="GZ103" s="48">
        <v>0</v>
      </c>
      <c r="HA103" s="48">
        <v>0</v>
      </c>
      <c r="HB103" s="48">
        <v>0</v>
      </c>
      <c r="HC103" s="48">
        <v>0</v>
      </c>
      <c r="HD103" s="48">
        <v>0</v>
      </c>
      <c r="HE103" s="48">
        <v>0</v>
      </c>
      <c r="HF103" s="48">
        <v>0</v>
      </c>
      <c r="HG103" s="48">
        <v>0</v>
      </c>
      <c r="HH103" s="48">
        <v>0</v>
      </c>
      <c r="HI103" s="48">
        <v>0</v>
      </c>
      <c r="HJ103" s="48">
        <v>0</v>
      </c>
      <c r="HK103" s="48">
        <v>0</v>
      </c>
      <c r="HL103" s="48">
        <v>0</v>
      </c>
      <c r="HM103" s="48">
        <v>0</v>
      </c>
      <c r="HN103" s="48">
        <v>0</v>
      </c>
      <c r="HO103" s="48">
        <v>0</v>
      </c>
      <c r="HP103" s="48">
        <v>0</v>
      </c>
      <c r="HQ103" s="48">
        <v>0</v>
      </c>
      <c r="HR103" s="48">
        <v>0</v>
      </c>
      <c r="HS103" s="48">
        <v>0</v>
      </c>
      <c r="HT103" s="48">
        <v>0</v>
      </c>
      <c r="HU103" s="48">
        <v>0</v>
      </c>
      <c r="HV103" s="48">
        <v>5.2279217722819739E-11</v>
      </c>
      <c r="HW103" s="48">
        <v>0</v>
      </c>
      <c r="HX103" s="48">
        <v>0</v>
      </c>
      <c r="HY103" s="48">
        <v>0</v>
      </c>
      <c r="HZ103" s="48">
        <v>0</v>
      </c>
      <c r="IA103" s="48">
        <v>0</v>
      </c>
      <c r="IB103" s="48">
        <v>0</v>
      </c>
      <c r="IC103" s="48">
        <v>0</v>
      </c>
      <c r="ID103" s="48">
        <v>0</v>
      </c>
      <c r="IE103" s="48">
        <v>0</v>
      </c>
      <c r="IF103" s="48">
        <v>0</v>
      </c>
      <c r="IG103" s="48">
        <v>0</v>
      </c>
      <c r="IH103" s="48">
        <v>0</v>
      </c>
      <c r="II103" s="48">
        <v>0</v>
      </c>
      <c r="IJ103" s="48">
        <v>0</v>
      </c>
      <c r="IK103" s="48">
        <v>0</v>
      </c>
      <c r="IL103" s="48">
        <v>0</v>
      </c>
      <c r="IM103" s="48">
        <v>0</v>
      </c>
      <c r="IN103" s="48">
        <v>0</v>
      </c>
      <c r="IO103" s="48">
        <v>0</v>
      </c>
      <c r="IP103" s="23">
        <v>55214.999999998763</v>
      </c>
      <c r="IQ103" s="25">
        <v>306</v>
      </c>
      <c r="IR103" s="25">
        <v>0</v>
      </c>
      <c r="IS103" s="26">
        <v>0</v>
      </c>
      <c r="IT103" s="26">
        <v>0</v>
      </c>
      <c r="IU103" s="26">
        <v>-514</v>
      </c>
      <c r="IV103" s="9">
        <v>1553</v>
      </c>
      <c r="IW103" s="38">
        <f t="shared" si="5"/>
        <v>56559.999999998763</v>
      </c>
    </row>
    <row r="104" spans="1:257" ht="30" customHeight="1" x14ac:dyDescent="0.25">
      <c r="A104" s="112" t="b">
        <v>0</v>
      </c>
      <c r="B104" s="113" t="b">
        <f>IFERROR(VLOOKUP(C104,'Bridge matrix'!$D$3:$E$727,2,FALSE)='symmetric IOT 245 2012'!D104,"FALSCH")</f>
        <v>1</v>
      </c>
      <c r="C104" s="108">
        <v>98</v>
      </c>
      <c r="D104" s="49" t="s">
        <v>1416</v>
      </c>
      <c r="E104" s="48">
        <v>0</v>
      </c>
      <c r="F104" s="48">
        <v>0</v>
      </c>
      <c r="G104" s="48">
        <v>0</v>
      </c>
      <c r="H104" s="48">
        <v>0</v>
      </c>
      <c r="I104" s="48">
        <v>0</v>
      </c>
      <c r="J104" s="48">
        <v>0</v>
      </c>
      <c r="K104" s="48">
        <v>0</v>
      </c>
      <c r="L104" s="48">
        <v>0</v>
      </c>
      <c r="M104" s="48">
        <v>0</v>
      </c>
      <c r="N104" s="48">
        <v>0</v>
      </c>
      <c r="O104" s="48">
        <v>0</v>
      </c>
      <c r="P104" s="48">
        <v>0</v>
      </c>
      <c r="Q104" s="48">
        <v>0</v>
      </c>
      <c r="R104" s="48">
        <v>0</v>
      </c>
      <c r="S104" s="48">
        <v>0</v>
      </c>
      <c r="T104" s="48">
        <v>0</v>
      </c>
      <c r="U104" s="48">
        <v>0</v>
      </c>
      <c r="V104" s="48">
        <v>0</v>
      </c>
      <c r="W104" s="48">
        <v>0</v>
      </c>
      <c r="X104" s="48">
        <v>0</v>
      </c>
      <c r="Y104" s="48">
        <v>0</v>
      </c>
      <c r="Z104" s="48">
        <v>0</v>
      </c>
      <c r="AA104" s="48">
        <v>0</v>
      </c>
      <c r="AB104" s="48">
        <v>0</v>
      </c>
      <c r="AC104" s="48">
        <v>0</v>
      </c>
      <c r="AD104" s="48">
        <v>0</v>
      </c>
      <c r="AE104" s="48">
        <v>0</v>
      </c>
      <c r="AF104" s="48">
        <v>0</v>
      </c>
      <c r="AG104" s="48">
        <v>0</v>
      </c>
      <c r="AH104" s="48">
        <v>0</v>
      </c>
      <c r="AI104" s="48">
        <v>0</v>
      </c>
      <c r="AJ104" s="48">
        <v>0</v>
      </c>
      <c r="AK104" s="48">
        <v>0</v>
      </c>
      <c r="AL104" s="48">
        <v>0</v>
      </c>
      <c r="AM104" s="48">
        <v>0</v>
      </c>
      <c r="AN104" s="48">
        <v>0</v>
      </c>
      <c r="AO104" s="48">
        <v>0</v>
      </c>
      <c r="AP104" s="48">
        <v>0</v>
      </c>
      <c r="AQ104" s="48">
        <v>0</v>
      </c>
      <c r="AR104" s="48">
        <v>0</v>
      </c>
      <c r="AS104" s="48">
        <v>0</v>
      </c>
      <c r="AT104" s="48">
        <v>0</v>
      </c>
      <c r="AU104" s="48">
        <v>0</v>
      </c>
      <c r="AV104" s="48">
        <v>0</v>
      </c>
      <c r="AW104" s="48">
        <v>0</v>
      </c>
      <c r="AX104" s="48">
        <v>0</v>
      </c>
      <c r="AY104" s="48">
        <v>0</v>
      </c>
      <c r="AZ104" s="48">
        <v>0</v>
      </c>
      <c r="BA104" s="48">
        <v>0</v>
      </c>
      <c r="BB104" s="48">
        <v>0</v>
      </c>
      <c r="BC104" s="48">
        <v>0</v>
      </c>
      <c r="BD104" s="48">
        <v>0</v>
      </c>
      <c r="BE104" s="48">
        <v>0</v>
      </c>
      <c r="BF104" s="48">
        <v>0</v>
      </c>
      <c r="BG104" s="48">
        <v>0</v>
      </c>
      <c r="BH104" s="48">
        <v>0</v>
      </c>
      <c r="BI104" s="48">
        <v>0</v>
      </c>
      <c r="BJ104" s="48">
        <v>0</v>
      </c>
      <c r="BK104" s="48">
        <v>0</v>
      </c>
      <c r="BL104" s="48">
        <v>0</v>
      </c>
      <c r="BM104" s="48">
        <v>0</v>
      </c>
      <c r="BN104" s="48">
        <v>0</v>
      </c>
      <c r="BO104" s="48">
        <v>0</v>
      </c>
      <c r="BP104" s="48">
        <v>0</v>
      </c>
      <c r="BQ104" s="48">
        <v>0</v>
      </c>
      <c r="BR104" s="48">
        <v>0</v>
      </c>
      <c r="BS104" s="48">
        <v>0</v>
      </c>
      <c r="BT104" s="48">
        <v>0</v>
      </c>
      <c r="BU104" s="48">
        <v>0</v>
      </c>
      <c r="BV104" s="48">
        <v>0</v>
      </c>
      <c r="BW104" s="48">
        <v>0</v>
      </c>
      <c r="BX104" s="48">
        <v>0</v>
      </c>
      <c r="BY104" s="48">
        <v>0</v>
      </c>
      <c r="BZ104" s="48">
        <v>0</v>
      </c>
      <c r="CA104" s="48">
        <v>0</v>
      </c>
      <c r="CB104" s="48">
        <v>0</v>
      </c>
      <c r="CC104" s="48">
        <v>0</v>
      </c>
      <c r="CD104" s="48">
        <v>0</v>
      </c>
      <c r="CE104" s="48">
        <v>0</v>
      </c>
      <c r="CF104" s="48">
        <v>0</v>
      </c>
      <c r="CG104" s="48">
        <v>0</v>
      </c>
      <c r="CH104" s="48">
        <v>0</v>
      </c>
      <c r="CI104" s="48">
        <v>0</v>
      </c>
      <c r="CJ104" s="48">
        <v>0</v>
      </c>
      <c r="CK104" s="48">
        <v>0</v>
      </c>
      <c r="CL104" s="48">
        <v>5.7947767446804704E-8</v>
      </c>
      <c r="CM104" s="48">
        <v>0</v>
      </c>
      <c r="CN104" s="48">
        <v>0</v>
      </c>
      <c r="CO104" s="48">
        <v>0</v>
      </c>
      <c r="CP104" s="48">
        <v>0</v>
      </c>
      <c r="CQ104" s="48">
        <v>0</v>
      </c>
      <c r="CR104" s="48">
        <v>9.1010104382243891E-10</v>
      </c>
      <c r="CS104" s="48">
        <v>0</v>
      </c>
      <c r="CT104" s="48">
        <v>0</v>
      </c>
      <c r="CU104" s="48">
        <v>0</v>
      </c>
      <c r="CV104" s="48">
        <v>0</v>
      </c>
      <c r="CW104" s="48">
        <v>0</v>
      </c>
      <c r="CX104" s="48">
        <v>5438.5316517607544</v>
      </c>
      <c r="CY104" s="48">
        <v>18315.657915446769</v>
      </c>
      <c r="CZ104" s="48">
        <v>1.0058861083391544E-2</v>
      </c>
      <c r="DA104" s="48">
        <v>0</v>
      </c>
      <c r="DB104" s="48">
        <v>0</v>
      </c>
      <c r="DC104" s="48">
        <v>0</v>
      </c>
      <c r="DD104" s="48">
        <v>1706.695584599046</v>
      </c>
      <c r="DE104" s="48">
        <v>6.4144915324002183E-2</v>
      </c>
      <c r="DF104" s="48">
        <v>0</v>
      </c>
      <c r="DG104" s="48">
        <v>0</v>
      </c>
      <c r="DH104" s="48">
        <v>316.98834924756306</v>
      </c>
      <c r="DI104" s="48">
        <v>0</v>
      </c>
      <c r="DJ104" s="48">
        <v>1.8927227198874472E-7</v>
      </c>
      <c r="DK104" s="48">
        <v>0.18884036784450839</v>
      </c>
      <c r="DL104" s="48">
        <v>0</v>
      </c>
      <c r="DM104" s="48">
        <v>0</v>
      </c>
      <c r="DN104" s="48">
        <v>0</v>
      </c>
      <c r="DO104" s="48">
        <v>0</v>
      </c>
      <c r="DP104" s="48">
        <v>0</v>
      </c>
      <c r="DQ104" s="48">
        <v>0</v>
      </c>
      <c r="DR104" s="48">
        <v>0</v>
      </c>
      <c r="DS104" s="48">
        <v>0</v>
      </c>
      <c r="DT104" s="48">
        <v>0</v>
      </c>
      <c r="DU104" s="48">
        <v>0</v>
      </c>
      <c r="DV104" s="48">
        <v>0</v>
      </c>
      <c r="DW104" s="48">
        <v>0</v>
      </c>
      <c r="DX104" s="48">
        <v>0</v>
      </c>
      <c r="DY104" s="48">
        <v>0</v>
      </c>
      <c r="DZ104" s="48">
        <v>0</v>
      </c>
      <c r="EA104" s="48">
        <v>0</v>
      </c>
      <c r="EB104" s="48">
        <v>0</v>
      </c>
      <c r="EC104" s="48">
        <v>0</v>
      </c>
      <c r="ED104" s="48">
        <v>0</v>
      </c>
      <c r="EE104" s="48">
        <v>0</v>
      </c>
      <c r="EF104" s="48">
        <v>0</v>
      </c>
      <c r="EG104" s="48">
        <v>0</v>
      </c>
      <c r="EH104" s="48">
        <v>0</v>
      </c>
      <c r="EI104" s="48">
        <v>0</v>
      </c>
      <c r="EJ104" s="48">
        <v>0</v>
      </c>
      <c r="EK104" s="48">
        <v>0</v>
      </c>
      <c r="EL104" s="48">
        <v>5.9614974685093489E-8</v>
      </c>
      <c r="EM104" s="48">
        <v>9.0615845150569254E-8</v>
      </c>
      <c r="EN104" s="48">
        <v>2.6923740383258594E-3</v>
      </c>
      <c r="EO104" s="48">
        <v>0</v>
      </c>
      <c r="EP104" s="48">
        <v>1.6425827085855928E-7</v>
      </c>
      <c r="EQ104" s="48">
        <v>0</v>
      </c>
      <c r="ER104" s="48">
        <v>0</v>
      </c>
      <c r="ES104" s="48">
        <v>0</v>
      </c>
      <c r="ET104" s="48">
        <v>1.9489090084039494E-8</v>
      </c>
      <c r="EU104" s="48">
        <v>0</v>
      </c>
      <c r="EV104" s="48">
        <v>0</v>
      </c>
      <c r="EW104" s="48">
        <v>0</v>
      </c>
      <c r="EX104" s="48">
        <v>3.0754945497221578E-9</v>
      </c>
      <c r="EY104" s="48">
        <v>0</v>
      </c>
      <c r="EZ104" s="48">
        <v>0</v>
      </c>
      <c r="FA104" s="48">
        <v>0</v>
      </c>
      <c r="FB104" s="48">
        <v>0</v>
      </c>
      <c r="FC104" s="48">
        <v>0</v>
      </c>
      <c r="FD104" s="48">
        <v>1.6046829381519103E-13</v>
      </c>
      <c r="FE104" s="48">
        <v>0</v>
      </c>
      <c r="FF104" s="48">
        <v>0</v>
      </c>
      <c r="FG104" s="48">
        <v>4.1187684995323298E-14</v>
      </c>
      <c r="FH104" s="48">
        <v>2.952440269601729E-14</v>
      </c>
      <c r="FI104" s="48">
        <v>4.5724404430546716E-14</v>
      </c>
      <c r="FJ104" s="48">
        <v>0</v>
      </c>
      <c r="FK104" s="48">
        <v>0</v>
      </c>
      <c r="FL104" s="48">
        <v>0</v>
      </c>
      <c r="FM104" s="48">
        <v>0</v>
      </c>
      <c r="FN104" s="48">
        <v>0</v>
      </c>
      <c r="FO104" s="48">
        <v>0</v>
      </c>
      <c r="FP104" s="48">
        <v>0</v>
      </c>
      <c r="FQ104" s="48">
        <v>2.6589634196872961E-14</v>
      </c>
      <c r="FR104" s="48">
        <v>7.8743133772733908E-15</v>
      </c>
      <c r="FS104" s="48">
        <v>0</v>
      </c>
      <c r="FT104" s="48">
        <v>2.1448091488383692E-15</v>
      </c>
      <c r="FU104" s="48">
        <v>0</v>
      </c>
      <c r="FV104" s="48">
        <v>0</v>
      </c>
      <c r="FW104" s="48">
        <v>0</v>
      </c>
      <c r="FX104" s="48">
        <v>0</v>
      </c>
      <c r="FY104" s="48">
        <v>0</v>
      </c>
      <c r="FZ104" s="48">
        <v>0</v>
      </c>
      <c r="GA104" s="48">
        <v>0</v>
      </c>
      <c r="GB104" s="48">
        <v>0</v>
      </c>
      <c r="GC104" s="48">
        <v>0</v>
      </c>
      <c r="GD104" s="48">
        <v>0</v>
      </c>
      <c r="GE104" s="48">
        <v>51.357460333950641</v>
      </c>
      <c r="GF104" s="48">
        <v>1355.4603613953393</v>
      </c>
      <c r="GG104" s="48">
        <v>0</v>
      </c>
      <c r="GH104" s="48">
        <v>0</v>
      </c>
      <c r="GI104" s="48">
        <v>0</v>
      </c>
      <c r="GJ104" s="48">
        <v>0</v>
      </c>
      <c r="GK104" s="48">
        <v>0</v>
      </c>
      <c r="GL104" s="48">
        <v>0</v>
      </c>
      <c r="GM104" s="48">
        <v>0</v>
      </c>
      <c r="GN104" s="48">
        <v>0</v>
      </c>
      <c r="GO104" s="48">
        <v>0</v>
      </c>
      <c r="GP104" s="48">
        <v>0</v>
      </c>
      <c r="GQ104" s="48">
        <v>0</v>
      </c>
      <c r="GR104" s="48">
        <v>0</v>
      </c>
      <c r="GS104" s="48">
        <v>0</v>
      </c>
      <c r="GT104" s="48">
        <v>1.958107073877633E-17</v>
      </c>
      <c r="GU104" s="48">
        <v>0</v>
      </c>
      <c r="GV104" s="48">
        <v>0</v>
      </c>
      <c r="GW104" s="48">
        <v>0</v>
      </c>
      <c r="GX104" s="48">
        <v>2.8628007672060378E-15</v>
      </c>
      <c r="GY104" s="48">
        <v>0</v>
      </c>
      <c r="GZ104" s="48">
        <v>0</v>
      </c>
      <c r="HA104" s="48">
        <v>0</v>
      </c>
      <c r="HB104" s="48">
        <v>0</v>
      </c>
      <c r="HC104" s="48">
        <v>0</v>
      </c>
      <c r="HD104" s="48">
        <v>0</v>
      </c>
      <c r="HE104" s="48">
        <v>0</v>
      </c>
      <c r="HF104" s="48">
        <v>0</v>
      </c>
      <c r="HG104" s="48">
        <v>0</v>
      </c>
      <c r="HH104" s="48">
        <v>0</v>
      </c>
      <c r="HI104" s="48">
        <v>0</v>
      </c>
      <c r="HJ104" s="48">
        <v>0</v>
      </c>
      <c r="HK104" s="48">
        <v>0</v>
      </c>
      <c r="HL104" s="48">
        <v>0</v>
      </c>
      <c r="HM104" s="48">
        <v>0</v>
      </c>
      <c r="HN104" s="48">
        <v>0</v>
      </c>
      <c r="HO104" s="48">
        <v>0</v>
      </c>
      <c r="HP104" s="48">
        <v>0</v>
      </c>
      <c r="HQ104" s="48">
        <v>0</v>
      </c>
      <c r="HR104" s="48">
        <v>0</v>
      </c>
      <c r="HS104" s="48">
        <v>0</v>
      </c>
      <c r="HT104" s="48">
        <v>0</v>
      </c>
      <c r="HU104" s="48">
        <v>0</v>
      </c>
      <c r="HV104" s="48">
        <v>416.98486454133882</v>
      </c>
      <c r="HW104" s="48">
        <v>0</v>
      </c>
      <c r="HX104" s="48">
        <v>339.02871074086806</v>
      </c>
      <c r="HY104" s="48">
        <v>287.18317743704142</v>
      </c>
      <c r="HZ104" s="48">
        <v>425.15522416624208</v>
      </c>
      <c r="IA104" s="48">
        <v>119.85641553427131</v>
      </c>
      <c r="IB104" s="48">
        <v>6.3536880980074537</v>
      </c>
      <c r="IC104" s="48">
        <v>0</v>
      </c>
      <c r="ID104" s="48">
        <v>0</v>
      </c>
      <c r="IE104" s="48">
        <v>0</v>
      </c>
      <c r="IF104" s="48">
        <v>0</v>
      </c>
      <c r="IG104" s="48">
        <v>579.39583019328506</v>
      </c>
      <c r="IH104" s="48">
        <v>21.252044569175158</v>
      </c>
      <c r="II104" s="48">
        <v>12.579106165294062</v>
      </c>
      <c r="IJ104" s="48">
        <v>160.23433544989328</v>
      </c>
      <c r="IK104" s="48">
        <v>14054.990915418883</v>
      </c>
      <c r="IL104" s="48">
        <v>0</v>
      </c>
      <c r="IM104" s="48">
        <v>2053.0286277985447</v>
      </c>
      <c r="IN104" s="48">
        <v>0</v>
      </c>
      <c r="IO104" s="48">
        <v>0</v>
      </c>
      <c r="IP104" s="23">
        <v>45660.999999999738</v>
      </c>
      <c r="IQ104" s="25">
        <v>491114</v>
      </c>
      <c r="IR104" s="25">
        <v>0</v>
      </c>
      <c r="IS104" s="26">
        <v>0</v>
      </c>
      <c r="IT104" s="26">
        <v>0</v>
      </c>
      <c r="IU104" s="26">
        <v>4286</v>
      </c>
      <c r="IV104" s="9">
        <v>17129</v>
      </c>
      <c r="IW104" s="38">
        <f t="shared" si="5"/>
        <v>558189.99999999977</v>
      </c>
    </row>
    <row r="105" spans="1:257" ht="30" customHeight="1" x14ac:dyDescent="0.25">
      <c r="A105" s="112" t="b">
        <v>0</v>
      </c>
      <c r="B105" s="113" t="b">
        <f>IFERROR(VLOOKUP(C105,'Bridge matrix'!$D$3:$E$727,2,FALSE)='symmetric IOT 245 2012'!D105,"FALSCH")</f>
        <v>1</v>
      </c>
      <c r="C105" s="108">
        <v>99</v>
      </c>
      <c r="D105" s="49" t="s">
        <v>1417</v>
      </c>
      <c r="E105" s="48">
        <v>0</v>
      </c>
      <c r="F105" s="48">
        <v>0</v>
      </c>
      <c r="G105" s="48">
        <v>0</v>
      </c>
      <c r="H105" s="48">
        <v>0</v>
      </c>
      <c r="I105" s="48">
        <v>0</v>
      </c>
      <c r="J105" s="48">
        <v>0</v>
      </c>
      <c r="K105" s="48">
        <v>0</v>
      </c>
      <c r="L105" s="48">
        <v>0</v>
      </c>
      <c r="M105" s="48">
        <v>0</v>
      </c>
      <c r="N105" s="48">
        <v>0</v>
      </c>
      <c r="O105" s="48">
        <v>0</v>
      </c>
      <c r="P105" s="48">
        <v>0</v>
      </c>
      <c r="Q105" s="48">
        <v>0</v>
      </c>
      <c r="R105" s="48">
        <v>0</v>
      </c>
      <c r="S105" s="48">
        <v>0</v>
      </c>
      <c r="T105" s="48">
        <v>0</v>
      </c>
      <c r="U105" s="48">
        <v>0</v>
      </c>
      <c r="V105" s="48">
        <v>0</v>
      </c>
      <c r="W105" s="48">
        <v>0</v>
      </c>
      <c r="X105" s="48">
        <v>0</v>
      </c>
      <c r="Y105" s="48">
        <v>0</v>
      </c>
      <c r="Z105" s="48">
        <v>0</v>
      </c>
      <c r="AA105" s="48">
        <v>0</v>
      </c>
      <c r="AB105" s="48">
        <v>0</v>
      </c>
      <c r="AC105" s="48">
        <v>0</v>
      </c>
      <c r="AD105" s="48">
        <v>0</v>
      </c>
      <c r="AE105" s="48">
        <v>0</v>
      </c>
      <c r="AF105" s="48">
        <v>0</v>
      </c>
      <c r="AG105" s="48">
        <v>0</v>
      </c>
      <c r="AH105" s="48">
        <v>0</v>
      </c>
      <c r="AI105" s="48">
        <v>0</v>
      </c>
      <c r="AJ105" s="48">
        <v>0</v>
      </c>
      <c r="AK105" s="48">
        <v>0</v>
      </c>
      <c r="AL105" s="48">
        <v>0</v>
      </c>
      <c r="AM105" s="48">
        <v>0</v>
      </c>
      <c r="AN105" s="48">
        <v>0</v>
      </c>
      <c r="AO105" s="48">
        <v>0</v>
      </c>
      <c r="AP105" s="48">
        <v>0</v>
      </c>
      <c r="AQ105" s="48">
        <v>0</v>
      </c>
      <c r="AR105" s="48">
        <v>0</v>
      </c>
      <c r="AS105" s="48">
        <v>0</v>
      </c>
      <c r="AT105" s="48">
        <v>0</v>
      </c>
      <c r="AU105" s="48">
        <v>0</v>
      </c>
      <c r="AV105" s="48">
        <v>0</v>
      </c>
      <c r="AW105" s="48">
        <v>0</v>
      </c>
      <c r="AX105" s="48">
        <v>0</v>
      </c>
      <c r="AY105" s="48">
        <v>0</v>
      </c>
      <c r="AZ105" s="48">
        <v>0</v>
      </c>
      <c r="BA105" s="48">
        <v>0</v>
      </c>
      <c r="BB105" s="48">
        <v>0</v>
      </c>
      <c r="BC105" s="48">
        <v>0</v>
      </c>
      <c r="BD105" s="48">
        <v>0</v>
      </c>
      <c r="BE105" s="48">
        <v>0</v>
      </c>
      <c r="BF105" s="48">
        <v>0</v>
      </c>
      <c r="BG105" s="48">
        <v>0</v>
      </c>
      <c r="BH105" s="48">
        <v>0</v>
      </c>
      <c r="BI105" s="48">
        <v>0</v>
      </c>
      <c r="BJ105" s="48">
        <v>0</v>
      </c>
      <c r="BK105" s="48">
        <v>0</v>
      </c>
      <c r="BL105" s="48">
        <v>0</v>
      </c>
      <c r="BM105" s="48">
        <v>0</v>
      </c>
      <c r="BN105" s="48">
        <v>0</v>
      </c>
      <c r="BO105" s="48">
        <v>0</v>
      </c>
      <c r="BP105" s="48">
        <v>0</v>
      </c>
      <c r="BQ105" s="48">
        <v>0</v>
      </c>
      <c r="BR105" s="48">
        <v>0</v>
      </c>
      <c r="BS105" s="48">
        <v>0</v>
      </c>
      <c r="BT105" s="48">
        <v>0</v>
      </c>
      <c r="BU105" s="48">
        <v>0</v>
      </c>
      <c r="BV105" s="48">
        <v>0</v>
      </c>
      <c r="BW105" s="48">
        <v>0</v>
      </c>
      <c r="BX105" s="48">
        <v>0</v>
      </c>
      <c r="BY105" s="48">
        <v>0</v>
      </c>
      <c r="BZ105" s="48">
        <v>0</v>
      </c>
      <c r="CA105" s="48">
        <v>0</v>
      </c>
      <c r="CB105" s="48">
        <v>0</v>
      </c>
      <c r="CC105" s="48">
        <v>0</v>
      </c>
      <c r="CD105" s="48">
        <v>0</v>
      </c>
      <c r="CE105" s="48">
        <v>0</v>
      </c>
      <c r="CF105" s="48">
        <v>0</v>
      </c>
      <c r="CG105" s="48">
        <v>0</v>
      </c>
      <c r="CH105" s="48">
        <v>0</v>
      </c>
      <c r="CI105" s="48">
        <v>0</v>
      </c>
      <c r="CJ105" s="48">
        <v>0</v>
      </c>
      <c r="CK105" s="48">
        <v>0</v>
      </c>
      <c r="CL105" s="48">
        <v>1.4418905231139063</v>
      </c>
      <c r="CM105" s="48">
        <v>0</v>
      </c>
      <c r="CN105" s="48">
        <v>2.1452606254164404</v>
      </c>
      <c r="CO105" s="48">
        <v>0</v>
      </c>
      <c r="CP105" s="48">
        <v>0</v>
      </c>
      <c r="CQ105" s="48">
        <v>0</v>
      </c>
      <c r="CR105" s="48">
        <v>0</v>
      </c>
      <c r="CS105" s="48">
        <v>0</v>
      </c>
      <c r="CT105" s="48">
        <v>2.8717215313880939E-3</v>
      </c>
      <c r="CU105" s="48">
        <v>0</v>
      </c>
      <c r="CV105" s="48">
        <v>0</v>
      </c>
      <c r="CW105" s="48">
        <v>0</v>
      </c>
      <c r="CX105" s="48">
        <v>4510.1320754714943</v>
      </c>
      <c r="CY105" s="48">
        <v>817.84638341704454</v>
      </c>
      <c r="CZ105" s="48">
        <v>417.01954152900589</v>
      </c>
      <c r="DA105" s="48">
        <v>3.2694600979994227E-4</v>
      </c>
      <c r="DB105" s="48">
        <v>165.49632809547072</v>
      </c>
      <c r="DC105" s="48">
        <v>1.2860966630004983E-3</v>
      </c>
      <c r="DD105" s="48">
        <v>9525.4552470078634</v>
      </c>
      <c r="DE105" s="48">
        <v>11.429714106772641</v>
      </c>
      <c r="DF105" s="48">
        <v>0</v>
      </c>
      <c r="DG105" s="48">
        <v>0</v>
      </c>
      <c r="DH105" s="48">
        <v>549.87797665153005</v>
      </c>
      <c r="DI105" s="48">
        <v>125.02177961263574</v>
      </c>
      <c r="DJ105" s="48">
        <v>0</v>
      </c>
      <c r="DK105" s="48">
        <v>0</v>
      </c>
      <c r="DL105" s="48">
        <v>354.59927636706357</v>
      </c>
      <c r="DM105" s="48">
        <v>0</v>
      </c>
      <c r="DN105" s="48">
        <v>0</v>
      </c>
      <c r="DO105" s="48">
        <v>0</v>
      </c>
      <c r="DP105" s="48">
        <v>0</v>
      </c>
      <c r="DQ105" s="48">
        <v>0</v>
      </c>
      <c r="DR105" s="48">
        <v>0</v>
      </c>
      <c r="DS105" s="48">
        <v>0</v>
      </c>
      <c r="DT105" s="48">
        <v>0</v>
      </c>
      <c r="DU105" s="48">
        <v>0</v>
      </c>
      <c r="DV105" s="48">
        <v>0</v>
      </c>
      <c r="DW105" s="48">
        <v>0</v>
      </c>
      <c r="DX105" s="48">
        <v>0</v>
      </c>
      <c r="DY105" s="48">
        <v>0</v>
      </c>
      <c r="DZ105" s="48">
        <v>0</v>
      </c>
      <c r="EA105" s="48">
        <v>0</v>
      </c>
      <c r="EB105" s="48">
        <v>0</v>
      </c>
      <c r="EC105" s="48">
        <v>0</v>
      </c>
      <c r="ED105" s="48">
        <v>0</v>
      </c>
      <c r="EE105" s="48">
        <v>0</v>
      </c>
      <c r="EF105" s="48">
        <v>0</v>
      </c>
      <c r="EG105" s="48">
        <v>0</v>
      </c>
      <c r="EH105" s="48">
        <v>0</v>
      </c>
      <c r="EI105" s="48">
        <v>0</v>
      </c>
      <c r="EJ105" s="48">
        <v>0</v>
      </c>
      <c r="EK105" s="48">
        <v>0</v>
      </c>
      <c r="EL105" s="48">
        <v>2.4792028182939853E-3</v>
      </c>
      <c r="EM105" s="48">
        <v>3.7684333486021843E-3</v>
      </c>
      <c r="EN105" s="48">
        <v>111.96752726942076</v>
      </c>
      <c r="EO105" s="48">
        <v>0</v>
      </c>
      <c r="EP105" s="48">
        <v>6.8309945645663867E-3</v>
      </c>
      <c r="EQ105" s="48">
        <v>0</v>
      </c>
      <c r="ER105" s="48">
        <v>0</v>
      </c>
      <c r="ES105" s="48">
        <v>0</v>
      </c>
      <c r="ET105" s="48">
        <v>8.1049111095936874E-4</v>
      </c>
      <c r="EU105" s="48">
        <v>0</v>
      </c>
      <c r="EV105" s="48">
        <v>0</v>
      </c>
      <c r="EW105" s="48">
        <v>0</v>
      </c>
      <c r="EX105" s="48">
        <v>1.279003269832045E-4</v>
      </c>
      <c r="EY105" s="48">
        <v>0</v>
      </c>
      <c r="EZ105" s="48">
        <v>0</v>
      </c>
      <c r="FA105" s="48">
        <v>0</v>
      </c>
      <c r="FB105" s="48">
        <v>0</v>
      </c>
      <c r="FC105" s="48">
        <v>0</v>
      </c>
      <c r="FD105" s="48">
        <v>6.6733811156498803E-9</v>
      </c>
      <c r="FE105" s="48">
        <v>0</v>
      </c>
      <c r="FF105" s="48">
        <v>0</v>
      </c>
      <c r="FG105" s="48">
        <v>1.7128687088907449E-9</v>
      </c>
      <c r="FH105" s="48">
        <v>1.227828792330514E-9</v>
      </c>
      <c r="FI105" s="48">
        <v>1.9015368693492065E-9</v>
      </c>
      <c r="FJ105" s="48">
        <v>0</v>
      </c>
      <c r="FK105" s="48">
        <v>0</v>
      </c>
      <c r="FL105" s="48">
        <v>0</v>
      </c>
      <c r="FM105" s="48">
        <v>0</v>
      </c>
      <c r="FN105" s="48">
        <v>0</v>
      </c>
      <c r="FO105" s="48">
        <v>0</v>
      </c>
      <c r="FP105" s="48">
        <v>0</v>
      </c>
      <c r="FQ105" s="48">
        <v>1.1057808274936099E-9</v>
      </c>
      <c r="FR105" s="48">
        <v>3.2746839229888327E-10</v>
      </c>
      <c r="FS105" s="48">
        <v>0</v>
      </c>
      <c r="FT105" s="48">
        <v>8.9195993365613424E-11</v>
      </c>
      <c r="FU105" s="48">
        <v>0</v>
      </c>
      <c r="FV105" s="48">
        <v>0</v>
      </c>
      <c r="FW105" s="48">
        <v>0</v>
      </c>
      <c r="FX105" s="48">
        <v>0</v>
      </c>
      <c r="FY105" s="48">
        <v>0</v>
      </c>
      <c r="FZ105" s="48">
        <v>0</v>
      </c>
      <c r="GA105" s="48">
        <v>0</v>
      </c>
      <c r="GB105" s="48">
        <v>0</v>
      </c>
      <c r="GC105" s="48">
        <v>0</v>
      </c>
      <c r="GD105" s="48">
        <v>0</v>
      </c>
      <c r="GE105" s="48">
        <v>1850.4296669582591</v>
      </c>
      <c r="GF105" s="48">
        <v>46092.544255353874</v>
      </c>
      <c r="GG105" s="48">
        <v>0</v>
      </c>
      <c r="GH105" s="48">
        <v>0</v>
      </c>
      <c r="GI105" s="48">
        <v>0</v>
      </c>
      <c r="GJ105" s="48">
        <v>0</v>
      </c>
      <c r="GK105" s="48">
        <v>0</v>
      </c>
      <c r="GL105" s="48">
        <v>0</v>
      </c>
      <c r="GM105" s="48">
        <v>0</v>
      </c>
      <c r="GN105" s="48">
        <v>0</v>
      </c>
      <c r="GO105" s="48">
        <v>0</v>
      </c>
      <c r="GP105" s="48">
        <v>0</v>
      </c>
      <c r="GQ105" s="48">
        <v>0</v>
      </c>
      <c r="GR105" s="48">
        <v>0</v>
      </c>
      <c r="GS105" s="48">
        <v>0</v>
      </c>
      <c r="GT105" s="48">
        <v>8.1431630252670102E-13</v>
      </c>
      <c r="GU105" s="48">
        <v>0</v>
      </c>
      <c r="GV105" s="48">
        <v>0</v>
      </c>
      <c r="GW105" s="48">
        <v>0</v>
      </c>
      <c r="GX105" s="48">
        <v>1.1905504896651493E-10</v>
      </c>
      <c r="GY105" s="48">
        <v>0</v>
      </c>
      <c r="GZ105" s="48">
        <v>0</v>
      </c>
      <c r="HA105" s="48">
        <v>0</v>
      </c>
      <c r="HB105" s="48">
        <v>0</v>
      </c>
      <c r="HC105" s="48">
        <v>0</v>
      </c>
      <c r="HD105" s="48">
        <v>0</v>
      </c>
      <c r="HE105" s="48">
        <v>0</v>
      </c>
      <c r="HF105" s="48">
        <v>0</v>
      </c>
      <c r="HG105" s="48">
        <v>0</v>
      </c>
      <c r="HH105" s="48">
        <v>0</v>
      </c>
      <c r="HI105" s="48">
        <v>0</v>
      </c>
      <c r="HJ105" s="48">
        <v>0</v>
      </c>
      <c r="HK105" s="48">
        <v>0</v>
      </c>
      <c r="HL105" s="48">
        <v>0</v>
      </c>
      <c r="HM105" s="48">
        <v>0</v>
      </c>
      <c r="HN105" s="48">
        <v>0</v>
      </c>
      <c r="HO105" s="48">
        <v>0</v>
      </c>
      <c r="HP105" s="48">
        <v>0</v>
      </c>
      <c r="HQ105" s="48">
        <v>0</v>
      </c>
      <c r="HR105" s="48">
        <v>0</v>
      </c>
      <c r="HS105" s="48">
        <v>0</v>
      </c>
      <c r="HT105" s="48">
        <v>0</v>
      </c>
      <c r="HU105" s="48">
        <v>0</v>
      </c>
      <c r="HV105" s="48">
        <v>62.465071101369503</v>
      </c>
      <c r="HW105" s="48">
        <v>0</v>
      </c>
      <c r="HX105" s="48">
        <v>73.304764600558471</v>
      </c>
      <c r="HY105" s="48">
        <v>61.81536222660948</v>
      </c>
      <c r="HZ105" s="48">
        <v>91.803971806179959</v>
      </c>
      <c r="IA105" s="48">
        <v>25.586555053473624</v>
      </c>
      <c r="IB105" s="48">
        <v>0.88197102220178791</v>
      </c>
      <c r="IC105" s="48">
        <v>0</v>
      </c>
      <c r="ID105" s="48">
        <v>0</v>
      </c>
      <c r="IE105" s="48">
        <v>0</v>
      </c>
      <c r="IF105" s="48">
        <v>0</v>
      </c>
      <c r="IG105" s="48">
        <v>169.33387446489081</v>
      </c>
      <c r="IH105" s="48">
        <v>9.3865176688782341</v>
      </c>
      <c r="II105" s="48">
        <v>6.1114779843599418</v>
      </c>
      <c r="IJ105" s="48">
        <v>183.84637372649706</v>
      </c>
      <c r="IK105" s="48">
        <v>1303.859501733871</v>
      </c>
      <c r="IL105" s="48">
        <v>0</v>
      </c>
      <c r="IM105" s="48">
        <v>247.17913382220272</v>
      </c>
      <c r="IN105" s="48">
        <v>0</v>
      </c>
      <c r="IO105" s="48">
        <v>0</v>
      </c>
      <c r="IP105" s="23">
        <v>66770.999999999578</v>
      </c>
      <c r="IQ105" s="25">
        <v>488510</v>
      </c>
      <c r="IR105" s="25">
        <v>0</v>
      </c>
      <c r="IS105" s="26">
        <v>0</v>
      </c>
      <c r="IT105" s="26">
        <v>0</v>
      </c>
      <c r="IU105" s="26">
        <v>-2482</v>
      </c>
      <c r="IV105" s="9">
        <v>19267</v>
      </c>
      <c r="IW105" s="38">
        <f t="shared" si="5"/>
        <v>572065.99999999953</v>
      </c>
    </row>
    <row r="106" spans="1:257" ht="30" customHeight="1" x14ac:dyDescent="0.25">
      <c r="A106" s="112" t="b">
        <v>0</v>
      </c>
      <c r="B106" s="113" t="b">
        <f>IFERROR(VLOOKUP(C106,'Bridge matrix'!$D$3:$E$727,2,FALSE)='symmetric IOT 245 2012'!D106,"FALSCH")</f>
        <v>1</v>
      </c>
      <c r="C106" s="108">
        <v>100</v>
      </c>
      <c r="D106" s="49" t="s">
        <v>516</v>
      </c>
      <c r="E106" s="48">
        <v>0</v>
      </c>
      <c r="F106" s="48">
        <v>0</v>
      </c>
      <c r="G106" s="48">
        <v>0</v>
      </c>
      <c r="H106" s="48">
        <v>0</v>
      </c>
      <c r="I106" s="48">
        <v>0</v>
      </c>
      <c r="J106" s="48">
        <v>0</v>
      </c>
      <c r="K106" s="48">
        <v>0</v>
      </c>
      <c r="L106" s="48">
        <v>0</v>
      </c>
      <c r="M106" s="48">
        <v>0</v>
      </c>
      <c r="N106" s="48">
        <v>0</v>
      </c>
      <c r="O106" s="48">
        <v>0</v>
      </c>
      <c r="P106" s="48">
        <v>0</v>
      </c>
      <c r="Q106" s="48">
        <v>0</v>
      </c>
      <c r="R106" s="48">
        <v>0</v>
      </c>
      <c r="S106" s="48">
        <v>0</v>
      </c>
      <c r="T106" s="48">
        <v>0</v>
      </c>
      <c r="U106" s="48">
        <v>0</v>
      </c>
      <c r="V106" s="48">
        <v>0</v>
      </c>
      <c r="W106" s="48">
        <v>0</v>
      </c>
      <c r="X106" s="48">
        <v>0</v>
      </c>
      <c r="Y106" s="48">
        <v>0</v>
      </c>
      <c r="Z106" s="48">
        <v>0</v>
      </c>
      <c r="AA106" s="48">
        <v>0</v>
      </c>
      <c r="AB106" s="48">
        <v>0</v>
      </c>
      <c r="AC106" s="48">
        <v>0</v>
      </c>
      <c r="AD106" s="48">
        <v>0</v>
      </c>
      <c r="AE106" s="48">
        <v>0</v>
      </c>
      <c r="AF106" s="48">
        <v>0</v>
      </c>
      <c r="AG106" s="48">
        <v>0</v>
      </c>
      <c r="AH106" s="48">
        <v>0</v>
      </c>
      <c r="AI106" s="48">
        <v>0</v>
      </c>
      <c r="AJ106" s="48">
        <v>0</v>
      </c>
      <c r="AK106" s="48">
        <v>0</v>
      </c>
      <c r="AL106" s="48">
        <v>0</v>
      </c>
      <c r="AM106" s="48">
        <v>0</v>
      </c>
      <c r="AN106" s="48">
        <v>0</v>
      </c>
      <c r="AO106" s="48">
        <v>0</v>
      </c>
      <c r="AP106" s="48">
        <v>0</v>
      </c>
      <c r="AQ106" s="48">
        <v>0</v>
      </c>
      <c r="AR106" s="48">
        <v>0</v>
      </c>
      <c r="AS106" s="48">
        <v>0</v>
      </c>
      <c r="AT106" s="48">
        <v>0</v>
      </c>
      <c r="AU106" s="48">
        <v>0</v>
      </c>
      <c r="AV106" s="48">
        <v>0</v>
      </c>
      <c r="AW106" s="48">
        <v>0</v>
      </c>
      <c r="AX106" s="48">
        <v>0</v>
      </c>
      <c r="AY106" s="48">
        <v>0</v>
      </c>
      <c r="AZ106" s="48">
        <v>0</v>
      </c>
      <c r="BA106" s="48">
        <v>0</v>
      </c>
      <c r="BB106" s="48">
        <v>0</v>
      </c>
      <c r="BC106" s="48">
        <v>0</v>
      </c>
      <c r="BD106" s="48">
        <v>0</v>
      </c>
      <c r="BE106" s="48">
        <v>0</v>
      </c>
      <c r="BF106" s="48">
        <v>0</v>
      </c>
      <c r="BG106" s="48">
        <v>0</v>
      </c>
      <c r="BH106" s="48">
        <v>0</v>
      </c>
      <c r="BI106" s="48">
        <v>0</v>
      </c>
      <c r="BJ106" s="48">
        <v>0</v>
      </c>
      <c r="BK106" s="48">
        <v>0</v>
      </c>
      <c r="BL106" s="48">
        <v>0</v>
      </c>
      <c r="BM106" s="48">
        <v>0</v>
      </c>
      <c r="BN106" s="48">
        <v>112.56559003567828</v>
      </c>
      <c r="BO106" s="48">
        <v>0</v>
      </c>
      <c r="BP106" s="48">
        <v>0</v>
      </c>
      <c r="BQ106" s="48">
        <v>0</v>
      </c>
      <c r="BR106" s="48">
        <v>0</v>
      </c>
      <c r="BS106" s="48">
        <v>0</v>
      </c>
      <c r="BT106" s="48">
        <v>0</v>
      </c>
      <c r="BU106" s="48">
        <v>0</v>
      </c>
      <c r="BV106" s="48">
        <v>0</v>
      </c>
      <c r="BW106" s="48">
        <v>0</v>
      </c>
      <c r="BX106" s="48">
        <v>0</v>
      </c>
      <c r="BY106" s="48">
        <v>0</v>
      </c>
      <c r="BZ106" s="48">
        <v>0</v>
      </c>
      <c r="CA106" s="48">
        <v>0</v>
      </c>
      <c r="CB106" s="48">
        <v>0</v>
      </c>
      <c r="CC106" s="48">
        <v>0</v>
      </c>
      <c r="CD106" s="48">
        <v>0</v>
      </c>
      <c r="CE106" s="48">
        <v>0</v>
      </c>
      <c r="CF106" s="48">
        <v>0</v>
      </c>
      <c r="CG106" s="48">
        <v>0</v>
      </c>
      <c r="CH106" s="48">
        <v>0</v>
      </c>
      <c r="CI106" s="48">
        <v>349.25179789452608</v>
      </c>
      <c r="CJ106" s="48">
        <v>0</v>
      </c>
      <c r="CK106" s="48">
        <v>0</v>
      </c>
      <c r="CL106" s="48">
        <v>0</v>
      </c>
      <c r="CM106" s="48">
        <v>0</v>
      </c>
      <c r="CN106" s="48">
        <v>820.04227382431145</v>
      </c>
      <c r="CO106" s="48">
        <v>0</v>
      </c>
      <c r="CP106" s="48">
        <v>0</v>
      </c>
      <c r="CQ106" s="48">
        <v>0</v>
      </c>
      <c r="CR106" s="48">
        <v>0</v>
      </c>
      <c r="CS106" s="48">
        <v>0</v>
      </c>
      <c r="CT106" s="48">
        <v>0</v>
      </c>
      <c r="CU106" s="48">
        <v>3.8602692068065046E-3</v>
      </c>
      <c r="CV106" s="48">
        <v>9.048294526966821E-3</v>
      </c>
      <c r="CW106" s="48">
        <v>0</v>
      </c>
      <c r="CX106" s="48">
        <v>0</v>
      </c>
      <c r="CY106" s="48">
        <v>173.67805536259149</v>
      </c>
      <c r="CZ106" s="48">
        <v>0</v>
      </c>
      <c r="DA106" s="48">
        <v>1.3246036018131209E-4</v>
      </c>
      <c r="DB106" s="48">
        <v>0</v>
      </c>
      <c r="DC106" s="48">
        <v>0</v>
      </c>
      <c r="DD106" s="48">
        <v>170947.76438616877</v>
      </c>
      <c r="DE106" s="48">
        <v>28194.273159081989</v>
      </c>
      <c r="DF106" s="48">
        <v>0</v>
      </c>
      <c r="DG106" s="48">
        <v>0</v>
      </c>
      <c r="DH106" s="48">
        <v>413.02460440914359</v>
      </c>
      <c r="DI106" s="48">
        <v>0</v>
      </c>
      <c r="DJ106" s="48">
        <v>1661.958187570923</v>
      </c>
      <c r="DK106" s="48">
        <v>0</v>
      </c>
      <c r="DL106" s="48">
        <v>143.66392755903345</v>
      </c>
      <c r="DM106" s="48">
        <v>0</v>
      </c>
      <c r="DN106" s="48">
        <v>0</v>
      </c>
      <c r="DO106" s="48">
        <v>0</v>
      </c>
      <c r="DP106" s="48">
        <v>0</v>
      </c>
      <c r="DQ106" s="48">
        <v>0</v>
      </c>
      <c r="DR106" s="48">
        <v>8.4323394811550349E-10</v>
      </c>
      <c r="DS106" s="48">
        <v>0</v>
      </c>
      <c r="DT106" s="48">
        <v>0</v>
      </c>
      <c r="DU106" s="48">
        <v>0</v>
      </c>
      <c r="DV106" s="48">
        <v>0</v>
      </c>
      <c r="DW106" s="48">
        <v>708.22094814626291</v>
      </c>
      <c r="DX106" s="48">
        <v>2432.0127856306472</v>
      </c>
      <c r="DY106" s="48">
        <v>3.2190679583201539E-15</v>
      </c>
      <c r="DZ106" s="48">
        <v>0</v>
      </c>
      <c r="EA106" s="48">
        <v>0</v>
      </c>
      <c r="EB106" s="48">
        <v>8.9606750485692701E-9</v>
      </c>
      <c r="EC106" s="48">
        <v>2.5916338284175886E-10</v>
      </c>
      <c r="ED106" s="48">
        <v>0</v>
      </c>
      <c r="EE106" s="48">
        <v>0</v>
      </c>
      <c r="EF106" s="48">
        <v>0</v>
      </c>
      <c r="EG106" s="48">
        <v>0</v>
      </c>
      <c r="EH106" s="48">
        <v>0</v>
      </c>
      <c r="EI106" s="48">
        <v>9.5163737995659057E-6</v>
      </c>
      <c r="EJ106" s="48">
        <v>1.7683352352138674E-4</v>
      </c>
      <c r="EK106" s="48">
        <v>0</v>
      </c>
      <c r="EL106" s="48">
        <v>0</v>
      </c>
      <c r="EM106" s="48">
        <v>2.2767964695668748</v>
      </c>
      <c r="EN106" s="48">
        <v>0</v>
      </c>
      <c r="EO106" s="48">
        <v>0</v>
      </c>
      <c r="EP106" s="48">
        <v>0</v>
      </c>
      <c r="EQ106" s="48">
        <v>0</v>
      </c>
      <c r="ER106" s="48">
        <v>2.2363452109195901E-10</v>
      </c>
      <c r="ES106" s="48">
        <v>3.9105968149998619E-12</v>
      </c>
      <c r="ET106" s="48">
        <v>0</v>
      </c>
      <c r="EU106" s="48">
        <v>0</v>
      </c>
      <c r="EV106" s="48">
        <v>0</v>
      </c>
      <c r="EW106" s="48">
        <v>2.7838684452300202E-10</v>
      </c>
      <c r="EX106" s="48">
        <v>0</v>
      </c>
      <c r="EY106" s="48">
        <v>6.7607777302055063E-8</v>
      </c>
      <c r="EZ106" s="48">
        <v>0</v>
      </c>
      <c r="FA106" s="48">
        <v>5.6666399463820082E-14</v>
      </c>
      <c r="FB106" s="48">
        <v>1.5535461818450497E-15</v>
      </c>
      <c r="FC106" s="48">
        <v>0</v>
      </c>
      <c r="FD106" s="48">
        <v>0</v>
      </c>
      <c r="FE106" s="48">
        <v>0</v>
      </c>
      <c r="FF106" s="48">
        <v>0</v>
      </c>
      <c r="FG106" s="48">
        <v>0</v>
      </c>
      <c r="FH106" s="48">
        <v>0</v>
      </c>
      <c r="FI106" s="48">
        <v>0</v>
      </c>
      <c r="FJ106" s="48">
        <v>0</v>
      </c>
      <c r="FK106" s="48">
        <v>0</v>
      </c>
      <c r="FL106" s="48">
        <v>0</v>
      </c>
      <c r="FM106" s="48">
        <v>2.9630823846873628E-10</v>
      </c>
      <c r="FN106" s="48">
        <v>0</v>
      </c>
      <c r="FO106" s="48">
        <v>0</v>
      </c>
      <c r="FP106" s="48">
        <v>1.2610587138807328E-8</v>
      </c>
      <c r="FQ106" s="48">
        <v>0</v>
      </c>
      <c r="FR106" s="48">
        <v>0</v>
      </c>
      <c r="FS106" s="48">
        <v>0</v>
      </c>
      <c r="FT106" s="48">
        <v>0</v>
      </c>
      <c r="FU106" s="48">
        <v>0</v>
      </c>
      <c r="FV106" s="48">
        <v>1.0524019698712348E-14</v>
      </c>
      <c r="FW106" s="48">
        <v>0</v>
      </c>
      <c r="FX106" s="48">
        <v>0</v>
      </c>
      <c r="FY106" s="48">
        <v>0</v>
      </c>
      <c r="FZ106" s="48">
        <v>0</v>
      </c>
      <c r="GA106" s="48">
        <v>0</v>
      </c>
      <c r="GB106" s="48">
        <v>0</v>
      </c>
      <c r="GC106" s="48">
        <v>0</v>
      </c>
      <c r="GD106" s="48">
        <v>0</v>
      </c>
      <c r="GE106" s="48">
        <v>0</v>
      </c>
      <c r="GF106" s="48">
        <v>0.77920241123485612</v>
      </c>
      <c r="GG106" s="48">
        <v>0</v>
      </c>
      <c r="GH106" s="48">
        <v>0</v>
      </c>
      <c r="GI106" s="48">
        <v>0</v>
      </c>
      <c r="GJ106" s="48">
        <v>0</v>
      </c>
      <c r="GK106" s="48">
        <v>0</v>
      </c>
      <c r="GL106" s="48">
        <v>0</v>
      </c>
      <c r="GM106" s="48">
        <v>0</v>
      </c>
      <c r="GN106" s="48">
        <v>0</v>
      </c>
      <c r="GO106" s="48">
        <v>0</v>
      </c>
      <c r="GP106" s="48">
        <v>0</v>
      </c>
      <c r="GQ106" s="48">
        <v>0</v>
      </c>
      <c r="GR106" s="48">
        <v>0</v>
      </c>
      <c r="GS106" s="48">
        <v>0</v>
      </c>
      <c r="GT106" s="48">
        <v>0</v>
      </c>
      <c r="GU106" s="48">
        <v>0</v>
      </c>
      <c r="GV106" s="48">
        <v>0</v>
      </c>
      <c r="GW106" s="48">
        <v>0</v>
      </c>
      <c r="GX106" s="48">
        <v>0</v>
      </c>
      <c r="GY106" s="48">
        <v>0</v>
      </c>
      <c r="GZ106" s="48">
        <v>0</v>
      </c>
      <c r="HA106" s="48">
        <v>0</v>
      </c>
      <c r="HB106" s="48">
        <v>0</v>
      </c>
      <c r="HC106" s="48">
        <v>0</v>
      </c>
      <c r="HD106" s="48">
        <v>0</v>
      </c>
      <c r="HE106" s="48">
        <v>0</v>
      </c>
      <c r="HF106" s="48">
        <v>0</v>
      </c>
      <c r="HG106" s="48">
        <v>0</v>
      </c>
      <c r="HH106" s="48">
        <v>0</v>
      </c>
      <c r="HI106" s="48">
        <v>0</v>
      </c>
      <c r="HJ106" s="48">
        <v>0</v>
      </c>
      <c r="HK106" s="48">
        <v>0</v>
      </c>
      <c r="HL106" s="48">
        <v>0</v>
      </c>
      <c r="HM106" s="48">
        <v>0</v>
      </c>
      <c r="HN106" s="48">
        <v>0</v>
      </c>
      <c r="HO106" s="48">
        <v>0</v>
      </c>
      <c r="HP106" s="48">
        <v>0</v>
      </c>
      <c r="HQ106" s="48">
        <v>0</v>
      </c>
      <c r="HR106" s="48">
        <v>0</v>
      </c>
      <c r="HS106" s="48">
        <v>0</v>
      </c>
      <c r="HT106" s="48">
        <v>0</v>
      </c>
      <c r="HU106" s="48">
        <v>0</v>
      </c>
      <c r="HV106" s="48">
        <v>0</v>
      </c>
      <c r="HW106" s="48">
        <v>0</v>
      </c>
      <c r="HX106" s="48">
        <v>553.02013453515076</v>
      </c>
      <c r="HY106" s="48">
        <v>469.23880997031108</v>
      </c>
      <c r="HZ106" s="48">
        <v>695.52166949749744</v>
      </c>
      <c r="IA106" s="48">
        <v>196.43013734157711</v>
      </c>
      <c r="IB106" s="48">
        <v>9.9713050932872367</v>
      </c>
      <c r="IC106" s="48">
        <v>0</v>
      </c>
      <c r="ID106" s="48">
        <v>0</v>
      </c>
      <c r="IE106" s="48">
        <v>0</v>
      </c>
      <c r="IF106" s="48">
        <v>0</v>
      </c>
      <c r="IG106" s="48">
        <v>441.79361620747409</v>
      </c>
      <c r="IH106" s="48">
        <v>19.591607869995823</v>
      </c>
      <c r="II106" s="48">
        <v>12.907777453173965</v>
      </c>
      <c r="IJ106" s="48">
        <v>0</v>
      </c>
      <c r="IK106" s="48">
        <v>0</v>
      </c>
      <c r="IL106" s="48">
        <v>0</v>
      </c>
      <c r="IM106" s="48">
        <v>0</v>
      </c>
      <c r="IN106" s="48">
        <v>0</v>
      </c>
      <c r="IO106" s="48">
        <v>0</v>
      </c>
      <c r="IP106" s="23">
        <v>208357.99999999828</v>
      </c>
      <c r="IQ106" s="25">
        <v>113987</v>
      </c>
      <c r="IR106" s="25">
        <v>0</v>
      </c>
      <c r="IS106" s="26">
        <v>0</v>
      </c>
      <c r="IT106" s="26">
        <v>0</v>
      </c>
      <c r="IU106" s="26">
        <v>-2929</v>
      </c>
      <c r="IV106" s="9">
        <v>153</v>
      </c>
      <c r="IW106" s="38">
        <f t="shared" si="5"/>
        <v>319568.99999999825</v>
      </c>
    </row>
    <row r="107" spans="1:257" ht="30" customHeight="1" x14ac:dyDescent="0.25">
      <c r="A107" s="112" t="b">
        <v>0</v>
      </c>
      <c r="B107" s="113" t="b">
        <f>IFERROR(VLOOKUP(C107,'Bridge matrix'!$D$3:$E$727,2,FALSE)='symmetric IOT 245 2012'!D107,"FALSCH")</f>
        <v>1</v>
      </c>
      <c r="C107" s="108">
        <v>101</v>
      </c>
      <c r="D107" s="49" t="s">
        <v>1418</v>
      </c>
      <c r="E107" s="48">
        <v>0</v>
      </c>
      <c r="F107" s="48">
        <v>0</v>
      </c>
      <c r="G107" s="48">
        <v>0</v>
      </c>
      <c r="H107" s="48">
        <v>0</v>
      </c>
      <c r="I107" s="48">
        <v>0</v>
      </c>
      <c r="J107" s="48">
        <v>0</v>
      </c>
      <c r="K107" s="48">
        <v>0</v>
      </c>
      <c r="L107" s="48">
        <v>0</v>
      </c>
      <c r="M107" s="48">
        <v>0</v>
      </c>
      <c r="N107" s="48">
        <v>0</v>
      </c>
      <c r="O107" s="48">
        <v>0</v>
      </c>
      <c r="P107" s="48">
        <v>0</v>
      </c>
      <c r="Q107" s="48">
        <v>0</v>
      </c>
      <c r="R107" s="48">
        <v>0</v>
      </c>
      <c r="S107" s="48">
        <v>0</v>
      </c>
      <c r="T107" s="48">
        <v>0</v>
      </c>
      <c r="U107" s="48">
        <v>0</v>
      </c>
      <c r="V107" s="48">
        <v>0</v>
      </c>
      <c r="W107" s="48">
        <v>0</v>
      </c>
      <c r="X107" s="48">
        <v>0</v>
      </c>
      <c r="Y107" s="48">
        <v>0</v>
      </c>
      <c r="Z107" s="48">
        <v>0</v>
      </c>
      <c r="AA107" s="48">
        <v>0</v>
      </c>
      <c r="AB107" s="48">
        <v>0</v>
      </c>
      <c r="AC107" s="48">
        <v>0</v>
      </c>
      <c r="AD107" s="48">
        <v>0</v>
      </c>
      <c r="AE107" s="48">
        <v>0</v>
      </c>
      <c r="AF107" s="48">
        <v>0</v>
      </c>
      <c r="AG107" s="48">
        <v>0</v>
      </c>
      <c r="AH107" s="48">
        <v>0</v>
      </c>
      <c r="AI107" s="48">
        <v>0</v>
      </c>
      <c r="AJ107" s="48">
        <v>0</v>
      </c>
      <c r="AK107" s="48">
        <v>0</v>
      </c>
      <c r="AL107" s="48">
        <v>0</v>
      </c>
      <c r="AM107" s="48">
        <v>0</v>
      </c>
      <c r="AN107" s="48">
        <v>0</v>
      </c>
      <c r="AO107" s="48">
        <v>0</v>
      </c>
      <c r="AP107" s="48">
        <v>0</v>
      </c>
      <c r="AQ107" s="48">
        <v>0</v>
      </c>
      <c r="AR107" s="48">
        <v>0</v>
      </c>
      <c r="AS107" s="48">
        <v>0</v>
      </c>
      <c r="AT107" s="48">
        <v>0</v>
      </c>
      <c r="AU107" s="48">
        <v>0</v>
      </c>
      <c r="AV107" s="48">
        <v>0</v>
      </c>
      <c r="AW107" s="48">
        <v>0</v>
      </c>
      <c r="AX107" s="48">
        <v>0</v>
      </c>
      <c r="AY107" s="48">
        <v>0</v>
      </c>
      <c r="AZ107" s="48">
        <v>0</v>
      </c>
      <c r="BA107" s="48">
        <v>0</v>
      </c>
      <c r="BB107" s="48">
        <v>0</v>
      </c>
      <c r="BC107" s="48">
        <v>0</v>
      </c>
      <c r="BD107" s="48">
        <v>0</v>
      </c>
      <c r="BE107" s="48">
        <v>0</v>
      </c>
      <c r="BF107" s="48">
        <v>0</v>
      </c>
      <c r="BG107" s="48">
        <v>0</v>
      </c>
      <c r="BH107" s="48">
        <v>0</v>
      </c>
      <c r="BI107" s="48">
        <v>0</v>
      </c>
      <c r="BJ107" s="48">
        <v>0</v>
      </c>
      <c r="BK107" s="48">
        <v>0</v>
      </c>
      <c r="BL107" s="48">
        <v>0</v>
      </c>
      <c r="BM107" s="48">
        <v>0</v>
      </c>
      <c r="BN107" s="48">
        <v>0</v>
      </c>
      <c r="BO107" s="48">
        <v>0</v>
      </c>
      <c r="BP107" s="48">
        <v>0</v>
      </c>
      <c r="BQ107" s="48">
        <v>0</v>
      </c>
      <c r="BR107" s="48">
        <v>0</v>
      </c>
      <c r="BS107" s="48">
        <v>0</v>
      </c>
      <c r="BT107" s="48">
        <v>0</v>
      </c>
      <c r="BU107" s="48">
        <v>0</v>
      </c>
      <c r="BV107" s="48">
        <v>0</v>
      </c>
      <c r="BW107" s="48">
        <v>0</v>
      </c>
      <c r="BX107" s="48">
        <v>0</v>
      </c>
      <c r="BY107" s="48">
        <v>0</v>
      </c>
      <c r="BZ107" s="48">
        <v>0</v>
      </c>
      <c r="CA107" s="48">
        <v>0</v>
      </c>
      <c r="CB107" s="48">
        <v>0</v>
      </c>
      <c r="CC107" s="48">
        <v>0</v>
      </c>
      <c r="CD107" s="48">
        <v>0</v>
      </c>
      <c r="CE107" s="48">
        <v>0</v>
      </c>
      <c r="CF107" s="48">
        <v>0</v>
      </c>
      <c r="CG107" s="48">
        <v>0</v>
      </c>
      <c r="CH107" s="48">
        <v>0</v>
      </c>
      <c r="CI107" s="48">
        <v>0</v>
      </c>
      <c r="CJ107" s="48">
        <v>0</v>
      </c>
      <c r="CK107" s="48">
        <v>0</v>
      </c>
      <c r="CL107" s="48">
        <v>0</v>
      </c>
      <c r="CM107" s="48">
        <v>10845.803889801799</v>
      </c>
      <c r="CN107" s="48">
        <v>762.38052154264608</v>
      </c>
      <c r="CO107" s="48">
        <v>0</v>
      </c>
      <c r="CP107" s="48">
        <v>0</v>
      </c>
      <c r="CQ107" s="48">
        <v>0</v>
      </c>
      <c r="CR107" s="48">
        <v>0</v>
      </c>
      <c r="CS107" s="48">
        <v>0</v>
      </c>
      <c r="CT107" s="48">
        <v>0</v>
      </c>
      <c r="CU107" s="48">
        <v>0</v>
      </c>
      <c r="CV107" s="48">
        <v>0</v>
      </c>
      <c r="CW107" s="48">
        <v>0</v>
      </c>
      <c r="CX107" s="48">
        <v>0</v>
      </c>
      <c r="CY107" s="48">
        <v>0.35018711277952502</v>
      </c>
      <c r="CZ107" s="48">
        <v>166.35297631584965</v>
      </c>
      <c r="DA107" s="48">
        <v>0</v>
      </c>
      <c r="DB107" s="48">
        <v>65.882076833376615</v>
      </c>
      <c r="DC107" s="48">
        <v>0</v>
      </c>
      <c r="DD107" s="48">
        <v>2229.2841950953621</v>
      </c>
      <c r="DE107" s="48">
        <v>0.33019905235839336</v>
      </c>
      <c r="DF107" s="48">
        <v>0</v>
      </c>
      <c r="DG107" s="48">
        <v>0</v>
      </c>
      <c r="DH107" s="48">
        <v>0</v>
      </c>
      <c r="DI107" s="48">
        <v>0</v>
      </c>
      <c r="DJ107" s="48">
        <v>2743.284209642582</v>
      </c>
      <c r="DK107" s="48">
        <v>0.97071283833891353</v>
      </c>
      <c r="DL107" s="48">
        <v>0</v>
      </c>
      <c r="DM107" s="48">
        <v>9206.0756715294792</v>
      </c>
      <c r="DN107" s="48">
        <v>0</v>
      </c>
      <c r="DO107" s="48">
        <v>0</v>
      </c>
      <c r="DP107" s="48">
        <v>0</v>
      </c>
      <c r="DQ107" s="48">
        <v>0</v>
      </c>
      <c r="DR107" s="48">
        <v>0</v>
      </c>
      <c r="DS107" s="48">
        <v>0</v>
      </c>
      <c r="DT107" s="48">
        <v>0</v>
      </c>
      <c r="DU107" s="48">
        <v>0</v>
      </c>
      <c r="DV107" s="48">
        <v>0</v>
      </c>
      <c r="DW107" s="48">
        <v>0</v>
      </c>
      <c r="DX107" s="48">
        <v>0</v>
      </c>
      <c r="DY107" s="48">
        <v>0</v>
      </c>
      <c r="DZ107" s="48">
        <v>0</v>
      </c>
      <c r="EA107" s="48">
        <v>0</v>
      </c>
      <c r="EB107" s="48">
        <v>0</v>
      </c>
      <c r="EC107" s="48">
        <v>0</v>
      </c>
      <c r="ED107" s="48">
        <v>0</v>
      </c>
      <c r="EE107" s="48">
        <v>0</v>
      </c>
      <c r="EF107" s="48">
        <v>0</v>
      </c>
      <c r="EG107" s="48">
        <v>0</v>
      </c>
      <c r="EH107" s="48">
        <v>0</v>
      </c>
      <c r="EI107" s="48">
        <v>0</v>
      </c>
      <c r="EJ107" s="48">
        <v>0</v>
      </c>
      <c r="EK107" s="48">
        <v>0</v>
      </c>
      <c r="EL107" s="48">
        <v>3.3839707868852545E-7</v>
      </c>
      <c r="EM107" s="48">
        <v>0</v>
      </c>
      <c r="EN107" s="48">
        <v>1.5282930406646928E-2</v>
      </c>
      <c r="EO107" s="48">
        <v>0</v>
      </c>
      <c r="EP107" s="48">
        <v>9.3239189151016845E-7</v>
      </c>
      <c r="EQ107" s="48">
        <v>0</v>
      </c>
      <c r="ER107" s="48">
        <v>0</v>
      </c>
      <c r="ES107" s="48">
        <v>0</v>
      </c>
      <c r="ET107" s="48">
        <v>1.1062742516580429E-7</v>
      </c>
      <c r="EU107" s="48">
        <v>0</v>
      </c>
      <c r="EV107" s="48">
        <v>0</v>
      </c>
      <c r="EW107" s="48">
        <v>0</v>
      </c>
      <c r="EX107" s="48">
        <v>1.7457666914160202E-8</v>
      </c>
      <c r="EY107" s="48">
        <v>0</v>
      </c>
      <c r="EZ107" s="48">
        <v>0</v>
      </c>
      <c r="FA107" s="48">
        <v>0</v>
      </c>
      <c r="FB107" s="48">
        <v>0</v>
      </c>
      <c r="FC107" s="48">
        <v>0</v>
      </c>
      <c r="FD107" s="48">
        <v>9.1087855251191611E-13</v>
      </c>
      <c r="FE107" s="48">
        <v>0</v>
      </c>
      <c r="FF107" s="48">
        <v>0</v>
      </c>
      <c r="FG107" s="48">
        <v>2.3379683299346799E-13</v>
      </c>
      <c r="FH107" s="48">
        <v>1.6759164413189103E-13</v>
      </c>
      <c r="FI107" s="48">
        <v>2.5954896342409398E-13</v>
      </c>
      <c r="FJ107" s="48">
        <v>0</v>
      </c>
      <c r="FK107" s="48">
        <v>0</v>
      </c>
      <c r="FL107" s="48">
        <v>0</v>
      </c>
      <c r="FM107" s="48">
        <v>0</v>
      </c>
      <c r="FN107" s="48">
        <v>0</v>
      </c>
      <c r="FO107" s="48">
        <v>0</v>
      </c>
      <c r="FP107" s="48">
        <v>0</v>
      </c>
      <c r="FQ107" s="48">
        <v>1.5093279135230725E-13</v>
      </c>
      <c r="FR107" s="48">
        <v>4.4697572340219089E-14</v>
      </c>
      <c r="FS107" s="48">
        <v>0</v>
      </c>
      <c r="FT107" s="48">
        <v>1.217474559278495E-14</v>
      </c>
      <c r="FU107" s="48">
        <v>0</v>
      </c>
      <c r="FV107" s="48">
        <v>0</v>
      </c>
      <c r="FW107" s="48">
        <v>0</v>
      </c>
      <c r="FX107" s="48">
        <v>0</v>
      </c>
      <c r="FY107" s="48">
        <v>0</v>
      </c>
      <c r="FZ107" s="48">
        <v>0</v>
      </c>
      <c r="GA107" s="48">
        <v>0</v>
      </c>
      <c r="GB107" s="48">
        <v>0</v>
      </c>
      <c r="GC107" s="48">
        <v>0</v>
      </c>
      <c r="GD107" s="48">
        <v>0</v>
      </c>
      <c r="GE107" s="48">
        <v>408.73419664529564</v>
      </c>
      <c r="GF107" s="48">
        <v>18222.452534575204</v>
      </c>
      <c r="GG107" s="48">
        <v>0</v>
      </c>
      <c r="GH107" s="48">
        <v>0</v>
      </c>
      <c r="GI107" s="48">
        <v>0</v>
      </c>
      <c r="GJ107" s="48">
        <v>0</v>
      </c>
      <c r="GK107" s="48">
        <v>0</v>
      </c>
      <c r="GL107" s="48">
        <v>0</v>
      </c>
      <c r="GM107" s="48">
        <v>0</v>
      </c>
      <c r="GN107" s="48">
        <v>0</v>
      </c>
      <c r="GO107" s="48">
        <v>0</v>
      </c>
      <c r="GP107" s="48">
        <v>0</v>
      </c>
      <c r="GQ107" s="48">
        <v>0</v>
      </c>
      <c r="GR107" s="48">
        <v>0</v>
      </c>
      <c r="GS107" s="48">
        <v>0</v>
      </c>
      <c r="GT107" s="48">
        <v>1.1114954205041577E-16</v>
      </c>
      <c r="GU107" s="48">
        <v>0</v>
      </c>
      <c r="GV107" s="48">
        <v>0</v>
      </c>
      <c r="GW107" s="48">
        <v>0</v>
      </c>
      <c r="GX107" s="48">
        <v>1.6250336792175509E-14</v>
      </c>
      <c r="GY107" s="48">
        <v>0</v>
      </c>
      <c r="GZ107" s="48">
        <v>0</v>
      </c>
      <c r="HA107" s="48">
        <v>0</v>
      </c>
      <c r="HB107" s="48">
        <v>0</v>
      </c>
      <c r="HC107" s="48">
        <v>0</v>
      </c>
      <c r="HD107" s="48">
        <v>0</v>
      </c>
      <c r="HE107" s="48">
        <v>0</v>
      </c>
      <c r="HF107" s="48">
        <v>0</v>
      </c>
      <c r="HG107" s="48">
        <v>0</v>
      </c>
      <c r="HH107" s="48">
        <v>0</v>
      </c>
      <c r="HI107" s="48">
        <v>0</v>
      </c>
      <c r="HJ107" s="48">
        <v>0</v>
      </c>
      <c r="HK107" s="48">
        <v>0</v>
      </c>
      <c r="HL107" s="48">
        <v>0</v>
      </c>
      <c r="HM107" s="48">
        <v>0</v>
      </c>
      <c r="HN107" s="48">
        <v>0</v>
      </c>
      <c r="HO107" s="48">
        <v>0</v>
      </c>
      <c r="HP107" s="48">
        <v>0</v>
      </c>
      <c r="HQ107" s="48">
        <v>0</v>
      </c>
      <c r="HR107" s="48">
        <v>0</v>
      </c>
      <c r="HS107" s="48">
        <v>0</v>
      </c>
      <c r="HT107" s="48">
        <v>0</v>
      </c>
      <c r="HU107" s="48">
        <v>0</v>
      </c>
      <c r="HV107" s="48">
        <v>11829.345456925384</v>
      </c>
      <c r="HW107" s="48">
        <v>0</v>
      </c>
      <c r="HX107" s="48">
        <v>899.43695538850625</v>
      </c>
      <c r="HY107" s="48">
        <v>762.98822045825068</v>
      </c>
      <c r="HZ107" s="48">
        <v>1130.0870007063756</v>
      </c>
      <c r="IA107" s="48">
        <v>320.21921526108611</v>
      </c>
      <c r="IB107" s="48">
        <v>15.925454250361346</v>
      </c>
      <c r="IC107" s="48">
        <v>0</v>
      </c>
      <c r="ID107" s="48">
        <v>0</v>
      </c>
      <c r="IE107" s="48">
        <v>0</v>
      </c>
      <c r="IF107" s="48">
        <v>0</v>
      </c>
      <c r="IG107" s="48">
        <v>851.87392723759774</v>
      </c>
      <c r="IH107" s="48">
        <v>38.982514625630593</v>
      </c>
      <c r="II107" s="48">
        <v>18.129405563671792</v>
      </c>
      <c r="IJ107" s="48">
        <v>96.095194268272863</v>
      </c>
      <c r="IK107" s="48">
        <v>0</v>
      </c>
      <c r="IL107" s="48">
        <v>0</v>
      </c>
      <c r="IM107" s="48">
        <v>0</v>
      </c>
      <c r="IN107" s="48">
        <v>0</v>
      </c>
      <c r="IO107" s="48">
        <v>0</v>
      </c>
      <c r="IP107" s="23">
        <v>60614.999999999505</v>
      </c>
      <c r="IQ107" s="25">
        <v>788035</v>
      </c>
      <c r="IR107" s="25">
        <v>0</v>
      </c>
      <c r="IS107" s="26">
        <v>0</v>
      </c>
      <c r="IT107" s="26">
        <v>0</v>
      </c>
      <c r="IU107" s="26">
        <v>3237</v>
      </c>
      <c r="IV107" s="9">
        <v>20498</v>
      </c>
      <c r="IW107" s="38">
        <f t="shared" si="5"/>
        <v>872384.99999999953</v>
      </c>
    </row>
    <row r="108" spans="1:257" ht="30" customHeight="1" x14ac:dyDescent="0.25">
      <c r="A108" s="112" t="b">
        <v>0</v>
      </c>
      <c r="B108" s="113" t="b">
        <f>IFERROR(VLOOKUP(C108,'Bridge matrix'!$D$3:$E$727,2,FALSE)='symmetric IOT 245 2012'!D108,"FALSCH")</f>
        <v>1</v>
      </c>
      <c r="C108" s="108">
        <v>102</v>
      </c>
      <c r="D108" s="49" t="s">
        <v>1419</v>
      </c>
      <c r="E108" s="48">
        <v>0</v>
      </c>
      <c r="F108" s="48">
        <v>0</v>
      </c>
      <c r="G108" s="48">
        <v>0</v>
      </c>
      <c r="H108" s="48">
        <v>0</v>
      </c>
      <c r="I108" s="48">
        <v>0</v>
      </c>
      <c r="J108" s="48">
        <v>0</v>
      </c>
      <c r="K108" s="48">
        <v>0</v>
      </c>
      <c r="L108" s="48">
        <v>0</v>
      </c>
      <c r="M108" s="48">
        <v>0</v>
      </c>
      <c r="N108" s="48">
        <v>0</v>
      </c>
      <c r="O108" s="48">
        <v>0</v>
      </c>
      <c r="P108" s="48">
        <v>0</v>
      </c>
      <c r="Q108" s="48">
        <v>0</v>
      </c>
      <c r="R108" s="48">
        <v>0</v>
      </c>
      <c r="S108" s="48">
        <v>0</v>
      </c>
      <c r="T108" s="48">
        <v>0</v>
      </c>
      <c r="U108" s="48">
        <v>0</v>
      </c>
      <c r="V108" s="48">
        <v>0</v>
      </c>
      <c r="W108" s="48">
        <v>0</v>
      </c>
      <c r="X108" s="48">
        <v>0</v>
      </c>
      <c r="Y108" s="48">
        <v>0</v>
      </c>
      <c r="Z108" s="48">
        <v>0</v>
      </c>
      <c r="AA108" s="48">
        <v>0</v>
      </c>
      <c r="AB108" s="48">
        <v>0</v>
      </c>
      <c r="AC108" s="48">
        <v>0</v>
      </c>
      <c r="AD108" s="48">
        <v>0</v>
      </c>
      <c r="AE108" s="48">
        <v>0</v>
      </c>
      <c r="AF108" s="48">
        <v>0</v>
      </c>
      <c r="AG108" s="48">
        <v>0</v>
      </c>
      <c r="AH108" s="48">
        <v>0</v>
      </c>
      <c r="AI108" s="48">
        <v>0</v>
      </c>
      <c r="AJ108" s="48">
        <v>0</v>
      </c>
      <c r="AK108" s="48">
        <v>0</v>
      </c>
      <c r="AL108" s="48">
        <v>0</v>
      </c>
      <c r="AM108" s="48">
        <v>0</v>
      </c>
      <c r="AN108" s="48">
        <v>0</v>
      </c>
      <c r="AO108" s="48">
        <v>0</v>
      </c>
      <c r="AP108" s="48">
        <v>0</v>
      </c>
      <c r="AQ108" s="48">
        <v>0</v>
      </c>
      <c r="AR108" s="48">
        <v>0</v>
      </c>
      <c r="AS108" s="48">
        <v>0</v>
      </c>
      <c r="AT108" s="48">
        <v>0</v>
      </c>
      <c r="AU108" s="48">
        <v>0</v>
      </c>
      <c r="AV108" s="48">
        <v>0</v>
      </c>
      <c r="AW108" s="48">
        <v>0</v>
      </c>
      <c r="AX108" s="48">
        <v>0</v>
      </c>
      <c r="AY108" s="48">
        <v>0</v>
      </c>
      <c r="AZ108" s="48">
        <v>0</v>
      </c>
      <c r="BA108" s="48">
        <v>0</v>
      </c>
      <c r="BB108" s="48">
        <v>0</v>
      </c>
      <c r="BC108" s="48">
        <v>0</v>
      </c>
      <c r="BD108" s="48">
        <v>0</v>
      </c>
      <c r="BE108" s="48">
        <v>0</v>
      </c>
      <c r="BF108" s="48">
        <v>0</v>
      </c>
      <c r="BG108" s="48">
        <v>0</v>
      </c>
      <c r="BH108" s="48">
        <v>0</v>
      </c>
      <c r="BI108" s="48">
        <v>0</v>
      </c>
      <c r="BJ108" s="48">
        <v>0</v>
      </c>
      <c r="BK108" s="48">
        <v>0</v>
      </c>
      <c r="BL108" s="48">
        <v>0</v>
      </c>
      <c r="BM108" s="48">
        <v>0</v>
      </c>
      <c r="BN108" s="48">
        <v>158.26388815389305</v>
      </c>
      <c r="BO108" s="48">
        <v>0</v>
      </c>
      <c r="BP108" s="48">
        <v>0</v>
      </c>
      <c r="BQ108" s="48">
        <v>0</v>
      </c>
      <c r="BR108" s="48">
        <v>0</v>
      </c>
      <c r="BS108" s="48">
        <v>0</v>
      </c>
      <c r="BT108" s="48">
        <v>0</v>
      </c>
      <c r="BU108" s="48">
        <v>0</v>
      </c>
      <c r="BV108" s="48">
        <v>0</v>
      </c>
      <c r="BW108" s="48">
        <v>0</v>
      </c>
      <c r="BX108" s="48">
        <v>0</v>
      </c>
      <c r="BY108" s="48">
        <v>0</v>
      </c>
      <c r="BZ108" s="48">
        <v>0</v>
      </c>
      <c r="CA108" s="48">
        <v>0</v>
      </c>
      <c r="CB108" s="48">
        <v>0</v>
      </c>
      <c r="CC108" s="48">
        <v>0</v>
      </c>
      <c r="CD108" s="48">
        <v>0</v>
      </c>
      <c r="CE108" s="48">
        <v>0</v>
      </c>
      <c r="CF108" s="48">
        <v>0</v>
      </c>
      <c r="CG108" s="48">
        <v>0</v>
      </c>
      <c r="CH108" s="48">
        <v>0</v>
      </c>
      <c r="CI108" s="48">
        <v>3.9602204411667265E-2</v>
      </c>
      <c r="CJ108" s="48">
        <v>0</v>
      </c>
      <c r="CK108" s="48">
        <v>3868.0955234602006</v>
      </c>
      <c r="CL108" s="48">
        <v>0</v>
      </c>
      <c r="CM108" s="48">
        <v>0</v>
      </c>
      <c r="CN108" s="48">
        <v>2561.0874679168314</v>
      </c>
      <c r="CO108" s="48">
        <v>0</v>
      </c>
      <c r="CP108" s="48">
        <v>0</v>
      </c>
      <c r="CQ108" s="48">
        <v>0</v>
      </c>
      <c r="CR108" s="48">
        <v>0</v>
      </c>
      <c r="CS108" s="48">
        <v>0</v>
      </c>
      <c r="CT108" s="48">
        <v>0</v>
      </c>
      <c r="CU108" s="48">
        <v>1.7202367349596556E-2</v>
      </c>
      <c r="CV108" s="48">
        <v>4.0321562565061184E-2</v>
      </c>
      <c r="CW108" s="48">
        <v>0</v>
      </c>
      <c r="CX108" s="48">
        <v>519.59354157092787</v>
      </c>
      <c r="CY108" s="48">
        <v>1933.0376804870602</v>
      </c>
      <c r="CZ108" s="48">
        <v>737.89214293492819</v>
      </c>
      <c r="DA108" s="48">
        <v>6.5123804508160907E-4</v>
      </c>
      <c r="DB108" s="48">
        <v>1664.6984170006003</v>
      </c>
      <c r="DC108" s="48">
        <v>0</v>
      </c>
      <c r="DD108" s="48">
        <v>5073.0379186787877</v>
      </c>
      <c r="DE108" s="48">
        <v>0</v>
      </c>
      <c r="DF108" s="48">
        <v>0</v>
      </c>
      <c r="DG108" s="48">
        <v>0</v>
      </c>
      <c r="DH108" s="48">
        <v>0</v>
      </c>
      <c r="DI108" s="48">
        <v>0</v>
      </c>
      <c r="DJ108" s="48">
        <v>4373.5771248526853</v>
      </c>
      <c r="DK108" s="48">
        <v>0</v>
      </c>
      <c r="DL108" s="48">
        <v>706.32010364630173</v>
      </c>
      <c r="DM108" s="48">
        <v>291.27386754166594</v>
      </c>
      <c r="DN108" s="48">
        <v>0</v>
      </c>
      <c r="DO108" s="48">
        <v>0</v>
      </c>
      <c r="DP108" s="48">
        <v>0</v>
      </c>
      <c r="DQ108" s="48">
        <v>0</v>
      </c>
      <c r="DR108" s="48">
        <v>3.7576706079350399E-9</v>
      </c>
      <c r="DS108" s="48">
        <v>0</v>
      </c>
      <c r="DT108" s="48">
        <v>0</v>
      </c>
      <c r="DU108" s="48">
        <v>0</v>
      </c>
      <c r="DV108" s="48">
        <v>0</v>
      </c>
      <c r="DW108" s="48">
        <v>198.65026903890748</v>
      </c>
      <c r="DX108" s="48">
        <v>0</v>
      </c>
      <c r="DY108" s="48">
        <v>1.4345007193980044E-14</v>
      </c>
      <c r="DZ108" s="48">
        <v>0</v>
      </c>
      <c r="EA108" s="48">
        <v>0</v>
      </c>
      <c r="EB108" s="48">
        <v>3.9931107295330994E-8</v>
      </c>
      <c r="EC108" s="48">
        <v>1.1548996912824733E-9</v>
      </c>
      <c r="ED108" s="48">
        <v>0</v>
      </c>
      <c r="EE108" s="48">
        <v>0</v>
      </c>
      <c r="EF108" s="48">
        <v>0</v>
      </c>
      <c r="EG108" s="48">
        <v>0</v>
      </c>
      <c r="EH108" s="48">
        <v>0</v>
      </c>
      <c r="EI108" s="48">
        <v>4.240744600080282E-5</v>
      </c>
      <c r="EJ108" s="48">
        <v>7.8801634507116749E-4</v>
      </c>
      <c r="EK108" s="48">
        <v>0</v>
      </c>
      <c r="EL108" s="48">
        <v>0</v>
      </c>
      <c r="EM108" s="48">
        <v>33.13883152315362</v>
      </c>
      <c r="EN108" s="48">
        <v>0</v>
      </c>
      <c r="EO108" s="48">
        <v>0</v>
      </c>
      <c r="EP108" s="48">
        <v>0</v>
      </c>
      <c r="EQ108" s="48">
        <v>0</v>
      </c>
      <c r="ER108" s="48">
        <v>9.9657380814057968E-10</v>
      </c>
      <c r="ES108" s="48">
        <v>1.742664031026012E-11</v>
      </c>
      <c r="ET108" s="48">
        <v>0</v>
      </c>
      <c r="EU108" s="48">
        <v>0</v>
      </c>
      <c r="EV108" s="48">
        <v>0</v>
      </c>
      <c r="EW108" s="48">
        <v>1.2405644550218946E-9</v>
      </c>
      <c r="EX108" s="48">
        <v>0</v>
      </c>
      <c r="EY108" s="48">
        <v>3.0127790538261418E-7</v>
      </c>
      <c r="EZ108" s="48">
        <v>0</v>
      </c>
      <c r="FA108" s="48">
        <v>2.525202693731392E-13</v>
      </c>
      <c r="FB108" s="48">
        <v>6.9230073559481967E-15</v>
      </c>
      <c r="FC108" s="48">
        <v>0</v>
      </c>
      <c r="FD108" s="48">
        <v>0</v>
      </c>
      <c r="FE108" s="48">
        <v>0</v>
      </c>
      <c r="FF108" s="48">
        <v>0</v>
      </c>
      <c r="FG108" s="48">
        <v>0</v>
      </c>
      <c r="FH108" s="48">
        <v>0</v>
      </c>
      <c r="FI108" s="48">
        <v>0</v>
      </c>
      <c r="FJ108" s="48">
        <v>0</v>
      </c>
      <c r="FK108" s="48">
        <v>0</v>
      </c>
      <c r="FL108" s="48">
        <v>0</v>
      </c>
      <c r="FM108" s="48">
        <v>1.3204268650133465E-9</v>
      </c>
      <c r="FN108" s="48">
        <v>0</v>
      </c>
      <c r="FO108" s="48">
        <v>0</v>
      </c>
      <c r="FP108" s="48">
        <v>5.6196068417550527E-8</v>
      </c>
      <c r="FQ108" s="48">
        <v>0</v>
      </c>
      <c r="FR108" s="48">
        <v>0</v>
      </c>
      <c r="FS108" s="48">
        <v>0</v>
      </c>
      <c r="FT108" s="48">
        <v>0</v>
      </c>
      <c r="FU108" s="48">
        <v>0</v>
      </c>
      <c r="FV108" s="48">
        <v>4.6897779184008934E-14</v>
      </c>
      <c r="FW108" s="48">
        <v>0</v>
      </c>
      <c r="FX108" s="48">
        <v>0</v>
      </c>
      <c r="FY108" s="48">
        <v>0</v>
      </c>
      <c r="FZ108" s="48">
        <v>0</v>
      </c>
      <c r="GA108" s="48">
        <v>0</v>
      </c>
      <c r="GB108" s="48">
        <v>0</v>
      </c>
      <c r="GC108" s="48">
        <v>0</v>
      </c>
      <c r="GD108" s="48">
        <v>0</v>
      </c>
      <c r="GE108" s="48">
        <v>12.255071840286737</v>
      </c>
      <c r="GF108" s="48">
        <v>39.979543151510228</v>
      </c>
      <c r="GG108" s="48">
        <v>0</v>
      </c>
      <c r="GH108" s="48">
        <v>0</v>
      </c>
      <c r="GI108" s="48">
        <v>0</v>
      </c>
      <c r="GJ108" s="48">
        <v>0</v>
      </c>
      <c r="GK108" s="48">
        <v>0</v>
      </c>
      <c r="GL108" s="48">
        <v>0</v>
      </c>
      <c r="GM108" s="48">
        <v>0</v>
      </c>
      <c r="GN108" s="48">
        <v>0</v>
      </c>
      <c r="GO108" s="48">
        <v>0</v>
      </c>
      <c r="GP108" s="48">
        <v>0</v>
      </c>
      <c r="GQ108" s="48">
        <v>0</v>
      </c>
      <c r="GR108" s="48">
        <v>0</v>
      </c>
      <c r="GS108" s="48">
        <v>0</v>
      </c>
      <c r="GT108" s="48">
        <v>0</v>
      </c>
      <c r="GU108" s="48">
        <v>0</v>
      </c>
      <c r="GV108" s="48">
        <v>0</v>
      </c>
      <c r="GW108" s="48">
        <v>0</v>
      </c>
      <c r="GX108" s="48">
        <v>0</v>
      </c>
      <c r="GY108" s="48">
        <v>0</v>
      </c>
      <c r="GZ108" s="48">
        <v>0</v>
      </c>
      <c r="HA108" s="48">
        <v>0</v>
      </c>
      <c r="HB108" s="48">
        <v>0</v>
      </c>
      <c r="HC108" s="48">
        <v>0</v>
      </c>
      <c r="HD108" s="48">
        <v>0</v>
      </c>
      <c r="HE108" s="48">
        <v>0</v>
      </c>
      <c r="HF108" s="48">
        <v>0</v>
      </c>
      <c r="HG108" s="48">
        <v>0</v>
      </c>
      <c r="HH108" s="48">
        <v>0</v>
      </c>
      <c r="HI108" s="48">
        <v>0</v>
      </c>
      <c r="HJ108" s="48">
        <v>0</v>
      </c>
      <c r="HK108" s="48">
        <v>0</v>
      </c>
      <c r="HL108" s="48">
        <v>0</v>
      </c>
      <c r="HM108" s="48">
        <v>0</v>
      </c>
      <c r="HN108" s="48">
        <v>0</v>
      </c>
      <c r="HO108" s="48">
        <v>0</v>
      </c>
      <c r="HP108" s="48">
        <v>0</v>
      </c>
      <c r="HQ108" s="48">
        <v>0</v>
      </c>
      <c r="HR108" s="48">
        <v>0</v>
      </c>
      <c r="HS108" s="48">
        <v>0</v>
      </c>
      <c r="HT108" s="48">
        <v>0</v>
      </c>
      <c r="HU108" s="48">
        <v>0</v>
      </c>
      <c r="HV108" s="48">
        <v>0</v>
      </c>
      <c r="HW108" s="48">
        <v>0</v>
      </c>
      <c r="HX108" s="48">
        <v>0</v>
      </c>
      <c r="HY108" s="48">
        <v>0</v>
      </c>
      <c r="HZ108" s="48">
        <v>0</v>
      </c>
      <c r="IA108" s="48">
        <v>0</v>
      </c>
      <c r="IB108" s="48">
        <v>0</v>
      </c>
      <c r="IC108" s="48">
        <v>0</v>
      </c>
      <c r="ID108" s="48">
        <v>0</v>
      </c>
      <c r="IE108" s="48">
        <v>0</v>
      </c>
      <c r="IF108" s="48">
        <v>0</v>
      </c>
      <c r="IG108" s="48">
        <v>0</v>
      </c>
      <c r="IH108" s="48">
        <v>0</v>
      </c>
      <c r="II108" s="48">
        <v>0</v>
      </c>
      <c r="IJ108" s="48">
        <v>0</v>
      </c>
      <c r="IK108" s="48">
        <v>0</v>
      </c>
      <c r="IL108" s="48">
        <v>0</v>
      </c>
      <c r="IM108" s="48">
        <v>0</v>
      </c>
      <c r="IN108" s="48">
        <v>0</v>
      </c>
      <c r="IO108" s="48">
        <v>0</v>
      </c>
      <c r="IP108" s="23">
        <v>22170.999999999796</v>
      </c>
      <c r="IQ108" s="25">
        <v>47884</v>
      </c>
      <c r="IR108" s="25">
        <v>0</v>
      </c>
      <c r="IS108" s="26">
        <v>0</v>
      </c>
      <c r="IT108" s="26">
        <v>0</v>
      </c>
      <c r="IU108" s="26">
        <v>82</v>
      </c>
      <c r="IV108" s="9">
        <v>2259</v>
      </c>
      <c r="IW108" s="38">
        <f t="shared" si="5"/>
        <v>72395.999999999796</v>
      </c>
    </row>
    <row r="109" spans="1:257" ht="30" customHeight="1" x14ac:dyDescent="0.25">
      <c r="A109" s="112" t="b">
        <v>0</v>
      </c>
      <c r="B109" s="113" t="str">
        <f>IFERROR(VLOOKUP(C109,'Bridge matrix'!$D$3:$E$727,2,FALSE)='symmetric IOT 245 2012'!D109,"FALSCH")</f>
        <v>FALSCH</v>
      </c>
      <c r="C109" s="108">
        <v>103</v>
      </c>
      <c r="D109" s="49" t="s">
        <v>1420</v>
      </c>
      <c r="E109" s="48">
        <v>0</v>
      </c>
      <c r="F109" s="48">
        <v>0</v>
      </c>
      <c r="G109" s="48">
        <v>0</v>
      </c>
      <c r="H109" s="48">
        <v>0</v>
      </c>
      <c r="I109" s="48">
        <v>0</v>
      </c>
      <c r="J109" s="48">
        <v>0</v>
      </c>
      <c r="K109" s="48">
        <v>0</v>
      </c>
      <c r="L109" s="48">
        <v>0</v>
      </c>
      <c r="M109" s="48">
        <v>0</v>
      </c>
      <c r="N109" s="48">
        <v>0</v>
      </c>
      <c r="O109" s="48">
        <v>0</v>
      </c>
      <c r="P109" s="48">
        <v>0</v>
      </c>
      <c r="Q109" s="48">
        <v>0</v>
      </c>
      <c r="R109" s="48">
        <v>0</v>
      </c>
      <c r="S109" s="48">
        <v>0</v>
      </c>
      <c r="T109" s="48">
        <v>0</v>
      </c>
      <c r="U109" s="48">
        <v>0</v>
      </c>
      <c r="V109" s="48">
        <v>0</v>
      </c>
      <c r="W109" s="48">
        <v>0</v>
      </c>
      <c r="X109" s="48">
        <v>0</v>
      </c>
      <c r="Y109" s="48">
        <v>0</v>
      </c>
      <c r="Z109" s="48">
        <v>0</v>
      </c>
      <c r="AA109" s="48">
        <v>0</v>
      </c>
      <c r="AB109" s="48">
        <v>0</v>
      </c>
      <c r="AC109" s="48">
        <v>0</v>
      </c>
      <c r="AD109" s="48">
        <v>0</v>
      </c>
      <c r="AE109" s="48">
        <v>0</v>
      </c>
      <c r="AF109" s="48">
        <v>0</v>
      </c>
      <c r="AG109" s="48">
        <v>0</v>
      </c>
      <c r="AH109" s="48">
        <v>0</v>
      </c>
      <c r="AI109" s="48">
        <v>0</v>
      </c>
      <c r="AJ109" s="48">
        <v>0</v>
      </c>
      <c r="AK109" s="48">
        <v>0</v>
      </c>
      <c r="AL109" s="48">
        <v>0</v>
      </c>
      <c r="AM109" s="48">
        <v>0</v>
      </c>
      <c r="AN109" s="48">
        <v>0</v>
      </c>
      <c r="AO109" s="48">
        <v>0</v>
      </c>
      <c r="AP109" s="48">
        <v>0</v>
      </c>
      <c r="AQ109" s="48">
        <v>0</v>
      </c>
      <c r="AR109" s="48">
        <v>0</v>
      </c>
      <c r="AS109" s="48">
        <v>0</v>
      </c>
      <c r="AT109" s="48">
        <v>0</v>
      </c>
      <c r="AU109" s="48">
        <v>0</v>
      </c>
      <c r="AV109" s="48">
        <v>0</v>
      </c>
      <c r="AW109" s="48">
        <v>0</v>
      </c>
      <c r="AX109" s="48">
        <v>0</v>
      </c>
      <c r="AY109" s="48">
        <v>0</v>
      </c>
      <c r="AZ109" s="48">
        <v>0</v>
      </c>
      <c r="BA109" s="48">
        <v>0</v>
      </c>
      <c r="BB109" s="48">
        <v>0</v>
      </c>
      <c r="BC109" s="48">
        <v>0</v>
      </c>
      <c r="BD109" s="48">
        <v>0</v>
      </c>
      <c r="BE109" s="48">
        <v>0</v>
      </c>
      <c r="BF109" s="48">
        <v>0</v>
      </c>
      <c r="BG109" s="48">
        <v>0</v>
      </c>
      <c r="BH109" s="48">
        <v>0</v>
      </c>
      <c r="BI109" s="48">
        <v>0</v>
      </c>
      <c r="BJ109" s="48">
        <v>0</v>
      </c>
      <c r="BK109" s="48">
        <v>0</v>
      </c>
      <c r="BL109" s="48">
        <v>0</v>
      </c>
      <c r="BM109" s="48">
        <v>0</v>
      </c>
      <c r="BN109" s="48">
        <v>0</v>
      </c>
      <c r="BO109" s="48">
        <v>0</v>
      </c>
      <c r="BP109" s="48">
        <v>0</v>
      </c>
      <c r="BQ109" s="48">
        <v>0</v>
      </c>
      <c r="BR109" s="48">
        <v>0</v>
      </c>
      <c r="BS109" s="48">
        <v>0</v>
      </c>
      <c r="BT109" s="48">
        <v>0</v>
      </c>
      <c r="BU109" s="48">
        <v>0</v>
      </c>
      <c r="BV109" s="48">
        <v>0</v>
      </c>
      <c r="BW109" s="48">
        <v>0</v>
      </c>
      <c r="BX109" s="48">
        <v>0</v>
      </c>
      <c r="BY109" s="48">
        <v>0</v>
      </c>
      <c r="BZ109" s="48">
        <v>0</v>
      </c>
      <c r="CA109" s="48">
        <v>0</v>
      </c>
      <c r="CB109" s="48">
        <v>0</v>
      </c>
      <c r="CC109" s="48">
        <v>9.9951697970202122</v>
      </c>
      <c r="CD109" s="48">
        <v>0</v>
      </c>
      <c r="CE109" s="48">
        <v>0</v>
      </c>
      <c r="CF109" s="48">
        <v>0</v>
      </c>
      <c r="CG109" s="48">
        <v>0</v>
      </c>
      <c r="CH109" s="48">
        <v>0</v>
      </c>
      <c r="CI109" s="48">
        <v>46.971754538325257</v>
      </c>
      <c r="CJ109" s="48">
        <v>0</v>
      </c>
      <c r="CK109" s="48">
        <v>0</v>
      </c>
      <c r="CL109" s="48">
        <v>0</v>
      </c>
      <c r="CM109" s="48">
        <v>2.9643574575059562E-3</v>
      </c>
      <c r="CN109" s="48">
        <v>19.750001102788758</v>
      </c>
      <c r="CO109" s="48">
        <v>0</v>
      </c>
      <c r="CP109" s="48">
        <v>0</v>
      </c>
      <c r="CQ109" s="48">
        <v>0</v>
      </c>
      <c r="CR109" s="48">
        <v>0</v>
      </c>
      <c r="CS109" s="48">
        <v>0</v>
      </c>
      <c r="CT109" s="48">
        <v>0</v>
      </c>
      <c r="CU109" s="48">
        <v>0</v>
      </c>
      <c r="CV109" s="48">
        <v>0.22716374861488525</v>
      </c>
      <c r="CW109" s="48">
        <v>0</v>
      </c>
      <c r="CX109" s="48">
        <v>115.86814285182602</v>
      </c>
      <c r="CY109" s="48">
        <v>40.640625546147625</v>
      </c>
      <c r="CZ109" s="48">
        <v>0</v>
      </c>
      <c r="DA109" s="48">
        <v>2.1896902858246376E-3</v>
      </c>
      <c r="DB109" s="48">
        <v>582.04674875467663</v>
      </c>
      <c r="DC109" s="48">
        <v>260.51972963682402</v>
      </c>
      <c r="DD109" s="48">
        <v>0</v>
      </c>
      <c r="DE109" s="48">
        <v>16.562208847448371</v>
      </c>
      <c r="DF109" s="48">
        <v>0</v>
      </c>
      <c r="DG109" s="48">
        <v>0</v>
      </c>
      <c r="DH109" s="48">
        <v>550.81933089252982</v>
      </c>
      <c r="DI109" s="48">
        <v>153.77944211450668</v>
      </c>
      <c r="DJ109" s="48">
        <v>52.785329109727911</v>
      </c>
      <c r="DK109" s="48">
        <v>0</v>
      </c>
      <c r="DL109" s="48">
        <v>2374.8954492410576</v>
      </c>
      <c r="DM109" s="48">
        <v>29.977922943642533</v>
      </c>
      <c r="DN109" s="48">
        <v>32.807613642181529</v>
      </c>
      <c r="DO109" s="48">
        <v>0</v>
      </c>
      <c r="DP109" s="48">
        <v>0</v>
      </c>
      <c r="DQ109" s="48">
        <v>0</v>
      </c>
      <c r="DR109" s="48">
        <v>3.8375071285004108E-5</v>
      </c>
      <c r="DS109" s="48">
        <v>0</v>
      </c>
      <c r="DT109" s="48">
        <v>0</v>
      </c>
      <c r="DU109" s="48">
        <v>0</v>
      </c>
      <c r="DV109" s="48">
        <v>0</v>
      </c>
      <c r="DW109" s="48">
        <v>0</v>
      </c>
      <c r="DX109" s="48">
        <v>0</v>
      </c>
      <c r="DY109" s="48">
        <v>0</v>
      </c>
      <c r="DZ109" s="48">
        <v>0</v>
      </c>
      <c r="EA109" s="48">
        <v>0</v>
      </c>
      <c r="EB109" s="48">
        <v>10.381085959041251</v>
      </c>
      <c r="EC109" s="48">
        <v>4.005509898169856E-4</v>
      </c>
      <c r="ED109" s="48">
        <v>0</v>
      </c>
      <c r="EE109" s="48">
        <v>0</v>
      </c>
      <c r="EF109" s="48">
        <v>0</v>
      </c>
      <c r="EG109" s="48">
        <v>0</v>
      </c>
      <c r="EH109" s="48">
        <v>0</v>
      </c>
      <c r="EI109" s="48">
        <v>13.20760079379388</v>
      </c>
      <c r="EJ109" s="48">
        <v>38.567949518010025</v>
      </c>
      <c r="EK109" s="48">
        <v>0</v>
      </c>
      <c r="EL109" s="48">
        <v>0</v>
      </c>
      <c r="EM109" s="48">
        <v>15.366453885346159</v>
      </c>
      <c r="EN109" s="48">
        <v>0</v>
      </c>
      <c r="EO109" s="48">
        <v>0</v>
      </c>
      <c r="EP109" s="48">
        <v>0</v>
      </c>
      <c r="EQ109" s="48">
        <v>0</v>
      </c>
      <c r="ER109" s="48">
        <v>3.4555799351141379E-4</v>
      </c>
      <c r="ES109" s="48">
        <v>9.5075207936499067E-6</v>
      </c>
      <c r="ET109" s="48">
        <v>0</v>
      </c>
      <c r="EU109" s="48">
        <v>0</v>
      </c>
      <c r="EV109" s="48">
        <v>0</v>
      </c>
      <c r="EW109" s="48">
        <v>3.8528270644483154E-4</v>
      </c>
      <c r="EX109" s="48">
        <v>0</v>
      </c>
      <c r="EY109" s="48">
        <v>1.4735919937472131E-2</v>
      </c>
      <c r="EZ109" s="48">
        <v>0</v>
      </c>
      <c r="FA109" s="48">
        <v>0</v>
      </c>
      <c r="FB109" s="48">
        <v>0</v>
      </c>
      <c r="FC109" s="48">
        <v>0</v>
      </c>
      <c r="FD109" s="48">
        <v>3.4307565835174305E-4</v>
      </c>
      <c r="FE109" s="48">
        <v>0</v>
      </c>
      <c r="FF109" s="48">
        <v>0</v>
      </c>
      <c r="FG109" s="48">
        <v>1.7736899993606087E-5</v>
      </c>
      <c r="FH109" s="48">
        <v>0</v>
      </c>
      <c r="FI109" s="48">
        <v>0</v>
      </c>
      <c r="FJ109" s="48">
        <v>0</v>
      </c>
      <c r="FK109" s="48">
        <v>0</v>
      </c>
      <c r="FL109" s="48">
        <v>0</v>
      </c>
      <c r="FM109" s="48">
        <v>4.5794181300405791E-4</v>
      </c>
      <c r="FN109" s="48">
        <v>0</v>
      </c>
      <c r="FO109" s="48">
        <v>0</v>
      </c>
      <c r="FP109" s="48">
        <v>1.9730435033064368E-2</v>
      </c>
      <c r="FQ109" s="48">
        <v>0</v>
      </c>
      <c r="FR109" s="48">
        <v>0</v>
      </c>
      <c r="FS109" s="48">
        <v>0</v>
      </c>
      <c r="FT109" s="48">
        <v>0</v>
      </c>
      <c r="FU109" s="48">
        <v>3.2579826799870792</v>
      </c>
      <c r="FV109" s="48">
        <v>0</v>
      </c>
      <c r="FW109" s="48">
        <v>0</v>
      </c>
      <c r="FX109" s="48">
        <v>0</v>
      </c>
      <c r="FY109" s="48">
        <v>0</v>
      </c>
      <c r="FZ109" s="48">
        <v>0</v>
      </c>
      <c r="GA109" s="48">
        <v>0</v>
      </c>
      <c r="GB109" s="48">
        <v>0</v>
      </c>
      <c r="GC109" s="48">
        <v>0</v>
      </c>
      <c r="GD109" s="48">
        <v>0</v>
      </c>
      <c r="GE109" s="48">
        <v>0.74720329890895343</v>
      </c>
      <c r="GF109" s="48">
        <v>0.78347266619234346</v>
      </c>
      <c r="GG109" s="48">
        <v>0</v>
      </c>
      <c r="GH109" s="48">
        <v>0</v>
      </c>
      <c r="GI109" s="48">
        <v>0</v>
      </c>
      <c r="GJ109" s="48">
        <v>0</v>
      </c>
      <c r="GK109" s="48">
        <v>0</v>
      </c>
      <c r="GL109" s="48">
        <v>0</v>
      </c>
      <c r="GM109" s="48">
        <v>0</v>
      </c>
      <c r="GN109" s="48">
        <v>0</v>
      </c>
      <c r="GO109" s="48">
        <v>0</v>
      </c>
      <c r="GP109" s="48">
        <v>0</v>
      </c>
      <c r="GQ109" s="48">
        <v>0</v>
      </c>
      <c r="GR109" s="48">
        <v>0</v>
      </c>
      <c r="GS109" s="48">
        <v>0</v>
      </c>
      <c r="GT109" s="48">
        <v>0</v>
      </c>
      <c r="GU109" s="48">
        <v>0</v>
      </c>
      <c r="GV109" s="48">
        <v>0</v>
      </c>
      <c r="GW109" s="48">
        <v>0</v>
      </c>
      <c r="GX109" s="48">
        <v>0</v>
      </c>
      <c r="GY109" s="48">
        <v>0</v>
      </c>
      <c r="GZ109" s="48">
        <v>0</v>
      </c>
      <c r="HA109" s="48">
        <v>0</v>
      </c>
      <c r="HB109" s="48">
        <v>0</v>
      </c>
      <c r="HC109" s="48">
        <v>0</v>
      </c>
      <c r="HD109" s="48">
        <v>0</v>
      </c>
      <c r="HE109" s="48">
        <v>0</v>
      </c>
      <c r="HF109" s="48">
        <v>0</v>
      </c>
      <c r="HG109" s="48">
        <v>0</v>
      </c>
      <c r="HH109" s="48">
        <v>0</v>
      </c>
      <c r="HI109" s="48">
        <v>0</v>
      </c>
      <c r="HJ109" s="48">
        <v>0</v>
      </c>
      <c r="HK109" s="48">
        <v>0</v>
      </c>
      <c r="HL109" s="48">
        <v>0</v>
      </c>
      <c r="HM109" s="48">
        <v>0</v>
      </c>
      <c r="HN109" s="48">
        <v>0</v>
      </c>
      <c r="HO109" s="48">
        <v>0</v>
      </c>
      <c r="HP109" s="48">
        <v>0</v>
      </c>
      <c r="HQ109" s="48">
        <v>0</v>
      </c>
      <c r="HR109" s="48">
        <v>0</v>
      </c>
      <c r="HS109" s="48">
        <v>0</v>
      </c>
      <c r="HT109" s="48">
        <v>0</v>
      </c>
      <c r="HU109" s="48">
        <v>0</v>
      </c>
      <c r="HV109" s="48">
        <v>0</v>
      </c>
      <c r="HW109" s="48">
        <v>0</v>
      </c>
      <c r="HX109" s="48">
        <v>0</v>
      </c>
      <c r="HY109" s="48">
        <v>0</v>
      </c>
      <c r="HZ109" s="48">
        <v>0</v>
      </c>
      <c r="IA109" s="48">
        <v>0</v>
      </c>
      <c r="IB109" s="48">
        <v>0</v>
      </c>
      <c r="IC109" s="48">
        <v>0</v>
      </c>
      <c r="ID109" s="48">
        <v>0</v>
      </c>
      <c r="IE109" s="48">
        <v>0</v>
      </c>
      <c r="IF109" s="48">
        <v>0</v>
      </c>
      <c r="IG109" s="48">
        <v>0</v>
      </c>
      <c r="IH109" s="48">
        <v>0</v>
      </c>
      <c r="II109" s="48">
        <v>0</v>
      </c>
      <c r="IJ109" s="48">
        <v>0</v>
      </c>
      <c r="IK109" s="48">
        <v>0</v>
      </c>
      <c r="IL109" s="48">
        <v>0</v>
      </c>
      <c r="IM109" s="48">
        <v>0</v>
      </c>
      <c r="IN109" s="48">
        <v>0</v>
      </c>
      <c r="IO109" s="48">
        <v>0</v>
      </c>
      <c r="IP109" s="23">
        <v>4369.9999999999663</v>
      </c>
      <c r="IQ109" s="25">
        <v>0</v>
      </c>
      <c r="IR109" s="25">
        <v>0</v>
      </c>
      <c r="IS109" s="26">
        <v>0</v>
      </c>
      <c r="IT109" s="26">
        <v>0</v>
      </c>
      <c r="IU109" s="26">
        <v>-174</v>
      </c>
      <c r="IV109" s="9">
        <v>324</v>
      </c>
      <c r="IW109" s="38">
        <f t="shared" si="5"/>
        <v>4519.9999999999663</v>
      </c>
    </row>
    <row r="110" spans="1:257" ht="30" customHeight="1" x14ac:dyDescent="0.25">
      <c r="A110" s="112" t="b">
        <v>0</v>
      </c>
      <c r="B110" s="113" t="b">
        <f>IFERROR(VLOOKUP(C110,'Bridge matrix'!$D$3:$E$727,2,FALSE)='symmetric IOT 245 2012'!D110,"FALSCH")</f>
        <v>1</v>
      </c>
      <c r="C110" s="108">
        <v>104</v>
      </c>
      <c r="D110" s="49" t="s">
        <v>1421</v>
      </c>
      <c r="E110" s="48">
        <v>0</v>
      </c>
      <c r="F110" s="48">
        <v>0</v>
      </c>
      <c r="G110" s="48">
        <v>0</v>
      </c>
      <c r="H110" s="48">
        <v>0</v>
      </c>
      <c r="I110" s="48">
        <v>0</v>
      </c>
      <c r="J110" s="48">
        <v>0</v>
      </c>
      <c r="K110" s="48">
        <v>0</v>
      </c>
      <c r="L110" s="48">
        <v>0</v>
      </c>
      <c r="M110" s="48">
        <v>0</v>
      </c>
      <c r="N110" s="48">
        <v>0</v>
      </c>
      <c r="O110" s="48">
        <v>0</v>
      </c>
      <c r="P110" s="48">
        <v>0</v>
      </c>
      <c r="Q110" s="48">
        <v>0</v>
      </c>
      <c r="R110" s="48">
        <v>0</v>
      </c>
      <c r="S110" s="48">
        <v>0</v>
      </c>
      <c r="T110" s="48">
        <v>0</v>
      </c>
      <c r="U110" s="48">
        <v>0</v>
      </c>
      <c r="V110" s="48">
        <v>0</v>
      </c>
      <c r="W110" s="48">
        <v>0</v>
      </c>
      <c r="X110" s="48">
        <v>0</v>
      </c>
      <c r="Y110" s="48">
        <v>0</v>
      </c>
      <c r="Z110" s="48">
        <v>0</v>
      </c>
      <c r="AA110" s="48">
        <v>0</v>
      </c>
      <c r="AB110" s="48">
        <v>0</v>
      </c>
      <c r="AC110" s="48">
        <v>0</v>
      </c>
      <c r="AD110" s="48">
        <v>0</v>
      </c>
      <c r="AE110" s="48">
        <v>0</v>
      </c>
      <c r="AF110" s="48">
        <v>0</v>
      </c>
      <c r="AG110" s="48">
        <v>0</v>
      </c>
      <c r="AH110" s="48">
        <v>0</v>
      </c>
      <c r="AI110" s="48">
        <v>0</v>
      </c>
      <c r="AJ110" s="48">
        <v>0</v>
      </c>
      <c r="AK110" s="48">
        <v>0</v>
      </c>
      <c r="AL110" s="48">
        <v>0</v>
      </c>
      <c r="AM110" s="48">
        <v>0</v>
      </c>
      <c r="AN110" s="48">
        <v>0</v>
      </c>
      <c r="AO110" s="48">
        <v>0</v>
      </c>
      <c r="AP110" s="48">
        <v>0</v>
      </c>
      <c r="AQ110" s="48">
        <v>0</v>
      </c>
      <c r="AR110" s="48">
        <v>0</v>
      </c>
      <c r="AS110" s="48">
        <v>0</v>
      </c>
      <c r="AT110" s="48">
        <v>0</v>
      </c>
      <c r="AU110" s="48">
        <v>0</v>
      </c>
      <c r="AV110" s="48">
        <v>0</v>
      </c>
      <c r="AW110" s="48">
        <v>0</v>
      </c>
      <c r="AX110" s="48">
        <v>0</v>
      </c>
      <c r="AY110" s="48">
        <v>0</v>
      </c>
      <c r="AZ110" s="48">
        <v>0</v>
      </c>
      <c r="BA110" s="48">
        <v>0</v>
      </c>
      <c r="BB110" s="48">
        <v>0</v>
      </c>
      <c r="BC110" s="48">
        <v>0</v>
      </c>
      <c r="BD110" s="48">
        <v>0</v>
      </c>
      <c r="BE110" s="48">
        <v>0</v>
      </c>
      <c r="BF110" s="48">
        <v>0</v>
      </c>
      <c r="BG110" s="48">
        <v>0</v>
      </c>
      <c r="BH110" s="48">
        <v>0</v>
      </c>
      <c r="BI110" s="48">
        <v>0</v>
      </c>
      <c r="BJ110" s="48">
        <v>0</v>
      </c>
      <c r="BK110" s="48">
        <v>0</v>
      </c>
      <c r="BL110" s="48">
        <v>0</v>
      </c>
      <c r="BM110" s="48">
        <v>0</v>
      </c>
      <c r="BN110" s="48">
        <v>0</v>
      </c>
      <c r="BO110" s="48">
        <v>0</v>
      </c>
      <c r="BP110" s="48">
        <v>0</v>
      </c>
      <c r="BQ110" s="48">
        <v>0</v>
      </c>
      <c r="BR110" s="48">
        <v>0</v>
      </c>
      <c r="BS110" s="48">
        <v>0</v>
      </c>
      <c r="BT110" s="48">
        <v>0</v>
      </c>
      <c r="BU110" s="48">
        <v>0</v>
      </c>
      <c r="BV110" s="48">
        <v>0</v>
      </c>
      <c r="BW110" s="48">
        <v>0</v>
      </c>
      <c r="BX110" s="48">
        <v>0</v>
      </c>
      <c r="BY110" s="48">
        <v>0</v>
      </c>
      <c r="BZ110" s="48">
        <v>0</v>
      </c>
      <c r="CA110" s="48">
        <v>0</v>
      </c>
      <c r="CB110" s="48">
        <v>0</v>
      </c>
      <c r="CC110" s="48">
        <v>0</v>
      </c>
      <c r="CD110" s="48">
        <v>0</v>
      </c>
      <c r="CE110" s="48">
        <v>0</v>
      </c>
      <c r="CF110" s="48">
        <v>0</v>
      </c>
      <c r="CG110" s="48">
        <v>0</v>
      </c>
      <c r="CH110" s="48">
        <v>0</v>
      </c>
      <c r="CI110" s="48">
        <v>1.8647668250021629E-4</v>
      </c>
      <c r="CJ110" s="48">
        <v>0</v>
      </c>
      <c r="CK110" s="48">
        <v>0</v>
      </c>
      <c r="CL110" s="48">
        <v>0</v>
      </c>
      <c r="CM110" s="48">
        <v>0</v>
      </c>
      <c r="CN110" s="48">
        <v>3.0285627782318162E-8</v>
      </c>
      <c r="CO110" s="48">
        <v>0</v>
      </c>
      <c r="CP110" s="48">
        <v>0</v>
      </c>
      <c r="CQ110" s="48">
        <v>0</v>
      </c>
      <c r="CR110" s="48">
        <v>0</v>
      </c>
      <c r="CS110" s="48">
        <v>0</v>
      </c>
      <c r="CT110" s="48">
        <v>4.0541409450987144E-11</v>
      </c>
      <c r="CU110" s="48">
        <v>8.9366737441605717E-5</v>
      </c>
      <c r="CV110" s="48">
        <v>2.0947154666311774E-4</v>
      </c>
      <c r="CW110" s="48">
        <v>0</v>
      </c>
      <c r="CX110" s="48">
        <v>3.7735231343732295E-12</v>
      </c>
      <c r="CY110" s="48">
        <v>0</v>
      </c>
      <c r="CZ110" s="48">
        <v>0</v>
      </c>
      <c r="DA110" s="48">
        <v>3.0665089908423192E-6</v>
      </c>
      <c r="DB110" s="48">
        <v>0</v>
      </c>
      <c r="DC110" s="48">
        <v>1.8156416225722484E-11</v>
      </c>
      <c r="DD110" s="48">
        <v>1047.0857067190746</v>
      </c>
      <c r="DE110" s="48">
        <v>0</v>
      </c>
      <c r="DF110" s="48">
        <v>0</v>
      </c>
      <c r="DG110" s="48">
        <v>0</v>
      </c>
      <c r="DH110" s="48">
        <v>0</v>
      </c>
      <c r="DI110" s="48">
        <v>0</v>
      </c>
      <c r="DJ110" s="48">
        <v>0</v>
      </c>
      <c r="DK110" s="48">
        <v>0</v>
      </c>
      <c r="DL110" s="48">
        <v>3.3258759444446144</v>
      </c>
      <c r="DM110" s="48">
        <v>0</v>
      </c>
      <c r="DN110" s="48">
        <v>0</v>
      </c>
      <c r="DO110" s="48">
        <v>0</v>
      </c>
      <c r="DP110" s="48">
        <v>0</v>
      </c>
      <c r="DQ110" s="48">
        <v>0</v>
      </c>
      <c r="DR110" s="48">
        <v>1.9521194716217078E-11</v>
      </c>
      <c r="DS110" s="48">
        <v>0</v>
      </c>
      <c r="DT110" s="48">
        <v>0</v>
      </c>
      <c r="DU110" s="48">
        <v>0</v>
      </c>
      <c r="DV110" s="48">
        <v>0</v>
      </c>
      <c r="DW110" s="48">
        <v>0</v>
      </c>
      <c r="DX110" s="48">
        <v>0</v>
      </c>
      <c r="DY110" s="48">
        <v>7.4522678504038901E-17</v>
      </c>
      <c r="DZ110" s="48">
        <v>0</v>
      </c>
      <c r="EA110" s="48">
        <v>0</v>
      </c>
      <c r="EB110" s="48">
        <v>2.0744312157117894E-10</v>
      </c>
      <c r="EC110" s="48">
        <v>5.9997333730146791E-12</v>
      </c>
      <c r="ED110" s="48">
        <v>0</v>
      </c>
      <c r="EE110" s="48">
        <v>0</v>
      </c>
      <c r="EF110" s="48">
        <v>0</v>
      </c>
      <c r="EG110" s="48">
        <v>0</v>
      </c>
      <c r="EH110" s="48">
        <v>0</v>
      </c>
      <c r="EI110" s="48">
        <v>2.2030776435033572E-7</v>
      </c>
      <c r="EJ110" s="48">
        <v>4.0937650253887798E-6</v>
      </c>
      <c r="EK110" s="48">
        <v>0</v>
      </c>
      <c r="EL110" s="48">
        <v>0</v>
      </c>
      <c r="EM110" s="48">
        <v>0</v>
      </c>
      <c r="EN110" s="48">
        <v>0</v>
      </c>
      <c r="EO110" s="48">
        <v>0</v>
      </c>
      <c r="EP110" s="48">
        <v>0</v>
      </c>
      <c r="EQ110" s="48">
        <v>0</v>
      </c>
      <c r="ER110" s="48">
        <v>5.1772263691002458E-12</v>
      </c>
      <c r="ES110" s="48">
        <v>9.053184119642972E-14</v>
      </c>
      <c r="ET110" s="48">
        <v>0</v>
      </c>
      <c r="EU110" s="48">
        <v>0</v>
      </c>
      <c r="EV110" s="48">
        <v>0</v>
      </c>
      <c r="EW110" s="48">
        <v>6.4447640070848007E-12</v>
      </c>
      <c r="EX110" s="48">
        <v>0</v>
      </c>
      <c r="EY110" s="48">
        <v>1.5651464080562429E-9</v>
      </c>
      <c r="EZ110" s="48">
        <v>0</v>
      </c>
      <c r="FA110" s="48">
        <v>1.3118492445333205E-15</v>
      </c>
      <c r="FB110" s="48">
        <v>3.5965199911850208E-17</v>
      </c>
      <c r="FC110" s="48">
        <v>0</v>
      </c>
      <c r="FD110" s="48">
        <v>0</v>
      </c>
      <c r="FE110" s="48">
        <v>0</v>
      </c>
      <c r="FF110" s="48">
        <v>0</v>
      </c>
      <c r="FG110" s="48">
        <v>0</v>
      </c>
      <c r="FH110" s="48">
        <v>0</v>
      </c>
      <c r="FI110" s="48">
        <v>0</v>
      </c>
      <c r="FJ110" s="48">
        <v>0</v>
      </c>
      <c r="FK110" s="48">
        <v>0</v>
      </c>
      <c r="FL110" s="48">
        <v>0</v>
      </c>
      <c r="FM110" s="48">
        <v>6.8596512653392406E-12</v>
      </c>
      <c r="FN110" s="48">
        <v>0</v>
      </c>
      <c r="FO110" s="48">
        <v>0</v>
      </c>
      <c r="FP110" s="48">
        <v>2.9194000973589909E-10</v>
      </c>
      <c r="FQ110" s="48">
        <v>0</v>
      </c>
      <c r="FR110" s="48">
        <v>0</v>
      </c>
      <c r="FS110" s="48">
        <v>0</v>
      </c>
      <c r="FT110" s="48">
        <v>0</v>
      </c>
      <c r="FU110" s="48">
        <v>0</v>
      </c>
      <c r="FV110" s="48">
        <v>2.4363515984501978E-16</v>
      </c>
      <c r="FW110" s="48">
        <v>0</v>
      </c>
      <c r="FX110" s="48">
        <v>0</v>
      </c>
      <c r="FY110" s="48">
        <v>0</v>
      </c>
      <c r="FZ110" s="48">
        <v>0</v>
      </c>
      <c r="GA110" s="48">
        <v>0</v>
      </c>
      <c r="GB110" s="48">
        <v>0</v>
      </c>
      <c r="GC110" s="48">
        <v>0</v>
      </c>
      <c r="GD110" s="48">
        <v>0</v>
      </c>
      <c r="GE110" s="48">
        <v>8341.025323200498</v>
      </c>
      <c r="GF110" s="48">
        <v>13097.238431958147</v>
      </c>
      <c r="GG110" s="48">
        <v>0</v>
      </c>
      <c r="GH110" s="48">
        <v>0</v>
      </c>
      <c r="GI110" s="48">
        <v>0</v>
      </c>
      <c r="GJ110" s="48">
        <v>0</v>
      </c>
      <c r="GK110" s="48">
        <v>0</v>
      </c>
      <c r="GL110" s="48">
        <v>0</v>
      </c>
      <c r="GM110" s="48">
        <v>0</v>
      </c>
      <c r="GN110" s="48">
        <v>0</v>
      </c>
      <c r="GO110" s="48">
        <v>0</v>
      </c>
      <c r="GP110" s="48">
        <v>0</v>
      </c>
      <c r="GQ110" s="48">
        <v>0</v>
      </c>
      <c r="GR110" s="48">
        <v>0</v>
      </c>
      <c r="GS110" s="48">
        <v>0</v>
      </c>
      <c r="GT110" s="48">
        <v>0</v>
      </c>
      <c r="GU110" s="48">
        <v>0</v>
      </c>
      <c r="GV110" s="48">
        <v>0</v>
      </c>
      <c r="GW110" s="48">
        <v>0</v>
      </c>
      <c r="GX110" s="48">
        <v>0</v>
      </c>
      <c r="GY110" s="48">
        <v>0</v>
      </c>
      <c r="GZ110" s="48">
        <v>0</v>
      </c>
      <c r="HA110" s="48">
        <v>0</v>
      </c>
      <c r="HB110" s="48">
        <v>0</v>
      </c>
      <c r="HC110" s="48">
        <v>0</v>
      </c>
      <c r="HD110" s="48">
        <v>0</v>
      </c>
      <c r="HE110" s="48">
        <v>0</v>
      </c>
      <c r="HF110" s="48">
        <v>0</v>
      </c>
      <c r="HG110" s="48">
        <v>0</v>
      </c>
      <c r="HH110" s="48">
        <v>0</v>
      </c>
      <c r="HI110" s="48">
        <v>0</v>
      </c>
      <c r="HJ110" s="48">
        <v>0</v>
      </c>
      <c r="HK110" s="48">
        <v>0</v>
      </c>
      <c r="HL110" s="48">
        <v>0</v>
      </c>
      <c r="HM110" s="48">
        <v>0</v>
      </c>
      <c r="HN110" s="48">
        <v>0</v>
      </c>
      <c r="HO110" s="48">
        <v>0</v>
      </c>
      <c r="HP110" s="48">
        <v>0</v>
      </c>
      <c r="HQ110" s="48">
        <v>0</v>
      </c>
      <c r="HR110" s="48">
        <v>0</v>
      </c>
      <c r="HS110" s="48">
        <v>0</v>
      </c>
      <c r="HT110" s="48">
        <v>0</v>
      </c>
      <c r="HU110" s="48">
        <v>0</v>
      </c>
      <c r="HV110" s="48">
        <v>2000.2845769092464</v>
      </c>
      <c r="HW110" s="48">
        <v>0</v>
      </c>
      <c r="HX110" s="48">
        <v>3748.1386333395862</v>
      </c>
      <c r="HY110" s="48">
        <v>3179.8555778260775</v>
      </c>
      <c r="HZ110" s="48">
        <v>4710.173163831656</v>
      </c>
      <c r="IA110" s="48">
        <v>1330.2478289731143</v>
      </c>
      <c r="IB110" s="48">
        <v>67.920016571523647</v>
      </c>
      <c r="IC110" s="48">
        <v>0</v>
      </c>
      <c r="ID110" s="48">
        <v>0</v>
      </c>
      <c r="IE110" s="48">
        <v>0</v>
      </c>
      <c r="IF110" s="48">
        <v>0</v>
      </c>
      <c r="IG110" s="48">
        <v>2139.6380045115388</v>
      </c>
      <c r="IH110" s="48">
        <v>121.05554206923607</v>
      </c>
      <c r="II110" s="48">
        <v>61.564049458439058</v>
      </c>
      <c r="IJ110" s="48">
        <v>39.991734128215811</v>
      </c>
      <c r="IK110" s="48">
        <v>11110.368926301942</v>
      </c>
      <c r="IL110" s="48">
        <v>0</v>
      </c>
      <c r="IM110" s="48">
        <v>6453.0861155290122</v>
      </c>
      <c r="IN110" s="48">
        <v>0</v>
      </c>
      <c r="IO110" s="48">
        <v>0</v>
      </c>
      <c r="IP110" s="23">
        <v>57450.999999999745</v>
      </c>
      <c r="IQ110" s="25">
        <v>752787</v>
      </c>
      <c r="IR110" s="25">
        <v>0</v>
      </c>
      <c r="IS110" s="26">
        <v>0</v>
      </c>
      <c r="IT110" s="26">
        <v>0</v>
      </c>
      <c r="IU110" s="26">
        <v>0</v>
      </c>
      <c r="IV110" s="9">
        <v>4566</v>
      </c>
      <c r="IW110" s="38">
        <f t="shared" si="5"/>
        <v>814803.99999999977</v>
      </c>
    </row>
    <row r="111" spans="1:257" ht="30" customHeight="1" x14ac:dyDescent="0.25">
      <c r="A111" s="112" t="b">
        <v>0</v>
      </c>
      <c r="B111" s="113" t="b">
        <f>IFERROR(VLOOKUP(C111,'Bridge matrix'!$D$3:$E$727,2,FALSE)='symmetric IOT 245 2012'!D111,"FALSCH")</f>
        <v>1</v>
      </c>
      <c r="C111" s="108">
        <v>105</v>
      </c>
      <c r="D111" s="49" t="s">
        <v>1422</v>
      </c>
      <c r="E111" s="48">
        <v>0</v>
      </c>
      <c r="F111" s="48">
        <v>0</v>
      </c>
      <c r="G111" s="48">
        <v>0</v>
      </c>
      <c r="H111" s="48">
        <v>0</v>
      </c>
      <c r="I111" s="48">
        <v>0</v>
      </c>
      <c r="J111" s="48">
        <v>0</v>
      </c>
      <c r="K111" s="48">
        <v>0</v>
      </c>
      <c r="L111" s="48">
        <v>0</v>
      </c>
      <c r="M111" s="48">
        <v>0</v>
      </c>
      <c r="N111" s="48">
        <v>0</v>
      </c>
      <c r="O111" s="48">
        <v>0</v>
      </c>
      <c r="P111" s="48">
        <v>0</v>
      </c>
      <c r="Q111" s="48">
        <v>0</v>
      </c>
      <c r="R111" s="48">
        <v>0</v>
      </c>
      <c r="S111" s="48">
        <v>0</v>
      </c>
      <c r="T111" s="48">
        <v>0</v>
      </c>
      <c r="U111" s="48">
        <v>0</v>
      </c>
      <c r="V111" s="48">
        <v>0</v>
      </c>
      <c r="W111" s="48">
        <v>0</v>
      </c>
      <c r="X111" s="48">
        <v>0</v>
      </c>
      <c r="Y111" s="48">
        <v>0</v>
      </c>
      <c r="Z111" s="48">
        <v>0</v>
      </c>
      <c r="AA111" s="48">
        <v>0</v>
      </c>
      <c r="AB111" s="48">
        <v>0</v>
      </c>
      <c r="AC111" s="48">
        <v>0</v>
      </c>
      <c r="AD111" s="48">
        <v>0</v>
      </c>
      <c r="AE111" s="48">
        <v>0</v>
      </c>
      <c r="AF111" s="48">
        <v>0</v>
      </c>
      <c r="AG111" s="48">
        <v>0</v>
      </c>
      <c r="AH111" s="48">
        <v>0</v>
      </c>
      <c r="AI111" s="48">
        <v>0</v>
      </c>
      <c r="AJ111" s="48">
        <v>0</v>
      </c>
      <c r="AK111" s="48">
        <v>0</v>
      </c>
      <c r="AL111" s="48">
        <v>0</v>
      </c>
      <c r="AM111" s="48">
        <v>0</v>
      </c>
      <c r="AN111" s="48">
        <v>0</v>
      </c>
      <c r="AO111" s="48">
        <v>0</v>
      </c>
      <c r="AP111" s="48">
        <v>0</v>
      </c>
      <c r="AQ111" s="48">
        <v>0</v>
      </c>
      <c r="AR111" s="48">
        <v>0</v>
      </c>
      <c r="AS111" s="48">
        <v>0</v>
      </c>
      <c r="AT111" s="48">
        <v>0</v>
      </c>
      <c r="AU111" s="48">
        <v>0</v>
      </c>
      <c r="AV111" s="48">
        <v>0</v>
      </c>
      <c r="AW111" s="48">
        <v>0</v>
      </c>
      <c r="AX111" s="48">
        <v>0</v>
      </c>
      <c r="AY111" s="48">
        <v>0</v>
      </c>
      <c r="AZ111" s="48">
        <v>0</v>
      </c>
      <c r="BA111" s="48">
        <v>0</v>
      </c>
      <c r="BB111" s="48">
        <v>0</v>
      </c>
      <c r="BC111" s="48">
        <v>0</v>
      </c>
      <c r="BD111" s="48">
        <v>0</v>
      </c>
      <c r="BE111" s="48">
        <v>0</v>
      </c>
      <c r="BF111" s="48">
        <v>0</v>
      </c>
      <c r="BG111" s="48">
        <v>0</v>
      </c>
      <c r="BH111" s="48">
        <v>0</v>
      </c>
      <c r="BI111" s="48">
        <v>0</v>
      </c>
      <c r="BJ111" s="48">
        <v>0</v>
      </c>
      <c r="BK111" s="48">
        <v>0</v>
      </c>
      <c r="BL111" s="48">
        <v>0</v>
      </c>
      <c r="BM111" s="48">
        <v>0</v>
      </c>
      <c r="BN111" s="48">
        <v>0</v>
      </c>
      <c r="BO111" s="48">
        <v>0</v>
      </c>
      <c r="BP111" s="48">
        <v>0</v>
      </c>
      <c r="BQ111" s="48">
        <v>0</v>
      </c>
      <c r="BR111" s="48">
        <v>0</v>
      </c>
      <c r="BS111" s="48">
        <v>0</v>
      </c>
      <c r="BT111" s="48">
        <v>0</v>
      </c>
      <c r="BU111" s="48">
        <v>0</v>
      </c>
      <c r="BV111" s="48">
        <v>0</v>
      </c>
      <c r="BW111" s="48">
        <v>0</v>
      </c>
      <c r="BX111" s="48">
        <v>0</v>
      </c>
      <c r="BY111" s="48">
        <v>0</v>
      </c>
      <c r="BZ111" s="48">
        <v>0</v>
      </c>
      <c r="CA111" s="48">
        <v>0</v>
      </c>
      <c r="CB111" s="48">
        <v>0</v>
      </c>
      <c r="CC111" s="48">
        <v>0</v>
      </c>
      <c r="CD111" s="48">
        <v>0</v>
      </c>
      <c r="CE111" s="48">
        <v>0</v>
      </c>
      <c r="CF111" s="48">
        <v>0</v>
      </c>
      <c r="CG111" s="48">
        <v>0</v>
      </c>
      <c r="CH111" s="48">
        <v>0</v>
      </c>
      <c r="CI111" s="48">
        <v>0</v>
      </c>
      <c r="CJ111" s="48">
        <v>0</v>
      </c>
      <c r="CK111" s="48">
        <v>0</v>
      </c>
      <c r="CL111" s="48">
        <v>0</v>
      </c>
      <c r="CM111" s="48">
        <v>0</v>
      </c>
      <c r="CN111" s="48">
        <v>0</v>
      </c>
      <c r="CO111" s="48">
        <v>0</v>
      </c>
      <c r="CP111" s="48">
        <v>0</v>
      </c>
      <c r="CQ111" s="48">
        <v>0</v>
      </c>
      <c r="CR111" s="48">
        <v>0</v>
      </c>
      <c r="CS111" s="48">
        <v>0</v>
      </c>
      <c r="CT111" s="48">
        <v>0</v>
      </c>
      <c r="CU111" s="48">
        <v>0</v>
      </c>
      <c r="CV111" s="48">
        <v>0</v>
      </c>
      <c r="CW111" s="48">
        <v>0</v>
      </c>
      <c r="CX111" s="48">
        <v>0</v>
      </c>
      <c r="CY111" s="48">
        <v>0</v>
      </c>
      <c r="CZ111" s="48">
        <v>0</v>
      </c>
      <c r="DA111" s="48">
        <v>0</v>
      </c>
      <c r="DB111" s="48">
        <v>0</v>
      </c>
      <c r="DC111" s="48">
        <v>0</v>
      </c>
      <c r="DD111" s="48">
        <v>0</v>
      </c>
      <c r="DE111" s="48">
        <v>0</v>
      </c>
      <c r="DF111" s="48">
        <v>0</v>
      </c>
      <c r="DG111" s="48">
        <v>0</v>
      </c>
      <c r="DH111" s="48">
        <v>0</v>
      </c>
      <c r="DI111" s="48">
        <v>0</v>
      </c>
      <c r="DJ111" s="48">
        <v>0</v>
      </c>
      <c r="DK111" s="48">
        <v>0</v>
      </c>
      <c r="DL111" s="48">
        <v>0</v>
      </c>
      <c r="DM111" s="48">
        <v>0</v>
      </c>
      <c r="DN111" s="48">
        <v>0</v>
      </c>
      <c r="DO111" s="48">
        <v>0</v>
      </c>
      <c r="DP111" s="48">
        <v>0</v>
      </c>
      <c r="DQ111" s="48">
        <v>0</v>
      </c>
      <c r="DR111" s="48">
        <v>0</v>
      </c>
      <c r="DS111" s="48">
        <v>0</v>
      </c>
      <c r="DT111" s="48">
        <v>0</v>
      </c>
      <c r="DU111" s="48">
        <v>0</v>
      </c>
      <c r="DV111" s="48">
        <v>0</v>
      </c>
      <c r="DW111" s="48">
        <v>0</v>
      </c>
      <c r="DX111" s="48">
        <v>0</v>
      </c>
      <c r="DY111" s="48">
        <v>0</v>
      </c>
      <c r="DZ111" s="48">
        <v>0</v>
      </c>
      <c r="EA111" s="48">
        <v>0</v>
      </c>
      <c r="EB111" s="48">
        <v>0</v>
      </c>
      <c r="EC111" s="48">
        <v>0</v>
      </c>
      <c r="ED111" s="48">
        <v>0</v>
      </c>
      <c r="EE111" s="48">
        <v>0</v>
      </c>
      <c r="EF111" s="48">
        <v>0</v>
      </c>
      <c r="EG111" s="48">
        <v>0</v>
      </c>
      <c r="EH111" s="48">
        <v>0</v>
      </c>
      <c r="EI111" s="48">
        <v>0</v>
      </c>
      <c r="EJ111" s="48">
        <v>0</v>
      </c>
      <c r="EK111" s="48">
        <v>0</v>
      </c>
      <c r="EL111" s="48">
        <v>0</v>
      </c>
      <c r="EM111" s="48">
        <v>0</v>
      </c>
      <c r="EN111" s="48">
        <v>0</v>
      </c>
      <c r="EO111" s="48">
        <v>0</v>
      </c>
      <c r="EP111" s="48">
        <v>0</v>
      </c>
      <c r="EQ111" s="48">
        <v>0</v>
      </c>
      <c r="ER111" s="48">
        <v>0</v>
      </c>
      <c r="ES111" s="48">
        <v>0</v>
      </c>
      <c r="ET111" s="48">
        <v>0</v>
      </c>
      <c r="EU111" s="48">
        <v>0</v>
      </c>
      <c r="EV111" s="48">
        <v>0</v>
      </c>
      <c r="EW111" s="48">
        <v>0</v>
      </c>
      <c r="EX111" s="48">
        <v>0</v>
      </c>
      <c r="EY111" s="48">
        <v>0</v>
      </c>
      <c r="EZ111" s="48">
        <v>0</v>
      </c>
      <c r="FA111" s="48">
        <v>0</v>
      </c>
      <c r="FB111" s="48">
        <v>0</v>
      </c>
      <c r="FC111" s="48">
        <v>0</v>
      </c>
      <c r="FD111" s="48">
        <v>0</v>
      </c>
      <c r="FE111" s="48">
        <v>0</v>
      </c>
      <c r="FF111" s="48">
        <v>0</v>
      </c>
      <c r="FG111" s="48">
        <v>0</v>
      </c>
      <c r="FH111" s="48">
        <v>0</v>
      </c>
      <c r="FI111" s="48">
        <v>0</v>
      </c>
      <c r="FJ111" s="48">
        <v>0</v>
      </c>
      <c r="FK111" s="48">
        <v>0</v>
      </c>
      <c r="FL111" s="48">
        <v>0</v>
      </c>
      <c r="FM111" s="48">
        <v>0</v>
      </c>
      <c r="FN111" s="48">
        <v>0</v>
      </c>
      <c r="FO111" s="48">
        <v>0</v>
      </c>
      <c r="FP111" s="48">
        <v>0</v>
      </c>
      <c r="FQ111" s="48">
        <v>0</v>
      </c>
      <c r="FR111" s="48">
        <v>0</v>
      </c>
      <c r="FS111" s="48">
        <v>0</v>
      </c>
      <c r="FT111" s="48">
        <v>0</v>
      </c>
      <c r="FU111" s="48">
        <v>0</v>
      </c>
      <c r="FV111" s="48">
        <v>0</v>
      </c>
      <c r="FW111" s="48">
        <v>0</v>
      </c>
      <c r="FX111" s="48">
        <v>0</v>
      </c>
      <c r="FY111" s="48">
        <v>0</v>
      </c>
      <c r="FZ111" s="48">
        <v>0</v>
      </c>
      <c r="GA111" s="48">
        <v>0</v>
      </c>
      <c r="GB111" s="48">
        <v>0</v>
      </c>
      <c r="GC111" s="48">
        <v>0</v>
      </c>
      <c r="GD111" s="48">
        <v>0</v>
      </c>
      <c r="GE111" s="48">
        <v>2154.9701083224595</v>
      </c>
      <c r="GF111" s="48">
        <v>9342.4645648288097</v>
      </c>
      <c r="GG111" s="48">
        <v>0</v>
      </c>
      <c r="GH111" s="48">
        <v>0</v>
      </c>
      <c r="GI111" s="48">
        <v>0</v>
      </c>
      <c r="GJ111" s="48">
        <v>0</v>
      </c>
      <c r="GK111" s="48">
        <v>0</v>
      </c>
      <c r="GL111" s="48">
        <v>0</v>
      </c>
      <c r="GM111" s="48">
        <v>0</v>
      </c>
      <c r="GN111" s="48">
        <v>0</v>
      </c>
      <c r="GO111" s="48">
        <v>0</v>
      </c>
      <c r="GP111" s="48">
        <v>0</v>
      </c>
      <c r="GQ111" s="48">
        <v>0</v>
      </c>
      <c r="GR111" s="48">
        <v>0</v>
      </c>
      <c r="GS111" s="48">
        <v>0</v>
      </c>
      <c r="GT111" s="48">
        <v>0</v>
      </c>
      <c r="GU111" s="48">
        <v>0</v>
      </c>
      <c r="GV111" s="48">
        <v>0</v>
      </c>
      <c r="GW111" s="48">
        <v>0</v>
      </c>
      <c r="GX111" s="48">
        <v>0</v>
      </c>
      <c r="GY111" s="48">
        <v>0</v>
      </c>
      <c r="GZ111" s="48">
        <v>0</v>
      </c>
      <c r="HA111" s="48">
        <v>0</v>
      </c>
      <c r="HB111" s="48">
        <v>0</v>
      </c>
      <c r="HC111" s="48">
        <v>0</v>
      </c>
      <c r="HD111" s="48">
        <v>0</v>
      </c>
      <c r="HE111" s="48">
        <v>0</v>
      </c>
      <c r="HF111" s="48">
        <v>0</v>
      </c>
      <c r="HG111" s="48">
        <v>0</v>
      </c>
      <c r="HH111" s="48">
        <v>0</v>
      </c>
      <c r="HI111" s="48">
        <v>0</v>
      </c>
      <c r="HJ111" s="48">
        <v>0</v>
      </c>
      <c r="HK111" s="48">
        <v>0</v>
      </c>
      <c r="HL111" s="48">
        <v>0</v>
      </c>
      <c r="HM111" s="48">
        <v>0</v>
      </c>
      <c r="HN111" s="48">
        <v>0</v>
      </c>
      <c r="HO111" s="48">
        <v>0</v>
      </c>
      <c r="HP111" s="48">
        <v>0</v>
      </c>
      <c r="HQ111" s="48">
        <v>0</v>
      </c>
      <c r="HR111" s="48">
        <v>0</v>
      </c>
      <c r="HS111" s="48">
        <v>0</v>
      </c>
      <c r="HT111" s="48">
        <v>0</v>
      </c>
      <c r="HU111" s="48">
        <v>0</v>
      </c>
      <c r="HV111" s="48">
        <v>0</v>
      </c>
      <c r="HW111" s="48">
        <v>0</v>
      </c>
      <c r="HX111" s="48">
        <v>571.96057911118294</v>
      </c>
      <c r="HY111" s="48">
        <v>484.80626632331445</v>
      </c>
      <c r="HZ111" s="48">
        <v>718.9729942314201</v>
      </c>
      <c r="IA111" s="48">
        <v>203.28782766718228</v>
      </c>
      <c r="IB111" s="48">
        <v>10.035218773603653</v>
      </c>
      <c r="IC111" s="48">
        <v>0</v>
      </c>
      <c r="ID111" s="48">
        <v>0</v>
      </c>
      <c r="IE111" s="48">
        <v>0</v>
      </c>
      <c r="IF111" s="48">
        <v>0</v>
      </c>
      <c r="IG111" s="48">
        <v>456.84878650481352</v>
      </c>
      <c r="IH111" s="48">
        <v>19.580260491206165</v>
      </c>
      <c r="II111" s="48">
        <v>13.245229164323268</v>
      </c>
      <c r="IJ111" s="48">
        <v>0</v>
      </c>
      <c r="IK111" s="48">
        <v>0</v>
      </c>
      <c r="IL111" s="48">
        <v>0</v>
      </c>
      <c r="IM111" s="48">
        <v>0.82816458161227757</v>
      </c>
      <c r="IN111" s="48">
        <v>0</v>
      </c>
      <c r="IO111" s="48">
        <v>0</v>
      </c>
      <c r="IP111" s="23">
        <v>13976.999999999927</v>
      </c>
      <c r="IQ111" s="25">
        <v>72842</v>
      </c>
      <c r="IR111" s="25">
        <v>0</v>
      </c>
      <c r="IS111" s="26">
        <v>0</v>
      </c>
      <c r="IT111" s="26">
        <v>0</v>
      </c>
      <c r="IU111" s="26">
        <v>0</v>
      </c>
      <c r="IV111" s="9">
        <v>1010</v>
      </c>
      <c r="IW111" s="38">
        <f t="shared" si="5"/>
        <v>87828.999999999927</v>
      </c>
    </row>
    <row r="112" spans="1:257" ht="30" customHeight="1" x14ac:dyDescent="0.25">
      <c r="A112" s="112" t="b">
        <v>0</v>
      </c>
      <c r="B112" s="113" t="b">
        <f>IFERROR(VLOOKUP(C112,'Bridge matrix'!$D$3:$E$727,2,FALSE)='symmetric IOT 245 2012'!D112,"FALSCH")</f>
        <v>1</v>
      </c>
      <c r="C112" s="108">
        <v>106</v>
      </c>
      <c r="D112" s="49" t="s">
        <v>357</v>
      </c>
      <c r="E112" s="48">
        <v>0</v>
      </c>
      <c r="F112" s="48">
        <v>0</v>
      </c>
      <c r="G112" s="48">
        <v>0</v>
      </c>
      <c r="H112" s="48">
        <v>0</v>
      </c>
      <c r="I112" s="48">
        <v>0</v>
      </c>
      <c r="J112" s="48">
        <v>0</v>
      </c>
      <c r="K112" s="48">
        <v>0</v>
      </c>
      <c r="L112" s="48">
        <v>0</v>
      </c>
      <c r="M112" s="48">
        <v>0</v>
      </c>
      <c r="N112" s="48">
        <v>0</v>
      </c>
      <c r="O112" s="48">
        <v>0</v>
      </c>
      <c r="P112" s="48">
        <v>0</v>
      </c>
      <c r="Q112" s="48">
        <v>0</v>
      </c>
      <c r="R112" s="48">
        <v>0</v>
      </c>
      <c r="S112" s="48">
        <v>0</v>
      </c>
      <c r="T112" s="48">
        <v>0</v>
      </c>
      <c r="U112" s="48">
        <v>0</v>
      </c>
      <c r="V112" s="48">
        <v>0</v>
      </c>
      <c r="W112" s="48">
        <v>0</v>
      </c>
      <c r="X112" s="48">
        <v>0</v>
      </c>
      <c r="Y112" s="48">
        <v>0</v>
      </c>
      <c r="Z112" s="48">
        <v>0</v>
      </c>
      <c r="AA112" s="48">
        <v>0</v>
      </c>
      <c r="AB112" s="48">
        <v>0</v>
      </c>
      <c r="AC112" s="48">
        <v>0</v>
      </c>
      <c r="AD112" s="48">
        <v>0</v>
      </c>
      <c r="AE112" s="48">
        <v>0</v>
      </c>
      <c r="AF112" s="48">
        <v>0</v>
      </c>
      <c r="AG112" s="48">
        <v>0</v>
      </c>
      <c r="AH112" s="48">
        <v>0</v>
      </c>
      <c r="AI112" s="48">
        <v>0</v>
      </c>
      <c r="AJ112" s="48">
        <v>0</v>
      </c>
      <c r="AK112" s="48">
        <v>0</v>
      </c>
      <c r="AL112" s="48">
        <v>0</v>
      </c>
      <c r="AM112" s="48">
        <v>0</v>
      </c>
      <c r="AN112" s="48">
        <v>0</v>
      </c>
      <c r="AO112" s="48">
        <v>0</v>
      </c>
      <c r="AP112" s="48">
        <v>0</v>
      </c>
      <c r="AQ112" s="48">
        <v>0</v>
      </c>
      <c r="AR112" s="48">
        <v>0</v>
      </c>
      <c r="AS112" s="48">
        <v>0</v>
      </c>
      <c r="AT112" s="48">
        <v>0</v>
      </c>
      <c r="AU112" s="48">
        <v>0</v>
      </c>
      <c r="AV112" s="48">
        <v>0</v>
      </c>
      <c r="AW112" s="48">
        <v>0</v>
      </c>
      <c r="AX112" s="48">
        <v>0</v>
      </c>
      <c r="AY112" s="48">
        <v>0</v>
      </c>
      <c r="AZ112" s="48">
        <v>0</v>
      </c>
      <c r="BA112" s="48">
        <v>0</v>
      </c>
      <c r="BB112" s="48">
        <v>0</v>
      </c>
      <c r="BC112" s="48">
        <v>0</v>
      </c>
      <c r="BD112" s="48">
        <v>0</v>
      </c>
      <c r="BE112" s="48">
        <v>590.73503305064696</v>
      </c>
      <c r="BF112" s="48">
        <v>0</v>
      </c>
      <c r="BG112" s="48">
        <v>37.68010275083796</v>
      </c>
      <c r="BH112" s="48">
        <v>0</v>
      </c>
      <c r="BI112" s="48">
        <v>0</v>
      </c>
      <c r="BJ112" s="48">
        <v>0</v>
      </c>
      <c r="BK112" s="48">
        <v>0</v>
      </c>
      <c r="BL112" s="48">
        <v>0</v>
      </c>
      <c r="BM112" s="48">
        <v>0</v>
      </c>
      <c r="BN112" s="48">
        <v>0</v>
      </c>
      <c r="BO112" s="48">
        <v>0</v>
      </c>
      <c r="BP112" s="48">
        <v>0</v>
      </c>
      <c r="BQ112" s="48">
        <v>0</v>
      </c>
      <c r="BR112" s="48">
        <v>0</v>
      </c>
      <c r="BS112" s="48">
        <v>0</v>
      </c>
      <c r="BT112" s="48">
        <v>0</v>
      </c>
      <c r="BU112" s="48">
        <v>227.2388723374111</v>
      </c>
      <c r="BV112" s="48">
        <v>0</v>
      </c>
      <c r="BW112" s="48">
        <v>0</v>
      </c>
      <c r="BX112" s="48">
        <v>0</v>
      </c>
      <c r="BY112" s="48">
        <v>375.0933266423354</v>
      </c>
      <c r="BZ112" s="48">
        <v>271.63537668001453</v>
      </c>
      <c r="CA112" s="48">
        <v>0</v>
      </c>
      <c r="CB112" s="48">
        <v>0</v>
      </c>
      <c r="CC112" s="48">
        <v>0</v>
      </c>
      <c r="CD112" s="48">
        <v>0</v>
      </c>
      <c r="CE112" s="48">
        <v>0</v>
      </c>
      <c r="CF112" s="48">
        <v>0</v>
      </c>
      <c r="CG112" s="48">
        <v>0</v>
      </c>
      <c r="CH112" s="48">
        <v>0</v>
      </c>
      <c r="CI112" s="48">
        <v>19.959848289907278</v>
      </c>
      <c r="CJ112" s="48">
        <v>24.683353348730268</v>
      </c>
      <c r="CK112" s="48">
        <v>2.3444185127717208</v>
      </c>
      <c r="CL112" s="48">
        <v>3.7491246285416211</v>
      </c>
      <c r="CM112" s="48">
        <v>7.6542541040691852</v>
      </c>
      <c r="CN112" s="48">
        <v>32.91483970492105</v>
      </c>
      <c r="CO112" s="48">
        <v>260.55846597211496</v>
      </c>
      <c r="CP112" s="48">
        <v>25.691215260548393</v>
      </c>
      <c r="CQ112" s="48">
        <v>98.514521600623397</v>
      </c>
      <c r="CR112" s="48">
        <v>0</v>
      </c>
      <c r="CS112" s="48">
        <v>0</v>
      </c>
      <c r="CT112" s="48">
        <v>0</v>
      </c>
      <c r="CU112" s="48">
        <v>0.15170558021089517</v>
      </c>
      <c r="CV112" s="48">
        <v>0.35580461613320041</v>
      </c>
      <c r="CW112" s="48">
        <v>0</v>
      </c>
      <c r="CX112" s="48">
        <v>9489.0909310965199</v>
      </c>
      <c r="CY112" s="48">
        <v>4906.298034753434</v>
      </c>
      <c r="CZ112" s="48">
        <v>1080.4212549597453</v>
      </c>
      <c r="DA112" s="48">
        <v>2.9319163969057415E-3</v>
      </c>
      <c r="DB112" s="48">
        <v>1623.2114273547243</v>
      </c>
      <c r="DC112" s="48">
        <v>0</v>
      </c>
      <c r="DD112" s="48">
        <v>24481.863288395816</v>
      </c>
      <c r="DE112" s="48">
        <v>1718.6020665264671</v>
      </c>
      <c r="DF112" s="48">
        <v>100.80496087775302</v>
      </c>
      <c r="DG112" s="48">
        <v>370.07841908000393</v>
      </c>
      <c r="DH112" s="48">
        <v>12984.602055076148</v>
      </c>
      <c r="DI112" s="48">
        <v>0</v>
      </c>
      <c r="DJ112" s="48">
        <v>74.842833569787899</v>
      </c>
      <c r="DK112" s="48">
        <v>0</v>
      </c>
      <c r="DL112" s="48">
        <v>5326.174738801089</v>
      </c>
      <c r="DM112" s="48">
        <v>8571.6335160787203</v>
      </c>
      <c r="DN112" s="48">
        <v>47576.296291067476</v>
      </c>
      <c r="DO112" s="48">
        <v>0</v>
      </c>
      <c r="DP112" s="48">
        <v>0</v>
      </c>
      <c r="DQ112" s="48">
        <v>0</v>
      </c>
      <c r="DR112" s="48">
        <v>4.3692972860222523E-4</v>
      </c>
      <c r="DS112" s="48">
        <v>0</v>
      </c>
      <c r="DT112" s="48">
        <v>0</v>
      </c>
      <c r="DU112" s="48">
        <v>0</v>
      </c>
      <c r="DV112" s="48">
        <v>0</v>
      </c>
      <c r="DW112" s="48">
        <v>0</v>
      </c>
      <c r="DX112" s="48">
        <v>0</v>
      </c>
      <c r="DY112" s="48">
        <v>1.6679908257065165E-9</v>
      </c>
      <c r="DZ112" s="48">
        <v>0</v>
      </c>
      <c r="EA112" s="48">
        <v>0</v>
      </c>
      <c r="EB112" s="48">
        <v>4.6430594093299429E-3</v>
      </c>
      <c r="EC112" s="48">
        <v>1.3428798352076559E-4</v>
      </c>
      <c r="ED112" s="48">
        <v>0</v>
      </c>
      <c r="EE112" s="48">
        <v>0</v>
      </c>
      <c r="EF112" s="48">
        <v>0</v>
      </c>
      <c r="EG112" s="48">
        <v>0</v>
      </c>
      <c r="EH112" s="48">
        <v>0</v>
      </c>
      <c r="EI112" s="48">
        <v>9.3540441267740779E-3</v>
      </c>
      <c r="EJ112" s="48">
        <v>23.566299102651399</v>
      </c>
      <c r="EK112" s="48">
        <v>0</v>
      </c>
      <c r="EL112" s="48">
        <v>0</v>
      </c>
      <c r="EM112" s="48">
        <v>3802.9087487104566</v>
      </c>
      <c r="EN112" s="48">
        <v>0</v>
      </c>
      <c r="EO112" s="48">
        <v>0</v>
      </c>
      <c r="EP112" s="48">
        <v>0</v>
      </c>
      <c r="EQ112" s="48">
        <v>0</v>
      </c>
      <c r="ER112" s="48">
        <v>1.1587836427265626E-4</v>
      </c>
      <c r="ES112" s="48">
        <v>2.0263131114078182E-6</v>
      </c>
      <c r="ET112" s="48">
        <v>0</v>
      </c>
      <c r="EU112" s="48">
        <v>0</v>
      </c>
      <c r="EV112" s="48">
        <v>0</v>
      </c>
      <c r="EW112" s="48">
        <v>0</v>
      </c>
      <c r="EX112" s="48">
        <v>1.0702178491915652E-3</v>
      </c>
      <c r="EY112" s="48">
        <v>9.0111414072651247E-3</v>
      </c>
      <c r="EZ112" s="48">
        <v>0</v>
      </c>
      <c r="FA112" s="48">
        <v>2.9362236416032942E-8</v>
      </c>
      <c r="FB112" s="48">
        <v>8.0498480062570188E-10</v>
      </c>
      <c r="FC112" s="48">
        <v>0</v>
      </c>
      <c r="FD112" s="48">
        <v>0</v>
      </c>
      <c r="FE112" s="48">
        <v>0</v>
      </c>
      <c r="FF112" s="48">
        <v>0</v>
      </c>
      <c r="FG112" s="48">
        <v>0</v>
      </c>
      <c r="FH112" s="48">
        <v>0</v>
      </c>
      <c r="FI112" s="48">
        <v>0</v>
      </c>
      <c r="FJ112" s="48">
        <v>0</v>
      </c>
      <c r="FK112" s="48">
        <v>0</v>
      </c>
      <c r="FL112" s="48">
        <v>0</v>
      </c>
      <c r="FM112" s="48">
        <v>1.5353494543961986E-4</v>
      </c>
      <c r="FN112" s="48">
        <v>0</v>
      </c>
      <c r="FO112" s="48">
        <v>0</v>
      </c>
      <c r="FP112" s="48">
        <v>6.5342962393623591E-3</v>
      </c>
      <c r="FQ112" s="48">
        <v>1.109711019884675E-8</v>
      </c>
      <c r="FR112" s="48">
        <v>0</v>
      </c>
      <c r="FS112" s="48">
        <v>0</v>
      </c>
      <c r="FT112" s="48">
        <v>0</v>
      </c>
      <c r="FU112" s="48">
        <v>0</v>
      </c>
      <c r="FV112" s="48">
        <v>5.4531213799435559E-9</v>
      </c>
      <c r="FW112" s="48">
        <v>0</v>
      </c>
      <c r="FX112" s="48">
        <v>0</v>
      </c>
      <c r="FY112" s="48">
        <v>0</v>
      </c>
      <c r="FZ112" s="48">
        <v>0</v>
      </c>
      <c r="GA112" s="48">
        <v>0</v>
      </c>
      <c r="GB112" s="48">
        <v>0</v>
      </c>
      <c r="GC112" s="48">
        <v>0</v>
      </c>
      <c r="GD112" s="48">
        <v>0</v>
      </c>
      <c r="GE112" s="48">
        <v>393.72244973054319</v>
      </c>
      <c r="GF112" s="48">
        <v>3374.1267615577312</v>
      </c>
      <c r="GG112" s="48">
        <v>0</v>
      </c>
      <c r="GH112" s="48">
        <v>0</v>
      </c>
      <c r="GI112" s="48">
        <v>0</v>
      </c>
      <c r="GJ112" s="48">
        <v>0</v>
      </c>
      <c r="GK112" s="48">
        <v>0</v>
      </c>
      <c r="GL112" s="48">
        <v>0</v>
      </c>
      <c r="GM112" s="48">
        <v>0</v>
      </c>
      <c r="GN112" s="48">
        <v>0</v>
      </c>
      <c r="GO112" s="48">
        <v>0</v>
      </c>
      <c r="GP112" s="48">
        <v>0</v>
      </c>
      <c r="GQ112" s="48">
        <v>0</v>
      </c>
      <c r="GR112" s="48">
        <v>0</v>
      </c>
      <c r="GS112" s="48">
        <v>0</v>
      </c>
      <c r="GT112" s="48">
        <v>0</v>
      </c>
      <c r="GU112" s="48">
        <v>0</v>
      </c>
      <c r="GV112" s="48">
        <v>0</v>
      </c>
      <c r="GW112" s="48">
        <v>0</v>
      </c>
      <c r="GX112" s="48">
        <v>0</v>
      </c>
      <c r="GY112" s="48">
        <v>0</v>
      </c>
      <c r="GZ112" s="48">
        <v>0</v>
      </c>
      <c r="HA112" s="48">
        <v>0</v>
      </c>
      <c r="HB112" s="48">
        <v>0</v>
      </c>
      <c r="HC112" s="48">
        <v>0</v>
      </c>
      <c r="HD112" s="48">
        <v>0</v>
      </c>
      <c r="HE112" s="48">
        <v>0</v>
      </c>
      <c r="HF112" s="48">
        <v>0</v>
      </c>
      <c r="HG112" s="48">
        <v>0</v>
      </c>
      <c r="HH112" s="48">
        <v>0</v>
      </c>
      <c r="HI112" s="48">
        <v>0</v>
      </c>
      <c r="HJ112" s="48">
        <v>0</v>
      </c>
      <c r="HK112" s="48">
        <v>0</v>
      </c>
      <c r="HL112" s="48">
        <v>0</v>
      </c>
      <c r="HM112" s="48">
        <v>0</v>
      </c>
      <c r="HN112" s="48">
        <v>0</v>
      </c>
      <c r="HO112" s="48">
        <v>0</v>
      </c>
      <c r="HP112" s="48">
        <v>0</v>
      </c>
      <c r="HQ112" s="48">
        <v>0</v>
      </c>
      <c r="HR112" s="48">
        <v>0</v>
      </c>
      <c r="HS112" s="48">
        <v>0</v>
      </c>
      <c r="HT112" s="48">
        <v>0</v>
      </c>
      <c r="HU112" s="48">
        <v>0</v>
      </c>
      <c r="HV112" s="48">
        <v>739.42930571202612</v>
      </c>
      <c r="HW112" s="48">
        <v>0</v>
      </c>
      <c r="HX112" s="48">
        <v>239.74540333353548</v>
      </c>
      <c r="HY112" s="48">
        <v>203.79648461579549</v>
      </c>
      <c r="HZ112" s="48">
        <v>301.28203691766072</v>
      </c>
      <c r="IA112" s="48">
        <v>85.035078996401253</v>
      </c>
      <c r="IB112" s="48">
        <v>4.6791112308424019</v>
      </c>
      <c r="IC112" s="48">
        <v>0</v>
      </c>
      <c r="ID112" s="48">
        <v>0</v>
      </c>
      <c r="IE112" s="48">
        <v>0</v>
      </c>
      <c r="IF112" s="48">
        <v>0</v>
      </c>
      <c r="IG112" s="48">
        <v>295.59609470520303</v>
      </c>
      <c r="IH112" s="48">
        <v>21.57921552165239</v>
      </c>
      <c r="II112" s="48">
        <v>6.1758395044546273</v>
      </c>
      <c r="IJ112" s="48">
        <v>24.111724811072865</v>
      </c>
      <c r="IK112" s="48">
        <v>798.21677866156926</v>
      </c>
      <c r="IL112" s="48">
        <v>786.01191444295671</v>
      </c>
      <c r="IM112" s="48">
        <v>559.14151556328045</v>
      </c>
      <c r="IN112" s="48">
        <v>501.96076878252086</v>
      </c>
      <c r="IO112" s="48">
        <v>0</v>
      </c>
      <c r="IP112" s="23">
        <v>132443.99999999901</v>
      </c>
      <c r="IQ112" s="25">
        <v>302178</v>
      </c>
      <c r="IR112" s="25">
        <v>0</v>
      </c>
      <c r="IS112" s="26">
        <v>0</v>
      </c>
      <c r="IT112" s="26">
        <v>0</v>
      </c>
      <c r="IU112" s="26">
        <v>-6358</v>
      </c>
      <c r="IV112" s="9">
        <v>12066</v>
      </c>
      <c r="IW112" s="38">
        <f t="shared" si="5"/>
        <v>440329.99999999901</v>
      </c>
    </row>
    <row r="113" spans="1:257" ht="30" customHeight="1" x14ac:dyDescent="0.25">
      <c r="A113" s="112" t="b">
        <v>0</v>
      </c>
      <c r="B113" s="113" t="str">
        <f>IFERROR(VLOOKUP(C113,'Bridge matrix'!$D$3:$E$727,2,FALSE)='symmetric IOT 245 2012'!D113,"FALSCH")</f>
        <v>FALSCH</v>
      </c>
      <c r="C113" s="108">
        <v>107</v>
      </c>
      <c r="D113" s="49" t="s">
        <v>1423</v>
      </c>
      <c r="E113" s="48">
        <v>0</v>
      </c>
      <c r="F113" s="48">
        <v>0</v>
      </c>
      <c r="G113" s="48">
        <v>0</v>
      </c>
      <c r="H113" s="48">
        <v>0</v>
      </c>
      <c r="I113" s="48">
        <v>0</v>
      </c>
      <c r="J113" s="48">
        <v>0</v>
      </c>
      <c r="K113" s="48">
        <v>0</v>
      </c>
      <c r="L113" s="48">
        <v>0</v>
      </c>
      <c r="M113" s="48">
        <v>0</v>
      </c>
      <c r="N113" s="48">
        <v>0</v>
      </c>
      <c r="O113" s="48">
        <v>0</v>
      </c>
      <c r="P113" s="48">
        <v>0</v>
      </c>
      <c r="Q113" s="48">
        <v>0</v>
      </c>
      <c r="R113" s="48">
        <v>0</v>
      </c>
      <c r="S113" s="48">
        <v>0</v>
      </c>
      <c r="T113" s="48">
        <v>0</v>
      </c>
      <c r="U113" s="48">
        <v>0</v>
      </c>
      <c r="V113" s="48">
        <v>0</v>
      </c>
      <c r="W113" s="48">
        <v>0</v>
      </c>
      <c r="X113" s="48">
        <v>0</v>
      </c>
      <c r="Y113" s="48">
        <v>0</v>
      </c>
      <c r="Z113" s="48">
        <v>0</v>
      </c>
      <c r="AA113" s="48">
        <v>0</v>
      </c>
      <c r="AB113" s="48">
        <v>0</v>
      </c>
      <c r="AC113" s="48">
        <v>0</v>
      </c>
      <c r="AD113" s="48">
        <v>0</v>
      </c>
      <c r="AE113" s="48">
        <v>0</v>
      </c>
      <c r="AF113" s="48">
        <v>0</v>
      </c>
      <c r="AG113" s="48">
        <v>0</v>
      </c>
      <c r="AH113" s="48">
        <v>0</v>
      </c>
      <c r="AI113" s="48">
        <v>0</v>
      </c>
      <c r="AJ113" s="48">
        <v>0</v>
      </c>
      <c r="AK113" s="48">
        <v>0</v>
      </c>
      <c r="AL113" s="48">
        <v>0</v>
      </c>
      <c r="AM113" s="48">
        <v>0</v>
      </c>
      <c r="AN113" s="48">
        <v>0</v>
      </c>
      <c r="AO113" s="48">
        <v>0</v>
      </c>
      <c r="AP113" s="48">
        <v>0</v>
      </c>
      <c r="AQ113" s="48">
        <v>0</v>
      </c>
      <c r="AR113" s="48">
        <v>0</v>
      </c>
      <c r="AS113" s="48">
        <v>0</v>
      </c>
      <c r="AT113" s="48">
        <v>0</v>
      </c>
      <c r="AU113" s="48">
        <v>0</v>
      </c>
      <c r="AV113" s="48">
        <v>0</v>
      </c>
      <c r="AW113" s="48">
        <v>0</v>
      </c>
      <c r="AX113" s="48">
        <v>0</v>
      </c>
      <c r="AY113" s="48">
        <v>0</v>
      </c>
      <c r="AZ113" s="48">
        <v>0</v>
      </c>
      <c r="BA113" s="48">
        <v>0</v>
      </c>
      <c r="BB113" s="48">
        <v>0</v>
      </c>
      <c r="BC113" s="48">
        <v>0</v>
      </c>
      <c r="BD113" s="48">
        <v>0</v>
      </c>
      <c r="BE113" s="48">
        <v>0</v>
      </c>
      <c r="BF113" s="48">
        <v>0</v>
      </c>
      <c r="BG113" s="48">
        <v>0</v>
      </c>
      <c r="BH113" s="48">
        <v>0</v>
      </c>
      <c r="BI113" s="48">
        <v>0</v>
      </c>
      <c r="BJ113" s="48">
        <v>0</v>
      </c>
      <c r="BK113" s="48">
        <v>0</v>
      </c>
      <c r="BL113" s="48">
        <v>0</v>
      </c>
      <c r="BM113" s="48">
        <v>0</v>
      </c>
      <c r="BN113" s="48">
        <v>0</v>
      </c>
      <c r="BO113" s="48">
        <v>0</v>
      </c>
      <c r="BP113" s="48">
        <v>0</v>
      </c>
      <c r="BQ113" s="48">
        <v>0</v>
      </c>
      <c r="BR113" s="48">
        <v>0</v>
      </c>
      <c r="BS113" s="48">
        <v>0</v>
      </c>
      <c r="BT113" s="48">
        <v>0</v>
      </c>
      <c r="BU113" s="48">
        <v>0</v>
      </c>
      <c r="BV113" s="48">
        <v>0</v>
      </c>
      <c r="BW113" s="48">
        <v>0</v>
      </c>
      <c r="BX113" s="48">
        <v>0</v>
      </c>
      <c r="BY113" s="48">
        <v>0</v>
      </c>
      <c r="BZ113" s="48">
        <v>0</v>
      </c>
      <c r="CA113" s="48">
        <v>0</v>
      </c>
      <c r="CB113" s="48">
        <v>0</v>
      </c>
      <c r="CC113" s="48">
        <v>0</v>
      </c>
      <c r="CD113" s="48">
        <v>0</v>
      </c>
      <c r="CE113" s="48">
        <v>0</v>
      </c>
      <c r="CF113" s="48">
        <v>0</v>
      </c>
      <c r="CG113" s="48">
        <v>0</v>
      </c>
      <c r="CH113" s="48">
        <v>0</v>
      </c>
      <c r="CI113" s="48">
        <v>0</v>
      </c>
      <c r="CJ113" s="48">
        <v>0</v>
      </c>
      <c r="CK113" s="48">
        <v>0</v>
      </c>
      <c r="CL113" s="48">
        <v>1.9971843252635074E-7</v>
      </c>
      <c r="CM113" s="48">
        <v>0</v>
      </c>
      <c r="CN113" s="48">
        <v>0</v>
      </c>
      <c r="CO113" s="48">
        <v>0</v>
      </c>
      <c r="CP113" s="48">
        <v>0</v>
      </c>
      <c r="CQ113" s="48">
        <v>0</v>
      </c>
      <c r="CR113" s="48">
        <v>3.1366860523085761E-9</v>
      </c>
      <c r="CS113" s="48">
        <v>0</v>
      </c>
      <c r="CT113" s="48">
        <v>0</v>
      </c>
      <c r="CU113" s="48">
        <v>0</v>
      </c>
      <c r="CV113" s="48">
        <v>0</v>
      </c>
      <c r="CW113" s="48">
        <v>0</v>
      </c>
      <c r="CX113" s="48">
        <v>0</v>
      </c>
      <c r="CY113" s="48">
        <v>49.128512387897665</v>
      </c>
      <c r="CZ113" s="48">
        <v>3.4668116772910242E-2</v>
      </c>
      <c r="DA113" s="48">
        <v>0</v>
      </c>
      <c r="DB113" s="48">
        <v>0</v>
      </c>
      <c r="DC113" s="48">
        <v>0</v>
      </c>
      <c r="DD113" s="48">
        <v>5882.1690976907394</v>
      </c>
      <c r="DE113" s="48">
        <v>0.22107705796958518</v>
      </c>
      <c r="DF113" s="48">
        <v>0</v>
      </c>
      <c r="DG113" s="48">
        <v>93054.30329006369</v>
      </c>
      <c r="DH113" s="48">
        <v>35012.2042502841</v>
      </c>
      <c r="DI113" s="48">
        <v>54081.278979985829</v>
      </c>
      <c r="DJ113" s="48">
        <v>6.5233162808203159E-7</v>
      </c>
      <c r="DK113" s="48">
        <v>0.65084305962652211</v>
      </c>
      <c r="DL113" s="48">
        <v>0</v>
      </c>
      <c r="DM113" s="48">
        <v>0</v>
      </c>
      <c r="DN113" s="48">
        <v>0</v>
      </c>
      <c r="DO113" s="48">
        <v>0</v>
      </c>
      <c r="DP113" s="48">
        <v>0</v>
      </c>
      <c r="DQ113" s="48">
        <v>0</v>
      </c>
      <c r="DR113" s="48">
        <v>0</v>
      </c>
      <c r="DS113" s="48">
        <v>0</v>
      </c>
      <c r="DT113" s="48">
        <v>0</v>
      </c>
      <c r="DU113" s="48">
        <v>0</v>
      </c>
      <c r="DV113" s="48">
        <v>0</v>
      </c>
      <c r="DW113" s="48">
        <v>0</v>
      </c>
      <c r="DX113" s="48">
        <v>0</v>
      </c>
      <c r="DY113" s="48">
        <v>0</v>
      </c>
      <c r="DZ113" s="48">
        <v>0</v>
      </c>
      <c r="EA113" s="48">
        <v>0</v>
      </c>
      <c r="EB113" s="48">
        <v>0</v>
      </c>
      <c r="EC113" s="48">
        <v>0</v>
      </c>
      <c r="ED113" s="48">
        <v>0</v>
      </c>
      <c r="EE113" s="48">
        <v>0</v>
      </c>
      <c r="EF113" s="48">
        <v>0</v>
      </c>
      <c r="EG113" s="48">
        <v>0</v>
      </c>
      <c r="EH113" s="48">
        <v>0</v>
      </c>
      <c r="EI113" s="48">
        <v>0</v>
      </c>
      <c r="EJ113" s="48">
        <v>0</v>
      </c>
      <c r="EK113" s="48">
        <v>0</v>
      </c>
      <c r="EL113" s="48">
        <v>2.0546450404900808E-7</v>
      </c>
      <c r="EM113" s="48">
        <v>3.1230978090977423E-7</v>
      </c>
      <c r="EN113" s="48">
        <v>9.279334587008874E-3</v>
      </c>
      <c r="EO113" s="48">
        <v>0</v>
      </c>
      <c r="EP113" s="48">
        <v>5.6612024640078045E-7</v>
      </c>
      <c r="EQ113" s="48">
        <v>0</v>
      </c>
      <c r="ER113" s="48">
        <v>0</v>
      </c>
      <c r="ES113" s="48">
        <v>0</v>
      </c>
      <c r="ET113" s="48">
        <v>6.7169637320753198E-8</v>
      </c>
      <c r="EU113" s="48">
        <v>0</v>
      </c>
      <c r="EV113" s="48">
        <v>0</v>
      </c>
      <c r="EW113" s="48">
        <v>0</v>
      </c>
      <c r="EX113" s="48">
        <v>1.0599769029543708E-8</v>
      </c>
      <c r="EY113" s="48">
        <v>0</v>
      </c>
      <c r="EZ113" s="48">
        <v>0</v>
      </c>
      <c r="FA113" s="48">
        <v>0</v>
      </c>
      <c r="FB113" s="48">
        <v>0</v>
      </c>
      <c r="FC113" s="48">
        <v>0</v>
      </c>
      <c r="FD113" s="48">
        <v>5.5305799555380528E-13</v>
      </c>
      <c r="FE113" s="48">
        <v>0</v>
      </c>
      <c r="FF113" s="48">
        <v>0</v>
      </c>
      <c r="FG113" s="48">
        <v>1.4195438839307112E-13</v>
      </c>
      <c r="FH113" s="48">
        <v>1.0175659369687243E-13</v>
      </c>
      <c r="FI113" s="48">
        <v>1.5759030560500479E-13</v>
      </c>
      <c r="FJ113" s="48">
        <v>0</v>
      </c>
      <c r="FK113" s="48">
        <v>0</v>
      </c>
      <c r="FL113" s="48">
        <v>0</v>
      </c>
      <c r="FM113" s="48">
        <v>0</v>
      </c>
      <c r="FN113" s="48">
        <v>0</v>
      </c>
      <c r="FO113" s="48">
        <v>0</v>
      </c>
      <c r="FP113" s="48">
        <v>0</v>
      </c>
      <c r="FQ113" s="48">
        <v>9.1641840526875236E-14</v>
      </c>
      <c r="FR113" s="48">
        <v>2.7139018364667591E-14</v>
      </c>
      <c r="FS113" s="48">
        <v>0</v>
      </c>
      <c r="FT113" s="48">
        <v>7.3921384748325766E-15</v>
      </c>
      <c r="FU113" s="48">
        <v>0</v>
      </c>
      <c r="FV113" s="48">
        <v>0</v>
      </c>
      <c r="FW113" s="48">
        <v>0</v>
      </c>
      <c r="FX113" s="48">
        <v>0</v>
      </c>
      <c r="FY113" s="48">
        <v>0</v>
      </c>
      <c r="FZ113" s="48">
        <v>0</v>
      </c>
      <c r="GA113" s="48">
        <v>0</v>
      </c>
      <c r="GB113" s="48">
        <v>0</v>
      </c>
      <c r="GC113" s="48">
        <v>0</v>
      </c>
      <c r="GD113" s="48">
        <v>0</v>
      </c>
      <c r="GE113" s="48">
        <v>0</v>
      </c>
      <c r="GF113" s="48">
        <v>0</v>
      </c>
      <c r="GG113" s="48">
        <v>0</v>
      </c>
      <c r="GH113" s="48">
        <v>0</v>
      </c>
      <c r="GI113" s="48">
        <v>0</v>
      </c>
      <c r="GJ113" s="48">
        <v>0</v>
      </c>
      <c r="GK113" s="48">
        <v>0</v>
      </c>
      <c r="GL113" s="48">
        <v>0</v>
      </c>
      <c r="GM113" s="48">
        <v>0</v>
      </c>
      <c r="GN113" s="48">
        <v>0</v>
      </c>
      <c r="GO113" s="48">
        <v>0</v>
      </c>
      <c r="GP113" s="48">
        <v>0</v>
      </c>
      <c r="GQ113" s="48">
        <v>0</v>
      </c>
      <c r="GR113" s="48">
        <v>0</v>
      </c>
      <c r="GS113" s="48">
        <v>0</v>
      </c>
      <c r="GT113" s="48">
        <v>6.7486650952100558E-17</v>
      </c>
      <c r="GU113" s="48">
        <v>0</v>
      </c>
      <c r="GV113" s="48">
        <v>0</v>
      </c>
      <c r="GW113" s="48">
        <v>0</v>
      </c>
      <c r="GX113" s="48">
        <v>9.8667145785467128E-15</v>
      </c>
      <c r="GY113" s="48">
        <v>0</v>
      </c>
      <c r="GZ113" s="48">
        <v>0</v>
      </c>
      <c r="HA113" s="48">
        <v>0</v>
      </c>
      <c r="HB113" s="48">
        <v>0</v>
      </c>
      <c r="HC113" s="48">
        <v>0</v>
      </c>
      <c r="HD113" s="48">
        <v>0</v>
      </c>
      <c r="HE113" s="48">
        <v>0</v>
      </c>
      <c r="HF113" s="48">
        <v>0</v>
      </c>
      <c r="HG113" s="48">
        <v>0</v>
      </c>
      <c r="HH113" s="48">
        <v>0</v>
      </c>
      <c r="HI113" s="48">
        <v>0</v>
      </c>
      <c r="HJ113" s="48">
        <v>0</v>
      </c>
      <c r="HK113" s="48">
        <v>0</v>
      </c>
      <c r="HL113" s="48">
        <v>0</v>
      </c>
      <c r="HM113" s="48">
        <v>0</v>
      </c>
      <c r="HN113" s="48">
        <v>0</v>
      </c>
      <c r="HO113" s="48">
        <v>0</v>
      </c>
      <c r="HP113" s="48">
        <v>0</v>
      </c>
      <c r="HQ113" s="48">
        <v>0</v>
      </c>
      <c r="HR113" s="48">
        <v>0</v>
      </c>
      <c r="HS113" s="48">
        <v>0</v>
      </c>
      <c r="HT113" s="48">
        <v>0</v>
      </c>
      <c r="HU113" s="48">
        <v>0</v>
      </c>
      <c r="HV113" s="48">
        <v>5.2230477122012565E-14</v>
      </c>
      <c r="HW113" s="48">
        <v>0</v>
      </c>
      <c r="HX113" s="48">
        <v>0</v>
      </c>
      <c r="HY113" s="48">
        <v>0</v>
      </c>
      <c r="HZ113" s="48">
        <v>0</v>
      </c>
      <c r="IA113" s="48">
        <v>0</v>
      </c>
      <c r="IB113" s="48">
        <v>0</v>
      </c>
      <c r="IC113" s="48">
        <v>0</v>
      </c>
      <c r="ID113" s="48">
        <v>0</v>
      </c>
      <c r="IE113" s="48">
        <v>0</v>
      </c>
      <c r="IF113" s="48">
        <v>0</v>
      </c>
      <c r="IG113" s="48">
        <v>0</v>
      </c>
      <c r="IH113" s="48">
        <v>0</v>
      </c>
      <c r="II113" s="48">
        <v>0</v>
      </c>
      <c r="IJ113" s="48">
        <v>0</v>
      </c>
      <c r="IK113" s="48">
        <v>0</v>
      </c>
      <c r="IL113" s="48">
        <v>0</v>
      </c>
      <c r="IM113" s="48">
        <v>0</v>
      </c>
      <c r="IN113" s="48">
        <v>0</v>
      </c>
      <c r="IO113" s="48">
        <v>0</v>
      </c>
      <c r="IP113" s="23">
        <v>188079.99999999808</v>
      </c>
      <c r="IQ113" s="25">
        <v>0</v>
      </c>
      <c r="IR113" s="25">
        <v>0</v>
      </c>
      <c r="IS113" s="26">
        <v>0</v>
      </c>
      <c r="IT113" s="26">
        <v>0</v>
      </c>
      <c r="IU113" s="26">
        <v>2354</v>
      </c>
      <c r="IV113" s="9">
        <v>92261</v>
      </c>
      <c r="IW113" s="38">
        <f t="shared" si="5"/>
        <v>282694.99999999808</v>
      </c>
    </row>
    <row r="114" spans="1:257" ht="30" customHeight="1" x14ac:dyDescent="0.25">
      <c r="A114" s="112" t="b">
        <v>0</v>
      </c>
      <c r="B114" s="113" t="b">
        <f>IFERROR(VLOOKUP(C114,'Bridge matrix'!$D$3:$E$727,2,FALSE)='symmetric IOT 245 2012'!D114,"FALSCH")</f>
        <v>1</v>
      </c>
      <c r="C114" s="108">
        <v>108</v>
      </c>
      <c r="D114" s="49" t="s">
        <v>1424</v>
      </c>
      <c r="E114" s="48">
        <v>0</v>
      </c>
      <c r="F114" s="48">
        <v>0</v>
      </c>
      <c r="G114" s="48">
        <v>0</v>
      </c>
      <c r="H114" s="48">
        <v>0</v>
      </c>
      <c r="I114" s="48">
        <v>0</v>
      </c>
      <c r="J114" s="48">
        <v>0</v>
      </c>
      <c r="K114" s="48">
        <v>0</v>
      </c>
      <c r="L114" s="48">
        <v>0</v>
      </c>
      <c r="M114" s="48">
        <v>0</v>
      </c>
      <c r="N114" s="48">
        <v>0</v>
      </c>
      <c r="O114" s="48">
        <v>0</v>
      </c>
      <c r="P114" s="48">
        <v>0</v>
      </c>
      <c r="Q114" s="48">
        <v>0</v>
      </c>
      <c r="R114" s="48">
        <v>0</v>
      </c>
      <c r="S114" s="48">
        <v>0</v>
      </c>
      <c r="T114" s="48">
        <v>0</v>
      </c>
      <c r="U114" s="48">
        <v>0</v>
      </c>
      <c r="V114" s="48">
        <v>0</v>
      </c>
      <c r="W114" s="48">
        <v>0</v>
      </c>
      <c r="X114" s="48">
        <v>0</v>
      </c>
      <c r="Y114" s="48">
        <v>0</v>
      </c>
      <c r="Z114" s="48">
        <v>0</v>
      </c>
      <c r="AA114" s="48">
        <v>0</v>
      </c>
      <c r="AB114" s="48">
        <v>0</v>
      </c>
      <c r="AC114" s="48">
        <v>0</v>
      </c>
      <c r="AD114" s="48">
        <v>0</v>
      </c>
      <c r="AE114" s="48">
        <v>0</v>
      </c>
      <c r="AF114" s="48">
        <v>0</v>
      </c>
      <c r="AG114" s="48">
        <v>0</v>
      </c>
      <c r="AH114" s="48">
        <v>0</v>
      </c>
      <c r="AI114" s="48">
        <v>0</v>
      </c>
      <c r="AJ114" s="48">
        <v>0</v>
      </c>
      <c r="AK114" s="48">
        <v>0</v>
      </c>
      <c r="AL114" s="48">
        <v>0</v>
      </c>
      <c r="AM114" s="48">
        <v>0</v>
      </c>
      <c r="AN114" s="48">
        <v>0</v>
      </c>
      <c r="AO114" s="48">
        <v>0</v>
      </c>
      <c r="AP114" s="48">
        <v>0</v>
      </c>
      <c r="AQ114" s="48">
        <v>0</v>
      </c>
      <c r="AR114" s="48">
        <v>0</v>
      </c>
      <c r="AS114" s="48">
        <v>0</v>
      </c>
      <c r="AT114" s="48">
        <v>0</v>
      </c>
      <c r="AU114" s="48">
        <v>0</v>
      </c>
      <c r="AV114" s="48">
        <v>0</v>
      </c>
      <c r="AW114" s="48">
        <v>0</v>
      </c>
      <c r="AX114" s="48">
        <v>0</v>
      </c>
      <c r="AY114" s="48">
        <v>0</v>
      </c>
      <c r="AZ114" s="48">
        <v>0</v>
      </c>
      <c r="BA114" s="48">
        <v>0</v>
      </c>
      <c r="BB114" s="48">
        <v>0</v>
      </c>
      <c r="BC114" s="48">
        <v>0</v>
      </c>
      <c r="BD114" s="48">
        <v>0</v>
      </c>
      <c r="BE114" s="48">
        <v>0</v>
      </c>
      <c r="BF114" s="48">
        <v>0</v>
      </c>
      <c r="BG114" s="48">
        <v>0</v>
      </c>
      <c r="BH114" s="48">
        <v>0</v>
      </c>
      <c r="BI114" s="48">
        <v>0</v>
      </c>
      <c r="BJ114" s="48">
        <v>0</v>
      </c>
      <c r="BK114" s="48">
        <v>0</v>
      </c>
      <c r="BL114" s="48">
        <v>0</v>
      </c>
      <c r="BM114" s="48">
        <v>0</v>
      </c>
      <c r="BN114" s="48">
        <v>0</v>
      </c>
      <c r="BO114" s="48">
        <v>0</v>
      </c>
      <c r="BP114" s="48">
        <v>0</v>
      </c>
      <c r="BQ114" s="48">
        <v>0</v>
      </c>
      <c r="BR114" s="48">
        <v>0</v>
      </c>
      <c r="BS114" s="48">
        <v>0</v>
      </c>
      <c r="BT114" s="48">
        <v>0</v>
      </c>
      <c r="BU114" s="48">
        <v>0</v>
      </c>
      <c r="BV114" s="48">
        <v>0</v>
      </c>
      <c r="BW114" s="48">
        <v>0</v>
      </c>
      <c r="BX114" s="48">
        <v>0</v>
      </c>
      <c r="BY114" s="48">
        <v>0</v>
      </c>
      <c r="BZ114" s="48">
        <v>0</v>
      </c>
      <c r="CA114" s="48">
        <v>0</v>
      </c>
      <c r="CB114" s="48">
        <v>0</v>
      </c>
      <c r="CC114" s="48">
        <v>0</v>
      </c>
      <c r="CD114" s="48">
        <v>0</v>
      </c>
      <c r="CE114" s="48">
        <v>0</v>
      </c>
      <c r="CF114" s="48">
        <v>0</v>
      </c>
      <c r="CG114" s="48">
        <v>0</v>
      </c>
      <c r="CH114" s="48">
        <v>0</v>
      </c>
      <c r="CI114" s="48">
        <v>0</v>
      </c>
      <c r="CJ114" s="48">
        <v>0</v>
      </c>
      <c r="CK114" s="48">
        <v>0</v>
      </c>
      <c r="CL114" s="48">
        <v>5.1492813059008311</v>
      </c>
      <c r="CM114" s="48">
        <v>0</v>
      </c>
      <c r="CN114" s="48">
        <v>7.6611190299729603</v>
      </c>
      <c r="CO114" s="48">
        <v>0</v>
      </c>
      <c r="CP114" s="48">
        <v>0</v>
      </c>
      <c r="CQ114" s="48">
        <v>0</v>
      </c>
      <c r="CR114" s="48">
        <v>0</v>
      </c>
      <c r="CS114" s="48">
        <v>0</v>
      </c>
      <c r="CT114" s="48">
        <v>1.0255444122846177E-2</v>
      </c>
      <c r="CU114" s="48">
        <v>0</v>
      </c>
      <c r="CV114" s="48">
        <v>0</v>
      </c>
      <c r="CW114" s="48">
        <v>0</v>
      </c>
      <c r="CX114" s="48">
        <v>9.5455871354492095E-4</v>
      </c>
      <c r="CY114" s="48">
        <v>1663.4168921318885</v>
      </c>
      <c r="CZ114" s="48">
        <v>0.35424850052046031</v>
      </c>
      <c r="DA114" s="48">
        <v>0</v>
      </c>
      <c r="DB114" s="48">
        <v>591.01405206055301</v>
      </c>
      <c r="DC114" s="48">
        <v>4.5928869912415186E-3</v>
      </c>
      <c r="DD114" s="48">
        <v>1797.5673136941884</v>
      </c>
      <c r="DE114" s="48">
        <v>2.2590271284089374</v>
      </c>
      <c r="DF114" s="48">
        <v>0</v>
      </c>
      <c r="DG114" s="48">
        <v>0</v>
      </c>
      <c r="DH114" s="48">
        <v>1180.6708524815858</v>
      </c>
      <c r="DI114" s="48">
        <v>15.846220510178384</v>
      </c>
      <c r="DJ114" s="48">
        <v>0</v>
      </c>
      <c r="DK114" s="48">
        <v>6.6504961736775172</v>
      </c>
      <c r="DL114" s="48">
        <v>0</v>
      </c>
      <c r="DM114" s="48">
        <v>0</v>
      </c>
      <c r="DN114" s="48">
        <v>0</v>
      </c>
      <c r="DO114" s="48">
        <v>0</v>
      </c>
      <c r="DP114" s="48">
        <v>0</v>
      </c>
      <c r="DQ114" s="48">
        <v>0</v>
      </c>
      <c r="DR114" s="48">
        <v>0</v>
      </c>
      <c r="DS114" s="48">
        <v>0</v>
      </c>
      <c r="DT114" s="48">
        <v>0</v>
      </c>
      <c r="DU114" s="48">
        <v>0</v>
      </c>
      <c r="DV114" s="48">
        <v>0</v>
      </c>
      <c r="DW114" s="48">
        <v>0</v>
      </c>
      <c r="DX114" s="48">
        <v>0</v>
      </c>
      <c r="DY114" s="48">
        <v>0</v>
      </c>
      <c r="DZ114" s="48">
        <v>0</v>
      </c>
      <c r="EA114" s="48">
        <v>0</v>
      </c>
      <c r="EB114" s="48">
        <v>0</v>
      </c>
      <c r="EC114" s="48">
        <v>0</v>
      </c>
      <c r="ED114" s="48">
        <v>0</v>
      </c>
      <c r="EE114" s="48">
        <v>0</v>
      </c>
      <c r="EF114" s="48">
        <v>0</v>
      </c>
      <c r="EG114" s="48">
        <v>0</v>
      </c>
      <c r="EH114" s="48">
        <v>0</v>
      </c>
      <c r="EI114" s="48">
        <v>0</v>
      </c>
      <c r="EJ114" s="48">
        <v>0</v>
      </c>
      <c r="EK114" s="48">
        <v>0</v>
      </c>
      <c r="EL114" s="48">
        <v>2.3861368207639734E-6</v>
      </c>
      <c r="EM114" s="48">
        <v>3.6269713406837114E-6</v>
      </c>
      <c r="EN114" s="48">
        <v>0.10776441426091449</v>
      </c>
      <c r="EO114" s="48">
        <v>0</v>
      </c>
      <c r="EP114" s="48">
        <v>6.5745680557780213E-6</v>
      </c>
      <c r="EQ114" s="48">
        <v>0</v>
      </c>
      <c r="ER114" s="48">
        <v>0</v>
      </c>
      <c r="ES114" s="48">
        <v>0</v>
      </c>
      <c r="ET114" s="48">
        <v>7.8006634571868517E-7</v>
      </c>
      <c r="EU114" s="48">
        <v>0</v>
      </c>
      <c r="EV114" s="48">
        <v>0</v>
      </c>
      <c r="EW114" s="48">
        <v>0</v>
      </c>
      <c r="EX114" s="48">
        <v>1.2309911772865177E-7</v>
      </c>
      <c r="EY114" s="48">
        <v>0</v>
      </c>
      <c r="EZ114" s="48">
        <v>0</v>
      </c>
      <c r="FA114" s="48">
        <v>0</v>
      </c>
      <c r="FB114" s="48">
        <v>0</v>
      </c>
      <c r="FC114" s="48">
        <v>0</v>
      </c>
      <c r="FD114" s="48">
        <v>6.422871207447517E-12</v>
      </c>
      <c r="FE114" s="48">
        <v>0</v>
      </c>
      <c r="FF114" s="48">
        <v>0</v>
      </c>
      <c r="FG114" s="48">
        <v>1.6485698811165221E-12</v>
      </c>
      <c r="FH114" s="48">
        <v>1.1817377220432767E-12</v>
      </c>
      <c r="FI114" s="48">
        <v>1.8301556881565147E-12</v>
      </c>
      <c r="FJ114" s="48">
        <v>0</v>
      </c>
      <c r="FK114" s="48">
        <v>0</v>
      </c>
      <c r="FL114" s="48">
        <v>0</v>
      </c>
      <c r="FM114" s="48">
        <v>0</v>
      </c>
      <c r="FN114" s="48">
        <v>0</v>
      </c>
      <c r="FO114" s="48">
        <v>0</v>
      </c>
      <c r="FP114" s="48">
        <v>0</v>
      </c>
      <c r="FQ114" s="48">
        <v>1.0642712765198553E-12</v>
      </c>
      <c r="FR114" s="48">
        <v>3.1517566160175718E-13</v>
      </c>
      <c r="FS114" s="48">
        <v>0</v>
      </c>
      <c r="FT114" s="48">
        <v>8.5847693647253583E-14</v>
      </c>
      <c r="FU114" s="48">
        <v>0</v>
      </c>
      <c r="FV114" s="48">
        <v>0</v>
      </c>
      <c r="FW114" s="48">
        <v>0</v>
      </c>
      <c r="FX114" s="48">
        <v>0</v>
      </c>
      <c r="FY114" s="48">
        <v>0</v>
      </c>
      <c r="FZ114" s="48">
        <v>0</v>
      </c>
      <c r="GA114" s="48">
        <v>0</v>
      </c>
      <c r="GB114" s="48">
        <v>0</v>
      </c>
      <c r="GC114" s="48">
        <v>0</v>
      </c>
      <c r="GD114" s="48">
        <v>0</v>
      </c>
      <c r="GE114" s="48">
        <v>151.15379375472395</v>
      </c>
      <c r="GF114" s="48">
        <v>719.65066656349143</v>
      </c>
      <c r="GG114" s="48">
        <v>0</v>
      </c>
      <c r="GH114" s="48">
        <v>0</v>
      </c>
      <c r="GI114" s="48">
        <v>0</v>
      </c>
      <c r="GJ114" s="48">
        <v>0</v>
      </c>
      <c r="GK114" s="48">
        <v>0</v>
      </c>
      <c r="GL114" s="48">
        <v>0</v>
      </c>
      <c r="GM114" s="48">
        <v>0</v>
      </c>
      <c r="GN114" s="48">
        <v>0</v>
      </c>
      <c r="GO114" s="48">
        <v>0</v>
      </c>
      <c r="GP114" s="48">
        <v>0</v>
      </c>
      <c r="GQ114" s="48">
        <v>0</v>
      </c>
      <c r="GR114" s="48">
        <v>0</v>
      </c>
      <c r="GS114" s="48">
        <v>0</v>
      </c>
      <c r="GT114" s="48">
        <v>7.8374794464957254E-16</v>
      </c>
      <c r="GU114" s="48">
        <v>0</v>
      </c>
      <c r="GV114" s="48">
        <v>0</v>
      </c>
      <c r="GW114" s="48">
        <v>0</v>
      </c>
      <c r="GX114" s="48">
        <v>1.1458587975966577E-13</v>
      </c>
      <c r="GY114" s="48">
        <v>0</v>
      </c>
      <c r="GZ114" s="48">
        <v>0</v>
      </c>
      <c r="HA114" s="48">
        <v>0</v>
      </c>
      <c r="HB114" s="48">
        <v>0</v>
      </c>
      <c r="HC114" s="48">
        <v>0</v>
      </c>
      <c r="HD114" s="48">
        <v>0</v>
      </c>
      <c r="HE114" s="48">
        <v>0</v>
      </c>
      <c r="HF114" s="48">
        <v>0</v>
      </c>
      <c r="HG114" s="48">
        <v>0</v>
      </c>
      <c r="HH114" s="48">
        <v>0</v>
      </c>
      <c r="HI114" s="48">
        <v>0</v>
      </c>
      <c r="HJ114" s="48">
        <v>0</v>
      </c>
      <c r="HK114" s="48">
        <v>0</v>
      </c>
      <c r="HL114" s="48">
        <v>0</v>
      </c>
      <c r="HM114" s="48">
        <v>0</v>
      </c>
      <c r="HN114" s="48">
        <v>0</v>
      </c>
      <c r="HO114" s="48">
        <v>0</v>
      </c>
      <c r="HP114" s="48">
        <v>0</v>
      </c>
      <c r="HQ114" s="48">
        <v>0</v>
      </c>
      <c r="HR114" s="48">
        <v>0</v>
      </c>
      <c r="HS114" s="48">
        <v>0</v>
      </c>
      <c r="HT114" s="48">
        <v>0</v>
      </c>
      <c r="HU114" s="48">
        <v>0</v>
      </c>
      <c r="HV114" s="48">
        <v>100.24642019440671</v>
      </c>
      <c r="HW114" s="48">
        <v>0</v>
      </c>
      <c r="HX114" s="48">
        <v>68.856448797810842</v>
      </c>
      <c r="HY114" s="48">
        <v>58.440415752037438</v>
      </c>
      <c r="HZ114" s="48">
        <v>86.425906893736723</v>
      </c>
      <c r="IA114" s="48">
        <v>24.795197455592415</v>
      </c>
      <c r="IB114" s="48">
        <v>1.5991027505357089</v>
      </c>
      <c r="IC114" s="48">
        <v>0</v>
      </c>
      <c r="ID114" s="48">
        <v>0</v>
      </c>
      <c r="IE114" s="48">
        <v>0</v>
      </c>
      <c r="IF114" s="48">
        <v>0</v>
      </c>
      <c r="IG114" s="48">
        <v>151.13586676905234</v>
      </c>
      <c r="IH114" s="48">
        <v>7.6584180545440521</v>
      </c>
      <c r="II114" s="48">
        <v>4.7488835518643135</v>
      </c>
      <c r="IJ114" s="48">
        <v>16.74634889109274</v>
      </c>
      <c r="IK114" s="48">
        <v>3.8294467592440093</v>
      </c>
      <c r="IL114" s="48">
        <v>0</v>
      </c>
      <c r="IM114" s="48">
        <v>0</v>
      </c>
      <c r="IN114" s="48">
        <v>0</v>
      </c>
      <c r="IO114" s="48">
        <v>0</v>
      </c>
      <c r="IP114" s="23">
        <v>6665.9999999999491</v>
      </c>
      <c r="IQ114" s="25">
        <v>100701</v>
      </c>
      <c r="IR114" s="25">
        <v>0</v>
      </c>
      <c r="IS114" s="26">
        <v>0</v>
      </c>
      <c r="IT114" s="26">
        <v>0</v>
      </c>
      <c r="IU114" s="26">
        <v>1002</v>
      </c>
      <c r="IV114" s="9">
        <v>26212</v>
      </c>
      <c r="IW114" s="38">
        <f t="shared" si="5"/>
        <v>134580.99999999994</v>
      </c>
    </row>
    <row r="115" spans="1:257" ht="30" customHeight="1" x14ac:dyDescent="0.25">
      <c r="A115" s="112" t="b">
        <v>0</v>
      </c>
      <c r="B115" s="113" t="b">
        <f>IFERROR(VLOOKUP(C115,'Bridge matrix'!$D$3:$E$727,2,FALSE)='symmetric IOT 245 2012'!D115,"FALSCH")</f>
        <v>1</v>
      </c>
      <c r="C115" s="108">
        <v>109</v>
      </c>
      <c r="D115" s="49" t="s">
        <v>1425</v>
      </c>
      <c r="E115" s="48">
        <v>0</v>
      </c>
      <c r="F115" s="48">
        <v>0</v>
      </c>
      <c r="G115" s="48">
        <v>0</v>
      </c>
      <c r="H115" s="48">
        <v>0</v>
      </c>
      <c r="I115" s="48">
        <v>0</v>
      </c>
      <c r="J115" s="48">
        <v>0</v>
      </c>
      <c r="K115" s="48">
        <v>0</v>
      </c>
      <c r="L115" s="48">
        <v>0</v>
      </c>
      <c r="M115" s="48">
        <v>0</v>
      </c>
      <c r="N115" s="48">
        <v>0</v>
      </c>
      <c r="O115" s="48">
        <v>0</v>
      </c>
      <c r="P115" s="48">
        <v>0</v>
      </c>
      <c r="Q115" s="48">
        <v>0</v>
      </c>
      <c r="R115" s="48">
        <v>0</v>
      </c>
      <c r="S115" s="48">
        <v>0</v>
      </c>
      <c r="T115" s="48">
        <v>0</v>
      </c>
      <c r="U115" s="48">
        <v>0</v>
      </c>
      <c r="V115" s="48">
        <v>0</v>
      </c>
      <c r="W115" s="48">
        <v>0</v>
      </c>
      <c r="X115" s="48">
        <v>0</v>
      </c>
      <c r="Y115" s="48">
        <v>0</v>
      </c>
      <c r="Z115" s="48">
        <v>0</v>
      </c>
      <c r="AA115" s="48">
        <v>0</v>
      </c>
      <c r="AB115" s="48">
        <v>0</v>
      </c>
      <c r="AC115" s="48">
        <v>0</v>
      </c>
      <c r="AD115" s="48">
        <v>0</v>
      </c>
      <c r="AE115" s="48">
        <v>0</v>
      </c>
      <c r="AF115" s="48">
        <v>0</v>
      </c>
      <c r="AG115" s="48">
        <v>0</v>
      </c>
      <c r="AH115" s="48">
        <v>0</v>
      </c>
      <c r="AI115" s="48">
        <v>0</v>
      </c>
      <c r="AJ115" s="48">
        <v>0</v>
      </c>
      <c r="AK115" s="48">
        <v>0</v>
      </c>
      <c r="AL115" s="48">
        <v>0</v>
      </c>
      <c r="AM115" s="48">
        <v>0</v>
      </c>
      <c r="AN115" s="48">
        <v>0</v>
      </c>
      <c r="AO115" s="48">
        <v>0</v>
      </c>
      <c r="AP115" s="48">
        <v>0</v>
      </c>
      <c r="AQ115" s="48">
        <v>0</v>
      </c>
      <c r="AR115" s="48">
        <v>0</v>
      </c>
      <c r="AS115" s="48">
        <v>0</v>
      </c>
      <c r="AT115" s="48">
        <v>0</v>
      </c>
      <c r="AU115" s="48">
        <v>0</v>
      </c>
      <c r="AV115" s="48">
        <v>0</v>
      </c>
      <c r="AW115" s="48">
        <v>0</v>
      </c>
      <c r="AX115" s="48">
        <v>0</v>
      </c>
      <c r="AY115" s="48">
        <v>0</v>
      </c>
      <c r="AZ115" s="48">
        <v>0</v>
      </c>
      <c r="BA115" s="48">
        <v>0</v>
      </c>
      <c r="BB115" s="48">
        <v>0</v>
      </c>
      <c r="BC115" s="48">
        <v>0</v>
      </c>
      <c r="BD115" s="48">
        <v>0</v>
      </c>
      <c r="BE115" s="48">
        <v>0</v>
      </c>
      <c r="BF115" s="48">
        <v>0</v>
      </c>
      <c r="BG115" s="48">
        <v>0</v>
      </c>
      <c r="BH115" s="48">
        <v>0</v>
      </c>
      <c r="BI115" s="48">
        <v>0</v>
      </c>
      <c r="BJ115" s="48">
        <v>0</v>
      </c>
      <c r="BK115" s="48">
        <v>0</v>
      </c>
      <c r="BL115" s="48">
        <v>0</v>
      </c>
      <c r="BM115" s="48">
        <v>0</v>
      </c>
      <c r="BN115" s="48">
        <v>0</v>
      </c>
      <c r="BO115" s="48">
        <v>0</v>
      </c>
      <c r="BP115" s="48">
        <v>0</v>
      </c>
      <c r="BQ115" s="48">
        <v>0</v>
      </c>
      <c r="BR115" s="48">
        <v>0</v>
      </c>
      <c r="BS115" s="48">
        <v>0</v>
      </c>
      <c r="BT115" s="48">
        <v>0</v>
      </c>
      <c r="BU115" s="48">
        <v>0</v>
      </c>
      <c r="BV115" s="48">
        <v>0</v>
      </c>
      <c r="BW115" s="48">
        <v>0</v>
      </c>
      <c r="BX115" s="48">
        <v>0</v>
      </c>
      <c r="BY115" s="48">
        <v>0</v>
      </c>
      <c r="BZ115" s="48">
        <v>0</v>
      </c>
      <c r="CA115" s="48">
        <v>0</v>
      </c>
      <c r="CB115" s="48">
        <v>0</v>
      </c>
      <c r="CC115" s="48">
        <v>0</v>
      </c>
      <c r="CD115" s="48">
        <v>0</v>
      </c>
      <c r="CE115" s="48">
        <v>0</v>
      </c>
      <c r="CF115" s="48">
        <v>0</v>
      </c>
      <c r="CG115" s="48">
        <v>0</v>
      </c>
      <c r="CH115" s="48">
        <v>0</v>
      </c>
      <c r="CI115" s="48">
        <v>0</v>
      </c>
      <c r="CJ115" s="48">
        <v>0</v>
      </c>
      <c r="CK115" s="48">
        <v>0</v>
      </c>
      <c r="CL115" s="48">
        <v>1.8692040309540771E-8</v>
      </c>
      <c r="CM115" s="48">
        <v>0</v>
      </c>
      <c r="CN115" s="48">
        <v>0</v>
      </c>
      <c r="CO115" s="48">
        <v>0</v>
      </c>
      <c r="CP115" s="48">
        <v>0</v>
      </c>
      <c r="CQ115" s="48">
        <v>0</v>
      </c>
      <c r="CR115" s="48">
        <v>2.9356860749640833E-10</v>
      </c>
      <c r="CS115" s="48">
        <v>0</v>
      </c>
      <c r="CT115" s="48">
        <v>0</v>
      </c>
      <c r="CU115" s="48">
        <v>0</v>
      </c>
      <c r="CV115" s="48">
        <v>0</v>
      </c>
      <c r="CW115" s="48">
        <v>0</v>
      </c>
      <c r="CX115" s="48">
        <v>0</v>
      </c>
      <c r="CY115" s="48">
        <v>111.62891414516218</v>
      </c>
      <c r="CZ115" s="48">
        <v>3.2446571304309002E-3</v>
      </c>
      <c r="DA115" s="48">
        <v>0</v>
      </c>
      <c r="DB115" s="48">
        <v>0</v>
      </c>
      <c r="DC115" s="48">
        <v>0</v>
      </c>
      <c r="DD115" s="48">
        <v>550.52375732552321</v>
      </c>
      <c r="DE115" s="48">
        <v>2.0691036009092147E-2</v>
      </c>
      <c r="DF115" s="48">
        <v>0</v>
      </c>
      <c r="DG115" s="48">
        <v>0</v>
      </c>
      <c r="DH115" s="48">
        <v>0</v>
      </c>
      <c r="DI115" s="48">
        <v>0</v>
      </c>
      <c r="DJ115" s="48">
        <v>6.1052998128697766E-8</v>
      </c>
      <c r="DK115" s="48">
        <v>6.0913680083678354E-2</v>
      </c>
      <c r="DL115" s="48">
        <v>0</v>
      </c>
      <c r="DM115" s="48">
        <v>0</v>
      </c>
      <c r="DN115" s="48">
        <v>0</v>
      </c>
      <c r="DO115" s="48">
        <v>0</v>
      </c>
      <c r="DP115" s="48">
        <v>0</v>
      </c>
      <c r="DQ115" s="48">
        <v>0</v>
      </c>
      <c r="DR115" s="48">
        <v>0</v>
      </c>
      <c r="DS115" s="48">
        <v>0</v>
      </c>
      <c r="DT115" s="48">
        <v>0</v>
      </c>
      <c r="DU115" s="48">
        <v>0</v>
      </c>
      <c r="DV115" s="48">
        <v>0</v>
      </c>
      <c r="DW115" s="48">
        <v>0</v>
      </c>
      <c r="DX115" s="48">
        <v>0</v>
      </c>
      <c r="DY115" s="48">
        <v>0</v>
      </c>
      <c r="DZ115" s="48">
        <v>0</v>
      </c>
      <c r="EA115" s="48">
        <v>0</v>
      </c>
      <c r="EB115" s="48">
        <v>0</v>
      </c>
      <c r="EC115" s="48">
        <v>0</v>
      </c>
      <c r="ED115" s="48">
        <v>0</v>
      </c>
      <c r="EE115" s="48">
        <v>0</v>
      </c>
      <c r="EF115" s="48">
        <v>0</v>
      </c>
      <c r="EG115" s="48">
        <v>0</v>
      </c>
      <c r="EH115" s="48">
        <v>0</v>
      </c>
      <c r="EI115" s="48">
        <v>0</v>
      </c>
      <c r="EJ115" s="48">
        <v>0</v>
      </c>
      <c r="EK115" s="48">
        <v>0</v>
      </c>
      <c r="EL115" s="48">
        <v>1.9229826427548915E-8</v>
      </c>
      <c r="EM115" s="48">
        <v>2.9229685712955606E-8</v>
      </c>
      <c r="EN115" s="48">
        <v>8.6847114686423171E-4</v>
      </c>
      <c r="EO115" s="48">
        <v>0</v>
      </c>
      <c r="EP115" s="48">
        <v>5.2984305614227154E-8</v>
      </c>
      <c r="EQ115" s="48">
        <v>0</v>
      </c>
      <c r="ER115" s="48">
        <v>0</v>
      </c>
      <c r="ES115" s="48">
        <v>0</v>
      </c>
      <c r="ET115" s="48">
        <v>6.2865382653706796E-9</v>
      </c>
      <c r="EU115" s="48">
        <v>0</v>
      </c>
      <c r="EV115" s="48">
        <v>0</v>
      </c>
      <c r="EW115" s="48">
        <v>0</v>
      </c>
      <c r="EX115" s="48">
        <v>9.9205319942570803E-10</v>
      </c>
      <c r="EY115" s="48">
        <v>0</v>
      </c>
      <c r="EZ115" s="48">
        <v>0</v>
      </c>
      <c r="FA115" s="48">
        <v>0</v>
      </c>
      <c r="FB115" s="48">
        <v>0</v>
      </c>
      <c r="FC115" s="48">
        <v>0</v>
      </c>
      <c r="FD115" s="48">
        <v>5.1761783905657404E-14</v>
      </c>
      <c r="FE115" s="48">
        <v>0</v>
      </c>
      <c r="FF115" s="48">
        <v>0</v>
      </c>
      <c r="FG115" s="48">
        <v>1.3285789981399984E-14</v>
      </c>
      <c r="FH115" s="48">
        <v>9.5235994348821486E-15</v>
      </c>
      <c r="FI115" s="48">
        <v>1.4749186179262379E-14</v>
      </c>
      <c r="FJ115" s="48">
        <v>0</v>
      </c>
      <c r="FK115" s="48">
        <v>0</v>
      </c>
      <c r="FL115" s="48">
        <v>0</v>
      </c>
      <c r="FM115" s="48">
        <v>0</v>
      </c>
      <c r="FN115" s="48">
        <v>0</v>
      </c>
      <c r="FO115" s="48">
        <v>0</v>
      </c>
      <c r="FP115" s="48">
        <v>0</v>
      </c>
      <c r="FQ115" s="48">
        <v>8.5769398222312301E-15</v>
      </c>
      <c r="FR115" s="48">
        <v>2.5399940246717251E-15</v>
      </c>
      <c r="FS115" s="48">
        <v>0</v>
      </c>
      <c r="FT115" s="48">
        <v>6.9184475662779658E-16</v>
      </c>
      <c r="FU115" s="48">
        <v>0</v>
      </c>
      <c r="FV115" s="48">
        <v>0</v>
      </c>
      <c r="FW115" s="48">
        <v>0</v>
      </c>
      <c r="FX115" s="48">
        <v>0</v>
      </c>
      <c r="FY115" s="48">
        <v>0</v>
      </c>
      <c r="FZ115" s="48">
        <v>0</v>
      </c>
      <c r="GA115" s="48">
        <v>0</v>
      </c>
      <c r="GB115" s="48">
        <v>0</v>
      </c>
      <c r="GC115" s="48">
        <v>0</v>
      </c>
      <c r="GD115" s="48">
        <v>0</v>
      </c>
      <c r="GE115" s="48">
        <v>1251.3928646522863</v>
      </c>
      <c r="GF115" s="48">
        <v>6144.2524032180354</v>
      </c>
      <c r="GG115" s="48">
        <v>0</v>
      </c>
      <c r="GH115" s="48">
        <v>0</v>
      </c>
      <c r="GI115" s="48">
        <v>0</v>
      </c>
      <c r="GJ115" s="48">
        <v>0</v>
      </c>
      <c r="GK115" s="48">
        <v>0</v>
      </c>
      <c r="GL115" s="48">
        <v>0</v>
      </c>
      <c r="GM115" s="48">
        <v>0</v>
      </c>
      <c r="GN115" s="48">
        <v>0</v>
      </c>
      <c r="GO115" s="48">
        <v>0</v>
      </c>
      <c r="GP115" s="48">
        <v>0</v>
      </c>
      <c r="GQ115" s="48">
        <v>0</v>
      </c>
      <c r="GR115" s="48">
        <v>0</v>
      </c>
      <c r="GS115" s="48">
        <v>0</v>
      </c>
      <c r="GT115" s="48">
        <v>6.3162081936835687E-18</v>
      </c>
      <c r="GU115" s="48">
        <v>0</v>
      </c>
      <c r="GV115" s="48">
        <v>0</v>
      </c>
      <c r="GW115" s="48">
        <v>0</v>
      </c>
      <c r="GX115" s="48">
        <v>9.2344519377597002E-16</v>
      </c>
      <c r="GY115" s="48">
        <v>0</v>
      </c>
      <c r="GZ115" s="48">
        <v>0</v>
      </c>
      <c r="HA115" s="48">
        <v>0</v>
      </c>
      <c r="HB115" s="48">
        <v>0</v>
      </c>
      <c r="HC115" s="48">
        <v>0</v>
      </c>
      <c r="HD115" s="48">
        <v>0</v>
      </c>
      <c r="HE115" s="48">
        <v>0</v>
      </c>
      <c r="HF115" s="48">
        <v>0</v>
      </c>
      <c r="HG115" s="48">
        <v>0</v>
      </c>
      <c r="HH115" s="48">
        <v>0</v>
      </c>
      <c r="HI115" s="48">
        <v>0</v>
      </c>
      <c r="HJ115" s="48">
        <v>0</v>
      </c>
      <c r="HK115" s="48">
        <v>0</v>
      </c>
      <c r="HL115" s="48">
        <v>0</v>
      </c>
      <c r="HM115" s="48">
        <v>0</v>
      </c>
      <c r="HN115" s="48">
        <v>0</v>
      </c>
      <c r="HO115" s="48">
        <v>0</v>
      </c>
      <c r="HP115" s="48">
        <v>0</v>
      </c>
      <c r="HQ115" s="48">
        <v>0</v>
      </c>
      <c r="HR115" s="48">
        <v>0</v>
      </c>
      <c r="HS115" s="48">
        <v>0</v>
      </c>
      <c r="HT115" s="48">
        <v>0</v>
      </c>
      <c r="HU115" s="48">
        <v>0</v>
      </c>
      <c r="HV115" s="48">
        <v>4.8883529246725558E-15</v>
      </c>
      <c r="HW115" s="48">
        <v>0</v>
      </c>
      <c r="HX115" s="48">
        <v>61.231659322819766</v>
      </c>
      <c r="HY115" s="48">
        <v>52.040231719076466</v>
      </c>
      <c r="HZ115" s="48">
        <v>78.029753308107971</v>
      </c>
      <c r="IA115" s="48">
        <v>21.409364727919304</v>
      </c>
      <c r="IB115" s="48">
        <v>0.76433939953316965</v>
      </c>
      <c r="IC115" s="48">
        <v>0</v>
      </c>
      <c r="ID115" s="48">
        <v>0</v>
      </c>
      <c r="IE115" s="48">
        <v>0</v>
      </c>
      <c r="IF115" s="48">
        <v>0</v>
      </c>
      <c r="IG115" s="48">
        <v>144.4798936347064</v>
      </c>
      <c r="IH115" s="48">
        <v>8.1346043102722341</v>
      </c>
      <c r="II115" s="48">
        <v>3.0264962033814986</v>
      </c>
      <c r="IJ115" s="48">
        <v>0</v>
      </c>
      <c r="IK115" s="48">
        <v>0</v>
      </c>
      <c r="IL115" s="48">
        <v>0</v>
      </c>
      <c r="IM115" s="48">
        <v>0</v>
      </c>
      <c r="IN115" s="48">
        <v>0</v>
      </c>
      <c r="IO115" s="48">
        <v>0</v>
      </c>
      <c r="IP115" s="23">
        <v>8426.9999999999563</v>
      </c>
      <c r="IQ115" s="25">
        <v>44488</v>
      </c>
      <c r="IR115" s="25">
        <v>0</v>
      </c>
      <c r="IS115" s="26">
        <v>0</v>
      </c>
      <c r="IT115" s="26">
        <v>0</v>
      </c>
      <c r="IU115" s="26">
        <v>-1670</v>
      </c>
      <c r="IV115" s="9">
        <v>44568</v>
      </c>
      <c r="IW115" s="38">
        <f t="shared" si="5"/>
        <v>95812.999999999956</v>
      </c>
    </row>
    <row r="116" spans="1:257" ht="30" customHeight="1" x14ac:dyDescent="0.25">
      <c r="A116" s="112" t="b">
        <v>0</v>
      </c>
      <c r="B116" s="113" t="str">
        <f>IFERROR(VLOOKUP(C116,'Bridge matrix'!$D$3:$E$727,2,FALSE)='symmetric IOT 245 2012'!D116,"FALSCH")</f>
        <v>FALSCH</v>
      </c>
      <c r="C116" s="108">
        <v>110</v>
      </c>
      <c r="D116" s="49" t="s">
        <v>361</v>
      </c>
      <c r="E116" s="48">
        <v>0</v>
      </c>
      <c r="F116" s="48">
        <v>0</v>
      </c>
      <c r="G116" s="48">
        <v>0</v>
      </c>
      <c r="H116" s="48">
        <v>0</v>
      </c>
      <c r="I116" s="48">
        <v>0</v>
      </c>
      <c r="J116" s="48">
        <v>0</v>
      </c>
      <c r="K116" s="48">
        <v>0</v>
      </c>
      <c r="L116" s="48">
        <v>0</v>
      </c>
      <c r="M116" s="48">
        <v>0</v>
      </c>
      <c r="N116" s="48">
        <v>0</v>
      </c>
      <c r="O116" s="48">
        <v>0</v>
      </c>
      <c r="P116" s="48">
        <v>0</v>
      </c>
      <c r="Q116" s="48">
        <v>0</v>
      </c>
      <c r="R116" s="48">
        <v>0</v>
      </c>
      <c r="S116" s="48">
        <v>0</v>
      </c>
      <c r="T116" s="48">
        <v>0</v>
      </c>
      <c r="U116" s="48">
        <v>0</v>
      </c>
      <c r="V116" s="48">
        <v>0</v>
      </c>
      <c r="W116" s="48">
        <v>0</v>
      </c>
      <c r="X116" s="48">
        <v>0</v>
      </c>
      <c r="Y116" s="48">
        <v>0</v>
      </c>
      <c r="Z116" s="48">
        <v>0</v>
      </c>
      <c r="AA116" s="48">
        <v>0</v>
      </c>
      <c r="AB116" s="48">
        <v>0</v>
      </c>
      <c r="AC116" s="48">
        <v>0</v>
      </c>
      <c r="AD116" s="48">
        <v>0</v>
      </c>
      <c r="AE116" s="48">
        <v>0</v>
      </c>
      <c r="AF116" s="48">
        <v>0</v>
      </c>
      <c r="AG116" s="48">
        <v>0</v>
      </c>
      <c r="AH116" s="48">
        <v>0</v>
      </c>
      <c r="AI116" s="48">
        <v>0</v>
      </c>
      <c r="AJ116" s="48">
        <v>0</v>
      </c>
      <c r="AK116" s="48">
        <v>0</v>
      </c>
      <c r="AL116" s="48">
        <v>0</v>
      </c>
      <c r="AM116" s="48">
        <v>0</v>
      </c>
      <c r="AN116" s="48">
        <v>0</v>
      </c>
      <c r="AO116" s="48">
        <v>0</v>
      </c>
      <c r="AP116" s="48">
        <v>0</v>
      </c>
      <c r="AQ116" s="48">
        <v>0</v>
      </c>
      <c r="AR116" s="48">
        <v>0</v>
      </c>
      <c r="AS116" s="48">
        <v>0</v>
      </c>
      <c r="AT116" s="48">
        <v>0</v>
      </c>
      <c r="AU116" s="48">
        <v>0</v>
      </c>
      <c r="AV116" s="48">
        <v>0</v>
      </c>
      <c r="AW116" s="48">
        <v>0</v>
      </c>
      <c r="AX116" s="48">
        <v>0</v>
      </c>
      <c r="AY116" s="48">
        <v>0</v>
      </c>
      <c r="AZ116" s="48">
        <v>0</v>
      </c>
      <c r="BA116" s="48">
        <v>0</v>
      </c>
      <c r="BB116" s="48">
        <v>0</v>
      </c>
      <c r="BC116" s="48">
        <v>0</v>
      </c>
      <c r="BD116" s="48">
        <v>0</v>
      </c>
      <c r="BE116" s="48">
        <v>183113.70038632074</v>
      </c>
      <c r="BF116" s="48">
        <v>5927.6964155094101</v>
      </c>
      <c r="BG116" s="48">
        <v>394.37958406832183</v>
      </c>
      <c r="BH116" s="48">
        <v>36999.22387523896</v>
      </c>
      <c r="BI116" s="48">
        <v>4487.2712468617228</v>
      </c>
      <c r="BJ116" s="48">
        <v>28533.716008727635</v>
      </c>
      <c r="BK116" s="48">
        <v>5668.5965194857517</v>
      </c>
      <c r="BL116" s="48">
        <v>51.633697364428961</v>
      </c>
      <c r="BM116" s="48">
        <v>0</v>
      </c>
      <c r="BN116" s="48">
        <v>0</v>
      </c>
      <c r="BO116" s="48">
        <v>0</v>
      </c>
      <c r="BP116" s="48">
        <v>0</v>
      </c>
      <c r="BQ116" s="48">
        <v>0</v>
      </c>
      <c r="BR116" s="48">
        <v>0</v>
      </c>
      <c r="BS116" s="48">
        <v>0</v>
      </c>
      <c r="BT116" s="48">
        <v>17186.786133758946</v>
      </c>
      <c r="BU116" s="48">
        <v>87078.589570051801</v>
      </c>
      <c r="BV116" s="48">
        <v>0</v>
      </c>
      <c r="BW116" s="48">
        <v>50684.744520469067</v>
      </c>
      <c r="BX116" s="48">
        <v>0</v>
      </c>
      <c r="BY116" s="48">
        <v>801.8978909325491</v>
      </c>
      <c r="BZ116" s="48">
        <v>581.47042376887202</v>
      </c>
      <c r="CA116" s="48">
        <v>0</v>
      </c>
      <c r="CB116" s="48">
        <v>0</v>
      </c>
      <c r="CC116" s="48">
        <v>0</v>
      </c>
      <c r="CD116" s="48">
        <v>0</v>
      </c>
      <c r="CE116" s="48">
        <v>0</v>
      </c>
      <c r="CF116" s="48">
        <v>0</v>
      </c>
      <c r="CG116" s="48">
        <v>0</v>
      </c>
      <c r="CH116" s="48">
        <v>0</v>
      </c>
      <c r="CI116" s="48">
        <v>0</v>
      </c>
      <c r="CJ116" s="48">
        <v>0</v>
      </c>
      <c r="CK116" s="48">
        <v>0</v>
      </c>
      <c r="CL116" s="48">
        <v>0</v>
      </c>
      <c r="CM116" s="48">
        <v>0</v>
      </c>
      <c r="CN116" s="48">
        <v>116790.29372743743</v>
      </c>
      <c r="CO116" s="48">
        <v>0</v>
      </c>
      <c r="CP116" s="48">
        <v>0</v>
      </c>
      <c r="CQ116" s="48">
        <v>0</v>
      </c>
      <c r="CR116" s="48">
        <v>0</v>
      </c>
      <c r="CS116" s="48">
        <v>0</v>
      </c>
      <c r="CT116" s="48">
        <v>0</v>
      </c>
      <c r="CU116" s="48">
        <v>0</v>
      </c>
      <c r="CV116" s="48">
        <v>0</v>
      </c>
      <c r="CW116" s="48">
        <v>0</v>
      </c>
      <c r="CX116" s="48">
        <v>0</v>
      </c>
      <c r="CY116" s="48">
        <v>0</v>
      </c>
      <c r="CZ116" s="48">
        <v>0</v>
      </c>
      <c r="DA116" s="48">
        <v>0</v>
      </c>
      <c r="DB116" s="48">
        <v>0</v>
      </c>
      <c r="DC116" s="48">
        <v>0</v>
      </c>
      <c r="DD116" s="48">
        <v>0</v>
      </c>
      <c r="DE116" s="48">
        <v>0</v>
      </c>
      <c r="DF116" s="48">
        <v>0</v>
      </c>
      <c r="DG116" s="48">
        <v>0</v>
      </c>
      <c r="DH116" s="48">
        <v>0</v>
      </c>
      <c r="DI116" s="48">
        <v>0</v>
      </c>
      <c r="DJ116" s="48">
        <v>0</v>
      </c>
      <c r="DK116" s="48">
        <v>0</v>
      </c>
      <c r="DL116" s="48">
        <v>0</v>
      </c>
      <c r="DM116" s="48">
        <v>0</v>
      </c>
      <c r="DN116" s="48">
        <v>0</v>
      </c>
      <c r="DO116" s="48">
        <v>0</v>
      </c>
      <c r="DP116" s="48">
        <v>0</v>
      </c>
      <c r="DQ116" s="48">
        <v>0</v>
      </c>
      <c r="DR116" s="48">
        <v>0</v>
      </c>
      <c r="DS116" s="48">
        <v>0</v>
      </c>
      <c r="DT116" s="48">
        <v>0</v>
      </c>
      <c r="DU116" s="48">
        <v>0</v>
      </c>
      <c r="DV116" s="48">
        <v>0</v>
      </c>
      <c r="DW116" s="48">
        <v>0</v>
      </c>
      <c r="DX116" s="48">
        <v>0</v>
      </c>
      <c r="DY116" s="48">
        <v>0</v>
      </c>
      <c r="DZ116" s="48">
        <v>0</v>
      </c>
      <c r="EA116" s="48">
        <v>0</v>
      </c>
      <c r="EB116" s="48">
        <v>0</v>
      </c>
      <c r="EC116" s="48">
        <v>0</v>
      </c>
      <c r="ED116" s="48">
        <v>0</v>
      </c>
      <c r="EE116" s="48">
        <v>0</v>
      </c>
      <c r="EF116" s="48">
        <v>0</v>
      </c>
      <c r="EG116" s="48">
        <v>0</v>
      </c>
      <c r="EH116" s="48">
        <v>0</v>
      </c>
      <c r="EI116" s="48">
        <v>0</v>
      </c>
      <c r="EJ116" s="48">
        <v>0</v>
      </c>
      <c r="EK116" s="48">
        <v>0</v>
      </c>
      <c r="EL116" s="48">
        <v>0</v>
      </c>
      <c r="EM116" s="48">
        <v>0</v>
      </c>
      <c r="EN116" s="48">
        <v>0</v>
      </c>
      <c r="EO116" s="48">
        <v>0</v>
      </c>
      <c r="EP116" s="48">
        <v>0</v>
      </c>
      <c r="EQ116" s="48">
        <v>0</v>
      </c>
      <c r="ER116" s="48">
        <v>0</v>
      </c>
      <c r="ES116" s="48">
        <v>0</v>
      </c>
      <c r="ET116" s="48">
        <v>0</v>
      </c>
      <c r="EU116" s="48">
        <v>0</v>
      </c>
      <c r="EV116" s="48">
        <v>0</v>
      </c>
      <c r="EW116" s="48">
        <v>0</v>
      </c>
      <c r="EX116" s="48">
        <v>0</v>
      </c>
      <c r="EY116" s="48">
        <v>0</v>
      </c>
      <c r="EZ116" s="48">
        <v>0</v>
      </c>
      <c r="FA116" s="48">
        <v>0</v>
      </c>
      <c r="FB116" s="48">
        <v>0</v>
      </c>
      <c r="FC116" s="48">
        <v>0</v>
      </c>
      <c r="FD116" s="48">
        <v>0</v>
      </c>
      <c r="FE116" s="48">
        <v>0</v>
      </c>
      <c r="FF116" s="48">
        <v>0</v>
      </c>
      <c r="FG116" s="48">
        <v>0</v>
      </c>
      <c r="FH116" s="48">
        <v>0</v>
      </c>
      <c r="FI116" s="48">
        <v>0</v>
      </c>
      <c r="FJ116" s="48">
        <v>0</v>
      </c>
      <c r="FK116" s="48">
        <v>0</v>
      </c>
      <c r="FL116" s="48">
        <v>0</v>
      </c>
      <c r="FM116" s="48">
        <v>0</v>
      </c>
      <c r="FN116" s="48">
        <v>0</v>
      </c>
      <c r="FO116" s="48">
        <v>0</v>
      </c>
      <c r="FP116" s="48">
        <v>0</v>
      </c>
      <c r="FQ116" s="48">
        <v>0</v>
      </c>
      <c r="FR116" s="48">
        <v>0</v>
      </c>
      <c r="FS116" s="48">
        <v>0</v>
      </c>
      <c r="FT116" s="48">
        <v>0</v>
      </c>
      <c r="FU116" s="48">
        <v>0</v>
      </c>
      <c r="FV116" s="48">
        <v>0</v>
      </c>
      <c r="FW116" s="48">
        <v>0</v>
      </c>
      <c r="FX116" s="48">
        <v>0</v>
      </c>
      <c r="FY116" s="48">
        <v>0</v>
      </c>
      <c r="FZ116" s="48">
        <v>0</v>
      </c>
      <c r="GA116" s="48">
        <v>0</v>
      </c>
      <c r="GB116" s="48">
        <v>0</v>
      </c>
      <c r="GC116" s="48">
        <v>0</v>
      </c>
      <c r="GD116" s="48">
        <v>0</v>
      </c>
      <c r="GE116" s="48">
        <v>0</v>
      </c>
      <c r="GF116" s="48">
        <v>0</v>
      </c>
      <c r="GG116" s="48">
        <v>0</v>
      </c>
      <c r="GH116" s="48">
        <v>0</v>
      </c>
      <c r="GI116" s="48">
        <v>0</v>
      </c>
      <c r="GJ116" s="48">
        <v>0</v>
      </c>
      <c r="GK116" s="48">
        <v>0</v>
      </c>
      <c r="GL116" s="48">
        <v>0</v>
      </c>
      <c r="GM116" s="48">
        <v>0</v>
      </c>
      <c r="GN116" s="48">
        <v>0</v>
      </c>
      <c r="GO116" s="48">
        <v>0</v>
      </c>
      <c r="GP116" s="48">
        <v>0</v>
      </c>
      <c r="GQ116" s="48">
        <v>0</v>
      </c>
      <c r="GR116" s="48">
        <v>0</v>
      </c>
      <c r="GS116" s="48">
        <v>0</v>
      </c>
      <c r="GT116" s="48">
        <v>0</v>
      </c>
      <c r="GU116" s="48">
        <v>0</v>
      </c>
      <c r="GV116" s="48">
        <v>0</v>
      </c>
      <c r="GW116" s="48">
        <v>0</v>
      </c>
      <c r="GX116" s="48">
        <v>0</v>
      </c>
      <c r="GY116" s="48">
        <v>0</v>
      </c>
      <c r="GZ116" s="48">
        <v>0</v>
      </c>
      <c r="HA116" s="48">
        <v>0</v>
      </c>
      <c r="HB116" s="48">
        <v>0</v>
      </c>
      <c r="HC116" s="48">
        <v>0</v>
      </c>
      <c r="HD116" s="48">
        <v>0</v>
      </c>
      <c r="HE116" s="48">
        <v>0</v>
      </c>
      <c r="HF116" s="48">
        <v>0</v>
      </c>
      <c r="HG116" s="48">
        <v>0</v>
      </c>
      <c r="HH116" s="48">
        <v>0</v>
      </c>
      <c r="HI116" s="48">
        <v>0</v>
      </c>
      <c r="HJ116" s="48">
        <v>0</v>
      </c>
      <c r="HK116" s="48">
        <v>0</v>
      </c>
      <c r="HL116" s="48">
        <v>0</v>
      </c>
      <c r="HM116" s="48">
        <v>0</v>
      </c>
      <c r="HN116" s="48">
        <v>0</v>
      </c>
      <c r="HO116" s="48">
        <v>0</v>
      </c>
      <c r="HP116" s="48">
        <v>0</v>
      </c>
      <c r="HQ116" s="48">
        <v>0</v>
      </c>
      <c r="HR116" s="48">
        <v>0</v>
      </c>
      <c r="HS116" s="48">
        <v>0</v>
      </c>
      <c r="HT116" s="48">
        <v>0</v>
      </c>
      <c r="HU116" s="48">
        <v>0</v>
      </c>
      <c r="HV116" s="48">
        <v>0</v>
      </c>
      <c r="HW116" s="48">
        <v>0</v>
      </c>
      <c r="HX116" s="48">
        <v>0</v>
      </c>
      <c r="HY116" s="48">
        <v>0</v>
      </c>
      <c r="HZ116" s="48">
        <v>0</v>
      </c>
      <c r="IA116" s="48">
        <v>0</v>
      </c>
      <c r="IB116" s="48">
        <v>0</v>
      </c>
      <c r="IC116" s="48">
        <v>0</v>
      </c>
      <c r="ID116" s="48">
        <v>0</v>
      </c>
      <c r="IE116" s="48">
        <v>0</v>
      </c>
      <c r="IF116" s="48">
        <v>0</v>
      </c>
      <c r="IG116" s="48">
        <v>0</v>
      </c>
      <c r="IH116" s="48">
        <v>0</v>
      </c>
      <c r="II116" s="48">
        <v>0</v>
      </c>
      <c r="IJ116" s="48">
        <v>0</v>
      </c>
      <c r="IK116" s="48">
        <v>0</v>
      </c>
      <c r="IL116" s="48">
        <v>0</v>
      </c>
      <c r="IM116" s="48">
        <v>0</v>
      </c>
      <c r="IN116" s="48">
        <v>0</v>
      </c>
      <c r="IO116" s="48">
        <v>0</v>
      </c>
      <c r="IP116" s="23">
        <v>538299.99999999558</v>
      </c>
      <c r="IQ116" s="25">
        <v>280486</v>
      </c>
      <c r="IR116" s="25">
        <v>0</v>
      </c>
      <c r="IS116" s="26">
        <v>0</v>
      </c>
      <c r="IT116" s="26">
        <v>0</v>
      </c>
      <c r="IU116" s="26">
        <v>-29907</v>
      </c>
      <c r="IV116" s="9">
        <v>35276</v>
      </c>
      <c r="IW116" s="38">
        <f t="shared" si="5"/>
        <v>824154.99999999558</v>
      </c>
    </row>
    <row r="117" spans="1:257" ht="30" customHeight="1" x14ac:dyDescent="0.25">
      <c r="A117" s="112" t="b">
        <v>0</v>
      </c>
      <c r="B117" s="113" t="b">
        <f>IFERROR(VLOOKUP(C117,'Bridge matrix'!$D$3:$E$727,2,FALSE)='symmetric IOT 245 2012'!D117,"FALSCH")</f>
        <v>1</v>
      </c>
      <c r="C117" s="108">
        <v>111</v>
      </c>
      <c r="D117" s="49" t="s">
        <v>1426</v>
      </c>
      <c r="E117" s="48">
        <v>0</v>
      </c>
      <c r="F117" s="48">
        <v>0</v>
      </c>
      <c r="G117" s="48">
        <v>0</v>
      </c>
      <c r="H117" s="48">
        <v>0</v>
      </c>
      <c r="I117" s="48">
        <v>0</v>
      </c>
      <c r="J117" s="48">
        <v>0</v>
      </c>
      <c r="K117" s="48">
        <v>0</v>
      </c>
      <c r="L117" s="48">
        <v>0</v>
      </c>
      <c r="M117" s="48">
        <v>0</v>
      </c>
      <c r="N117" s="48">
        <v>0</v>
      </c>
      <c r="O117" s="48">
        <v>0</v>
      </c>
      <c r="P117" s="48">
        <v>0</v>
      </c>
      <c r="Q117" s="48">
        <v>0</v>
      </c>
      <c r="R117" s="48">
        <v>0</v>
      </c>
      <c r="S117" s="48">
        <v>0</v>
      </c>
      <c r="T117" s="48">
        <v>0</v>
      </c>
      <c r="U117" s="48">
        <v>0</v>
      </c>
      <c r="V117" s="48">
        <v>0</v>
      </c>
      <c r="W117" s="48">
        <v>0</v>
      </c>
      <c r="X117" s="48">
        <v>0</v>
      </c>
      <c r="Y117" s="48">
        <v>0</v>
      </c>
      <c r="Z117" s="48">
        <v>0</v>
      </c>
      <c r="AA117" s="48">
        <v>0</v>
      </c>
      <c r="AB117" s="48">
        <v>0</v>
      </c>
      <c r="AC117" s="48">
        <v>0</v>
      </c>
      <c r="AD117" s="48">
        <v>0</v>
      </c>
      <c r="AE117" s="48">
        <v>0</v>
      </c>
      <c r="AF117" s="48">
        <v>0</v>
      </c>
      <c r="AG117" s="48">
        <v>0</v>
      </c>
      <c r="AH117" s="48">
        <v>0</v>
      </c>
      <c r="AI117" s="48">
        <v>0</v>
      </c>
      <c r="AJ117" s="48">
        <v>0</v>
      </c>
      <c r="AK117" s="48">
        <v>0</v>
      </c>
      <c r="AL117" s="48">
        <v>0</v>
      </c>
      <c r="AM117" s="48">
        <v>0</v>
      </c>
      <c r="AN117" s="48">
        <v>0</v>
      </c>
      <c r="AO117" s="48">
        <v>0</v>
      </c>
      <c r="AP117" s="48">
        <v>0</v>
      </c>
      <c r="AQ117" s="48">
        <v>0</v>
      </c>
      <c r="AR117" s="48">
        <v>0</v>
      </c>
      <c r="AS117" s="48">
        <v>0</v>
      </c>
      <c r="AT117" s="48">
        <v>0</v>
      </c>
      <c r="AU117" s="48">
        <v>0</v>
      </c>
      <c r="AV117" s="48">
        <v>0</v>
      </c>
      <c r="AW117" s="48">
        <v>0</v>
      </c>
      <c r="AX117" s="48">
        <v>0</v>
      </c>
      <c r="AY117" s="48">
        <v>0</v>
      </c>
      <c r="AZ117" s="48">
        <v>0</v>
      </c>
      <c r="BA117" s="48">
        <v>0</v>
      </c>
      <c r="BB117" s="48">
        <v>0</v>
      </c>
      <c r="BC117" s="48">
        <v>0</v>
      </c>
      <c r="BD117" s="48">
        <v>0</v>
      </c>
      <c r="BE117" s="48">
        <v>0</v>
      </c>
      <c r="BF117" s="48">
        <v>0</v>
      </c>
      <c r="BG117" s="48">
        <v>0</v>
      </c>
      <c r="BH117" s="48">
        <v>0</v>
      </c>
      <c r="BI117" s="48">
        <v>0</v>
      </c>
      <c r="BJ117" s="48">
        <v>0</v>
      </c>
      <c r="BK117" s="48">
        <v>0</v>
      </c>
      <c r="BL117" s="48">
        <v>0</v>
      </c>
      <c r="BM117" s="48">
        <v>0</v>
      </c>
      <c r="BN117" s="48">
        <v>0</v>
      </c>
      <c r="BO117" s="48">
        <v>0</v>
      </c>
      <c r="BP117" s="48">
        <v>0</v>
      </c>
      <c r="BQ117" s="48">
        <v>0</v>
      </c>
      <c r="BR117" s="48">
        <v>0</v>
      </c>
      <c r="BS117" s="48">
        <v>0</v>
      </c>
      <c r="BT117" s="48">
        <v>0</v>
      </c>
      <c r="BU117" s="48">
        <v>0</v>
      </c>
      <c r="BV117" s="48">
        <v>0</v>
      </c>
      <c r="BW117" s="48">
        <v>0</v>
      </c>
      <c r="BX117" s="48">
        <v>0</v>
      </c>
      <c r="BY117" s="48">
        <v>0</v>
      </c>
      <c r="BZ117" s="48">
        <v>0</v>
      </c>
      <c r="CA117" s="48">
        <v>0</v>
      </c>
      <c r="CB117" s="48">
        <v>0</v>
      </c>
      <c r="CC117" s="48">
        <v>0</v>
      </c>
      <c r="CD117" s="48">
        <v>0</v>
      </c>
      <c r="CE117" s="48">
        <v>0</v>
      </c>
      <c r="CF117" s="48">
        <v>0</v>
      </c>
      <c r="CG117" s="48">
        <v>0</v>
      </c>
      <c r="CH117" s="48">
        <v>0</v>
      </c>
      <c r="CI117" s="48">
        <v>0</v>
      </c>
      <c r="CJ117" s="48">
        <v>0</v>
      </c>
      <c r="CK117" s="48">
        <v>0</v>
      </c>
      <c r="CL117" s="48">
        <v>8.5579222711392178E-3</v>
      </c>
      <c r="CM117" s="48">
        <v>0</v>
      </c>
      <c r="CN117" s="48">
        <v>0</v>
      </c>
      <c r="CO117" s="48">
        <v>0</v>
      </c>
      <c r="CP117" s="48">
        <v>0</v>
      </c>
      <c r="CQ117" s="48">
        <v>0</v>
      </c>
      <c r="CR117" s="48">
        <v>7.7995318239876572E-12</v>
      </c>
      <c r="CS117" s="48">
        <v>0</v>
      </c>
      <c r="CT117" s="48">
        <v>0</v>
      </c>
      <c r="CU117" s="48">
        <v>0</v>
      </c>
      <c r="CV117" s="48">
        <v>0</v>
      </c>
      <c r="CW117" s="48">
        <v>0</v>
      </c>
      <c r="CX117" s="48">
        <v>0</v>
      </c>
      <c r="CY117" s="48">
        <v>0</v>
      </c>
      <c r="CZ117" s="48">
        <v>8.6205207014152963E-5</v>
      </c>
      <c r="DA117" s="48">
        <v>0</v>
      </c>
      <c r="DB117" s="48">
        <v>0</v>
      </c>
      <c r="DC117" s="48">
        <v>0</v>
      </c>
      <c r="DD117" s="48">
        <v>14.626511387190551</v>
      </c>
      <c r="DE117" s="48">
        <v>5.4972681882852869E-4</v>
      </c>
      <c r="DF117" s="48">
        <v>0</v>
      </c>
      <c r="DG117" s="48">
        <v>0</v>
      </c>
      <c r="DH117" s="48">
        <v>0</v>
      </c>
      <c r="DI117" s="48">
        <v>0</v>
      </c>
      <c r="DJ117" s="48">
        <v>1.6220562747345599E-9</v>
      </c>
      <c r="DK117" s="48">
        <v>18400.751200568095</v>
      </c>
      <c r="DL117" s="48">
        <v>0</v>
      </c>
      <c r="DM117" s="48">
        <v>0</v>
      </c>
      <c r="DN117" s="48">
        <v>0</v>
      </c>
      <c r="DO117" s="48">
        <v>0</v>
      </c>
      <c r="DP117" s="48">
        <v>0</v>
      </c>
      <c r="DQ117" s="48">
        <v>0</v>
      </c>
      <c r="DR117" s="48">
        <v>5.4807928310908697E-6</v>
      </c>
      <c r="DS117" s="48">
        <v>0</v>
      </c>
      <c r="DT117" s="48">
        <v>0</v>
      </c>
      <c r="DU117" s="48">
        <v>0</v>
      </c>
      <c r="DV117" s="48">
        <v>0</v>
      </c>
      <c r="DW117" s="48">
        <v>0</v>
      </c>
      <c r="DX117" s="48">
        <v>0</v>
      </c>
      <c r="DY117" s="48">
        <v>2.0923071975677562E-11</v>
      </c>
      <c r="DZ117" s="48">
        <v>0</v>
      </c>
      <c r="EA117" s="48">
        <v>0</v>
      </c>
      <c r="EB117" s="48">
        <v>5.824196674919252E-5</v>
      </c>
      <c r="EC117" s="48">
        <v>1.6844919656458257E-6</v>
      </c>
      <c r="ED117" s="48">
        <v>0</v>
      </c>
      <c r="EE117" s="48">
        <v>0</v>
      </c>
      <c r="EF117" s="48">
        <v>0</v>
      </c>
      <c r="EG117" s="48">
        <v>0</v>
      </c>
      <c r="EH117" s="48">
        <v>0</v>
      </c>
      <c r="EI117" s="48">
        <v>0</v>
      </c>
      <c r="EJ117" s="48">
        <v>0</v>
      </c>
      <c r="EK117" s="48">
        <v>0</v>
      </c>
      <c r="EL117" s="48">
        <v>0</v>
      </c>
      <c r="EM117" s="48">
        <v>7.713119893629674E-10</v>
      </c>
      <c r="EN117" s="48">
        <v>2.3073842511613644E-5</v>
      </c>
      <c r="EO117" s="48">
        <v>0</v>
      </c>
      <c r="EP117" s="48">
        <v>1.4077054001668594E-9</v>
      </c>
      <c r="EQ117" s="48">
        <v>0</v>
      </c>
      <c r="ER117" s="48">
        <v>1.4535639637427894E-6</v>
      </c>
      <c r="ES117" s="48">
        <v>2.5417822701324972E-8</v>
      </c>
      <c r="ET117" s="48">
        <v>0</v>
      </c>
      <c r="EU117" s="48">
        <v>0</v>
      </c>
      <c r="EV117" s="48">
        <v>0</v>
      </c>
      <c r="EW117" s="48">
        <v>0</v>
      </c>
      <c r="EX117" s="48">
        <v>1.4568275754715735E-5</v>
      </c>
      <c r="EY117" s="48">
        <v>1.1003080170778767E-9</v>
      </c>
      <c r="EZ117" s="48">
        <v>0</v>
      </c>
      <c r="FA117" s="48">
        <v>3.6831628593598291E-10</v>
      </c>
      <c r="FB117" s="48">
        <v>1.0097630432519841E-11</v>
      </c>
      <c r="FC117" s="48">
        <v>0</v>
      </c>
      <c r="FD117" s="48">
        <v>0</v>
      </c>
      <c r="FE117" s="48">
        <v>0</v>
      </c>
      <c r="FF117" s="48">
        <v>0</v>
      </c>
      <c r="FG117" s="48">
        <v>0</v>
      </c>
      <c r="FH117" s="48">
        <v>0</v>
      </c>
      <c r="FI117" s="48">
        <v>0</v>
      </c>
      <c r="FJ117" s="48">
        <v>0</v>
      </c>
      <c r="FK117" s="48">
        <v>0</v>
      </c>
      <c r="FL117" s="48">
        <v>0</v>
      </c>
      <c r="FM117" s="48">
        <v>1.9259234911284299E-6</v>
      </c>
      <c r="FN117" s="48">
        <v>0</v>
      </c>
      <c r="FO117" s="48">
        <v>0</v>
      </c>
      <c r="FP117" s="48">
        <v>8.196540917343944E-5</v>
      </c>
      <c r="FQ117" s="48">
        <v>1.4913187197211561E-10</v>
      </c>
      <c r="FR117" s="48">
        <v>0</v>
      </c>
      <c r="FS117" s="48">
        <v>0</v>
      </c>
      <c r="FT117" s="48">
        <v>0</v>
      </c>
      <c r="FU117" s="48">
        <v>0</v>
      </c>
      <c r="FV117" s="48">
        <v>6.8403284578221272E-11</v>
      </c>
      <c r="FW117" s="48">
        <v>0</v>
      </c>
      <c r="FX117" s="48">
        <v>0</v>
      </c>
      <c r="FY117" s="48">
        <v>0</v>
      </c>
      <c r="FZ117" s="48">
        <v>0</v>
      </c>
      <c r="GA117" s="48">
        <v>0</v>
      </c>
      <c r="GB117" s="48">
        <v>0</v>
      </c>
      <c r="GC117" s="48">
        <v>0</v>
      </c>
      <c r="GD117" s="48">
        <v>0</v>
      </c>
      <c r="GE117" s="48">
        <v>511.03401485126</v>
      </c>
      <c r="GF117" s="48">
        <v>583.13139479633548</v>
      </c>
      <c r="GG117" s="48">
        <v>0</v>
      </c>
      <c r="GH117" s="48">
        <v>0</v>
      </c>
      <c r="GI117" s="48">
        <v>0</v>
      </c>
      <c r="GJ117" s="48">
        <v>0</v>
      </c>
      <c r="GK117" s="48">
        <v>0</v>
      </c>
      <c r="GL117" s="48">
        <v>0</v>
      </c>
      <c r="GM117" s="48">
        <v>0</v>
      </c>
      <c r="GN117" s="48">
        <v>0</v>
      </c>
      <c r="GO117" s="48">
        <v>0</v>
      </c>
      <c r="GP117" s="48">
        <v>0</v>
      </c>
      <c r="GQ117" s="48">
        <v>0</v>
      </c>
      <c r="GR117" s="48">
        <v>0</v>
      </c>
      <c r="GS117" s="48">
        <v>0</v>
      </c>
      <c r="GT117" s="48">
        <v>0</v>
      </c>
      <c r="GU117" s="48">
        <v>0</v>
      </c>
      <c r="GV117" s="48">
        <v>0</v>
      </c>
      <c r="GW117" s="48">
        <v>0</v>
      </c>
      <c r="GX117" s="48">
        <v>0</v>
      </c>
      <c r="GY117" s="48">
        <v>0</v>
      </c>
      <c r="GZ117" s="48">
        <v>0</v>
      </c>
      <c r="HA117" s="48">
        <v>0</v>
      </c>
      <c r="HB117" s="48">
        <v>0</v>
      </c>
      <c r="HC117" s="48">
        <v>0</v>
      </c>
      <c r="HD117" s="48">
        <v>0</v>
      </c>
      <c r="HE117" s="48">
        <v>0</v>
      </c>
      <c r="HF117" s="48">
        <v>0</v>
      </c>
      <c r="HG117" s="48">
        <v>0</v>
      </c>
      <c r="HH117" s="48">
        <v>0</v>
      </c>
      <c r="HI117" s="48">
        <v>0</v>
      </c>
      <c r="HJ117" s="48">
        <v>0</v>
      </c>
      <c r="HK117" s="48">
        <v>0</v>
      </c>
      <c r="HL117" s="48">
        <v>0</v>
      </c>
      <c r="HM117" s="48">
        <v>0</v>
      </c>
      <c r="HN117" s="48">
        <v>0</v>
      </c>
      <c r="HO117" s="48">
        <v>0</v>
      </c>
      <c r="HP117" s="48">
        <v>0</v>
      </c>
      <c r="HQ117" s="48">
        <v>0</v>
      </c>
      <c r="HR117" s="48">
        <v>0</v>
      </c>
      <c r="HS117" s="48">
        <v>0</v>
      </c>
      <c r="HT117" s="48">
        <v>0</v>
      </c>
      <c r="HU117" s="48">
        <v>0</v>
      </c>
      <c r="HV117" s="48">
        <v>0</v>
      </c>
      <c r="HW117" s="48">
        <v>0</v>
      </c>
      <c r="HX117" s="48">
        <v>0</v>
      </c>
      <c r="HY117" s="48">
        <v>0</v>
      </c>
      <c r="HZ117" s="48">
        <v>0</v>
      </c>
      <c r="IA117" s="48">
        <v>0</v>
      </c>
      <c r="IB117" s="48">
        <v>0</v>
      </c>
      <c r="IC117" s="48">
        <v>0</v>
      </c>
      <c r="ID117" s="48">
        <v>0</v>
      </c>
      <c r="IE117" s="48">
        <v>0</v>
      </c>
      <c r="IF117" s="48">
        <v>0</v>
      </c>
      <c r="IG117" s="48">
        <v>0</v>
      </c>
      <c r="IH117" s="48">
        <v>0</v>
      </c>
      <c r="II117" s="48">
        <v>0</v>
      </c>
      <c r="IJ117" s="48">
        <v>0</v>
      </c>
      <c r="IK117" s="48">
        <v>6.6857313780762206</v>
      </c>
      <c r="IL117" s="48">
        <v>11.886021860427807</v>
      </c>
      <c r="IM117" s="48">
        <v>13.556152820305474</v>
      </c>
      <c r="IN117" s="48">
        <v>7.3195900585073046</v>
      </c>
      <c r="IO117" s="48">
        <v>0</v>
      </c>
      <c r="IP117" s="23">
        <v>19548.999999999709</v>
      </c>
      <c r="IQ117" s="25">
        <v>57380</v>
      </c>
      <c r="IR117" s="25">
        <v>0</v>
      </c>
      <c r="IS117" s="26">
        <v>0</v>
      </c>
      <c r="IT117" s="26">
        <v>0</v>
      </c>
      <c r="IU117" s="26">
        <v>-8727</v>
      </c>
      <c r="IV117" s="9">
        <v>186076</v>
      </c>
      <c r="IW117" s="38">
        <f t="shared" si="5"/>
        <v>254277.99999999971</v>
      </c>
    </row>
    <row r="118" spans="1:257" ht="30" customHeight="1" x14ac:dyDescent="0.25">
      <c r="A118" s="112" t="b">
        <v>0</v>
      </c>
      <c r="B118" s="113" t="b">
        <f>IFERROR(VLOOKUP(C118,'Bridge matrix'!$D$3:$E$727,2,FALSE)='symmetric IOT 245 2012'!D118,"FALSCH")</f>
        <v>1</v>
      </c>
      <c r="C118" s="108">
        <v>112</v>
      </c>
      <c r="D118" s="49" t="s">
        <v>1427</v>
      </c>
      <c r="E118" s="48">
        <v>0</v>
      </c>
      <c r="F118" s="48">
        <v>0</v>
      </c>
      <c r="G118" s="48">
        <v>0</v>
      </c>
      <c r="H118" s="48">
        <v>0</v>
      </c>
      <c r="I118" s="48">
        <v>0</v>
      </c>
      <c r="J118" s="48">
        <v>0</v>
      </c>
      <c r="K118" s="48">
        <v>0</v>
      </c>
      <c r="L118" s="48">
        <v>0</v>
      </c>
      <c r="M118" s="48">
        <v>0</v>
      </c>
      <c r="N118" s="48">
        <v>0</v>
      </c>
      <c r="O118" s="48">
        <v>0</v>
      </c>
      <c r="P118" s="48">
        <v>0</v>
      </c>
      <c r="Q118" s="48">
        <v>0</v>
      </c>
      <c r="R118" s="48">
        <v>0</v>
      </c>
      <c r="S118" s="48">
        <v>0</v>
      </c>
      <c r="T118" s="48">
        <v>0</v>
      </c>
      <c r="U118" s="48">
        <v>0</v>
      </c>
      <c r="V118" s="48">
        <v>0</v>
      </c>
      <c r="W118" s="48">
        <v>0</v>
      </c>
      <c r="X118" s="48">
        <v>0</v>
      </c>
      <c r="Y118" s="48">
        <v>0</v>
      </c>
      <c r="Z118" s="48">
        <v>0</v>
      </c>
      <c r="AA118" s="48">
        <v>0</v>
      </c>
      <c r="AB118" s="48">
        <v>0</v>
      </c>
      <c r="AC118" s="48">
        <v>0</v>
      </c>
      <c r="AD118" s="48">
        <v>0</v>
      </c>
      <c r="AE118" s="48">
        <v>0</v>
      </c>
      <c r="AF118" s="48">
        <v>0</v>
      </c>
      <c r="AG118" s="48">
        <v>0</v>
      </c>
      <c r="AH118" s="48">
        <v>0</v>
      </c>
      <c r="AI118" s="48">
        <v>0</v>
      </c>
      <c r="AJ118" s="48">
        <v>0</v>
      </c>
      <c r="AK118" s="48">
        <v>0</v>
      </c>
      <c r="AL118" s="48">
        <v>0</v>
      </c>
      <c r="AM118" s="48">
        <v>0</v>
      </c>
      <c r="AN118" s="48">
        <v>0</v>
      </c>
      <c r="AO118" s="48">
        <v>0</v>
      </c>
      <c r="AP118" s="48">
        <v>0</v>
      </c>
      <c r="AQ118" s="48">
        <v>0</v>
      </c>
      <c r="AR118" s="48">
        <v>0</v>
      </c>
      <c r="AS118" s="48">
        <v>0</v>
      </c>
      <c r="AT118" s="48">
        <v>0</v>
      </c>
      <c r="AU118" s="48">
        <v>0</v>
      </c>
      <c r="AV118" s="48">
        <v>0</v>
      </c>
      <c r="AW118" s="48">
        <v>0</v>
      </c>
      <c r="AX118" s="48">
        <v>0</v>
      </c>
      <c r="AY118" s="48">
        <v>0</v>
      </c>
      <c r="AZ118" s="48">
        <v>0</v>
      </c>
      <c r="BA118" s="48">
        <v>0</v>
      </c>
      <c r="BB118" s="48">
        <v>0</v>
      </c>
      <c r="BC118" s="48">
        <v>0</v>
      </c>
      <c r="BD118" s="48">
        <v>0</v>
      </c>
      <c r="BE118" s="48">
        <v>613.59329553969246</v>
      </c>
      <c r="BF118" s="48">
        <v>0</v>
      </c>
      <c r="BG118" s="48">
        <v>0</v>
      </c>
      <c r="BH118" s="48">
        <v>0</v>
      </c>
      <c r="BI118" s="48">
        <v>0</v>
      </c>
      <c r="BJ118" s="48">
        <v>0</v>
      </c>
      <c r="BK118" s="48">
        <v>0</v>
      </c>
      <c r="BL118" s="48">
        <v>0</v>
      </c>
      <c r="BM118" s="48">
        <v>0</v>
      </c>
      <c r="BN118" s="48">
        <v>0</v>
      </c>
      <c r="BO118" s="48">
        <v>0</v>
      </c>
      <c r="BP118" s="48">
        <v>0</v>
      </c>
      <c r="BQ118" s="48">
        <v>0</v>
      </c>
      <c r="BR118" s="48">
        <v>0</v>
      </c>
      <c r="BS118" s="48">
        <v>0</v>
      </c>
      <c r="BT118" s="48">
        <v>0</v>
      </c>
      <c r="BU118" s="48">
        <v>0</v>
      </c>
      <c r="BV118" s="48">
        <v>0</v>
      </c>
      <c r="BW118" s="48">
        <v>0</v>
      </c>
      <c r="BX118" s="48">
        <v>0</v>
      </c>
      <c r="BY118" s="48">
        <v>0</v>
      </c>
      <c r="BZ118" s="48">
        <v>0</v>
      </c>
      <c r="CA118" s="48">
        <v>0</v>
      </c>
      <c r="CB118" s="48">
        <v>0</v>
      </c>
      <c r="CC118" s="48">
        <v>101.80754318182051</v>
      </c>
      <c r="CD118" s="48">
        <v>0</v>
      </c>
      <c r="CE118" s="48">
        <v>0</v>
      </c>
      <c r="CF118" s="48">
        <v>0</v>
      </c>
      <c r="CG118" s="48">
        <v>0</v>
      </c>
      <c r="CH118" s="48">
        <v>0</v>
      </c>
      <c r="CI118" s="48">
        <v>0</v>
      </c>
      <c r="CJ118" s="48">
        <v>0</v>
      </c>
      <c r="CK118" s="48">
        <v>0</v>
      </c>
      <c r="CL118" s="48">
        <v>0</v>
      </c>
      <c r="CM118" s="48">
        <v>0</v>
      </c>
      <c r="CN118" s="48">
        <v>828.55633662202638</v>
      </c>
      <c r="CO118" s="48">
        <v>24.455059161512043</v>
      </c>
      <c r="CP118" s="48">
        <v>0</v>
      </c>
      <c r="CQ118" s="48">
        <v>0</v>
      </c>
      <c r="CR118" s="48">
        <v>113.64588290889525</v>
      </c>
      <c r="CS118" s="48">
        <v>3.1354205903955581</v>
      </c>
      <c r="CT118" s="48">
        <v>13.369873076691027</v>
      </c>
      <c r="CU118" s="48">
        <v>12.912650187841942</v>
      </c>
      <c r="CV118" s="48">
        <v>15.971463781766616</v>
      </c>
      <c r="CW118" s="48">
        <v>0</v>
      </c>
      <c r="CX118" s="48">
        <v>0</v>
      </c>
      <c r="CY118" s="48">
        <v>71.702643771648027</v>
      </c>
      <c r="CZ118" s="48">
        <v>5.3658240024494974</v>
      </c>
      <c r="DA118" s="48">
        <v>0</v>
      </c>
      <c r="DB118" s="48">
        <v>9364.5083651465084</v>
      </c>
      <c r="DC118" s="48">
        <v>0</v>
      </c>
      <c r="DD118" s="48">
        <v>1273.9270597963966</v>
      </c>
      <c r="DE118" s="48">
        <v>2263.8531396558237</v>
      </c>
      <c r="DF118" s="48">
        <v>0</v>
      </c>
      <c r="DG118" s="48">
        <v>4.6763992015782296</v>
      </c>
      <c r="DH118" s="48">
        <v>93.441103585474977</v>
      </c>
      <c r="DI118" s="48">
        <v>150.70395458590025</v>
      </c>
      <c r="DJ118" s="48">
        <v>6042.1646274225423</v>
      </c>
      <c r="DK118" s="48">
        <v>100.73547790460212</v>
      </c>
      <c r="DL118" s="48">
        <v>0</v>
      </c>
      <c r="DM118" s="48">
        <v>351.7832960925349</v>
      </c>
      <c r="DN118" s="48">
        <v>14.56889510825609</v>
      </c>
      <c r="DO118" s="48">
        <v>0</v>
      </c>
      <c r="DP118" s="48">
        <v>0</v>
      </c>
      <c r="DQ118" s="48">
        <v>0</v>
      </c>
      <c r="DR118" s="48">
        <v>0</v>
      </c>
      <c r="DS118" s="48">
        <v>0</v>
      </c>
      <c r="DT118" s="48">
        <v>0</v>
      </c>
      <c r="DU118" s="48">
        <v>0</v>
      </c>
      <c r="DV118" s="48">
        <v>0</v>
      </c>
      <c r="DW118" s="48">
        <v>0</v>
      </c>
      <c r="DX118" s="48">
        <v>0</v>
      </c>
      <c r="DY118" s="48">
        <v>0</v>
      </c>
      <c r="DZ118" s="48">
        <v>0</v>
      </c>
      <c r="EA118" s="48">
        <v>0</v>
      </c>
      <c r="EB118" s="48">
        <v>0</v>
      </c>
      <c r="EC118" s="48">
        <v>0</v>
      </c>
      <c r="ED118" s="48">
        <v>0</v>
      </c>
      <c r="EE118" s="48">
        <v>0</v>
      </c>
      <c r="EF118" s="48">
        <v>0</v>
      </c>
      <c r="EG118" s="48">
        <v>0</v>
      </c>
      <c r="EH118" s="48">
        <v>0</v>
      </c>
      <c r="EI118" s="48">
        <v>0</v>
      </c>
      <c r="EJ118" s="48">
        <v>0</v>
      </c>
      <c r="EK118" s="48">
        <v>0</v>
      </c>
      <c r="EL118" s="48">
        <v>3.6508311604006429E-5</v>
      </c>
      <c r="EM118" s="48">
        <v>225.41412190236349</v>
      </c>
      <c r="EN118" s="48">
        <v>1.639886137539067</v>
      </c>
      <c r="EO118" s="48">
        <v>0</v>
      </c>
      <c r="EP118" s="48">
        <v>1.0004734019964835E-4</v>
      </c>
      <c r="EQ118" s="48">
        <v>0</v>
      </c>
      <c r="ER118" s="48">
        <v>0</v>
      </c>
      <c r="ES118" s="48">
        <v>0</v>
      </c>
      <c r="ET118" s="48">
        <v>0.15055821917870046</v>
      </c>
      <c r="EU118" s="48">
        <v>0</v>
      </c>
      <c r="EV118" s="48">
        <v>0</v>
      </c>
      <c r="EW118" s="48">
        <v>0</v>
      </c>
      <c r="EX118" s="48">
        <v>97.821040486531473</v>
      </c>
      <c r="EY118" s="48">
        <v>6.8952601819757788</v>
      </c>
      <c r="EZ118" s="48">
        <v>7.2650370177896981</v>
      </c>
      <c r="FA118" s="48">
        <v>0</v>
      </c>
      <c r="FB118" s="48">
        <v>0</v>
      </c>
      <c r="FC118" s="48">
        <v>0</v>
      </c>
      <c r="FD118" s="48">
        <v>1.2396587243057176E-6</v>
      </c>
      <c r="FE118" s="48">
        <v>0</v>
      </c>
      <c r="FF118" s="48">
        <v>0</v>
      </c>
      <c r="FG118" s="48">
        <v>3.1818542980965276E-7</v>
      </c>
      <c r="FH118" s="48">
        <v>2.2808358281783068E-7</v>
      </c>
      <c r="FI118" s="48">
        <v>3.5323275095883141E-7</v>
      </c>
      <c r="FJ118" s="48">
        <v>0</v>
      </c>
      <c r="FK118" s="48">
        <v>0</v>
      </c>
      <c r="FL118" s="48">
        <v>0</v>
      </c>
      <c r="FM118" s="48">
        <v>0</v>
      </c>
      <c r="FN118" s="48">
        <v>0</v>
      </c>
      <c r="FO118" s="48">
        <v>0</v>
      </c>
      <c r="FP118" s="48">
        <v>0</v>
      </c>
      <c r="FQ118" s="48">
        <v>8.6240657244292989E-4</v>
      </c>
      <c r="FR118" s="48">
        <v>6.0831090329260361E-8</v>
      </c>
      <c r="FS118" s="48">
        <v>0</v>
      </c>
      <c r="FT118" s="48">
        <v>1.6569200744356022E-8</v>
      </c>
      <c r="FU118" s="48">
        <v>0</v>
      </c>
      <c r="FV118" s="48">
        <v>0</v>
      </c>
      <c r="FW118" s="48">
        <v>0</v>
      </c>
      <c r="FX118" s="48">
        <v>0</v>
      </c>
      <c r="FY118" s="48">
        <v>0</v>
      </c>
      <c r="FZ118" s="48">
        <v>0</v>
      </c>
      <c r="GA118" s="48">
        <v>0</v>
      </c>
      <c r="GB118" s="48">
        <v>0</v>
      </c>
      <c r="GC118" s="48">
        <v>0</v>
      </c>
      <c r="GD118" s="48">
        <v>0</v>
      </c>
      <c r="GE118" s="48">
        <v>2193.4286227988387</v>
      </c>
      <c r="GF118" s="48">
        <v>5255.4227482907572</v>
      </c>
      <c r="GG118" s="48">
        <v>203.91261023222717</v>
      </c>
      <c r="GH118" s="48">
        <v>172.03666160497119</v>
      </c>
      <c r="GI118" s="48">
        <v>0</v>
      </c>
      <c r="GJ118" s="48">
        <v>23.300843632268045</v>
      </c>
      <c r="GK118" s="48">
        <v>48.248262862928037</v>
      </c>
      <c r="GL118" s="48">
        <v>48.244544501852069</v>
      </c>
      <c r="GM118" s="48">
        <v>33.944719167645111</v>
      </c>
      <c r="GN118" s="48">
        <v>1.2877195179845442</v>
      </c>
      <c r="GO118" s="48">
        <v>11.5511451747889</v>
      </c>
      <c r="GP118" s="48">
        <v>5.1513792714221198</v>
      </c>
      <c r="GQ118" s="48">
        <v>38.635755329567132</v>
      </c>
      <c r="GR118" s="48">
        <v>0</v>
      </c>
      <c r="GS118" s="48">
        <v>113.94157644863756</v>
      </c>
      <c r="GT118" s="48">
        <v>0</v>
      </c>
      <c r="GU118" s="48">
        <v>0</v>
      </c>
      <c r="GV118" s="48">
        <v>0</v>
      </c>
      <c r="GW118" s="48">
        <v>0</v>
      </c>
      <c r="GX118" s="48">
        <v>1.3468559660795418E-6</v>
      </c>
      <c r="GY118" s="48">
        <v>0</v>
      </c>
      <c r="GZ118" s="48">
        <v>0</v>
      </c>
      <c r="HA118" s="48">
        <v>0</v>
      </c>
      <c r="HB118" s="48">
        <v>233.31293376363067</v>
      </c>
      <c r="HC118" s="48">
        <v>526.97525697738615</v>
      </c>
      <c r="HD118" s="48">
        <v>178.04296207740066</v>
      </c>
      <c r="HE118" s="48">
        <v>0</v>
      </c>
      <c r="HF118" s="48">
        <v>0</v>
      </c>
      <c r="HG118" s="48">
        <v>0</v>
      </c>
      <c r="HH118" s="48">
        <v>0</v>
      </c>
      <c r="HI118" s="48">
        <v>0</v>
      </c>
      <c r="HJ118" s="48">
        <v>0</v>
      </c>
      <c r="HK118" s="48">
        <v>0</v>
      </c>
      <c r="HL118" s="48">
        <v>0</v>
      </c>
      <c r="HM118" s="48">
        <v>0</v>
      </c>
      <c r="HN118" s="48">
        <v>0</v>
      </c>
      <c r="HO118" s="48">
        <v>0</v>
      </c>
      <c r="HP118" s="48">
        <v>0</v>
      </c>
      <c r="HQ118" s="48">
        <v>0</v>
      </c>
      <c r="HR118" s="48">
        <v>0</v>
      </c>
      <c r="HS118" s="48">
        <v>0</v>
      </c>
      <c r="HT118" s="48">
        <v>0</v>
      </c>
      <c r="HU118" s="48">
        <v>0</v>
      </c>
      <c r="HV118" s="48">
        <v>0</v>
      </c>
      <c r="HW118" s="48">
        <v>0</v>
      </c>
      <c r="HX118" s="48">
        <v>371.33962256327317</v>
      </c>
      <c r="HY118" s="48">
        <v>315.0549779080967</v>
      </c>
      <c r="HZ118" s="48">
        <v>467.60620000953838</v>
      </c>
      <c r="IA118" s="48">
        <v>131.52917241259686</v>
      </c>
      <c r="IB118" s="48">
        <v>6.3825667361027412</v>
      </c>
      <c r="IC118" s="48">
        <v>0</v>
      </c>
      <c r="ID118" s="48">
        <v>0</v>
      </c>
      <c r="IE118" s="48">
        <v>0</v>
      </c>
      <c r="IF118" s="48">
        <v>0</v>
      </c>
      <c r="IG118" s="48">
        <v>1032.1319354248399</v>
      </c>
      <c r="IH118" s="48">
        <v>34.643018541297522</v>
      </c>
      <c r="II118" s="48">
        <v>32.222515100246667</v>
      </c>
      <c r="IJ118" s="48">
        <v>0</v>
      </c>
      <c r="IK118" s="48">
        <v>0</v>
      </c>
      <c r="IL118" s="48">
        <v>449.84077764987467</v>
      </c>
      <c r="IM118" s="48">
        <v>540.64445776741638</v>
      </c>
      <c r="IN118" s="48">
        <v>287.10179643878678</v>
      </c>
      <c r="IO118" s="48">
        <v>0</v>
      </c>
      <c r="IP118" s="23">
        <v>34559.999999999745</v>
      </c>
      <c r="IQ118" s="25">
        <v>298233</v>
      </c>
      <c r="IR118" s="25">
        <v>0</v>
      </c>
      <c r="IS118" s="26">
        <v>0</v>
      </c>
      <c r="IT118" s="26">
        <v>0</v>
      </c>
      <c r="IU118" s="26">
        <v>-7369</v>
      </c>
      <c r="IV118" s="9">
        <v>579830</v>
      </c>
      <c r="IW118" s="38">
        <f t="shared" si="5"/>
        <v>905253.99999999977</v>
      </c>
    </row>
    <row r="119" spans="1:257" ht="30" customHeight="1" x14ac:dyDescent="0.25">
      <c r="A119" s="112" t="b">
        <v>0</v>
      </c>
      <c r="B119" s="113" t="b">
        <f>IFERROR(VLOOKUP(C119,'Bridge matrix'!$D$3:$E$727,2,FALSE)='symmetric IOT 245 2012'!D119,"FALSCH")</f>
        <v>1</v>
      </c>
      <c r="C119" s="108">
        <v>113</v>
      </c>
      <c r="D119" s="49" t="s">
        <v>1428</v>
      </c>
      <c r="E119" s="48">
        <v>0</v>
      </c>
      <c r="F119" s="48">
        <v>0</v>
      </c>
      <c r="G119" s="48">
        <v>0</v>
      </c>
      <c r="H119" s="48">
        <v>0</v>
      </c>
      <c r="I119" s="48">
        <v>0</v>
      </c>
      <c r="J119" s="48">
        <v>0</v>
      </c>
      <c r="K119" s="48">
        <v>0</v>
      </c>
      <c r="L119" s="48">
        <v>0</v>
      </c>
      <c r="M119" s="48">
        <v>0</v>
      </c>
      <c r="N119" s="48">
        <v>0</v>
      </c>
      <c r="O119" s="48">
        <v>0</v>
      </c>
      <c r="P119" s="48">
        <v>0</v>
      </c>
      <c r="Q119" s="48">
        <v>0</v>
      </c>
      <c r="R119" s="48">
        <v>0</v>
      </c>
      <c r="S119" s="48">
        <v>0</v>
      </c>
      <c r="T119" s="48">
        <v>0</v>
      </c>
      <c r="U119" s="48">
        <v>0</v>
      </c>
      <c r="V119" s="48">
        <v>0</v>
      </c>
      <c r="W119" s="48">
        <v>0</v>
      </c>
      <c r="X119" s="48">
        <v>0</v>
      </c>
      <c r="Y119" s="48">
        <v>0</v>
      </c>
      <c r="Z119" s="48">
        <v>0</v>
      </c>
      <c r="AA119" s="48">
        <v>0</v>
      </c>
      <c r="AB119" s="48">
        <v>0</v>
      </c>
      <c r="AC119" s="48">
        <v>0</v>
      </c>
      <c r="AD119" s="48">
        <v>0</v>
      </c>
      <c r="AE119" s="48">
        <v>0</v>
      </c>
      <c r="AF119" s="48">
        <v>0</v>
      </c>
      <c r="AG119" s="48">
        <v>0</v>
      </c>
      <c r="AH119" s="48">
        <v>0</v>
      </c>
      <c r="AI119" s="48">
        <v>0</v>
      </c>
      <c r="AJ119" s="48">
        <v>0</v>
      </c>
      <c r="AK119" s="48">
        <v>0</v>
      </c>
      <c r="AL119" s="48">
        <v>0</v>
      </c>
      <c r="AM119" s="48">
        <v>0</v>
      </c>
      <c r="AN119" s="48">
        <v>0</v>
      </c>
      <c r="AO119" s="48">
        <v>0</v>
      </c>
      <c r="AP119" s="48">
        <v>0</v>
      </c>
      <c r="AQ119" s="48">
        <v>0</v>
      </c>
      <c r="AR119" s="48">
        <v>0</v>
      </c>
      <c r="AS119" s="48">
        <v>0</v>
      </c>
      <c r="AT119" s="48">
        <v>0</v>
      </c>
      <c r="AU119" s="48">
        <v>0</v>
      </c>
      <c r="AV119" s="48">
        <v>0</v>
      </c>
      <c r="AW119" s="48">
        <v>0</v>
      </c>
      <c r="AX119" s="48">
        <v>0</v>
      </c>
      <c r="AY119" s="48">
        <v>0</v>
      </c>
      <c r="AZ119" s="48">
        <v>0</v>
      </c>
      <c r="BA119" s="48">
        <v>0</v>
      </c>
      <c r="BB119" s="48">
        <v>0</v>
      </c>
      <c r="BC119" s="48">
        <v>0</v>
      </c>
      <c r="BD119" s="48">
        <v>0</v>
      </c>
      <c r="BE119" s="48">
        <v>0</v>
      </c>
      <c r="BF119" s="48">
        <v>0</v>
      </c>
      <c r="BG119" s="48">
        <v>0</v>
      </c>
      <c r="BH119" s="48">
        <v>0</v>
      </c>
      <c r="BI119" s="48">
        <v>0</v>
      </c>
      <c r="BJ119" s="48">
        <v>0</v>
      </c>
      <c r="BK119" s="48">
        <v>0</v>
      </c>
      <c r="BL119" s="48">
        <v>0</v>
      </c>
      <c r="BM119" s="48">
        <v>0</v>
      </c>
      <c r="BN119" s="48">
        <v>0</v>
      </c>
      <c r="BO119" s="48">
        <v>0</v>
      </c>
      <c r="BP119" s="48">
        <v>0</v>
      </c>
      <c r="BQ119" s="48">
        <v>0</v>
      </c>
      <c r="BR119" s="48">
        <v>0</v>
      </c>
      <c r="BS119" s="48">
        <v>0</v>
      </c>
      <c r="BT119" s="48">
        <v>0</v>
      </c>
      <c r="BU119" s="48">
        <v>0</v>
      </c>
      <c r="BV119" s="48">
        <v>0</v>
      </c>
      <c r="BW119" s="48">
        <v>0</v>
      </c>
      <c r="BX119" s="48">
        <v>0</v>
      </c>
      <c r="BY119" s="48">
        <v>0</v>
      </c>
      <c r="BZ119" s="48">
        <v>0</v>
      </c>
      <c r="CA119" s="48">
        <v>0</v>
      </c>
      <c r="CB119" s="48">
        <v>0</v>
      </c>
      <c r="CC119" s="48">
        <v>0</v>
      </c>
      <c r="CD119" s="48">
        <v>0</v>
      </c>
      <c r="CE119" s="48">
        <v>0</v>
      </c>
      <c r="CF119" s="48">
        <v>0</v>
      </c>
      <c r="CG119" s="48">
        <v>0</v>
      </c>
      <c r="CH119" s="48">
        <v>0</v>
      </c>
      <c r="CI119" s="48">
        <v>6.6890625531851526</v>
      </c>
      <c r="CJ119" s="48">
        <v>6.1059506266702259</v>
      </c>
      <c r="CK119" s="48">
        <v>0.83769343701627397</v>
      </c>
      <c r="CL119" s="48">
        <v>0</v>
      </c>
      <c r="CM119" s="48">
        <v>2.5281514777621332</v>
      </c>
      <c r="CN119" s="48">
        <v>3.4096687634061551</v>
      </c>
      <c r="CO119" s="48">
        <v>0</v>
      </c>
      <c r="CP119" s="48">
        <v>0</v>
      </c>
      <c r="CQ119" s="48">
        <v>0</v>
      </c>
      <c r="CR119" s="48">
        <v>0</v>
      </c>
      <c r="CS119" s="48">
        <v>0</v>
      </c>
      <c r="CT119" s="48">
        <v>0</v>
      </c>
      <c r="CU119" s="48">
        <v>0</v>
      </c>
      <c r="CV119" s="48">
        <v>0</v>
      </c>
      <c r="CW119" s="48">
        <v>0</v>
      </c>
      <c r="CX119" s="48">
        <v>0</v>
      </c>
      <c r="CY119" s="48">
        <v>0</v>
      </c>
      <c r="CZ119" s="48">
        <v>0</v>
      </c>
      <c r="DA119" s="48">
        <v>2.7089964142276945E-5</v>
      </c>
      <c r="DB119" s="48">
        <v>0</v>
      </c>
      <c r="DC119" s="48">
        <v>0</v>
      </c>
      <c r="DD119" s="48">
        <v>1.9044271617193052</v>
      </c>
      <c r="DE119" s="48">
        <v>0</v>
      </c>
      <c r="DF119" s="48">
        <v>3.3172428932125624</v>
      </c>
      <c r="DG119" s="48">
        <v>0</v>
      </c>
      <c r="DH119" s="48">
        <v>1.6973458630054123</v>
      </c>
      <c r="DI119" s="48">
        <v>0</v>
      </c>
      <c r="DJ119" s="48">
        <v>45.541565786266773</v>
      </c>
      <c r="DK119" s="48">
        <v>0</v>
      </c>
      <c r="DL119" s="48">
        <v>29.381247648622679</v>
      </c>
      <c r="DM119" s="48">
        <v>16353.627893860281</v>
      </c>
      <c r="DN119" s="48">
        <v>0</v>
      </c>
      <c r="DO119" s="48">
        <v>0</v>
      </c>
      <c r="DP119" s="48">
        <v>0</v>
      </c>
      <c r="DQ119" s="48">
        <v>0</v>
      </c>
      <c r="DR119" s="48">
        <v>2.4788852342137534E-2</v>
      </c>
      <c r="DS119" s="48">
        <v>0</v>
      </c>
      <c r="DT119" s="48">
        <v>0</v>
      </c>
      <c r="DU119" s="48">
        <v>0</v>
      </c>
      <c r="DV119" s="48">
        <v>0</v>
      </c>
      <c r="DW119" s="48">
        <v>0</v>
      </c>
      <c r="DX119" s="48">
        <v>0</v>
      </c>
      <c r="DY119" s="48">
        <v>9.6652168256018989E-8</v>
      </c>
      <c r="DZ119" s="48">
        <v>0</v>
      </c>
      <c r="EA119" s="48">
        <v>67.336437429393499</v>
      </c>
      <c r="EB119" s="48">
        <v>4.01482866079572</v>
      </c>
      <c r="EC119" s="48">
        <v>6.5636976272223064</v>
      </c>
      <c r="ED119" s="48">
        <v>1533.0339629408747</v>
      </c>
      <c r="EE119" s="48">
        <v>431.57115154172357</v>
      </c>
      <c r="EF119" s="48">
        <v>1483.4746783197279</v>
      </c>
      <c r="EG119" s="48">
        <v>520.74832487458605</v>
      </c>
      <c r="EH119" s="48">
        <v>71.451037581609569</v>
      </c>
      <c r="EI119" s="48">
        <v>0</v>
      </c>
      <c r="EJ119" s="48">
        <v>13.059576690539828</v>
      </c>
      <c r="EK119" s="48">
        <v>0</v>
      </c>
      <c r="EL119" s="48">
        <v>4616.4959544303829</v>
      </c>
      <c r="EM119" s="48">
        <v>313.92258092536616</v>
      </c>
      <c r="EN119" s="48">
        <v>203.23444235622574</v>
      </c>
      <c r="EO119" s="48">
        <v>0</v>
      </c>
      <c r="EP119" s="48">
        <v>163.91174500846532</v>
      </c>
      <c r="EQ119" s="48">
        <v>0</v>
      </c>
      <c r="ER119" s="48">
        <v>0</v>
      </c>
      <c r="ES119" s="48">
        <v>1.1886414021259423E-4</v>
      </c>
      <c r="ET119" s="48">
        <v>0</v>
      </c>
      <c r="EU119" s="48">
        <v>0</v>
      </c>
      <c r="EV119" s="48">
        <v>0</v>
      </c>
      <c r="EW119" s="48">
        <v>1.3659782503322709E-3</v>
      </c>
      <c r="EX119" s="48">
        <v>0</v>
      </c>
      <c r="EY119" s="48">
        <v>0</v>
      </c>
      <c r="EZ119" s="48">
        <v>0</v>
      </c>
      <c r="FA119" s="48">
        <v>1.7014024540103596E-6</v>
      </c>
      <c r="FB119" s="48">
        <v>4.6645054410016061E-8</v>
      </c>
      <c r="FC119" s="48">
        <v>0</v>
      </c>
      <c r="FD119" s="48">
        <v>0</v>
      </c>
      <c r="FE119" s="48">
        <v>0</v>
      </c>
      <c r="FF119" s="48">
        <v>0</v>
      </c>
      <c r="FG119" s="48">
        <v>0</v>
      </c>
      <c r="FH119" s="48">
        <v>0</v>
      </c>
      <c r="FI119" s="48">
        <v>0</v>
      </c>
      <c r="FJ119" s="48">
        <v>0</v>
      </c>
      <c r="FK119" s="48">
        <v>0</v>
      </c>
      <c r="FL119" s="48">
        <v>0</v>
      </c>
      <c r="FM119" s="48">
        <v>8.8966219938133011E-3</v>
      </c>
      <c r="FN119" s="48">
        <v>0</v>
      </c>
      <c r="FO119" s="48">
        <v>0</v>
      </c>
      <c r="FP119" s="48">
        <v>0.37863147817858894</v>
      </c>
      <c r="FQ119" s="48">
        <v>0</v>
      </c>
      <c r="FR119" s="48">
        <v>0</v>
      </c>
      <c r="FS119" s="48">
        <v>0</v>
      </c>
      <c r="FT119" s="48">
        <v>0</v>
      </c>
      <c r="FU119" s="48">
        <v>0</v>
      </c>
      <c r="FV119" s="48">
        <v>3.1598255386979436E-7</v>
      </c>
      <c r="FW119" s="48">
        <v>0</v>
      </c>
      <c r="FX119" s="48">
        <v>0</v>
      </c>
      <c r="FY119" s="48">
        <v>0</v>
      </c>
      <c r="FZ119" s="48">
        <v>0</v>
      </c>
      <c r="GA119" s="48">
        <v>0</v>
      </c>
      <c r="GB119" s="48">
        <v>0</v>
      </c>
      <c r="GC119" s="48">
        <v>0</v>
      </c>
      <c r="GD119" s="48">
        <v>0</v>
      </c>
      <c r="GE119" s="48">
        <v>5285.9649340793012</v>
      </c>
      <c r="GF119" s="48">
        <v>34397.53647616633</v>
      </c>
      <c r="GG119" s="48">
        <v>0</v>
      </c>
      <c r="GH119" s="48">
        <v>0</v>
      </c>
      <c r="GI119" s="48">
        <v>0</v>
      </c>
      <c r="GJ119" s="48">
        <v>0</v>
      </c>
      <c r="GK119" s="48">
        <v>0</v>
      </c>
      <c r="GL119" s="48">
        <v>0</v>
      </c>
      <c r="GM119" s="48">
        <v>0</v>
      </c>
      <c r="GN119" s="48">
        <v>0</v>
      </c>
      <c r="GO119" s="48">
        <v>0</v>
      </c>
      <c r="GP119" s="48">
        <v>0</v>
      </c>
      <c r="GQ119" s="48">
        <v>0</v>
      </c>
      <c r="GR119" s="48">
        <v>0</v>
      </c>
      <c r="GS119" s="48">
        <v>0</v>
      </c>
      <c r="GT119" s="48">
        <v>0</v>
      </c>
      <c r="GU119" s="48">
        <v>0</v>
      </c>
      <c r="GV119" s="48">
        <v>0</v>
      </c>
      <c r="GW119" s="48">
        <v>0</v>
      </c>
      <c r="GX119" s="48">
        <v>0</v>
      </c>
      <c r="GY119" s="48">
        <v>0</v>
      </c>
      <c r="GZ119" s="48">
        <v>0</v>
      </c>
      <c r="HA119" s="48">
        <v>0</v>
      </c>
      <c r="HB119" s="48">
        <v>1.6882945547355215</v>
      </c>
      <c r="HC119" s="48">
        <v>2.5344130865182879</v>
      </c>
      <c r="HD119" s="48">
        <v>1.0551653402643024</v>
      </c>
      <c r="HE119" s="48">
        <v>1.6584008789289393</v>
      </c>
      <c r="HF119" s="48">
        <v>6.6789158558875696</v>
      </c>
      <c r="HG119" s="48">
        <v>6.6790025966978233</v>
      </c>
      <c r="HH119" s="48">
        <v>12.032068608426462</v>
      </c>
      <c r="HI119" s="48">
        <v>17.579195704598884</v>
      </c>
      <c r="HJ119" s="48">
        <v>20.038546544106531</v>
      </c>
      <c r="HK119" s="48">
        <v>0.83486988668018025</v>
      </c>
      <c r="HL119" s="48">
        <v>1.2898786204889112</v>
      </c>
      <c r="HM119" s="48">
        <v>6.5004175617185016</v>
      </c>
      <c r="HN119" s="48">
        <v>1.6697275204845869</v>
      </c>
      <c r="HO119" s="48">
        <v>8.3487704968716887</v>
      </c>
      <c r="HP119" s="48">
        <v>14.192786616926892</v>
      </c>
      <c r="HQ119" s="48">
        <v>2.5046439110471908</v>
      </c>
      <c r="HR119" s="48">
        <v>4.7587598735299768</v>
      </c>
      <c r="HS119" s="48">
        <v>8.3405187132289491</v>
      </c>
      <c r="HT119" s="48">
        <v>5.0091785435105534</v>
      </c>
      <c r="HU119" s="48">
        <v>6.6789713416268919</v>
      </c>
      <c r="HV119" s="48">
        <v>0</v>
      </c>
      <c r="HW119" s="48">
        <v>0</v>
      </c>
      <c r="HX119" s="48">
        <v>0</v>
      </c>
      <c r="HY119" s="48">
        <v>0</v>
      </c>
      <c r="HZ119" s="48">
        <v>0</v>
      </c>
      <c r="IA119" s="48">
        <v>0</v>
      </c>
      <c r="IB119" s="48">
        <v>0</v>
      </c>
      <c r="IC119" s="48">
        <v>0</v>
      </c>
      <c r="ID119" s="48">
        <v>0</v>
      </c>
      <c r="IE119" s="48">
        <v>0</v>
      </c>
      <c r="IF119" s="48">
        <v>0</v>
      </c>
      <c r="IG119" s="48">
        <v>0</v>
      </c>
      <c r="IH119" s="48">
        <v>0</v>
      </c>
      <c r="II119" s="48">
        <v>0</v>
      </c>
      <c r="IJ119" s="48">
        <v>2.3078147294675125E-3</v>
      </c>
      <c r="IK119" s="48">
        <v>1345.5350737464444</v>
      </c>
      <c r="IL119" s="48">
        <v>2360.5790010717888</v>
      </c>
      <c r="IM119" s="48">
        <v>2837.3720355727987</v>
      </c>
      <c r="IN119" s="48">
        <v>1506.6651457887833</v>
      </c>
      <c r="IO119" s="48">
        <v>0</v>
      </c>
      <c r="IP119" s="23">
        <v>73748.000000000044</v>
      </c>
      <c r="IQ119" s="25">
        <v>755712</v>
      </c>
      <c r="IR119" s="25">
        <v>0</v>
      </c>
      <c r="IS119" s="26">
        <v>0</v>
      </c>
      <c r="IT119" s="26">
        <v>0</v>
      </c>
      <c r="IU119" s="26">
        <v>-4087</v>
      </c>
      <c r="IV119" s="9">
        <v>27715</v>
      </c>
      <c r="IW119" s="38">
        <f t="shared" si="5"/>
        <v>853088</v>
      </c>
    </row>
    <row r="120" spans="1:257" ht="30" customHeight="1" x14ac:dyDescent="0.25">
      <c r="A120" s="112" t="b">
        <v>0</v>
      </c>
      <c r="B120" s="113" t="b">
        <f>IFERROR(VLOOKUP(C120,'Bridge matrix'!$D$3:$E$727,2,FALSE)='symmetric IOT 245 2012'!D120,"FALSCH")</f>
        <v>1</v>
      </c>
      <c r="C120" s="108">
        <v>114</v>
      </c>
      <c r="D120" s="49" t="s">
        <v>1429</v>
      </c>
      <c r="E120" s="48">
        <v>0</v>
      </c>
      <c r="F120" s="48">
        <v>0</v>
      </c>
      <c r="G120" s="48">
        <v>0</v>
      </c>
      <c r="H120" s="48">
        <v>0</v>
      </c>
      <c r="I120" s="48">
        <v>0</v>
      </c>
      <c r="J120" s="48">
        <v>0</v>
      </c>
      <c r="K120" s="48">
        <v>0</v>
      </c>
      <c r="L120" s="48">
        <v>0</v>
      </c>
      <c r="M120" s="48">
        <v>0</v>
      </c>
      <c r="N120" s="48">
        <v>0</v>
      </c>
      <c r="O120" s="48">
        <v>0</v>
      </c>
      <c r="P120" s="48">
        <v>0</v>
      </c>
      <c r="Q120" s="48">
        <v>0</v>
      </c>
      <c r="R120" s="48">
        <v>0</v>
      </c>
      <c r="S120" s="48">
        <v>0</v>
      </c>
      <c r="T120" s="48">
        <v>0</v>
      </c>
      <c r="U120" s="48">
        <v>0</v>
      </c>
      <c r="V120" s="48">
        <v>0</v>
      </c>
      <c r="W120" s="48">
        <v>0</v>
      </c>
      <c r="X120" s="48">
        <v>0</v>
      </c>
      <c r="Y120" s="48">
        <v>0</v>
      </c>
      <c r="Z120" s="48">
        <v>0</v>
      </c>
      <c r="AA120" s="48">
        <v>0</v>
      </c>
      <c r="AB120" s="48">
        <v>0</v>
      </c>
      <c r="AC120" s="48">
        <v>0</v>
      </c>
      <c r="AD120" s="48">
        <v>0</v>
      </c>
      <c r="AE120" s="48">
        <v>0</v>
      </c>
      <c r="AF120" s="48">
        <v>0</v>
      </c>
      <c r="AG120" s="48">
        <v>0</v>
      </c>
      <c r="AH120" s="48">
        <v>0</v>
      </c>
      <c r="AI120" s="48">
        <v>0</v>
      </c>
      <c r="AJ120" s="48">
        <v>0</v>
      </c>
      <c r="AK120" s="48">
        <v>0</v>
      </c>
      <c r="AL120" s="48">
        <v>0</v>
      </c>
      <c r="AM120" s="48">
        <v>0</v>
      </c>
      <c r="AN120" s="48">
        <v>0</v>
      </c>
      <c r="AO120" s="48">
        <v>0</v>
      </c>
      <c r="AP120" s="48">
        <v>0</v>
      </c>
      <c r="AQ120" s="48">
        <v>0</v>
      </c>
      <c r="AR120" s="48">
        <v>0</v>
      </c>
      <c r="AS120" s="48">
        <v>0</v>
      </c>
      <c r="AT120" s="48">
        <v>0</v>
      </c>
      <c r="AU120" s="48">
        <v>0</v>
      </c>
      <c r="AV120" s="48">
        <v>0</v>
      </c>
      <c r="AW120" s="48">
        <v>0</v>
      </c>
      <c r="AX120" s="48">
        <v>0</v>
      </c>
      <c r="AY120" s="48">
        <v>0</v>
      </c>
      <c r="AZ120" s="48">
        <v>0</v>
      </c>
      <c r="BA120" s="48">
        <v>0</v>
      </c>
      <c r="BB120" s="48">
        <v>0</v>
      </c>
      <c r="BC120" s="48">
        <v>0</v>
      </c>
      <c r="BD120" s="48">
        <v>0</v>
      </c>
      <c r="BE120" s="48">
        <v>0</v>
      </c>
      <c r="BF120" s="48">
        <v>0</v>
      </c>
      <c r="BG120" s="48">
        <v>0</v>
      </c>
      <c r="BH120" s="48">
        <v>0</v>
      </c>
      <c r="BI120" s="48">
        <v>0</v>
      </c>
      <c r="BJ120" s="48">
        <v>0</v>
      </c>
      <c r="BK120" s="48">
        <v>0</v>
      </c>
      <c r="BL120" s="48">
        <v>0</v>
      </c>
      <c r="BM120" s="48">
        <v>0</v>
      </c>
      <c r="BN120" s="48">
        <v>0</v>
      </c>
      <c r="BO120" s="48">
        <v>0</v>
      </c>
      <c r="BP120" s="48">
        <v>0</v>
      </c>
      <c r="BQ120" s="48">
        <v>0</v>
      </c>
      <c r="BR120" s="48">
        <v>0</v>
      </c>
      <c r="BS120" s="48">
        <v>0</v>
      </c>
      <c r="BT120" s="48">
        <v>0</v>
      </c>
      <c r="BU120" s="48">
        <v>0</v>
      </c>
      <c r="BV120" s="48">
        <v>0</v>
      </c>
      <c r="BW120" s="48">
        <v>0</v>
      </c>
      <c r="BX120" s="48">
        <v>0</v>
      </c>
      <c r="BY120" s="48">
        <v>0</v>
      </c>
      <c r="BZ120" s="48">
        <v>0</v>
      </c>
      <c r="CA120" s="48">
        <v>0</v>
      </c>
      <c r="CB120" s="48">
        <v>0</v>
      </c>
      <c r="CC120" s="48">
        <v>0</v>
      </c>
      <c r="CD120" s="48">
        <v>0</v>
      </c>
      <c r="CE120" s="48">
        <v>0</v>
      </c>
      <c r="CF120" s="48">
        <v>0</v>
      </c>
      <c r="CG120" s="48">
        <v>0</v>
      </c>
      <c r="CH120" s="48">
        <v>0</v>
      </c>
      <c r="CI120" s="48">
        <v>0</v>
      </c>
      <c r="CJ120" s="48">
        <v>0</v>
      </c>
      <c r="CK120" s="48">
        <v>0</v>
      </c>
      <c r="CL120" s="48">
        <v>0</v>
      </c>
      <c r="CM120" s="48">
        <v>1.7176984686581431E-10</v>
      </c>
      <c r="CN120" s="48">
        <v>624.61479439834011</v>
      </c>
      <c r="CO120" s="48">
        <v>0</v>
      </c>
      <c r="CP120" s="48">
        <v>0</v>
      </c>
      <c r="CQ120" s="48">
        <v>0</v>
      </c>
      <c r="CR120" s="48">
        <v>0</v>
      </c>
      <c r="CS120" s="48">
        <v>0</v>
      </c>
      <c r="CT120" s="48">
        <v>0</v>
      </c>
      <c r="CU120" s="48">
        <v>3.8690304675099928E-9</v>
      </c>
      <c r="CV120" s="48">
        <v>9.8365409653796723E-9</v>
      </c>
      <c r="CW120" s="48">
        <v>0</v>
      </c>
      <c r="CX120" s="48">
        <v>0</v>
      </c>
      <c r="CY120" s="48">
        <v>0</v>
      </c>
      <c r="CZ120" s="48">
        <v>0</v>
      </c>
      <c r="DA120" s="48">
        <v>1.4260030766928606E-10</v>
      </c>
      <c r="DB120" s="48">
        <v>0</v>
      </c>
      <c r="DC120" s="48">
        <v>0</v>
      </c>
      <c r="DD120" s="48">
        <v>0</v>
      </c>
      <c r="DE120" s="48">
        <v>2.8997562549279955E-7</v>
      </c>
      <c r="DF120" s="48">
        <v>0</v>
      </c>
      <c r="DG120" s="48">
        <v>0</v>
      </c>
      <c r="DH120" s="48">
        <v>0</v>
      </c>
      <c r="DI120" s="48">
        <v>0</v>
      </c>
      <c r="DJ120" s="48">
        <v>3.577416618103747E-7</v>
      </c>
      <c r="DK120" s="48">
        <v>0</v>
      </c>
      <c r="DL120" s="48">
        <v>1.5466151717279231E-4</v>
      </c>
      <c r="DM120" s="48">
        <v>45.555330329875019</v>
      </c>
      <c r="DN120" s="48">
        <v>0</v>
      </c>
      <c r="DO120" s="48">
        <v>0</v>
      </c>
      <c r="DP120" s="48">
        <v>0</v>
      </c>
      <c r="DQ120" s="48">
        <v>0</v>
      </c>
      <c r="DR120" s="48">
        <v>5.5269214222396993E-4</v>
      </c>
      <c r="DS120" s="48">
        <v>0</v>
      </c>
      <c r="DT120" s="48">
        <v>0</v>
      </c>
      <c r="DU120" s="48">
        <v>0</v>
      </c>
      <c r="DV120" s="48">
        <v>0</v>
      </c>
      <c r="DW120" s="48">
        <v>0</v>
      </c>
      <c r="DX120" s="48">
        <v>0</v>
      </c>
      <c r="DY120" s="48">
        <v>2.076264129857995E-9</v>
      </c>
      <c r="DZ120" s="48">
        <v>0</v>
      </c>
      <c r="EA120" s="48">
        <v>0</v>
      </c>
      <c r="EB120" s="48">
        <v>5.7795392629564615E-3</v>
      </c>
      <c r="EC120" s="48">
        <v>0</v>
      </c>
      <c r="ED120" s="48">
        <v>0</v>
      </c>
      <c r="EE120" s="48">
        <v>0</v>
      </c>
      <c r="EF120" s="48">
        <v>0</v>
      </c>
      <c r="EG120" s="48">
        <v>0</v>
      </c>
      <c r="EH120" s="48">
        <v>0</v>
      </c>
      <c r="EI120" s="48">
        <v>3.227430960971306E-8</v>
      </c>
      <c r="EJ120" s="48">
        <v>1.9223845919100957E-10</v>
      </c>
      <c r="EK120" s="48">
        <v>0</v>
      </c>
      <c r="EL120" s="48">
        <v>0</v>
      </c>
      <c r="EM120" s="48">
        <v>0</v>
      </c>
      <c r="EN120" s="48">
        <v>0</v>
      </c>
      <c r="EO120" s="48">
        <v>0</v>
      </c>
      <c r="EP120" s="48">
        <v>0</v>
      </c>
      <c r="EQ120" s="48">
        <v>0</v>
      </c>
      <c r="ER120" s="48">
        <v>0</v>
      </c>
      <c r="ES120" s="48">
        <v>2.4981553392748685E-6</v>
      </c>
      <c r="ET120" s="48">
        <v>0</v>
      </c>
      <c r="EU120" s="48">
        <v>0</v>
      </c>
      <c r="EV120" s="48">
        <v>0</v>
      </c>
      <c r="EW120" s="48">
        <v>0</v>
      </c>
      <c r="EX120" s="48">
        <v>1.4456545736109398E-3</v>
      </c>
      <c r="EY120" s="48">
        <v>1.1132059825855848E-7</v>
      </c>
      <c r="EZ120" s="48">
        <v>0</v>
      </c>
      <c r="FA120" s="48">
        <v>3.6549218062048851E-8</v>
      </c>
      <c r="FB120" s="48">
        <v>1.0020205749259063E-9</v>
      </c>
      <c r="FC120" s="48">
        <v>0</v>
      </c>
      <c r="FD120" s="48">
        <v>0</v>
      </c>
      <c r="FE120" s="48">
        <v>0</v>
      </c>
      <c r="FF120" s="48">
        <v>0</v>
      </c>
      <c r="FG120" s="48">
        <v>0</v>
      </c>
      <c r="FH120" s="48">
        <v>0</v>
      </c>
      <c r="FI120" s="48">
        <v>0</v>
      </c>
      <c r="FJ120" s="48">
        <v>0</v>
      </c>
      <c r="FK120" s="48">
        <v>0</v>
      </c>
      <c r="FL120" s="48">
        <v>0</v>
      </c>
      <c r="FM120" s="48">
        <v>1.9111563457722877E-4</v>
      </c>
      <c r="FN120" s="48">
        <v>0</v>
      </c>
      <c r="FO120" s="48">
        <v>0</v>
      </c>
      <c r="FP120" s="48">
        <v>8.1336934312397809E-3</v>
      </c>
      <c r="FQ120" s="48">
        <v>1.4798812942360438E-8</v>
      </c>
      <c r="FR120" s="48">
        <v>0</v>
      </c>
      <c r="FS120" s="48">
        <v>0</v>
      </c>
      <c r="FT120" s="48">
        <v>0</v>
      </c>
      <c r="FU120" s="48">
        <v>0</v>
      </c>
      <c r="FV120" s="48">
        <v>6.7878792930746939E-9</v>
      </c>
      <c r="FW120" s="48">
        <v>0</v>
      </c>
      <c r="FX120" s="48">
        <v>0</v>
      </c>
      <c r="FY120" s="48">
        <v>0</v>
      </c>
      <c r="FZ120" s="48">
        <v>0</v>
      </c>
      <c r="GA120" s="48">
        <v>0</v>
      </c>
      <c r="GB120" s="48">
        <v>0</v>
      </c>
      <c r="GC120" s="48">
        <v>0</v>
      </c>
      <c r="GD120" s="48">
        <v>0</v>
      </c>
      <c r="GE120" s="48">
        <v>523.66454994560672</v>
      </c>
      <c r="GF120" s="48">
        <v>30822.85651051746</v>
      </c>
      <c r="GG120" s="48">
        <v>0</v>
      </c>
      <c r="GH120" s="48">
        <v>0</v>
      </c>
      <c r="GI120" s="48">
        <v>0</v>
      </c>
      <c r="GJ120" s="48">
        <v>0</v>
      </c>
      <c r="GK120" s="48">
        <v>0</v>
      </c>
      <c r="GL120" s="48">
        <v>0</v>
      </c>
      <c r="GM120" s="48">
        <v>0</v>
      </c>
      <c r="GN120" s="48">
        <v>0</v>
      </c>
      <c r="GO120" s="48">
        <v>0</v>
      </c>
      <c r="GP120" s="48">
        <v>0</v>
      </c>
      <c r="GQ120" s="48">
        <v>0</v>
      </c>
      <c r="GR120" s="48">
        <v>0</v>
      </c>
      <c r="GS120" s="48">
        <v>0</v>
      </c>
      <c r="GT120" s="48">
        <v>0</v>
      </c>
      <c r="GU120" s="48">
        <v>0</v>
      </c>
      <c r="GV120" s="48">
        <v>0</v>
      </c>
      <c r="GW120" s="48">
        <v>0</v>
      </c>
      <c r="GX120" s="48">
        <v>0</v>
      </c>
      <c r="GY120" s="48">
        <v>0</v>
      </c>
      <c r="GZ120" s="48">
        <v>0</v>
      </c>
      <c r="HA120" s="48">
        <v>0</v>
      </c>
      <c r="HB120" s="48">
        <v>2.1302337441777319</v>
      </c>
      <c r="HC120" s="48">
        <v>5.6850451187952977</v>
      </c>
      <c r="HD120" s="48">
        <v>1.7751632318053856</v>
      </c>
      <c r="HE120" s="48">
        <v>2.0925149013596491</v>
      </c>
      <c r="HF120" s="48">
        <v>10.534041505692905</v>
      </c>
      <c r="HG120" s="48">
        <v>9.8318997597506339</v>
      </c>
      <c r="HH120" s="48">
        <v>18.796344363945</v>
      </c>
      <c r="HI120" s="48">
        <v>27.461995676571959</v>
      </c>
      <c r="HJ120" s="48">
        <v>31.604953041041789</v>
      </c>
      <c r="HK120" s="48">
        <v>1.4045479600428845</v>
      </c>
      <c r="HL120" s="48">
        <v>2.1700344137632617</v>
      </c>
      <c r="HM120" s="48">
        <v>10.936013349390594</v>
      </c>
      <c r="HN120" s="48">
        <v>2.8090753063926095</v>
      </c>
      <c r="HO120" s="48">
        <v>13.343320102288493</v>
      </c>
      <c r="HP120" s="48">
        <v>22.472765054258048</v>
      </c>
      <c r="HQ120" s="48">
        <v>3.5114179187488817</v>
      </c>
      <c r="HR120" s="48">
        <v>7.2053333356540294</v>
      </c>
      <c r="HS120" s="48">
        <v>12.628547637907387</v>
      </c>
      <c r="HT120" s="48">
        <v>7.7249508962715021</v>
      </c>
      <c r="HU120" s="48">
        <v>10.534129018261366</v>
      </c>
      <c r="HV120" s="48">
        <v>0</v>
      </c>
      <c r="HW120" s="48">
        <v>0</v>
      </c>
      <c r="HX120" s="48">
        <v>424.60805866575953</v>
      </c>
      <c r="HY120" s="48">
        <v>361.18736772261582</v>
      </c>
      <c r="HZ120" s="48">
        <v>534.88267732511554</v>
      </c>
      <c r="IA120" s="48">
        <v>151.24084253830233</v>
      </c>
      <c r="IB120" s="48">
        <v>7.7350622054893341</v>
      </c>
      <c r="IC120" s="48">
        <v>0</v>
      </c>
      <c r="ID120" s="48">
        <v>0</v>
      </c>
      <c r="IE120" s="48">
        <v>0</v>
      </c>
      <c r="IF120" s="48">
        <v>0</v>
      </c>
      <c r="IG120" s="48">
        <v>204.60029477927054</v>
      </c>
      <c r="IH120" s="48">
        <v>14.967570307457109</v>
      </c>
      <c r="II120" s="48">
        <v>4.1765364037585666</v>
      </c>
      <c r="IJ120" s="48">
        <v>3.6052387827041317E-3</v>
      </c>
      <c r="IK120" s="48">
        <v>675.65452694350279</v>
      </c>
      <c r="IL120" s="48">
        <v>1180.0468786850531</v>
      </c>
      <c r="IM120" s="48">
        <v>1418.3433692396363</v>
      </c>
      <c r="IN120" s="48">
        <v>753.19343769620627</v>
      </c>
      <c r="IO120" s="48">
        <v>0</v>
      </c>
      <c r="IP120" s="23">
        <v>37951.999999999796</v>
      </c>
      <c r="IQ120" s="25">
        <v>562843</v>
      </c>
      <c r="IR120" s="25">
        <v>0</v>
      </c>
      <c r="IS120" s="26">
        <v>0</v>
      </c>
      <c r="IT120" s="26">
        <v>0</v>
      </c>
      <c r="IU120" s="26">
        <v>36229</v>
      </c>
      <c r="IV120" s="9">
        <v>1188</v>
      </c>
      <c r="IW120" s="38">
        <f t="shared" si="5"/>
        <v>638211.99999999977</v>
      </c>
    </row>
    <row r="121" spans="1:257" ht="30" customHeight="1" x14ac:dyDescent="0.25">
      <c r="A121" s="112" t="b">
        <v>0</v>
      </c>
      <c r="B121" s="113" t="b">
        <f>IFERROR(VLOOKUP(C121,'Bridge matrix'!$D$3:$E$727,2,FALSE)='symmetric IOT 245 2012'!D121,"FALSCH")</f>
        <v>1</v>
      </c>
      <c r="C121" s="108">
        <v>115</v>
      </c>
      <c r="D121" s="49" t="s">
        <v>1430</v>
      </c>
      <c r="E121" s="48">
        <v>0</v>
      </c>
      <c r="F121" s="48">
        <v>0</v>
      </c>
      <c r="G121" s="48">
        <v>0</v>
      </c>
      <c r="H121" s="48">
        <v>0</v>
      </c>
      <c r="I121" s="48">
        <v>0</v>
      </c>
      <c r="J121" s="48">
        <v>0</v>
      </c>
      <c r="K121" s="48">
        <v>0</v>
      </c>
      <c r="L121" s="48">
        <v>0</v>
      </c>
      <c r="M121" s="48">
        <v>0</v>
      </c>
      <c r="N121" s="48">
        <v>0</v>
      </c>
      <c r="O121" s="48">
        <v>0</v>
      </c>
      <c r="P121" s="48">
        <v>0</v>
      </c>
      <c r="Q121" s="48">
        <v>0</v>
      </c>
      <c r="R121" s="48">
        <v>0</v>
      </c>
      <c r="S121" s="48">
        <v>0</v>
      </c>
      <c r="T121" s="48">
        <v>0</v>
      </c>
      <c r="U121" s="48">
        <v>0</v>
      </c>
      <c r="V121" s="48">
        <v>0</v>
      </c>
      <c r="W121" s="48">
        <v>0</v>
      </c>
      <c r="X121" s="48">
        <v>0</v>
      </c>
      <c r="Y121" s="48">
        <v>0</v>
      </c>
      <c r="Z121" s="48">
        <v>0</v>
      </c>
      <c r="AA121" s="48">
        <v>0</v>
      </c>
      <c r="AB121" s="48">
        <v>0</v>
      </c>
      <c r="AC121" s="48">
        <v>0</v>
      </c>
      <c r="AD121" s="48">
        <v>0</v>
      </c>
      <c r="AE121" s="48">
        <v>0</v>
      </c>
      <c r="AF121" s="48">
        <v>0</v>
      </c>
      <c r="AG121" s="48">
        <v>0</v>
      </c>
      <c r="AH121" s="48">
        <v>0</v>
      </c>
      <c r="AI121" s="48">
        <v>0</v>
      </c>
      <c r="AJ121" s="48">
        <v>0</v>
      </c>
      <c r="AK121" s="48">
        <v>0</v>
      </c>
      <c r="AL121" s="48">
        <v>0</v>
      </c>
      <c r="AM121" s="48">
        <v>0</v>
      </c>
      <c r="AN121" s="48">
        <v>0</v>
      </c>
      <c r="AO121" s="48">
        <v>0</v>
      </c>
      <c r="AP121" s="48">
        <v>0</v>
      </c>
      <c r="AQ121" s="48">
        <v>0</v>
      </c>
      <c r="AR121" s="48">
        <v>0</v>
      </c>
      <c r="AS121" s="48">
        <v>0</v>
      </c>
      <c r="AT121" s="48">
        <v>0</v>
      </c>
      <c r="AU121" s="48">
        <v>0</v>
      </c>
      <c r="AV121" s="48">
        <v>0</v>
      </c>
      <c r="AW121" s="48">
        <v>0</v>
      </c>
      <c r="AX121" s="48">
        <v>0</v>
      </c>
      <c r="AY121" s="48">
        <v>0</v>
      </c>
      <c r="AZ121" s="48">
        <v>0</v>
      </c>
      <c r="BA121" s="48">
        <v>0</v>
      </c>
      <c r="BB121" s="48">
        <v>0</v>
      </c>
      <c r="BC121" s="48">
        <v>0</v>
      </c>
      <c r="BD121" s="48">
        <v>0</v>
      </c>
      <c r="BE121" s="48">
        <v>0</v>
      </c>
      <c r="BF121" s="48">
        <v>0</v>
      </c>
      <c r="BG121" s="48">
        <v>0</v>
      </c>
      <c r="BH121" s="48">
        <v>0</v>
      </c>
      <c r="BI121" s="48">
        <v>0</v>
      </c>
      <c r="BJ121" s="48">
        <v>0</v>
      </c>
      <c r="BK121" s="48">
        <v>0</v>
      </c>
      <c r="BL121" s="48">
        <v>0</v>
      </c>
      <c r="BM121" s="48">
        <v>0</v>
      </c>
      <c r="BN121" s="48">
        <v>0</v>
      </c>
      <c r="BO121" s="48">
        <v>0</v>
      </c>
      <c r="BP121" s="48">
        <v>0</v>
      </c>
      <c r="BQ121" s="48">
        <v>0</v>
      </c>
      <c r="BR121" s="48">
        <v>0</v>
      </c>
      <c r="BS121" s="48">
        <v>0</v>
      </c>
      <c r="BT121" s="48">
        <v>0</v>
      </c>
      <c r="BU121" s="48">
        <v>0</v>
      </c>
      <c r="BV121" s="48">
        <v>0</v>
      </c>
      <c r="BW121" s="48">
        <v>0</v>
      </c>
      <c r="BX121" s="48">
        <v>0</v>
      </c>
      <c r="BY121" s="48">
        <v>0</v>
      </c>
      <c r="BZ121" s="48">
        <v>0</v>
      </c>
      <c r="CA121" s="48">
        <v>0</v>
      </c>
      <c r="CB121" s="48">
        <v>0</v>
      </c>
      <c r="CC121" s="48">
        <v>0</v>
      </c>
      <c r="CD121" s="48">
        <v>0</v>
      </c>
      <c r="CE121" s="48">
        <v>0</v>
      </c>
      <c r="CF121" s="48">
        <v>0</v>
      </c>
      <c r="CG121" s="48">
        <v>0</v>
      </c>
      <c r="CH121" s="48">
        <v>0</v>
      </c>
      <c r="CI121" s="48">
        <v>0</v>
      </c>
      <c r="CJ121" s="48">
        <v>0</v>
      </c>
      <c r="CK121" s="48">
        <v>0</v>
      </c>
      <c r="CL121" s="48">
        <v>0</v>
      </c>
      <c r="CM121" s="48">
        <v>0</v>
      </c>
      <c r="CN121" s="48">
        <v>0</v>
      </c>
      <c r="CO121" s="48">
        <v>0</v>
      </c>
      <c r="CP121" s="48">
        <v>0</v>
      </c>
      <c r="CQ121" s="48">
        <v>0</v>
      </c>
      <c r="CR121" s="48">
        <v>0</v>
      </c>
      <c r="CS121" s="48">
        <v>0</v>
      </c>
      <c r="CT121" s="48">
        <v>0</v>
      </c>
      <c r="CU121" s="48">
        <v>0</v>
      </c>
      <c r="CV121" s="48">
        <v>0</v>
      </c>
      <c r="CW121" s="48">
        <v>0</v>
      </c>
      <c r="CX121" s="48">
        <v>0</v>
      </c>
      <c r="CY121" s="48">
        <v>0</v>
      </c>
      <c r="CZ121" s="48">
        <v>0</v>
      </c>
      <c r="DA121" s="48">
        <v>0</v>
      </c>
      <c r="DB121" s="48">
        <v>0</v>
      </c>
      <c r="DC121" s="48">
        <v>0</v>
      </c>
      <c r="DD121" s="48">
        <v>0</v>
      </c>
      <c r="DE121" s="48">
        <v>0</v>
      </c>
      <c r="DF121" s="48">
        <v>0</v>
      </c>
      <c r="DG121" s="48">
        <v>0</v>
      </c>
      <c r="DH121" s="48">
        <v>0</v>
      </c>
      <c r="DI121" s="48">
        <v>0</v>
      </c>
      <c r="DJ121" s="48">
        <v>0</v>
      </c>
      <c r="DK121" s="48">
        <v>0</v>
      </c>
      <c r="DL121" s="48">
        <v>0</v>
      </c>
      <c r="DM121" s="48">
        <v>0</v>
      </c>
      <c r="DN121" s="48">
        <v>0</v>
      </c>
      <c r="DO121" s="48">
        <v>0</v>
      </c>
      <c r="DP121" s="48">
        <v>0</v>
      </c>
      <c r="DQ121" s="48">
        <v>0</v>
      </c>
      <c r="DR121" s="48">
        <v>0</v>
      </c>
      <c r="DS121" s="48">
        <v>0</v>
      </c>
      <c r="DT121" s="48">
        <v>0</v>
      </c>
      <c r="DU121" s="48">
        <v>0</v>
      </c>
      <c r="DV121" s="48">
        <v>0</v>
      </c>
      <c r="DW121" s="48">
        <v>0</v>
      </c>
      <c r="DX121" s="48">
        <v>0</v>
      </c>
      <c r="DY121" s="48">
        <v>0</v>
      </c>
      <c r="DZ121" s="48">
        <v>0</v>
      </c>
      <c r="EA121" s="48">
        <v>0</v>
      </c>
      <c r="EB121" s="48">
        <v>0</v>
      </c>
      <c r="EC121" s="48">
        <v>0</v>
      </c>
      <c r="ED121" s="48">
        <v>0</v>
      </c>
      <c r="EE121" s="48">
        <v>0</v>
      </c>
      <c r="EF121" s="48">
        <v>0</v>
      </c>
      <c r="EG121" s="48">
        <v>0</v>
      </c>
      <c r="EH121" s="48">
        <v>0</v>
      </c>
      <c r="EI121" s="48">
        <v>0</v>
      </c>
      <c r="EJ121" s="48">
        <v>0</v>
      </c>
      <c r="EK121" s="48">
        <v>0</v>
      </c>
      <c r="EL121" s="48">
        <v>0</v>
      </c>
      <c r="EM121" s="48">
        <v>0</v>
      </c>
      <c r="EN121" s="48">
        <v>0</v>
      </c>
      <c r="EO121" s="48">
        <v>0</v>
      </c>
      <c r="EP121" s="48">
        <v>0</v>
      </c>
      <c r="EQ121" s="48">
        <v>0</v>
      </c>
      <c r="ER121" s="48">
        <v>0</v>
      </c>
      <c r="ES121" s="48">
        <v>0</v>
      </c>
      <c r="ET121" s="48">
        <v>0</v>
      </c>
      <c r="EU121" s="48">
        <v>0</v>
      </c>
      <c r="EV121" s="48">
        <v>0</v>
      </c>
      <c r="EW121" s="48">
        <v>0</v>
      </c>
      <c r="EX121" s="48">
        <v>0</v>
      </c>
      <c r="EY121" s="48">
        <v>0</v>
      </c>
      <c r="EZ121" s="48">
        <v>0</v>
      </c>
      <c r="FA121" s="48">
        <v>0</v>
      </c>
      <c r="FB121" s="48">
        <v>0</v>
      </c>
      <c r="FC121" s="48">
        <v>0</v>
      </c>
      <c r="FD121" s="48">
        <v>0</v>
      </c>
      <c r="FE121" s="48">
        <v>0</v>
      </c>
      <c r="FF121" s="48">
        <v>0</v>
      </c>
      <c r="FG121" s="48">
        <v>0</v>
      </c>
      <c r="FH121" s="48">
        <v>0</v>
      </c>
      <c r="FI121" s="48">
        <v>0</v>
      </c>
      <c r="FJ121" s="48">
        <v>0</v>
      </c>
      <c r="FK121" s="48">
        <v>0</v>
      </c>
      <c r="FL121" s="48">
        <v>0</v>
      </c>
      <c r="FM121" s="48">
        <v>0</v>
      </c>
      <c r="FN121" s="48">
        <v>0</v>
      </c>
      <c r="FO121" s="48">
        <v>0</v>
      </c>
      <c r="FP121" s="48">
        <v>0</v>
      </c>
      <c r="FQ121" s="48">
        <v>0</v>
      </c>
      <c r="FR121" s="48">
        <v>0</v>
      </c>
      <c r="FS121" s="48">
        <v>0</v>
      </c>
      <c r="FT121" s="48">
        <v>0</v>
      </c>
      <c r="FU121" s="48">
        <v>0</v>
      </c>
      <c r="FV121" s="48">
        <v>0</v>
      </c>
      <c r="FW121" s="48">
        <v>0</v>
      </c>
      <c r="FX121" s="48">
        <v>0</v>
      </c>
      <c r="FY121" s="48">
        <v>0</v>
      </c>
      <c r="FZ121" s="48">
        <v>0</v>
      </c>
      <c r="GA121" s="48">
        <v>0</v>
      </c>
      <c r="GB121" s="48">
        <v>0</v>
      </c>
      <c r="GC121" s="48">
        <v>0</v>
      </c>
      <c r="GD121" s="48">
        <v>0</v>
      </c>
      <c r="GE121" s="48">
        <v>0</v>
      </c>
      <c r="GF121" s="48">
        <v>0</v>
      </c>
      <c r="GG121" s="48">
        <v>0</v>
      </c>
      <c r="GH121" s="48">
        <v>0</v>
      </c>
      <c r="GI121" s="48">
        <v>0</v>
      </c>
      <c r="GJ121" s="48">
        <v>0</v>
      </c>
      <c r="GK121" s="48">
        <v>0</v>
      </c>
      <c r="GL121" s="48">
        <v>0</v>
      </c>
      <c r="GM121" s="48">
        <v>0</v>
      </c>
      <c r="GN121" s="48">
        <v>0</v>
      </c>
      <c r="GO121" s="48">
        <v>0</v>
      </c>
      <c r="GP121" s="48">
        <v>0</v>
      </c>
      <c r="GQ121" s="48">
        <v>0</v>
      </c>
      <c r="GR121" s="48">
        <v>0</v>
      </c>
      <c r="GS121" s="48">
        <v>0</v>
      </c>
      <c r="GT121" s="48">
        <v>0</v>
      </c>
      <c r="GU121" s="48">
        <v>0</v>
      </c>
      <c r="GV121" s="48">
        <v>0</v>
      </c>
      <c r="GW121" s="48">
        <v>0</v>
      </c>
      <c r="GX121" s="48">
        <v>0</v>
      </c>
      <c r="GY121" s="48">
        <v>0</v>
      </c>
      <c r="GZ121" s="48">
        <v>0</v>
      </c>
      <c r="HA121" s="48">
        <v>0</v>
      </c>
      <c r="HB121" s="48">
        <v>0</v>
      </c>
      <c r="HC121" s="48">
        <v>0</v>
      </c>
      <c r="HD121" s="48">
        <v>0</v>
      </c>
      <c r="HE121" s="48">
        <v>0</v>
      </c>
      <c r="HF121" s="48">
        <v>0</v>
      </c>
      <c r="HG121" s="48">
        <v>0</v>
      </c>
      <c r="HH121" s="48">
        <v>0</v>
      </c>
      <c r="HI121" s="48">
        <v>0</v>
      </c>
      <c r="HJ121" s="48">
        <v>0</v>
      </c>
      <c r="HK121" s="48">
        <v>0</v>
      </c>
      <c r="HL121" s="48">
        <v>0</v>
      </c>
      <c r="HM121" s="48">
        <v>0</v>
      </c>
      <c r="HN121" s="48">
        <v>0</v>
      </c>
      <c r="HO121" s="48">
        <v>0</v>
      </c>
      <c r="HP121" s="48">
        <v>0</v>
      </c>
      <c r="HQ121" s="48">
        <v>0</v>
      </c>
      <c r="HR121" s="48">
        <v>0</v>
      </c>
      <c r="HS121" s="48">
        <v>0</v>
      </c>
      <c r="HT121" s="48">
        <v>0</v>
      </c>
      <c r="HU121" s="48">
        <v>0</v>
      </c>
      <c r="HV121" s="48">
        <v>0</v>
      </c>
      <c r="HW121" s="48">
        <v>0</v>
      </c>
      <c r="HX121" s="48">
        <v>0</v>
      </c>
      <c r="HY121" s="48">
        <v>0</v>
      </c>
      <c r="HZ121" s="48">
        <v>0</v>
      </c>
      <c r="IA121" s="48">
        <v>0</v>
      </c>
      <c r="IB121" s="48">
        <v>0</v>
      </c>
      <c r="IC121" s="48">
        <v>0</v>
      </c>
      <c r="ID121" s="48">
        <v>0</v>
      </c>
      <c r="IE121" s="48">
        <v>0</v>
      </c>
      <c r="IF121" s="48">
        <v>0</v>
      </c>
      <c r="IG121" s="48">
        <v>0</v>
      </c>
      <c r="IH121" s="48">
        <v>0</v>
      </c>
      <c r="II121" s="48">
        <v>0</v>
      </c>
      <c r="IJ121" s="48">
        <v>0</v>
      </c>
      <c r="IK121" s="48">
        <v>0</v>
      </c>
      <c r="IL121" s="48">
        <v>0</v>
      </c>
      <c r="IM121" s="48">
        <v>0</v>
      </c>
      <c r="IN121" s="48">
        <v>0</v>
      </c>
      <c r="IO121" s="48">
        <v>0</v>
      </c>
      <c r="IP121" s="23">
        <v>0</v>
      </c>
      <c r="IQ121" s="25">
        <v>64184</v>
      </c>
      <c r="IR121" s="25">
        <v>0</v>
      </c>
      <c r="IS121" s="26">
        <v>0</v>
      </c>
      <c r="IT121" s="26">
        <v>0</v>
      </c>
      <c r="IU121" s="26">
        <v>7946</v>
      </c>
      <c r="IV121" s="9">
        <v>13801</v>
      </c>
      <c r="IW121" s="38">
        <f t="shared" si="5"/>
        <v>85931</v>
      </c>
    </row>
    <row r="122" spans="1:257" ht="30" customHeight="1" x14ac:dyDescent="0.25">
      <c r="A122" s="112" t="b">
        <v>0</v>
      </c>
      <c r="B122" s="113" t="b">
        <f>IFERROR(VLOOKUP(C122,'Bridge matrix'!$D$3:$E$727,2,FALSE)='symmetric IOT 245 2012'!D122,"FALSCH")</f>
        <v>1</v>
      </c>
      <c r="C122" s="108">
        <v>116</v>
      </c>
      <c r="D122" s="49" t="s">
        <v>1431</v>
      </c>
      <c r="E122" s="48">
        <v>0</v>
      </c>
      <c r="F122" s="48">
        <v>0</v>
      </c>
      <c r="G122" s="48">
        <v>0</v>
      </c>
      <c r="H122" s="48">
        <v>0</v>
      </c>
      <c r="I122" s="48">
        <v>0</v>
      </c>
      <c r="J122" s="48">
        <v>0</v>
      </c>
      <c r="K122" s="48">
        <v>0</v>
      </c>
      <c r="L122" s="48">
        <v>0</v>
      </c>
      <c r="M122" s="48">
        <v>0</v>
      </c>
      <c r="N122" s="48">
        <v>0</v>
      </c>
      <c r="O122" s="48">
        <v>0</v>
      </c>
      <c r="P122" s="48">
        <v>0</v>
      </c>
      <c r="Q122" s="48">
        <v>0</v>
      </c>
      <c r="R122" s="48">
        <v>0</v>
      </c>
      <c r="S122" s="48">
        <v>0</v>
      </c>
      <c r="T122" s="48">
        <v>0</v>
      </c>
      <c r="U122" s="48">
        <v>0</v>
      </c>
      <c r="V122" s="48">
        <v>0</v>
      </c>
      <c r="W122" s="48">
        <v>0</v>
      </c>
      <c r="X122" s="48">
        <v>0</v>
      </c>
      <c r="Y122" s="48">
        <v>0</v>
      </c>
      <c r="Z122" s="48">
        <v>0</v>
      </c>
      <c r="AA122" s="48">
        <v>0</v>
      </c>
      <c r="AB122" s="48">
        <v>0</v>
      </c>
      <c r="AC122" s="48">
        <v>0</v>
      </c>
      <c r="AD122" s="48">
        <v>0</v>
      </c>
      <c r="AE122" s="48">
        <v>0</v>
      </c>
      <c r="AF122" s="48">
        <v>0</v>
      </c>
      <c r="AG122" s="48">
        <v>0</v>
      </c>
      <c r="AH122" s="48">
        <v>0</v>
      </c>
      <c r="AI122" s="48">
        <v>0</v>
      </c>
      <c r="AJ122" s="48">
        <v>0</v>
      </c>
      <c r="AK122" s="48">
        <v>0</v>
      </c>
      <c r="AL122" s="48">
        <v>0</v>
      </c>
      <c r="AM122" s="48">
        <v>0</v>
      </c>
      <c r="AN122" s="48">
        <v>0</v>
      </c>
      <c r="AO122" s="48">
        <v>0</v>
      </c>
      <c r="AP122" s="48">
        <v>0</v>
      </c>
      <c r="AQ122" s="48">
        <v>0</v>
      </c>
      <c r="AR122" s="48">
        <v>0</v>
      </c>
      <c r="AS122" s="48">
        <v>0</v>
      </c>
      <c r="AT122" s="48">
        <v>0</v>
      </c>
      <c r="AU122" s="48">
        <v>0</v>
      </c>
      <c r="AV122" s="48">
        <v>0</v>
      </c>
      <c r="AW122" s="48">
        <v>0</v>
      </c>
      <c r="AX122" s="48">
        <v>0</v>
      </c>
      <c r="AY122" s="48">
        <v>0</v>
      </c>
      <c r="AZ122" s="48">
        <v>0</v>
      </c>
      <c r="BA122" s="48">
        <v>0</v>
      </c>
      <c r="BB122" s="48">
        <v>0</v>
      </c>
      <c r="BC122" s="48">
        <v>0</v>
      </c>
      <c r="BD122" s="48">
        <v>0</v>
      </c>
      <c r="BE122" s="48">
        <v>0</v>
      </c>
      <c r="BF122" s="48">
        <v>0</v>
      </c>
      <c r="BG122" s="48">
        <v>0</v>
      </c>
      <c r="BH122" s="48">
        <v>0</v>
      </c>
      <c r="BI122" s="48">
        <v>0</v>
      </c>
      <c r="BJ122" s="48">
        <v>0</v>
      </c>
      <c r="BK122" s="48">
        <v>0</v>
      </c>
      <c r="BL122" s="48">
        <v>0</v>
      </c>
      <c r="BM122" s="48">
        <v>0</v>
      </c>
      <c r="BN122" s="48">
        <v>0</v>
      </c>
      <c r="BO122" s="48">
        <v>0</v>
      </c>
      <c r="BP122" s="48">
        <v>0</v>
      </c>
      <c r="BQ122" s="48">
        <v>0</v>
      </c>
      <c r="BR122" s="48">
        <v>0</v>
      </c>
      <c r="BS122" s="48">
        <v>0</v>
      </c>
      <c r="BT122" s="48">
        <v>0</v>
      </c>
      <c r="BU122" s="48">
        <v>0</v>
      </c>
      <c r="BV122" s="48">
        <v>0</v>
      </c>
      <c r="BW122" s="48">
        <v>0</v>
      </c>
      <c r="BX122" s="48">
        <v>0</v>
      </c>
      <c r="BY122" s="48">
        <v>0</v>
      </c>
      <c r="BZ122" s="48">
        <v>0</v>
      </c>
      <c r="CA122" s="48">
        <v>0</v>
      </c>
      <c r="CB122" s="48">
        <v>0</v>
      </c>
      <c r="CC122" s="48">
        <v>0</v>
      </c>
      <c r="CD122" s="48">
        <v>0</v>
      </c>
      <c r="CE122" s="48">
        <v>0</v>
      </c>
      <c r="CF122" s="48">
        <v>0</v>
      </c>
      <c r="CG122" s="48">
        <v>0</v>
      </c>
      <c r="CH122" s="48">
        <v>0</v>
      </c>
      <c r="CI122" s="48">
        <v>0</v>
      </c>
      <c r="CJ122" s="48">
        <v>0</v>
      </c>
      <c r="CK122" s="48">
        <v>0</v>
      </c>
      <c r="CL122" s="48">
        <v>2.5068047185902163E-5</v>
      </c>
      <c r="CM122" s="48">
        <v>2.8007041509427165E-8</v>
      </c>
      <c r="CN122" s="48">
        <v>3.729705174220574E-5</v>
      </c>
      <c r="CO122" s="48">
        <v>0</v>
      </c>
      <c r="CP122" s="48">
        <v>0</v>
      </c>
      <c r="CQ122" s="48">
        <v>0</v>
      </c>
      <c r="CR122" s="48">
        <v>0</v>
      </c>
      <c r="CS122" s="48">
        <v>0</v>
      </c>
      <c r="CT122" s="48">
        <v>4.9927148839827458E-8</v>
      </c>
      <c r="CU122" s="48">
        <v>0.20623174908674571</v>
      </c>
      <c r="CV122" s="48">
        <v>0</v>
      </c>
      <c r="CW122" s="48">
        <v>0</v>
      </c>
      <c r="CX122" s="48">
        <v>4.6471312599073199E-9</v>
      </c>
      <c r="CY122" s="48">
        <v>0</v>
      </c>
      <c r="CZ122" s="48">
        <v>0</v>
      </c>
      <c r="DA122" s="48">
        <v>2.4100046757046264E-8</v>
      </c>
      <c r="DB122" s="48">
        <v>0</v>
      </c>
      <c r="DC122" s="48">
        <v>2.2359807110194838E-8</v>
      </c>
      <c r="DD122" s="48">
        <v>0</v>
      </c>
      <c r="DE122" s="48">
        <v>7.593894431351222</v>
      </c>
      <c r="DF122" s="48">
        <v>0</v>
      </c>
      <c r="DG122" s="48">
        <v>0</v>
      </c>
      <c r="DH122" s="48">
        <v>0</v>
      </c>
      <c r="DI122" s="48">
        <v>0</v>
      </c>
      <c r="DJ122" s="48">
        <v>0</v>
      </c>
      <c r="DK122" s="48">
        <v>0</v>
      </c>
      <c r="DL122" s="48">
        <v>2.6138441468333606E-2</v>
      </c>
      <c r="DM122" s="48">
        <v>0</v>
      </c>
      <c r="DN122" s="48">
        <v>0</v>
      </c>
      <c r="DO122" s="48">
        <v>0</v>
      </c>
      <c r="DP122" s="48">
        <v>4858.387256575119</v>
      </c>
      <c r="DQ122" s="48">
        <v>56850.162141724868</v>
      </c>
      <c r="DR122" s="48">
        <v>27720.462828603933</v>
      </c>
      <c r="DS122" s="48">
        <v>24362.286744619752</v>
      </c>
      <c r="DT122" s="48">
        <v>0</v>
      </c>
      <c r="DU122" s="48">
        <v>7.2933931611745431</v>
      </c>
      <c r="DV122" s="48">
        <v>252.60476279446729</v>
      </c>
      <c r="DW122" s="48">
        <v>0</v>
      </c>
      <c r="DX122" s="48">
        <v>0</v>
      </c>
      <c r="DY122" s="48">
        <v>0</v>
      </c>
      <c r="DZ122" s="48">
        <v>168.62297536579419</v>
      </c>
      <c r="EA122" s="48">
        <v>0</v>
      </c>
      <c r="EB122" s="48">
        <v>120.24979434075969</v>
      </c>
      <c r="EC122" s="48">
        <v>1.1021190711353928</v>
      </c>
      <c r="ED122" s="48">
        <v>0</v>
      </c>
      <c r="EE122" s="48">
        <v>0</v>
      </c>
      <c r="EF122" s="48">
        <v>0</v>
      </c>
      <c r="EG122" s="48">
        <v>0</v>
      </c>
      <c r="EH122" s="48">
        <v>0</v>
      </c>
      <c r="EI122" s="48">
        <v>0</v>
      </c>
      <c r="EJ122" s="48">
        <v>0</v>
      </c>
      <c r="EK122" s="48">
        <v>0</v>
      </c>
      <c r="EL122" s="48">
        <v>0.53474482938885004</v>
      </c>
      <c r="EM122" s="48">
        <v>24.333038342614493</v>
      </c>
      <c r="EN122" s="48">
        <v>0.60200813102512707</v>
      </c>
      <c r="EO122" s="48">
        <v>0</v>
      </c>
      <c r="EP122" s="48">
        <v>3.6727740364956011E-5</v>
      </c>
      <c r="EQ122" s="48">
        <v>0</v>
      </c>
      <c r="ER122" s="48">
        <v>1.0883134586375174</v>
      </c>
      <c r="ES122" s="48">
        <v>0</v>
      </c>
      <c r="ET122" s="48">
        <v>0</v>
      </c>
      <c r="EU122" s="48">
        <v>0</v>
      </c>
      <c r="EV122" s="48">
        <v>0</v>
      </c>
      <c r="EW122" s="48">
        <v>0</v>
      </c>
      <c r="EX122" s="48">
        <v>10.350869342539381</v>
      </c>
      <c r="EY122" s="48">
        <v>0</v>
      </c>
      <c r="EZ122" s="48">
        <v>0</v>
      </c>
      <c r="FA122" s="48">
        <v>1201.6496771153681</v>
      </c>
      <c r="FB122" s="48">
        <v>961.98826531135705</v>
      </c>
      <c r="FC122" s="48">
        <v>871.12023173530156</v>
      </c>
      <c r="FD122" s="48">
        <v>2413.5286985192342</v>
      </c>
      <c r="FE122" s="48">
        <v>279.49211340173622</v>
      </c>
      <c r="FF122" s="48">
        <v>12.7635842793199</v>
      </c>
      <c r="FG122" s="48">
        <v>1577.7097644750429</v>
      </c>
      <c r="FH122" s="48">
        <v>0</v>
      </c>
      <c r="FI122" s="48">
        <v>0</v>
      </c>
      <c r="FJ122" s="48">
        <v>0</v>
      </c>
      <c r="FK122" s="48">
        <v>0</v>
      </c>
      <c r="FL122" s="48">
        <v>0</v>
      </c>
      <c r="FM122" s="48">
        <v>44.787441966795917</v>
      </c>
      <c r="FN122" s="48">
        <v>0</v>
      </c>
      <c r="FO122" s="48">
        <v>0</v>
      </c>
      <c r="FP122" s="48">
        <v>0</v>
      </c>
      <c r="FQ122" s="48">
        <v>0</v>
      </c>
      <c r="FR122" s="48">
        <v>9320.158649551513</v>
      </c>
      <c r="FS122" s="48">
        <v>0</v>
      </c>
      <c r="FT122" s="48">
        <v>0</v>
      </c>
      <c r="FU122" s="48">
        <v>36.099528508203001</v>
      </c>
      <c r="FV122" s="48">
        <v>0</v>
      </c>
      <c r="FW122" s="48">
        <v>0</v>
      </c>
      <c r="FX122" s="48">
        <v>0</v>
      </c>
      <c r="FY122" s="48">
        <v>0</v>
      </c>
      <c r="FZ122" s="48">
        <v>0</v>
      </c>
      <c r="GA122" s="48">
        <v>0</v>
      </c>
      <c r="GB122" s="48">
        <v>0</v>
      </c>
      <c r="GC122" s="48">
        <v>0</v>
      </c>
      <c r="GD122" s="48">
        <v>0</v>
      </c>
      <c r="GE122" s="48">
        <v>0</v>
      </c>
      <c r="GF122" s="48">
        <v>0</v>
      </c>
      <c r="GG122" s="48">
        <v>0</v>
      </c>
      <c r="GH122" s="48">
        <v>0</v>
      </c>
      <c r="GI122" s="48">
        <v>0</v>
      </c>
      <c r="GJ122" s="48">
        <v>0</v>
      </c>
      <c r="GK122" s="48">
        <v>0</v>
      </c>
      <c r="GL122" s="48">
        <v>0</v>
      </c>
      <c r="GM122" s="48">
        <v>0</v>
      </c>
      <c r="GN122" s="48">
        <v>0</v>
      </c>
      <c r="GO122" s="48">
        <v>0</v>
      </c>
      <c r="GP122" s="48">
        <v>0</v>
      </c>
      <c r="GQ122" s="48">
        <v>0</v>
      </c>
      <c r="GR122" s="48">
        <v>0</v>
      </c>
      <c r="GS122" s="48">
        <v>4257.3205936371187</v>
      </c>
      <c r="GT122" s="48">
        <v>0</v>
      </c>
      <c r="GU122" s="48">
        <v>0</v>
      </c>
      <c r="GV122" s="48">
        <v>0</v>
      </c>
      <c r="GW122" s="48">
        <v>0</v>
      </c>
      <c r="GX122" s="48">
        <v>0</v>
      </c>
      <c r="GY122" s="48">
        <v>0</v>
      </c>
      <c r="GZ122" s="48">
        <v>82.474078650196304</v>
      </c>
      <c r="HA122" s="48">
        <v>0</v>
      </c>
      <c r="HB122" s="48">
        <v>0</v>
      </c>
      <c r="HC122" s="48">
        <v>0</v>
      </c>
      <c r="HD122" s="48">
        <v>0</v>
      </c>
      <c r="HE122" s="48">
        <v>0</v>
      </c>
      <c r="HF122" s="48">
        <v>0</v>
      </c>
      <c r="HG122" s="48">
        <v>0</v>
      </c>
      <c r="HH122" s="48">
        <v>0</v>
      </c>
      <c r="HI122" s="48">
        <v>0</v>
      </c>
      <c r="HJ122" s="48">
        <v>0</v>
      </c>
      <c r="HK122" s="48">
        <v>0</v>
      </c>
      <c r="HL122" s="48">
        <v>0</v>
      </c>
      <c r="HM122" s="48">
        <v>0</v>
      </c>
      <c r="HN122" s="48">
        <v>0</v>
      </c>
      <c r="HO122" s="48">
        <v>0</v>
      </c>
      <c r="HP122" s="48">
        <v>0</v>
      </c>
      <c r="HQ122" s="48">
        <v>0</v>
      </c>
      <c r="HR122" s="48">
        <v>0</v>
      </c>
      <c r="HS122" s="48">
        <v>0</v>
      </c>
      <c r="HT122" s="48">
        <v>0</v>
      </c>
      <c r="HU122" s="48">
        <v>0</v>
      </c>
      <c r="HV122" s="48">
        <v>0</v>
      </c>
      <c r="HW122" s="48">
        <v>0</v>
      </c>
      <c r="HX122" s="48">
        <v>0</v>
      </c>
      <c r="HY122" s="48">
        <v>0</v>
      </c>
      <c r="HZ122" s="48">
        <v>0</v>
      </c>
      <c r="IA122" s="48">
        <v>0</v>
      </c>
      <c r="IB122" s="48">
        <v>0</v>
      </c>
      <c r="IC122" s="48">
        <v>0</v>
      </c>
      <c r="ID122" s="48">
        <v>0</v>
      </c>
      <c r="IE122" s="48">
        <v>0</v>
      </c>
      <c r="IF122" s="48">
        <v>0</v>
      </c>
      <c r="IG122" s="48">
        <v>0</v>
      </c>
      <c r="IH122" s="48">
        <v>0</v>
      </c>
      <c r="II122" s="48">
        <v>0</v>
      </c>
      <c r="IJ122" s="48">
        <v>0</v>
      </c>
      <c r="IK122" s="48">
        <v>1.8643108580451035E-5</v>
      </c>
      <c r="IL122" s="48">
        <v>0</v>
      </c>
      <c r="IM122" s="48">
        <v>0</v>
      </c>
      <c r="IN122" s="48">
        <v>0</v>
      </c>
      <c r="IO122" s="48">
        <v>0</v>
      </c>
      <c r="IP122" s="23">
        <v>135444.9999999993</v>
      </c>
      <c r="IQ122" s="25">
        <v>34058</v>
      </c>
      <c r="IR122" s="25">
        <v>0</v>
      </c>
      <c r="IS122" s="26">
        <v>0</v>
      </c>
      <c r="IT122" s="26">
        <v>0</v>
      </c>
      <c r="IU122" s="26">
        <v>-603</v>
      </c>
      <c r="IV122" s="9">
        <v>26135</v>
      </c>
      <c r="IW122" s="38">
        <f t="shared" si="5"/>
        <v>195034.9999999993</v>
      </c>
    </row>
    <row r="123" spans="1:257" ht="30" customHeight="1" x14ac:dyDescent="0.25">
      <c r="A123" s="112" t="b">
        <v>0</v>
      </c>
      <c r="B123" s="113" t="b">
        <f>IFERROR(VLOOKUP(C123,'Bridge matrix'!$D$3:$E$727,2,FALSE)='symmetric IOT 245 2012'!D123,"FALSCH")</f>
        <v>1</v>
      </c>
      <c r="C123" s="108">
        <v>117</v>
      </c>
      <c r="D123" s="49" t="s">
        <v>1432</v>
      </c>
      <c r="E123" s="48">
        <v>0</v>
      </c>
      <c r="F123" s="48">
        <v>0</v>
      </c>
      <c r="G123" s="48">
        <v>0</v>
      </c>
      <c r="H123" s="48">
        <v>0</v>
      </c>
      <c r="I123" s="48">
        <v>0</v>
      </c>
      <c r="J123" s="48">
        <v>0</v>
      </c>
      <c r="K123" s="48">
        <v>0</v>
      </c>
      <c r="L123" s="48">
        <v>0</v>
      </c>
      <c r="M123" s="48">
        <v>0</v>
      </c>
      <c r="N123" s="48">
        <v>0</v>
      </c>
      <c r="O123" s="48">
        <v>0</v>
      </c>
      <c r="P123" s="48">
        <v>0</v>
      </c>
      <c r="Q123" s="48">
        <v>0</v>
      </c>
      <c r="R123" s="48">
        <v>0</v>
      </c>
      <c r="S123" s="48">
        <v>0</v>
      </c>
      <c r="T123" s="48">
        <v>0</v>
      </c>
      <c r="U123" s="48">
        <v>0</v>
      </c>
      <c r="V123" s="48">
        <v>0</v>
      </c>
      <c r="W123" s="48">
        <v>0</v>
      </c>
      <c r="X123" s="48">
        <v>0</v>
      </c>
      <c r="Y123" s="48">
        <v>0</v>
      </c>
      <c r="Z123" s="48">
        <v>0</v>
      </c>
      <c r="AA123" s="48">
        <v>0</v>
      </c>
      <c r="AB123" s="48">
        <v>0</v>
      </c>
      <c r="AC123" s="48">
        <v>0</v>
      </c>
      <c r="AD123" s="48">
        <v>0</v>
      </c>
      <c r="AE123" s="48">
        <v>0</v>
      </c>
      <c r="AF123" s="48">
        <v>0</v>
      </c>
      <c r="AG123" s="48">
        <v>0</v>
      </c>
      <c r="AH123" s="48">
        <v>0</v>
      </c>
      <c r="AI123" s="48">
        <v>0</v>
      </c>
      <c r="AJ123" s="48">
        <v>0</v>
      </c>
      <c r="AK123" s="48">
        <v>0</v>
      </c>
      <c r="AL123" s="48">
        <v>0</v>
      </c>
      <c r="AM123" s="48">
        <v>0</v>
      </c>
      <c r="AN123" s="48">
        <v>0</v>
      </c>
      <c r="AO123" s="48">
        <v>0</v>
      </c>
      <c r="AP123" s="48">
        <v>0</v>
      </c>
      <c r="AQ123" s="48">
        <v>0</v>
      </c>
      <c r="AR123" s="48">
        <v>0</v>
      </c>
      <c r="AS123" s="48">
        <v>0</v>
      </c>
      <c r="AT123" s="48">
        <v>0</v>
      </c>
      <c r="AU123" s="48">
        <v>0</v>
      </c>
      <c r="AV123" s="48">
        <v>0</v>
      </c>
      <c r="AW123" s="48">
        <v>0</v>
      </c>
      <c r="AX123" s="48">
        <v>0</v>
      </c>
      <c r="AY123" s="48">
        <v>0</v>
      </c>
      <c r="AZ123" s="48">
        <v>0</v>
      </c>
      <c r="BA123" s="48">
        <v>0</v>
      </c>
      <c r="BB123" s="48">
        <v>0</v>
      </c>
      <c r="BC123" s="48">
        <v>0</v>
      </c>
      <c r="BD123" s="48">
        <v>0</v>
      </c>
      <c r="BE123" s="48">
        <v>0</v>
      </c>
      <c r="BF123" s="48">
        <v>0</v>
      </c>
      <c r="BG123" s="48">
        <v>0</v>
      </c>
      <c r="BH123" s="48">
        <v>0</v>
      </c>
      <c r="BI123" s="48">
        <v>0</v>
      </c>
      <c r="BJ123" s="48">
        <v>0</v>
      </c>
      <c r="BK123" s="48">
        <v>0</v>
      </c>
      <c r="BL123" s="48">
        <v>0</v>
      </c>
      <c r="BM123" s="48">
        <v>0</v>
      </c>
      <c r="BN123" s="48">
        <v>0</v>
      </c>
      <c r="BO123" s="48">
        <v>0</v>
      </c>
      <c r="BP123" s="48">
        <v>0</v>
      </c>
      <c r="BQ123" s="48">
        <v>0</v>
      </c>
      <c r="BR123" s="48">
        <v>0</v>
      </c>
      <c r="BS123" s="48">
        <v>0</v>
      </c>
      <c r="BT123" s="48">
        <v>0</v>
      </c>
      <c r="BU123" s="48">
        <v>0</v>
      </c>
      <c r="BV123" s="48">
        <v>0</v>
      </c>
      <c r="BW123" s="48">
        <v>0</v>
      </c>
      <c r="BX123" s="48">
        <v>0</v>
      </c>
      <c r="BY123" s="48">
        <v>0</v>
      </c>
      <c r="BZ123" s="48">
        <v>0</v>
      </c>
      <c r="CA123" s="48">
        <v>0</v>
      </c>
      <c r="CB123" s="48">
        <v>0</v>
      </c>
      <c r="CC123" s="48">
        <v>0</v>
      </c>
      <c r="CD123" s="48">
        <v>0</v>
      </c>
      <c r="CE123" s="48">
        <v>0</v>
      </c>
      <c r="CF123" s="48">
        <v>0</v>
      </c>
      <c r="CG123" s="48">
        <v>0</v>
      </c>
      <c r="CH123" s="48">
        <v>0</v>
      </c>
      <c r="CI123" s="48">
        <v>0</v>
      </c>
      <c r="CJ123" s="48">
        <v>0</v>
      </c>
      <c r="CK123" s="48">
        <v>0</v>
      </c>
      <c r="CL123" s="48">
        <v>0</v>
      </c>
      <c r="CM123" s="48">
        <v>0</v>
      </c>
      <c r="CN123" s="48">
        <v>0</v>
      </c>
      <c r="CO123" s="48">
        <v>0</v>
      </c>
      <c r="CP123" s="48">
        <v>0</v>
      </c>
      <c r="CQ123" s="48">
        <v>0</v>
      </c>
      <c r="CR123" s="48">
        <v>0</v>
      </c>
      <c r="CS123" s="48">
        <v>0</v>
      </c>
      <c r="CT123" s="48">
        <v>0</v>
      </c>
      <c r="CU123" s="48">
        <v>0</v>
      </c>
      <c r="CV123" s="48">
        <v>0</v>
      </c>
      <c r="CW123" s="48">
        <v>0</v>
      </c>
      <c r="CX123" s="48">
        <v>0</v>
      </c>
      <c r="CY123" s="48">
        <v>0</v>
      </c>
      <c r="CZ123" s="48">
        <v>0</v>
      </c>
      <c r="DA123" s="48">
        <v>0</v>
      </c>
      <c r="DB123" s="48">
        <v>0</v>
      </c>
      <c r="DC123" s="48">
        <v>0</v>
      </c>
      <c r="DD123" s="48">
        <v>3.3910231935995738E-2</v>
      </c>
      <c r="DE123" s="48">
        <v>0</v>
      </c>
      <c r="DF123" s="48">
        <v>0</v>
      </c>
      <c r="DG123" s="48">
        <v>0</v>
      </c>
      <c r="DH123" s="48">
        <v>0</v>
      </c>
      <c r="DI123" s="48">
        <v>0</v>
      </c>
      <c r="DJ123" s="48">
        <v>0</v>
      </c>
      <c r="DK123" s="48">
        <v>0.15551428497914549</v>
      </c>
      <c r="DL123" s="48">
        <v>0</v>
      </c>
      <c r="DM123" s="48">
        <v>0</v>
      </c>
      <c r="DN123" s="48">
        <v>0</v>
      </c>
      <c r="DO123" s="48">
        <v>0</v>
      </c>
      <c r="DP123" s="48">
        <v>259.87209625865358</v>
      </c>
      <c r="DQ123" s="48">
        <v>178.29164994690694</v>
      </c>
      <c r="DR123" s="48">
        <v>2298.15102120445</v>
      </c>
      <c r="DS123" s="48">
        <v>178303.97116786981</v>
      </c>
      <c r="DT123" s="48">
        <v>0</v>
      </c>
      <c r="DU123" s="48">
        <v>5100.1480188865135</v>
      </c>
      <c r="DV123" s="48">
        <v>19535.744711197734</v>
      </c>
      <c r="DW123" s="48">
        <v>0</v>
      </c>
      <c r="DX123" s="48">
        <v>0</v>
      </c>
      <c r="DY123" s="48">
        <v>0</v>
      </c>
      <c r="DZ123" s="48">
        <v>56.101509855355914</v>
      </c>
      <c r="EA123" s="48">
        <v>0</v>
      </c>
      <c r="EB123" s="48">
        <v>3622.5876907327547</v>
      </c>
      <c r="EC123" s="48">
        <v>0</v>
      </c>
      <c r="ED123" s="48">
        <v>0</v>
      </c>
      <c r="EE123" s="48">
        <v>0</v>
      </c>
      <c r="EF123" s="48">
        <v>0</v>
      </c>
      <c r="EG123" s="48">
        <v>0</v>
      </c>
      <c r="EH123" s="48">
        <v>0</v>
      </c>
      <c r="EI123" s="48">
        <v>90.275674793017942</v>
      </c>
      <c r="EJ123" s="48">
        <v>94.76706226803168</v>
      </c>
      <c r="EK123" s="48">
        <v>37.607538387087445</v>
      </c>
      <c r="EL123" s="48">
        <v>0</v>
      </c>
      <c r="EM123" s="48">
        <v>0</v>
      </c>
      <c r="EN123" s="48">
        <v>0</v>
      </c>
      <c r="EO123" s="48">
        <v>0</v>
      </c>
      <c r="EP123" s="48">
        <v>0</v>
      </c>
      <c r="EQ123" s="48">
        <v>0</v>
      </c>
      <c r="ER123" s="48">
        <v>0</v>
      </c>
      <c r="ES123" s="48">
        <v>35.822752860773193</v>
      </c>
      <c r="ET123" s="48">
        <v>0</v>
      </c>
      <c r="EU123" s="48">
        <v>0</v>
      </c>
      <c r="EV123" s="48">
        <v>0</v>
      </c>
      <c r="EW123" s="48">
        <v>0</v>
      </c>
      <c r="EX123" s="48">
        <v>94.153387347746104</v>
      </c>
      <c r="EY123" s="48">
        <v>7.0042312061331335</v>
      </c>
      <c r="EZ123" s="48">
        <v>6.0993508683534676</v>
      </c>
      <c r="FA123" s="48">
        <v>0</v>
      </c>
      <c r="FB123" s="48">
        <v>0</v>
      </c>
      <c r="FC123" s="48">
        <v>0</v>
      </c>
      <c r="FD123" s="48">
        <v>1077.7985453986055</v>
      </c>
      <c r="FE123" s="48">
        <v>124.80236136732772</v>
      </c>
      <c r="FF123" s="48">
        <v>5.6494982837600389</v>
      </c>
      <c r="FG123" s="48">
        <v>769.26705939530245</v>
      </c>
      <c r="FH123" s="48">
        <v>0</v>
      </c>
      <c r="FI123" s="48">
        <v>0</v>
      </c>
      <c r="FJ123" s="48">
        <v>0</v>
      </c>
      <c r="FK123" s="48">
        <v>0</v>
      </c>
      <c r="FL123" s="48">
        <v>0</v>
      </c>
      <c r="FM123" s="48">
        <v>0</v>
      </c>
      <c r="FN123" s="48">
        <v>0</v>
      </c>
      <c r="FO123" s="48">
        <v>0</v>
      </c>
      <c r="FP123" s="48">
        <v>801.07631028318792</v>
      </c>
      <c r="FQ123" s="48">
        <v>32.52406022990256</v>
      </c>
      <c r="FR123" s="48">
        <v>21653.482638185022</v>
      </c>
      <c r="FS123" s="48">
        <v>0</v>
      </c>
      <c r="FT123" s="48">
        <v>0</v>
      </c>
      <c r="FU123" s="48">
        <v>0</v>
      </c>
      <c r="FV123" s="48">
        <v>0</v>
      </c>
      <c r="FW123" s="48">
        <v>690.73053054281638</v>
      </c>
      <c r="FX123" s="48">
        <v>1454.6986190902053</v>
      </c>
      <c r="FY123" s="48">
        <v>208.07641790527947</v>
      </c>
      <c r="FZ123" s="48">
        <v>4.0639611003056837</v>
      </c>
      <c r="GA123" s="48">
        <v>41.314494578818262</v>
      </c>
      <c r="GB123" s="48">
        <v>0</v>
      </c>
      <c r="GC123" s="48">
        <v>2596.8968330398943</v>
      </c>
      <c r="GD123" s="48">
        <v>19729.324854932576</v>
      </c>
      <c r="GE123" s="48">
        <v>169.13784452546969</v>
      </c>
      <c r="GF123" s="48">
        <v>1227.2922570834623</v>
      </c>
      <c r="GG123" s="48">
        <v>0</v>
      </c>
      <c r="GH123" s="48">
        <v>0</v>
      </c>
      <c r="GI123" s="48">
        <v>0</v>
      </c>
      <c r="GJ123" s="48">
        <v>0</v>
      </c>
      <c r="GK123" s="48">
        <v>0</v>
      </c>
      <c r="GL123" s="48">
        <v>0</v>
      </c>
      <c r="GM123" s="48">
        <v>0</v>
      </c>
      <c r="GN123" s="48">
        <v>0</v>
      </c>
      <c r="GO123" s="48">
        <v>0</v>
      </c>
      <c r="GP123" s="48">
        <v>0</v>
      </c>
      <c r="GQ123" s="48">
        <v>0</v>
      </c>
      <c r="GR123" s="48">
        <v>0</v>
      </c>
      <c r="GS123" s="48">
        <v>0</v>
      </c>
      <c r="GT123" s="48">
        <v>0</v>
      </c>
      <c r="GU123" s="48">
        <v>0</v>
      </c>
      <c r="GV123" s="48">
        <v>0</v>
      </c>
      <c r="GW123" s="48">
        <v>0</v>
      </c>
      <c r="GX123" s="48">
        <v>0</v>
      </c>
      <c r="GY123" s="48">
        <v>0</v>
      </c>
      <c r="GZ123" s="48">
        <v>0</v>
      </c>
      <c r="HA123" s="48">
        <v>0</v>
      </c>
      <c r="HB123" s="48">
        <v>52.442029807187275</v>
      </c>
      <c r="HC123" s="48">
        <v>118.72305685072335</v>
      </c>
      <c r="HD123" s="48">
        <v>40.352770799524862</v>
      </c>
      <c r="HE123" s="48">
        <v>34.949315005751281</v>
      </c>
      <c r="HF123" s="48">
        <v>174.95764190455799</v>
      </c>
      <c r="HG123" s="48">
        <v>166.89584720549593</v>
      </c>
      <c r="HH123" s="48">
        <v>314.56281629326548</v>
      </c>
      <c r="HI123" s="48">
        <v>459.18210779504534</v>
      </c>
      <c r="HJ123" s="48">
        <v>521.69032358322806</v>
      </c>
      <c r="HK123" s="48">
        <v>24.995618117405012</v>
      </c>
      <c r="HL123" s="48">
        <v>39.865428313123452</v>
      </c>
      <c r="HM123" s="48">
        <v>179.95854374724794</v>
      </c>
      <c r="HN123" s="48">
        <v>53.215509315459066</v>
      </c>
      <c r="HO123" s="48">
        <v>222.53271571825758</v>
      </c>
      <c r="HP123" s="48">
        <v>380.55454639891099</v>
      </c>
      <c r="HQ123" s="48">
        <v>59.665477627010162</v>
      </c>
      <c r="HR123" s="48">
        <v>126.84184832670661</v>
      </c>
      <c r="HS123" s="48">
        <v>213.45181594158632</v>
      </c>
      <c r="HT123" s="48">
        <v>130.61543065929098</v>
      </c>
      <c r="HU123" s="48">
        <v>172.54177096775882</v>
      </c>
      <c r="HV123" s="48">
        <v>0</v>
      </c>
      <c r="HW123" s="48">
        <v>0</v>
      </c>
      <c r="HX123" s="48">
        <v>0</v>
      </c>
      <c r="HY123" s="48">
        <v>0</v>
      </c>
      <c r="HZ123" s="48">
        <v>0</v>
      </c>
      <c r="IA123" s="48">
        <v>0</v>
      </c>
      <c r="IB123" s="48">
        <v>0</v>
      </c>
      <c r="IC123" s="48">
        <v>0</v>
      </c>
      <c r="ID123" s="48">
        <v>0</v>
      </c>
      <c r="IE123" s="48">
        <v>0</v>
      </c>
      <c r="IF123" s="48">
        <v>0</v>
      </c>
      <c r="IG123" s="48">
        <v>0</v>
      </c>
      <c r="IH123" s="48">
        <v>0</v>
      </c>
      <c r="II123" s="48">
        <v>0</v>
      </c>
      <c r="IJ123" s="48">
        <v>0</v>
      </c>
      <c r="IK123" s="48">
        <v>751.95059386822163</v>
      </c>
      <c r="IL123" s="48">
        <v>1315.8740416950209</v>
      </c>
      <c r="IM123" s="48">
        <v>1581.0220986193401</v>
      </c>
      <c r="IN123" s="48">
        <v>840.23507729619007</v>
      </c>
      <c r="IO123" s="48">
        <v>0</v>
      </c>
      <c r="IP123" s="23">
        <v>268283.99999999866</v>
      </c>
      <c r="IQ123" s="25">
        <v>29644</v>
      </c>
      <c r="IR123" s="25">
        <v>0</v>
      </c>
      <c r="IS123" s="26">
        <v>0</v>
      </c>
      <c r="IT123" s="26">
        <v>0</v>
      </c>
      <c r="IU123" s="26">
        <v>-6641</v>
      </c>
      <c r="IV123" s="9">
        <v>49484</v>
      </c>
      <c r="IW123" s="38">
        <f t="shared" si="5"/>
        <v>340770.99999999866</v>
      </c>
    </row>
    <row r="124" spans="1:257" ht="30" customHeight="1" x14ac:dyDescent="0.25">
      <c r="A124" s="112" t="b">
        <v>0</v>
      </c>
      <c r="B124" s="113" t="str">
        <f>IFERROR(VLOOKUP(C124,'Bridge matrix'!$D$3:$E$727,2,FALSE)='symmetric IOT 245 2012'!D124,"FALSCH")</f>
        <v>FALSCH</v>
      </c>
      <c r="C124" s="108">
        <v>118</v>
      </c>
      <c r="D124" s="49" t="s">
        <v>1433</v>
      </c>
      <c r="E124" s="48">
        <v>0</v>
      </c>
      <c r="F124" s="48">
        <v>0</v>
      </c>
      <c r="G124" s="48">
        <v>0</v>
      </c>
      <c r="H124" s="48">
        <v>0</v>
      </c>
      <c r="I124" s="48">
        <v>0</v>
      </c>
      <c r="J124" s="48">
        <v>0</v>
      </c>
      <c r="K124" s="48">
        <v>0</v>
      </c>
      <c r="L124" s="48">
        <v>0</v>
      </c>
      <c r="M124" s="48">
        <v>0</v>
      </c>
      <c r="N124" s="48">
        <v>0</v>
      </c>
      <c r="O124" s="48">
        <v>0</v>
      </c>
      <c r="P124" s="48">
        <v>0</v>
      </c>
      <c r="Q124" s="48">
        <v>0</v>
      </c>
      <c r="R124" s="48">
        <v>0</v>
      </c>
      <c r="S124" s="48">
        <v>0</v>
      </c>
      <c r="T124" s="48">
        <v>0</v>
      </c>
      <c r="U124" s="48">
        <v>0</v>
      </c>
      <c r="V124" s="48">
        <v>0</v>
      </c>
      <c r="W124" s="48">
        <v>0</v>
      </c>
      <c r="X124" s="48">
        <v>0</v>
      </c>
      <c r="Y124" s="48">
        <v>0</v>
      </c>
      <c r="Z124" s="48">
        <v>0</v>
      </c>
      <c r="AA124" s="48">
        <v>0</v>
      </c>
      <c r="AB124" s="48">
        <v>0</v>
      </c>
      <c r="AC124" s="48">
        <v>0</v>
      </c>
      <c r="AD124" s="48">
        <v>0</v>
      </c>
      <c r="AE124" s="48">
        <v>0</v>
      </c>
      <c r="AF124" s="48">
        <v>0</v>
      </c>
      <c r="AG124" s="48">
        <v>0</v>
      </c>
      <c r="AH124" s="48">
        <v>0</v>
      </c>
      <c r="AI124" s="48">
        <v>0</v>
      </c>
      <c r="AJ124" s="48">
        <v>0</v>
      </c>
      <c r="AK124" s="48">
        <v>0</v>
      </c>
      <c r="AL124" s="48">
        <v>0</v>
      </c>
      <c r="AM124" s="48">
        <v>0</v>
      </c>
      <c r="AN124" s="48">
        <v>0</v>
      </c>
      <c r="AO124" s="48">
        <v>0</v>
      </c>
      <c r="AP124" s="48">
        <v>0</v>
      </c>
      <c r="AQ124" s="48">
        <v>0</v>
      </c>
      <c r="AR124" s="48">
        <v>0</v>
      </c>
      <c r="AS124" s="48">
        <v>0</v>
      </c>
      <c r="AT124" s="48">
        <v>0</v>
      </c>
      <c r="AU124" s="48">
        <v>0</v>
      </c>
      <c r="AV124" s="48">
        <v>0</v>
      </c>
      <c r="AW124" s="48">
        <v>0</v>
      </c>
      <c r="AX124" s="48">
        <v>0</v>
      </c>
      <c r="AY124" s="48">
        <v>0</v>
      </c>
      <c r="AZ124" s="48">
        <v>0</v>
      </c>
      <c r="BA124" s="48">
        <v>0</v>
      </c>
      <c r="BB124" s="48">
        <v>0</v>
      </c>
      <c r="BC124" s="48">
        <v>0</v>
      </c>
      <c r="BD124" s="48">
        <v>0</v>
      </c>
      <c r="BE124" s="48">
        <v>0</v>
      </c>
      <c r="BF124" s="48">
        <v>0</v>
      </c>
      <c r="BG124" s="48">
        <v>0</v>
      </c>
      <c r="BH124" s="48">
        <v>0</v>
      </c>
      <c r="BI124" s="48">
        <v>0</v>
      </c>
      <c r="BJ124" s="48">
        <v>0</v>
      </c>
      <c r="BK124" s="48">
        <v>0</v>
      </c>
      <c r="BL124" s="48">
        <v>0</v>
      </c>
      <c r="BM124" s="48">
        <v>0</v>
      </c>
      <c r="BN124" s="48">
        <v>0</v>
      </c>
      <c r="BO124" s="48">
        <v>0</v>
      </c>
      <c r="BP124" s="48">
        <v>0</v>
      </c>
      <c r="BQ124" s="48">
        <v>0</v>
      </c>
      <c r="BR124" s="48">
        <v>0</v>
      </c>
      <c r="BS124" s="48">
        <v>0</v>
      </c>
      <c r="BT124" s="48">
        <v>0</v>
      </c>
      <c r="BU124" s="48">
        <v>0</v>
      </c>
      <c r="BV124" s="48">
        <v>450.16894383370555</v>
      </c>
      <c r="BW124" s="48">
        <v>230.14164008868741</v>
      </c>
      <c r="BX124" s="48">
        <v>20.55393362295688</v>
      </c>
      <c r="BY124" s="48">
        <v>0</v>
      </c>
      <c r="BZ124" s="48">
        <v>0</v>
      </c>
      <c r="CA124" s="48">
        <v>1970.8056032914951</v>
      </c>
      <c r="CB124" s="48">
        <v>7.0873846650269607</v>
      </c>
      <c r="CC124" s="48">
        <v>45.818352768399279</v>
      </c>
      <c r="CD124" s="48">
        <v>220.73275180535276</v>
      </c>
      <c r="CE124" s="48">
        <v>0</v>
      </c>
      <c r="CF124" s="48">
        <v>0</v>
      </c>
      <c r="CG124" s="48">
        <v>0</v>
      </c>
      <c r="CH124" s="48">
        <v>0</v>
      </c>
      <c r="CI124" s="48">
        <v>7.3106085360392047E-4</v>
      </c>
      <c r="CJ124" s="48">
        <v>0</v>
      </c>
      <c r="CK124" s="48">
        <v>0</v>
      </c>
      <c r="CL124" s="48">
        <v>1.9163474371318961E-2</v>
      </c>
      <c r="CM124" s="48">
        <v>0</v>
      </c>
      <c r="CN124" s="48">
        <v>0</v>
      </c>
      <c r="CO124" s="48">
        <v>468.08286382823132</v>
      </c>
      <c r="CP124" s="48">
        <v>45.574164106989656</v>
      </c>
      <c r="CQ124" s="48">
        <v>177.61371137624934</v>
      </c>
      <c r="CR124" s="48">
        <v>0</v>
      </c>
      <c r="CS124" s="48">
        <v>0</v>
      </c>
      <c r="CT124" s="48">
        <v>3.8166484512716921E-5</v>
      </c>
      <c r="CU124" s="48">
        <v>5.9508959187299423E-3</v>
      </c>
      <c r="CV124" s="48">
        <v>0</v>
      </c>
      <c r="CW124" s="48">
        <v>0</v>
      </c>
      <c r="CX124" s="48">
        <v>3.5524692953892307E-6</v>
      </c>
      <c r="CY124" s="48">
        <v>1.4010623360013351E-2</v>
      </c>
      <c r="CZ124" s="48">
        <v>339.39651879581407</v>
      </c>
      <c r="DA124" s="48">
        <v>0</v>
      </c>
      <c r="DB124" s="48">
        <v>0</v>
      </c>
      <c r="DC124" s="48">
        <v>1.7092809255268847E-5</v>
      </c>
      <c r="DD124" s="48">
        <v>4.4673050281865212E-3</v>
      </c>
      <c r="DE124" s="48">
        <v>0</v>
      </c>
      <c r="DF124" s="48">
        <v>0</v>
      </c>
      <c r="DG124" s="48">
        <v>0</v>
      </c>
      <c r="DH124" s="48">
        <v>0</v>
      </c>
      <c r="DI124" s="48">
        <v>2.8537813157756768E-2</v>
      </c>
      <c r="DJ124" s="48">
        <v>0</v>
      </c>
      <c r="DK124" s="48">
        <v>1.9593057377543723E-2</v>
      </c>
      <c r="DL124" s="48">
        <v>0</v>
      </c>
      <c r="DM124" s="48">
        <v>0</v>
      </c>
      <c r="DN124" s="48">
        <v>0</v>
      </c>
      <c r="DO124" s="48">
        <v>0</v>
      </c>
      <c r="DP124" s="48">
        <v>79.806131564551507</v>
      </c>
      <c r="DQ124" s="48">
        <v>1.4469347031527613</v>
      </c>
      <c r="DR124" s="48">
        <v>1650.2547857184356</v>
      </c>
      <c r="DS124" s="48">
        <v>3348.2782797133646</v>
      </c>
      <c r="DT124" s="48">
        <v>0</v>
      </c>
      <c r="DU124" s="48">
        <v>42.00155773988697</v>
      </c>
      <c r="DV124" s="48">
        <v>12.457578414323944</v>
      </c>
      <c r="DW124" s="48">
        <v>0</v>
      </c>
      <c r="DX124" s="48">
        <v>0</v>
      </c>
      <c r="DY124" s="48">
        <v>9.819388573943312E-5</v>
      </c>
      <c r="DZ124" s="48">
        <v>70.419782843197027</v>
      </c>
      <c r="EA124" s="48">
        <v>0</v>
      </c>
      <c r="EB124" s="48">
        <v>245.33773594192948</v>
      </c>
      <c r="EC124" s="48">
        <v>770.7983733331755</v>
      </c>
      <c r="ED124" s="48">
        <v>143.79344376772301</v>
      </c>
      <c r="EE124" s="48">
        <v>40.559076475438189</v>
      </c>
      <c r="EF124" s="48">
        <v>139.0084099183525</v>
      </c>
      <c r="EG124" s="48">
        <v>48.622159394877393</v>
      </c>
      <c r="EH124" s="48">
        <v>6.3989730944360996</v>
      </c>
      <c r="EI124" s="48">
        <v>0</v>
      </c>
      <c r="EJ124" s="48">
        <v>0</v>
      </c>
      <c r="EK124" s="48">
        <v>0</v>
      </c>
      <c r="EL124" s="48">
        <v>1.6180550773916988E-2</v>
      </c>
      <c r="EM124" s="48">
        <v>1693.0682819016226</v>
      </c>
      <c r="EN124" s="48">
        <v>1.7690726051849587E-2</v>
      </c>
      <c r="EO124" s="48">
        <v>0</v>
      </c>
      <c r="EP124" s="48">
        <v>1.0792884012936616E-6</v>
      </c>
      <c r="EQ124" s="48">
        <v>0</v>
      </c>
      <c r="ER124" s="48">
        <v>52.767233956868601</v>
      </c>
      <c r="ES124" s="48">
        <v>0</v>
      </c>
      <c r="ET124" s="48">
        <v>165.05296887933267</v>
      </c>
      <c r="EU124" s="48">
        <v>0</v>
      </c>
      <c r="EV124" s="48">
        <v>0</v>
      </c>
      <c r="EW124" s="48">
        <v>6.9964752390904656E-3</v>
      </c>
      <c r="EX124" s="48">
        <v>0</v>
      </c>
      <c r="EY124" s="48">
        <v>3.0194675697310318E-2</v>
      </c>
      <c r="EZ124" s="48">
        <v>0</v>
      </c>
      <c r="FA124" s="48">
        <v>0</v>
      </c>
      <c r="FB124" s="48">
        <v>0</v>
      </c>
      <c r="FC124" s="48">
        <v>0</v>
      </c>
      <c r="FD124" s="48">
        <v>0</v>
      </c>
      <c r="FE124" s="48">
        <v>0</v>
      </c>
      <c r="FF124" s="48">
        <v>0</v>
      </c>
      <c r="FG124" s="48">
        <v>47.584484708739545</v>
      </c>
      <c r="FH124" s="48">
        <v>0</v>
      </c>
      <c r="FI124" s="48">
        <v>0</v>
      </c>
      <c r="FJ124" s="48">
        <v>0</v>
      </c>
      <c r="FK124" s="48">
        <v>0</v>
      </c>
      <c r="FL124" s="48">
        <v>0</v>
      </c>
      <c r="FM124" s="48">
        <v>1.3538108306806567</v>
      </c>
      <c r="FN124" s="48">
        <v>0</v>
      </c>
      <c r="FO124" s="48">
        <v>0</v>
      </c>
      <c r="FP124" s="48">
        <v>0</v>
      </c>
      <c r="FQ124" s="48">
        <v>0</v>
      </c>
      <c r="FR124" s="48">
        <v>1509.5661287537373</v>
      </c>
      <c r="FS124" s="48">
        <v>16.625371383197901</v>
      </c>
      <c r="FT124" s="48">
        <v>4.1579035019390531</v>
      </c>
      <c r="FU124" s="48">
        <v>32.109720591979617</v>
      </c>
      <c r="FV124" s="48">
        <v>118.59660236963335</v>
      </c>
      <c r="FW124" s="48">
        <v>4.0512575136728604</v>
      </c>
      <c r="FX124" s="48">
        <v>7.8070320044454133</v>
      </c>
      <c r="FY124" s="48">
        <v>0</v>
      </c>
      <c r="FZ124" s="48">
        <v>0</v>
      </c>
      <c r="GA124" s="48">
        <v>0</v>
      </c>
      <c r="GB124" s="48">
        <v>0</v>
      </c>
      <c r="GC124" s="48">
        <v>0</v>
      </c>
      <c r="GD124" s="48">
        <v>0</v>
      </c>
      <c r="GE124" s="48">
        <v>336.29592089748172</v>
      </c>
      <c r="GF124" s="48">
        <v>2471.4794736536151</v>
      </c>
      <c r="GG124" s="48">
        <v>0</v>
      </c>
      <c r="GH124" s="48">
        <v>0</v>
      </c>
      <c r="GI124" s="48">
        <v>0</v>
      </c>
      <c r="GJ124" s="48">
        <v>0</v>
      </c>
      <c r="GK124" s="48">
        <v>0</v>
      </c>
      <c r="GL124" s="48">
        <v>0</v>
      </c>
      <c r="GM124" s="48">
        <v>0</v>
      </c>
      <c r="GN124" s="48">
        <v>0</v>
      </c>
      <c r="GO124" s="48">
        <v>0</v>
      </c>
      <c r="GP124" s="48">
        <v>0</v>
      </c>
      <c r="GQ124" s="48">
        <v>0</v>
      </c>
      <c r="GR124" s="48">
        <v>211.16764788068366</v>
      </c>
      <c r="GS124" s="48">
        <v>0</v>
      </c>
      <c r="GT124" s="48">
        <v>0</v>
      </c>
      <c r="GU124" s="48">
        <v>0</v>
      </c>
      <c r="GV124" s="48">
        <v>0</v>
      </c>
      <c r="GW124" s="48">
        <v>0</v>
      </c>
      <c r="GX124" s="48">
        <v>0</v>
      </c>
      <c r="GY124" s="48">
        <v>0</v>
      </c>
      <c r="GZ124" s="48">
        <v>0</v>
      </c>
      <c r="HA124" s="48">
        <v>0</v>
      </c>
      <c r="HB124" s="48">
        <v>102.10157044542092</v>
      </c>
      <c r="HC124" s="48">
        <v>230.08599253921057</v>
      </c>
      <c r="HD124" s="48">
        <v>77.645793109411215</v>
      </c>
      <c r="HE124" s="48">
        <v>3.5067732778020759</v>
      </c>
      <c r="HF124" s="48">
        <v>18.359780876511582</v>
      </c>
      <c r="HG124" s="48">
        <v>17.653864730520738</v>
      </c>
      <c r="HH124" s="48">
        <v>33.438613091601844</v>
      </c>
      <c r="HI124" s="48">
        <v>48.146728146395219</v>
      </c>
      <c r="HJ124" s="48">
        <v>53.665911097979041</v>
      </c>
      <c r="HK124" s="48">
        <v>2.8245999589122475</v>
      </c>
      <c r="HL124" s="48">
        <v>4.36402265378445</v>
      </c>
      <c r="HM124" s="48">
        <v>19.243650462002098</v>
      </c>
      <c r="HN124" s="48">
        <v>5.6491584628948619</v>
      </c>
      <c r="HO124" s="48">
        <v>23.30314959540382</v>
      </c>
      <c r="HP124" s="48">
        <v>40.250545283499761</v>
      </c>
      <c r="HQ124" s="48">
        <v>6.3554368181540086</v>
      </c>
      <c r="HR124" s="48">
        <v>13.6851911705565</v>
      </c>
      <c r="HS124" s="48">
        <v>22.577154528594846</v>
      </c>
      <c r="HT124" s="48">
        <v>13.416740587590457</v>
      </c>
      <c r="HU124" s="48">
        <v>18.359933402166625</v>
      </c>
      <c r="HV124" s="48">
        <v>0</v>
      </c>
      <c r="HW124" s="48">
        <v>0</v>
      </c>
      <c r="HX124" s="48">
        <v>0</v>
      </c>
      <c r="HY124" s="48">
        <v>0</v>
      </c>
      <c r="HZ124" s="48">
        <v>0</v>
      </c>
      <c r="IA124" s="48">
        <v>0</v>
      </c>
      <c r="IB124" s="48">
        <v>0</v>
      </c>
      <c r="IC124" s="48">
        <v>0</v>
      </c>
      <c r="ID124" s="48">
        <v>0</v>
      </c>
      <c r="IE124" s="48">
        <v>0</v>
      </c>
      <c r="IF124" s="48">
        <v>0</v>
      </c>
      <c r="IG124" s="48">
        <v>1915.9437210236833</v>
      </c>
      <c r="IH124" s="48">
        <v>137.70914452741187</v>
      </c>
      <c r="II124" s="48">
        <v>41.995876574025331</v>
      </c>
      <c r="IJ124" s="48">
        <v>6.3207515439884484E-3</v>
      </c>
      <c r="IK124" s="48">
        <v>93.57200365288513</v>
      </c>
      <c r="IL124" s="48">
        <v>163.64819891475693</v>
      </c>
      <c r="IM124" s="48">
        <v>196.46645098446197</v>
      </c>
      <c r="IN124" s="48">
        <v>104.01706895666179</v>
      </c>
      <c r="IO124" s="48">
        <v>0</v>
      </c>
      <c r="IP124" s="23">
        <v>20654.999999999993</v>
      </c>
      <c r="IQ124" s="25">
        <v>186985</v>
      </c>
      <c r="IR124" s="25">
        <v>0</v>
      </c>
      <c r="IS124" s="26">
        <v>0</v>
      </c>
      <c r="IT124" s="26">
        <v>0</v>
      </c>
      <c r="IU124" s="26">
        <v>3034</v>
      </c>
      <c r="IV124" s="9">
        <v>47232</v>
      </c>
      <c r="IW124" s="38">
        <f t="shared" si="5"/>
        <v>257906</v>
      </c>
    </row>
    <row r="125" spans="1:257" ht="30" customHeight="1" x14ac:dyDescent="0.25">
      <c r="A125" s="112" t="b">
        <v>0</v>
      </c>
      <c r="B125" s="113" t="b">
        <f>IFERROR(VLOOKUP(C125,'Bridge matrix'!$D$3:$E$727,2,FALSE)='symmetric IOT 245 2012'!D125,"FALSCH")</f>
        <v>1</v>
      </c>
      <c r="C125" s="108">
        <v>119</v>
      </c>
      <c r="D125" s="49" t="s">
        <v>1434</v>
      </c>
      <c r="E125" s="48">
        <v>0</v>
      </c>
      <c r="F125" s="48">
        <v>0</v>
      </c>
      <c r="G125" s="48">
        <v>0</v>
      </c>
      <c r="H125" s="48">
        <v>0</v>
      </c>
      <c r="I125" s="48">
        <v>0</v>
      </c>
      <c r="J125" s="48">
        <v>0</v>
      </c>
      <c r="K125" s="48">
        <v>0</v>
      </c>
      <c r="L125" s="48">
        <v>0</v>
      </c>
      <c r="M125" s="48">
        <v>0</v>
      </c>
      <c r="N125" s="48">
        <v>0</v>
      </c>
      <c r="O125" s="48">
        <v>0</v>
      </c>
      <c r="P125" s="48">
        <v>0</v>
      </c>
      <c r="Q125" s="48">
        <v>0</v>
      </c>
      <c r="R125" s="48">
        <v>0</v>
      </c>
      <c r="S125" s="48">
        <v>0</v>
      </c>
      <c r="T125" s="48">
        <v>0</v>
      </c>
      <c r="U125" s="48">
        <v>0</v>
      </c>
      <c r="V125" s="48">
        <v>0</v>
      </c>
      <c r="W125" s="48">
        <v>0</v>
      </c>
      <c r="X125" s="48">
        <v>0</v>
      </c>
      <c r="Y125" s="48">
        <v>0</v>
      </c>
      <c r="Z125" s="48">
        <v>0</v>
      </c>
      <c r="AA125" s="48">
        <v>0</v>
      </c>
      <c r="AB125" s="48">
        <v>0</v>
      </c>
      <c r="AC125" s="48">
        <v>0</v>
      </c>
      <c r="AD125" s="48">
        <v>0</v>
      </c>
      <c r="AE125" s="48">
        <v>0</v>
      </c>
      <c r="AF125" s="48">
        <v>0</v>
      </c>
      <c r="AG125" s="48">
        <v>0</v>
      </c>
      <c r="AH125" s="48">
        <v>0</v>
      </c>
      <c r="AI125" s="48">
        <v>0</v>
      </c>
      <c r="AJ125" s="48">
        <v>0</v>
      </c>
      <c r="AK125" s="48">
        <v>0</v>
      </c>
      <c r="AL125" s="48">
        <v>0</v>
      </c>
      <c r="AM125" s="48">
        <v>0</v>
      </c>
      <c r="AN125" s="48">
        <v>0</v>
      </c>
      <c r="AO125" s="48">
        <v>0</v>
      </c>
      <c r="AP125" s="48">
        <v>0</v>
      </c>
      <c r="AQ125" s="48">
        <v>0</v>
      </c>
      <c r="AR125" s="48">
        <v>0</v>
      </c>
      <c r="AS125" s="48">
        <v>0</v>
      </c>
      <c r="AT125" s="48">
        <v>0</v>
      </c>
      <c r="AU125" s="48">
        <v>0</v>
      </c>
      <c r="AV125" s="48">
        <v>0</v>
      </c>
      <c r="AW125" s="48">
        <v>0</v>
      </c>
      <c r="AX125" s="48">
        <v>0</v>
      </c>
      <c r="AY125" s="48">
        <v>0</v>
      </c>
      <c r="AZ125" s="48">
        <v>0</v>
      </c>
      <c r="BA125" s="48">
        <v>0</v>
      </c>
      <c r="BB125" s="48">
        <v>0</v>
      </c>
      <c r="BC125" s="48">
        <v>0</v>
      </c>
      <c r="BD125" s="48">
        <v>0</v>
      </c>
      <c r="BE125" s="48">
        <v>0</v>
      </c>
      <c r="BF125" s="48">
        <v>0</v>
      </c>
      <c r="BG125" s="48">
        <v>0</v>
      </c>
      <c r="BH125" s="48">
        <v>0</v>
      </c>
      <c r="BI125" s="48">
        <v>0</v>
      </c>
      <c r="BJ125" s="48">
        <v>0</v>
      </c>
      <c r="BK125" s="48">
        <v>0</v>
      </c>
      <c r="BL125" s="48">
        <v>0</v>
      </c>
      <c r="BM125" s="48">
        <v>0</v>
      </c>
      <c r="BN125" s="48">
        <v>0</v>
      </c>
      <c r="BO125" s="48">
        <v>0</v>
      </c>
      <c r="BP125" s="48">
        <v>0</v>
      </c>
      <c r="BQ125" s="48">
        <v>0</v>
      </c>
      <c r="BR125" s="48">
        <v>0</v>
      </c>
      <c r="BS125" s="48">
        <v>0</v>
      </c>
      <c r="BT125" s="48">
        <v>0</v>
      </c>
      <c r="BU125" s="48">
        <v>0</v>
      </c>
      <c r="BV125" s="48">
        <v>0</v>
      </c>
      <c r="BW125" s="48">
        <v>0</v>
      </c>
      <c r="BX125" s="48">
        <v>0</v>
      </c>
      <c r="BY125" s="48">
        <v>0</v>
      </c>
      <c r="BZ125" s="48">
        <v>0</v>
      </c>
      <c r="CA125" s="48">
        <v>2816.2564743889734</v>
      </c>
      <c r="CB125" s="48">
        <v>9.8803279821612371</v>
      </c>
      <c r="CC125" s="48">
        <v>2052.0114602370782</v>
      </c>
      <c r="CD125" s="48">
        <v>0</v>
      </c>
      <c r="CE125" s="48">
        <v>0</v>
      </c>
      <c r="CF125" s="48">
        <v>0</v>
      </c>
      <c r="CG125" s="48">
        <v>0</v>
      </c>
      <c r="CH125" s="48">
        <v>0</v>
      </c>
      <c r="CI125" s="48">
        <v>2.2671112459880151E-6</v>
      </c>
      <c r="CJ125" s="48">
        <v>0</v>
      </c>
      <c r="CK125" s="48">
        <v>0</v>
      </c>
      <c r="CL125" s="48">
        <v>0</v>
      </c>
      <c r="CM125" s="48">
        <v>4.5197740832866369E-8</v>
      </c>
      <c r="CN125" s="48">
        <v>0</v>
      </c>
      <c r="CO125" s="48">
        <v>0</v>
      </c>
      <c r="CP125" s="48">
        <v>0</v>
      </c>
      <c r="CQ125" s="48">
        <v>0</v>
      </c>
      <c r="CR125" s="48">
        <v>7.0070384933307009E-6</v>
      </c>
      <c r="CS125" s="48">
        <v>0</v>
      </c>
      <c r="CT125" s="48">
        <v>0</v>
      </c>
      <c r="CU125" s="48">
        <v>0.19550625344705114</v>
      </c>
      <c r="CV125" s="48">
        <v>0</v>
      </c>
      <c r="CW125" s="48">
        <v>0</v>
      </c>
      <c r="CX125" s="48">
        <v>0</v>
      </c>
      <c r="CY125" s="48">
        <v>0</v>
      </c>
      <c r="CZ125" s="48">
        <v>0</v>
      </c>
      <c r="DA125" s="48">
        <v>3.7971722984769254E-8</v>
      </c>
      <c r="DB125" s="48">
        <v>0</v>
      </c>
      <c r="DC125" s="48">
        <v>0</v>
      </c>
      <c r="DD125" s="48">
        <v>0</v>
      </c>
      <c r="DE125" s="48">
        <v>0</v>
      </c>
      <c r="DF125" s="48">
        <v>0</v>
      </c>
      <c r="DG125" s="48">
        <v>0</v>
      </c>
      <c r="DH125" s="48">
        <v>0</v>
      </c>
      <c r="DI125" s="48">
        <v>0</v>
      </c>
      <c r="DJ125" s="48">
        <v>1.4572426924982604E-3</v>
      </c>
      <c r="DK125" s="48">
        <v>0</v>
      </c>
      <c r="DL125" s="48">
        <v>4.1183391413918323E-2</v>
      </c>
      <c r="DM125" s="48">
        <v>0</v>
      </c>
      <c r="DN125" s="48">
        <v>0</v>
      </c>
      <c r="DO125" s="48">
        <v>0</v>
      </c>
      <c r="DP125" s="48">
        <v>176.53770444162473</v>
      </c>
      <c r="DQ125" s="48">
        <v>307.49938586624671</v>
      </c>
      <c r="DR125" s="48">
        <v>234.04910913393914</v>
      </c>
      <c r="DS125" s="48">
        <v>4298.9968006681547</v>
      </c>
      <c r="DT125" s="48">
        <v>0</v>
      </c>
      <c r="DU125" s="48">
        <v>0</v>
      </c>
      <c r="DV125" s="48">
        <v>0</v>
      </c>
      <c r="DW125" s="48">
        <v>0</v>
      </c>
      <c r="DX125" s="48">
        <v>0</v>
      </c>
      <c r="DY125" s="48">
        <v>0</v>
      </c>
      <c r="DZ125" s="48">
        <v>0</v>
      </c>
      <c r="EA125" s="48">
        <v>0</v>
      </c>
      <c r="EB125" s="48">
        <v>0.3922803345334267</v>
      </c>
      <c r="EC125" s="48">
        <v>0</v>
      </c>
      <c r="ED125" s="48">
        <v>329.38642463335782</v>
      </c>
      <c r="EE125" s="48">
        <v>92.884468077204261</v>
      </c>
      <c r="EF125" s="48">
        <v>318.78512560674915</v>
      </c>
      <c r="EG125" s="48">
        <v>112.36723305732801</v>
      </c>
      <c r="EH125" s="48">
        <v>15.318257571269349</v>
      </c>
      <c r="EI125" s="48">
        <v>0</v>
      </c>
      <c r="EJ125" s="48">
        <v>0</v>
      </c>
      <c r="EK125" s="48">
        <v>0</v>
      </c>
      <c r="EL125" s="48">
        <v>0.503973436467403</v>
      </c>
      <c r="EM125" s="48">
        <v>0.35674125695319503</v>
      </c>
      <c r="EN125" s="48">
        <v>0.57068915719608782</v>
      </c>
      <c r="EO125" s="48">
        <v>0</v>
      </c>
      <c r="EP125" s="48">
        <v>3.4817010127257969E-5</v>
      </c>
      <c r="EQ125" s="48">
        <v>0</v>
      </c>
      <c r="ER125" s="48">
        <v>4.8641096146904095E-2</v>
      </c>
      <c r="ES125" s="48">
        <v>0</v>
      </c>
      <c r="ET125" s="48">
        <v>0</v>
      </c>
      <c r="EU125" s="48">
        <v>0</v>
      </c>
      <c r="EV125" s="48">
        <v>0</v>
      </c>
      <c r="EW125" s="48">
        <v>0</v>
      </c>
      <c r="EX125" s="48">
        <v>0</v>
      </c>
      <c r="EY125" s="48">
        <v>0</v>
      </c>
      <c r="EZ125" s="48">
        <v>0</v>
      </c>
      <c r="FA125" s="48">
        <v>1102.2282761310912</v>
      </c>
      <c r="FB125" s="48">
        <v>883.49983133334126</v>
      </c>
      <c r="FC125" s="48">
        <v>800.0066293039074</v>
      </c>
      <c r="FD125" s="48">
        <v>2285.7287798148486</v>
      </c>
      <c r="FE125" s="48">
        <v>264.2244614057887</v>
      </c>
      <c r="FF125" s="48">
        <v>12.491903807264977</v>
      </c>
      <c r="FG125" s="48">
        <v>1497.6682738487864</v>
      </c>
      <c r="FH125" s="48">
        <v>0</v>
      </c>
      <c r="FI125" s="48">
        <v>0</v>
      </c>
      <c r="FJ125" s="48">
        <v>0</v>
      </c>
      <c r="FK125" s="48">
        <v>0</v>
      </c>
      <c r="FL125" s="48">
        <v>0</v>
      </c>
      <c r="FM125" s="48">
        <v>0</v>
      </c>
      <c r="FN125" s="48">
        <v>0</v>
      </c>
      <c r="FO125" s="48">
        <v>0</v>
      </c>
      <c r="FP125" s="48">
        <v>0</v>
      </c>
      <c r="FQ125" s="48">
        <v>0</v>
      </c>
      <c r="FR125" s="48">
        <v>893.15743005075012</v>
      </c>
      <c r="FS125" s="48">
        <v>0</v>
      </c>
      <c r="FT125" s="48">
        <v>4.0937962712689466E-5</v>
      </c>
      <c r="FU125" s="48">
        <v>0</v>
      </c>
      <c r="FV125" s="48">
        <v>0</v>
      </c>
      <c r="FW125" s="48">
        <v>19.510397506540105</v>
      </c>
      <c r="FX125" s="48">
        <v>0</v>
      </c>
      <c r="FY125" s="48">
        <v>0.95069639979593645</v>
      </c>
      <c r="FZ125" s="48">
        <v>0</v>
      </c>
      <c r="GA125" s="48">
        <v>0</v>
      </c>
      <c r="GB125" s="48">
        <v>0</v>
      </c>
      <c r="GC125" s="48">
        <v>0</v>
      </c>
      <c r="GD125" s="48">
        <v>0</v>
      </c>
      <c r="GE125" s="48">
        <v>0</v>
      </c>
      <c r="GF125" s="48">
        <v>0</v>
      </c>
      <c r="GG125" s="48">
        <v>118.30822254906568</v>
      </c>
      <c r="GH125" s="48">
        <v>103.62680154238343</v>
      </c>
      <c r="GI125" s="48">
        <v>0</v>
      </c>
      <c r="GJ125" s="48">
        <v>12.887238621826253</v>
      </c>
      <c r="GK125" s="48">
        <v>27.095706855719417</v>
      </c>
      <c r="GL125" s="48">
        <v>27.093618664026732</v>
      </c>
      <c r="GM125" s="48">
        <v>20.614085800409264</v>
      </c>
      <c r="GN125" s="48">
        <v>0.90396183461630253</v>
      </c>
      <c r="GO125" s="48">
        <v>7.1613408564944327</v>
      </c>
      <c r="GP125" s="48">
        <v>2.7121493803367653</v>
      </c>
      <c r="GQ125" s="48">
        <v>21.697425740142322</v>
      </c>
      <c r="GR125" s="48">
        <v>0</v>
      </c>
      <c r="GS125" s="48">
        <v>22461.203960752693</v>
      </c>
      <c r="GT125" s="48">
        <v>17.835776251427063</v>
      </c>
      <c r="GU125" s="48">
        <v>1023.8192137293318</v>
      </c>
      <c r="GV125" s="48">
        <v>5.3904473749230997</v>
      </c>
      <c r="GW125" s="48">
        <v>1.7637882769953703</v>
      </c>
      <c r="GX125" s="48">
        <v>87.379851204618177</v>
      </c>
      <c r="GY125" s="48">
        <v>76.163194747382818</v>
      </c>
      <c r="GZ125" s="48">
        <v>14.56575679440655</v>
      </c>
      <c r="HA125" s="48">
        <v>513.24727543712038</v>
      </c>
      <c r="HB125" s="48">
        <v>0</v>
      </c>
      <c r="HC125" s="48">
        <v>0</v>
      </c>
      <c r="HD125" s="48">
        <v>0</v>
      </c>
      <c r="HE125" s="48">
        <v>0</v>
      </c>
      <c r="HF125" s="48">
        <v>0</v>
      </c>
      <c r="HG125" s="48">
        <v>0</v>
      </c>
      <c r="HH125" s="48">
        <v>0</v>
      </c>
      <c r="HI125" s="48">
        <v>0</v>
      </c>
      <c r="HJ125" s="48">
        <v>0</v>
      </c>
      <c r="HK125" s="48">
        <v>0</v>
      </c>
      <c r="HL125" s="48">
        <v>0</v>
      </c>
      <c r="HM125" s="48">
        <v>0</v>
      </c>
      <c r="HN125" s="48">
        <v>0</v>
      </c>
      <c r="HO125" s="48">
        <v>0</v>
      </c>
      <c r="HP125" s="48">
        <v>0</v>
      </c>
      <c r="HQ125" s="48">
        <v>0</v>
      </c>
      <c r="HR125" s="48">
        <v>0</v>
      </c>
      <c r="HS125" s="48">
        <v>0</v>
      </c>
      <c r="HT125" s="48">
        <v>0</v>
      </c>
      <c r="HU125" s="48">
        <v>0</v>
      </c>
      <c r="HV125" s="48">
        <v>65450.048240515382</v>
      </c>
      <c r="HW125" s="48">
        <v>373.45160658930513</v>
      </c>
      <c r="HX125" s="48">
        <v>1125.2564421136813</v>
      </c>
      <c r="HY125" s="48">
        <v>954.64052576020174</v>
      </c>
      <c r="HZ125" s="48">
        <v>1414.3590878705452</v>
      </c>
      <c r="IA125" s="48">
        <v>399.80529175835363</v>
      </c>
      <c r="IB125" s="48">
        <v>20.610190819076422</v>
      </c>
      <c r="IC125" s="48">
        <v>2228.052546232544</v>
      </c>
      <c r="ID125" s="48">
        <v>1382.4291749631977</v>
      </c>
      <c r="IE125" s="48">
        <v>935.22648237270016</v>
      </c>
      <c r="IF125" s="48">
        <v>120.41971827274006</v>
      </c>
      <c r="IG125" s="48">
        <v>139.23282285940539</v>
      </c>
      <c r="IH125" s="48">
        <v>4.7684185271277428</v>
      </c>
      <c r="II125" s="48">
        <v>7.09639953857973</v>
      </c>
      <c r="IJ125" s="48">
        <v>7536.865110696348</v>
      </c>
      <c r="IK125" s="48">
        <v>82.06123805120869</v>
      </c>
      <c r="IL125" s="48">
        <v>142.74809807361572</v>
      </c>
      <c r="IM125" s="48">
        <v>171.27048986599959</v>
      </c>
      <c r="IN125" s="48">
        <v>91.638290158534659</v>
      </c>
      <c r="IO125" s="48">
        <v>0</v>
      </c>
      <c r="IP125" s="23">
        <v>125648.9999999998</v>
      </c>
      <c r="IQ125" s="25">
        <v>721549</v>
      </c>
      <c r="IR125" s="25">
        <v>0</v>
      </c>
      <c r="IS125" s="26">
        <v>0</v>
      </c>
      <c r="IT125" s="26">
        <v>0</v>
      </c>
      <c r="IU125" s="26">
        <v>-17084</v>
      </c>
      <c r="IV125" s="9">
        <v>40042</v>
      </c>
      <c r="IW125" s="38">
        <f t="shared" si="5"/>
        <v>870155.99999999977</v>
      </c>
    </row>
    <row r="126" spans="1:257" ht="30" customHeight="1" x14ac:dyDescent="0.25">
      <c r="A126" s="112" t="b">
        <v>0</v>
      </c>
      <c r="B126" s="113" t="str">
        <f>IFERROR(VLOOKUP(C126,'Bridge matrix'!$D$3:$E$727,2,FALSE)='symmetric IOT 245 2012'!D126,"FALSCH")</f>
        <v>FALSCH</v>
      </c>
      <c r="C126" s="108">
        <v>120</v>
      </c>
      <c r="D126" s="49" t="s">
        <v>1435</v>
      </c>
      <c r="E126" s="48">
        <v>0</v>
      </c>
      <c r="F126" s="48">
        <v>0</v>
      </c>
      <c r="G126" s="48">
        <v>0</v>
      </c>
      <c r="H126" s="48">
        <v>0</v>
      </c>
      <c r="I126" s="48">
        <v>0</v>
      </c>
      <c r="J126" s="48">
        <v>0</v>
      </c>
      <c r="K126" s="48">
        <v>0</v>
      </c>
      <c r="L126" s="48">
        <v>0</v>
      </c>
      <c r="M126" s="48">
        <v>0</v>
      </c>
      <c r="N126" s="48">
        <v>0</v>
      </c>
      <c r="O126" s="48">
        <v>0</v>
      </c>
      <c r="P126" s="48">
        <v>0</v>
      </c>
      <c r="Q126" s="48">
        <v>0</v>
      </c>
      <c r="R126" s="48">
        <v>0</v>
      </c>
      <c r="S126" s="48">
        <v>0</v>
      </c>
      <c r="T126" s="48">
        <v>0</v>
      </c>
      <c r="U126" s="48">
        <v>0</v>
      </c>
      <c r="V126" s="48">
        <v>0</v>
      </c>
      <c r="W126" s="48">
        <v>0</v>
      </c>
      <c r="X126" s="48">
        <v>0</v>
      </c>
      <c r="Y126" s="48">
        <v>0</v>
      </c>
      <c r="Z126" s="48">
        <v>0</v>
      </c>
      <c r="AA126" s="48">
        <v>0</v>
      </c>
      <c r="AB126" s="48">
        <v>0</v>
      </c>
      <c r="AC126" s="48">
        <v>0</v>
      </c>
      <c r="AD126" s="48">
        <v>0</v>
      </c>
      <c r="AE126" s="48">
        <v>0</v>
      </c>
      <c r="AF126" s="48">
        <v>0</v>
      </c>
      <c r="AG126" s="48">
        <v>0</v>
      </c>
      <c r="AH126" s="48">
        <v>0</v>
      </c>
      <c r="AI126" s="48">
        <v>0</v>
      </c>
      <c r="AJ126" s="48">
        <v>0</v>
      </c>
      <c r="AK126" s="48">
        <v>0</v>
      </c>
      <c r="AL126" s="48">
        <v>0</v>
      </c>
      <c r="AM126" s="48">
        <v>0</v>
      </c>
      <c r="AN126" s="48">
        <v>0</v>
      </c>
      <c r="AO126" s="48">
        <v>0</v>
      </c>
      <c r="AP126" s="48">
        <v>0</v>
      </c>
      <c r="AQ126" s="48">
        <v>0</v>
      </c>
      <c r="AR126" s="48">
        <v>0</v>
      </c>
      <c r="AS126" s="48">
        <v>0</v>
      </c>
      <c r="AT126" s="48">
        <v>0</v>
      </c>
      <c r="AU126" s="48">
        <v>0</v>
      </c>
      <c r="AV126" s="48">
        <v>0</v>
      </c>
      <c r="AW126" s="48">
        <v>0</v>
      </c>
      <c r="AX126" s="48">
        <v>0</v>
      </c>
      <c r="AY126" s="48">
        <v>0</v>
      </c>
      <c r="AZ126" s="48">
        <v>0</v>
      </c>
      <c r="BA126" s="48">
        <v>0</v>
      </c>
      <c r="BB126" s="48">
        <v>0</v>
      </c>
      <c r="BC126" s="48">
        <v>0</v>
      </c>
      <c r="BD126" s="48">
        <v>0</v>
      </c>
      <c r="BE126" s="48">
        <v>0</v>
      </c>
      <c r="BF126" s="48">
        <v>0</v>
      </c>
      <c r="BG126" s="48">
        <v>0</v>
      </c>
      <c r="BH126" s="48">
        <v>0</v>
      </c>
      <c r="BI126" s="48">
        <v>0</v>
      </c>
      <c r="BJ126" s="48">
        <v>0</v>
      </c>
      <c r="BK126" s="48">
        <v>0</v>
      </c>
      <c r="BL126" s="48">
        <v>0</v>
      </c>
      <c r="BM126" s="48">
        <v>0</v>
      </c>
      <c r="BN126" s="48">
        <v>0</v>
      </c>
      <c r="BO126" s="48">
        <v>0</v>
      </c>
      <c r="BP126" s="48">
        <v>0</v>
      </c>
      <c r="BQ126" s="48">
        <v>0</v>
      </c>
      <c r="BR126" s="48">
        <v>0</v>
      </c>
      <c r="BS126" s="48">
        <v>0</v>
      </c>
      <c r="BT126" s="48">
        <v>0</v>
      </c>
      <c r="BU126" s="48">
        <v>0</v>
      </c>
      <c r="BV126" s="48">
        <v>0</v>
      </c>
      <c r="BW126" s="48">
        <v>0</v>
      </c>
      <c r="BX126" s="48">
        <v>0</v>
      </c>
      <c r="BY126" s="48">
        <v>0</v>
      </c>
      <c r="BZ126" s="48">
        <v>0</v>
      </c>
      <c r="CA126" s="48">
        <v>0</v>
      </c>
      <c r="CB126" s="48">
        <v>0</v>
      </c>
      <c r="CC126" s="48">
        <v>0</v>
      </c>
      <c r="CD126" s="48">
        <v>0</v>
      </c>
      <c r="CE126" s="48">
        <v>0</v>
      </c>
      <c r="CF126" s="48">
        <v>0</v>
      </c>
      <c r="CG126" s="48">
        <v>0</v>
      </c>
      <c r="CH126" s="48">
        <v>0</v>
      </c>
      <c r="CI126" s="48">
        <v>0</v>
      </c>
      <c r="CJ126" s="48">
        <v>0</v>
      </c>
      <c r="CK126" s="48">
        <v>0</v>
      </c>
      <c r="CL126" s="48">
        <v>2.1615805365335812E-9</v>
      </c>
      <c r="CM126" s="48">
        <v>0</v>
      </c>
      <c r="CN126" s="48">
        <v>3.215998944385338E-9</v>
      </c>
      <c r="CO126" s="48">
        <v>0</v>
      </c>
      <c r="CP126" s="48">
        <v>0</v>
      </c>
      <c r="CQ126" s="48">
        <v>0</v>
      </c>
      <c r="CR126" s="48">
        <v>0</v>
      </c>
      <c r="CS126" s="48">
        <v>0</v>
      </c>
      <c r="CT126" s="48">
        <v>4.3050496075365745E-12</v>
      </c>
      <c r="CU126" s="48">
        <v>0</v>
      </c>
      <c r="CV126" s="48">
        <v>6.1238418856857836E-7</v>
      </c>
      <c r="CW126" s="48">
        <v>0</v>
      </c>
      <c r="CX126" s="48">
        <v>4.0070645072918544E-13</v>
      </c>
      <c r="CY126" s="48">
        <v>1.0242947197872932E-8</v>
      </c>
      <c r="CZ126" s="48">
        <v>7.8464928543539561E-10</v>
      </c>
      <c r="DA126" s="48">
        <v>0</v>
      </c>
      <c r="DB126" s="48">
        <v>0</v>
      </c>
      <c r="DC126" s="48">
        <v>1.9280107328610467E-12</v>
      </c>
      <c r="DD126" s="48">
        <v>3.3612235521807E-9</v>
      </c>
      <c r="DE126" s="48">
        <v>5.0037259734832275E-9</v>
      </c>
      <c r="DF126" s="48">
        <v>0</v>
      </c>
      <c r="DG126" s="48">
        <v>0</v>
      </c>
      <c r="DH126" s="48">
        <v>0</v>
      </c>
      <c r="DI126" s="48">
        <v>2.145556733194419E-8</v>
      </c>
      <c r="DJ126" s="48">
        <v>0</v>
      </c>
      <c r="DK126" s="48">
        <v>1.4730639827127453E-8</v>
      </c>
      <c r="DL126" s="48">
        <v>0</v>
      </c>
      <c r="DM126" s="48">
        <v>0</v>
      </c>
      <c r="DN126" s="48">
        <v>0</v>
      </c>
      <c r="DO126" s="48">
        <v>0</v>
      </c>
      <c r="DP126" s="48">
        <v>0</v>
      </c>
      <c r="DQ126" s="48">
        <v>0</v>
      </c>
      <c r="DR126" s="48">
        <v>3.3086421207302625</v>
      </c>
      <c r="DS126" s="48">
        <v>5885.153764270859</v>
      </c>
      <c r="DT126" s="48">
        <v>0</v>
      </c>
      <c r="DU126" s="48">
        <v>1110.538975572121</v>
      </c>
      <c r="DV126" s="48">
        <v>36950.221073123437</v>
      </c>
      <c r="DW126" s="48">
        <v>0</v>
      </c>
      <c r="DX126" s="48">
        <v>0</v>
      </c>
      <c r="DY126" s="48">
        <v>1.6943678578969105E-5</v>
      </c>
      <c r="DZ126" s="48">
        <v>0</v>
      </c>
      <c r="EA126" s="48">
        <v>0</v>
      </c>
      <c r="EB126" s="48">
        <v>35.15947977060965</v>
      </c>
      <c r="EC126" s="48">
        <v>1.0168932602524943</v>
      </c>
      <c r="ED126" s="48">
        <v>0</v>
      </c>
      <c r="EE126" s="48">
        <v>0</v>
      </c>
      <c r="EF126" s="48">
        <v>0</v>
      </c>
      <c r="EG126" s="48">
        <v>0</v>
      </c>
      <c r="EH126" s="48">
        <v>0</v>
      </c>
      <c r="EI126" s="48">
        <v>2.066986555319459E-4</v>
      </c>
      <c r="EJ126" s="48">
        <v>1.1968007174239133E-8</v>
      </c>
      <c r="EK126" s="48">
        <v>0</v>
      </c>
      <c r="EL126" s="48">
        <v>0</v>
      </c>
      <c r="EM126" s="48">
        <v>0</v>
      </c>
      <c r="EN126" s="48">
        <v>0</v>
      </c>
      <c r="EO126" s="48">
        <v>0</v>
      </c>
      <c r="EP126" s="48">
        <v>0</v>
      </c>
      <c r="EQ126" s="48">
        <v>0</v>
      </c>
      <c r="ER126" s="48">
        <v>0.87777106953946549</v>
      </c>
      <c r="ES126" s="48">
        <v>1.5344217816779547E-2</v>
      </c>
      <c r="ET126" s="48">
        <v>0</v>
      </c>
      <c r="EU126" s="48">
        <v>0</v>
      </c>
      <c r="EV126" s="48">
        <v>0</v>
      </c>
      <c r="EW126" s="48">
        <v>0</v>
      </c>
      <c r="EX126" s="48">
        <v>8.7945526174370059</v>
      </c>
      <c r="EY126" s="48">
        <v>6.7605069148586247E-4</v>
      </c>
      <c r="EZ126" s="48">
        <v>0</v>
      </c>
      <c r="FA126" s="48">
        <v>2.6410403849945328E-4</v>
      </c>
      <c r="FB126" s="48">
        <v>7.2405839175056242E-6</v>
      </c>
      <c r="FC126" s="48">
        <v>0</v>
      </c>
      <c r="FD126" s="48">
        <v>0</v>
      </c>
      <c r="FE126" s="48">
        <v>0</v>
      </c>
      <c r="FF126" s="48">
        <v>0</v>
      </c>
      <c r="FG126" s="48">
        <v>0</v>
      </c>
      <c r="FH126" s="48">
        <v>0</v>
      </c>
      <c r="FI126" s="48">
        <v>0</v>
      </c>
      <c r="FJ126" s="48">
        <v>0</v>
      </c>
      <c r="FK126" s="48">
        <v>0</v>
      </c>
      <c r="FL126" s="48">
        <v>0</v>
      </c>
      <c r="FM126" s="48">
        <v>1.1626986790639058</v>
      </c>
      <c r="FN126" s="48">
        <v>0</v>
      </c>
      <c r="FO126" s="48">
        <v>0</v>
      </c>
      <c r="FP126" s="48">
        <v>48.648032840145788</v>
      </c>
      <c r="FQ126" s="48">
        <v>1.7222720420270575E-4</v>
      </c>
      <c r="FR126" s="48">
        <v>65.101374212450736</v>
      </c>
      <c r="FS126" s="48">
        <v>0</v>
      </c>
      <c r="FT126" s="48">
        <v>0</v>
      </c>
      <c r="FU126" s="48">
        <v>0</v>
      </c>
      <c r="FV126" s="48">
        <v>5.4293551938166534E-5</v>
      </c>
      <c r="FW126" s="48">
        <v>0</v>
      </c>
      <c r="FX126" s="48">
        <v>0</v>
      </c>
      <c r="FY126" s="48">
        <v>0</v>
      </c>
      <c r="FZ126" s="48">
        <v>0</v>
      </c>
      <c r="GA126" s="48">
        <v>0</v>
      </c>
      <c r="GB126" s="48">
        <v>0</v>
      </c>
      <c r="GC126" s="48">
        <v>0</v>
      </c>
      <c r="GD126" s="48">
        <v>0</v>
      </c>
      <c r="GE126" s="48">
        <v>0</v>
      </c>
      <c r="GF126" s="48">
        <v>0</v>
      </c>
      <c r="GG126" s="48">
        <v>0</v>
      </c>
      <c r="GH126" s="48">
        <v>0</v>
      </c>
      <c r="GI126" s="48">
        <v>0</v>
      </c>
      <c r="GJ126" s="48">
        <v>0</v>
      </c>
      <c r="GK126" s="48">
        <v>0</v>
      </c>
      <c r="GL126" s="48">
        <v>0</v>
      </c>
      <c r="GM126" s="48">
        <v>0</v>
      </c>
      <c r="GN126" s="48">
        <v>0</v>
      </c>
      <c r="GO126" s="48">
        <v>0</v>
      </c>
      <c r="GP126" s="48">
        <v>0</v>
      </c>
      <c r="GQ126" s="48">
        <v>0</v>
      </c>
      <c r="GR126" s="48">
        <v>0</v>
      </c>
      <c r="GS126" s="48">
        <v>0</v>
      </c>
      <c r="GT126" s="48">
        <v>0</v>
      </c>
      <c r="GU126" s="48">
        <v>0</v>
      </c>
      <c r="GV126" s="48">
        <v>0</v>
      </c>
      <c r="GW126" s="48">
        <v>0</v>
      </c>
      <c r="GX126" s="48">
        <v>0</v>
      </c>
      <c r="GY126" s="48">
        <v>0</v>
      </c>
      <c r="GZ126" s="48">
        <v>0</v>
      </c>
      <c r="HA126" s="48">
        <v>0</v>
      </c>
      <c r="HB126" s="48">
        <v>0</v>
      </c>
      <c r="HC126" s="48">
        <v>0</v>
      </c>
      <c r="HD126" s="48">
        <v>0</v>
      </c>
      <c r="HE126" s="48">
        <v>0</v>
      </c>
      <c r="HF126" s="48">
        <v>0</v>
      </c>
      <c r="HG126" s="48">
        <v>0</v>
      </c>
      <c r="HH126" s="48">
        <v>0</v>
      </c>
      <c r="HI126" s="48">
        <v>0</v>
      </c>
      <c r="HJ126" s="48">
        <v>0</v>
      </c>
      <c r="HK126" s="48">
        <v>0</v>
      </c>
      <c r="HL126" s="48">
        <v>0</v>
      </c>
      <c r="HM126" s="48">
        <v>0</v>
      </c>
      <c r="HN126" s="48">
        <v>0</v>
      </c>
      <c r="HO126" s="48">
        <v>0</v>
      </c>
      <c r="HP126" s="48">
        <v>0</v>
      </c>
      <c r="HQ126" s="48">
        <v>0</v>
      </c>
      <c r="HR126" s="48">
        <v>0</v>
      </c>
      <c r="HS126" s="48">
        <v>0</v>
      </c>
      <c r="HT126" s="48">
        <v>0</v>
      </c>
      <c r="HU126" s="48">
        <v>0</v>
      </c>
      <c r="HV126" s="48">
        <v>0</v>
      </c>
      <c r="HW126" s="48">
        <v>0</v>
      </c>
      <c r="HX126" s="48">
        <v>0</v>
      </c>
      <c r="HY126" s="48">
        <v>0</v>
      </c>
      <c r="HZ126" s="48">
        <v>0</v>
      </c>
      <c r="IA126" s="48">
        <v>0</v>
      </c>
      <c r="IB126" s="48">
        <v>0</v>
      </c>
      <c r="IC126" s="48">
        <v>0</v>
      </c>
      <c r="ID126" s="48">
        <v>0</v>
      </c>
      <c r="IE126" s="48">
        <v>0</v>
      </c>
      <c r="IF126" s="48">
        <v>0</v>
      </c>
      <c r="IG126" s="48">
        <v>0</v>
      </c>
      <c r="IH126" s="48">
        <v>0</v>
      </c>
      <c r="II126" s="48">
        <v>0</v>
      </c>
      <c r="IJ126" s="48">
        <v>0</v>
      </c>
      <c r="IK126" s="48">
        <v>1.6075323574958276E-9</v>
      </c>
      <c r="IL126" s="48">
        <v>0</v>
      </c>
      <c r="IM126" s="48">
        <v>0</v>
      </c>
      <c r="IN126" s="48">
        <v>0</v>
      </c>
      <c r="IO126" s="48">
        <v>0</v>
      </c>
      <c r="IP126" s="23">
        <v>44109.999999999804</v>
      </c>
      <c r="IQ126" s="25">
        <v>0</v>
      </c>
      <c r="IR126" s="25">
        <v>0</v>
      </c>
      <c r="IS126" s="26">
        <v>0</v>
      </c>
      <c r="IT126" s="26">
        <v>0</v>
      </c>
      <c r="IU126" s="26">
        <v>300</v>
      </c>
      <c r="IV126" s="9">
        <v>8872</v>
      </c>
      <c r="IW126" s="38">
        <f t="shared" si="5"/>
        <v>53281.999999999804</v>
      </c>
    </row>
    <row r="127" spans="1:257" ht="30" customHeight="1" x14ac:dyDescent="0.25">
      <c r="A127" s="112" t="b">
        <v>0</v>
      </c>
      <c r="B127" s="113" t="str">
        <f>IFERROR(VLOOKUP(C127,'Bridge matrix'!$D$3:$E$727,2,FALSE)='symmetric IOT 245 2012'!D127,"FALSCH")</f>
        <v>FALSCH</v>
      </c>
      <c r="C127" s="108">
        <v>121</v>
      </c>
      <c r="D127" s="49" t="s">
        <v>1436</v>
      </c>
      <c r="E127" s="48">
        <v>0</v>
      </c>
      <c r="F127" s="48">
        <v>0</v>
      </c>
      <c r="G127" s="48">
        <v>0</v>
      </c>
      <c r="H127" s="48">
        <v>0</v>
      </c>
      <c r="I127" s="48">
        <v>0</v>
      </c>
      <c r="J127" s="48">
        <v>0</v>
      </c>
      <c r="K127" s="48">
        <v>0</v>
      </c>
      <c r="L127" s="48">
        <v>0</v>
      </c>
      <c r="M127" s="48">
        <v>0</v>
      </c>
      <c r="N127" s="48">
        <v>0</v>
      </c>
      <c r="O127" s="48">
        <v>0</v>
      </c>
      <c r="P127" s="48">
        <v>0</v>
      </c>
      <c r="Q127" s="48">
        <v>0</v>
      </c>
      <c r="R127" s="48">
        <v>0</v>
      </c>
      <c r="S127" s="48">
        <v>0</v>
      </c>
      <c r="T127" s="48">
        <v>0</v>
      </c>
      <c r="U127" s="48">
        <v>0</v>
      </c>
      <c r="V127" s="48">
        <v>0</v>
      </c>
      <c r="W127" s="48">
        <v>0</v>
      </c>
      <c r="X127" s="48">
        <v>0</v>
      </c>
      <c r="Y127" s="48">
        <v>0</v>
      </c>
      <c r="Z127" s="48">
        <v>0</v>
      </c>
      <c r="AA127" s="48">
        <v>0</v>
      </c>
      <c r="AB127" s="48">
        <v>0</v>
      </c>
      <c r="AC127" s="48">
        <v>0</v>
      </c>
      <c r="AD127" s="48">
        <v>0</v>
      </c>
      <c r="AE127" s="48">
        <v>0</v>
      </c>
      <c r="AF127" s="48">
        <v>0</v>
      </c>
      <c r="AG127" s="48">
        <v>0</v>
      </c>
      <c r="AH127" s="48">
        <v>0</v>
      </c>
      <c r="AI127" s="48">
        <v>0</v>
      </c>
      <c r="AJ127" s="48">
        <v>0</v>
      </c>
      <c r="AK127" s="48">
        <v>0</v>
      </c>
      <c r="AL127" s="48">
        <v>0</v>
      </c>
      <c r="AM127" s="48">
        <v>0</v>
      </c>
      <c r="AN127" s="48">
        <v>0</v>
      </c>
      <c r="AO127" s="48">
        <v>0</v>
      </c>
      <c r="AP127" s="48">
        <v>0</v>
      </c>
      <c r="AQ127" s="48">
        <v>0</v>
      </c>
      <c r="AR127" s="48">
        <v>0</v>
      </c>
      <c r="AS127" s="48">
        <v>0</v>
      </c>
      <c r="AT127" s="48">
        <v>0</v>
      </c>
      <c r="AU127" s="48">
        <v>0</v>
      </c>
      <c r="AV127" s="48">
        <v>0</v>
      </c>
      <c r="AW127" s="48">
        <v>0</v>
      </c>
      <c r="AX127" s="48">
        <v>0</v>
      </c>
      <c r="AY127" s="48">
        <v>0</v>
      </c>
      <c r="AZ127" s="48">
        <v>0</v>
      </c>
      <c r="BA127" s="48">
        <v>0</v>
      </c>
      <c r="BB127" s="48">
        <v>0</v>
      </c>
      <c r="BC127" s="48">
        <v>0</v>
      </c>
      <c r="BD127" s="48">
        <v>0</v>
      </c>
      <c r="BE127" s="48">
        <v>0</v>
      </c>
      <c r="BF127" s="48">
        <v>0</v>
      </c>
      <c r="BG127" s="48">
        <v>0</v>
      </c>
      <c r="BH127" s="48">
        <v>0</v>
      </c>
      <c r="BI127" s="48">
        <v>0</v>
      </c>
      <c r="BJ127" s="48">
        <v>0</v>
      </c>
      <c r="BK127" s="48">
        <v>0</v>
      </c>
      <c r="BL127" s="48">
        <v>0</v>
      </c>
      <c r="BM127" s="48">
        <v>0</v>
      </c>
      <c r="BN127" s="48">
        <v>0</v>
      </c>
      <c r="BO127" s="48">
        <v>0</v>
      </c>
      <c r="BP127" s="48">
        <v>0</v>
      </c>
      <c r="BQ127" s="48">
        <v>0</v>
      </c>
      <c r="BR127" s="48">
        <v>0</v>
      </c>
      <c r="BS127" s="48">
        <v>0</v>
      </c>
      <c r="BT127" s="48">
        <v>0</v>
      </c>
      <c r="BU127" s="48">
        <v>0</v>
      </c>
      <c r="BV127" s="48">
        <v>0</v>
      </c>
      <c r="BW127" s="48">
        <v>0</v>
      </c>
      <c r="BX127" s="48">
        <v>0</v>
      </c>
      <c r="BY127" s="48">
        <v>0</v>
      </c>
      <c r="BZ127" s="48">
        <v>0</v>
      </c>
      <c r="CA127" s="48">
        <v>7366.723212478556</v>
      </c>
      <c r="CB127" s="48">
        <v>25.068344568005525</v>
      </c>
      <c r="CC127" s="48">
        <v>0</v>
      </c>
      <c r="CD127" s="48">
        <v>0</v>
      </c>
      <c r="CE127" s="48">
        <v>0</v>
      </c>
      <c r="CF127" s="48">
        <v>0</v>
      </c>
      <c r="CG127" s="48">
        <v>0</v>
      </c>
      <c r="CH127" s="48">
        <v>0</v>
      </c>
      <c r="CI127" s="48">
        <v>0</v>
      </c>
      <c r="CJ127" s="48">
        <v>0</v>
      </c>
      <c r="CK127" s="48">
        <v>0</v>
      </c>
      <c r="CL127" s="48">
        <v>2.6550371191445849E-8</v>
      </c>
      <c r="CM127" s="48">
        <v>0</v>
      </c>
      <c r="CN127" s="48">
        <v>3.9501635160750142E-8</v>
      </c>
      <c r="CO127" s="48">
        <v>0</v>
      </c>
      <c r="CP127" s="48">
        <v>0</v>
      </c>
      <c r="CQ127" s="48">
        <v>0</v>
      </c>
      <c r="CR127" s="48">
        <v>0</v>
      </c>
      <c r="CS127" s="48">
        <v>0</v>
      </c>
      <c r="CT127" s="48">
        <v>5.287828195426961E-11</v>
      </c>
      <c r="CU127" s="48">
        <v>0</v>
      </c>
      <c r="CV127" s="48">
        <v>7.5218236116901344E-6</v>
      </c>
      <c r="CW127" s="48">
        <v>0</v>
      </c>
      <c r="CX127" s="48">
        <v>4.9218175431611121E-12</v>
      </c>
      <c r="CY127" s="48">
        <v>1.2581259203694728E-7</v>
      </c>
      <c r="CZ127" s="48">
        <v>9.6377300920837773E-9</v>
      </c>
      <c r="DA127" s="48">
        <v>0</v>
      </c>
      <c r="DB127" s="48">
        <v>0</v>
      </c>
      <c r="DC127" s="48">
        <v>2.3681468144898281E-11</v>
      </c>
      <c r="DD127" s="48">
        <v>4.1285407348707698E-8</v>
      </c>
      <c r="DE127" s="48">
        <v>6.1460019504664783E-8</v>
      </c>
      <c r="DF127" s="48">
        <v>0</v>
      </c>
      <c r="DG127" s="48">
        <v>0</v>
      </c>
      <c r="DH127" s="48">
        <v>0</v>
      </c>
      <c r="DI127" s="48">
        <v>2.6353553206011852E-7</v>
      </c>
      <c r="DJ127" s="48">
        <v>0</v>
      </c>
      <c r="DK127" s="48">
        <v>1.8093425097402209E-7</v>
      </c>
      <c r="DL127" s="48">
        <v>0</v>
      </c>
      <c r="DM127" s="48">
        <v>0</v>
      </c>
      <c r="DN127" s="48">
        <v>0</v>
      </c>
      <c r="DO127" s="48">
        <v>0</v>
      </c>
      <c r="DP127" s="48">
        <v>0</v>
      </c>
      <c r="DQ127" s="48">
        <v>0</v>
      </c>
      <c r="DR127" s="48">
        <v>1.343500142847784</v>
      </c>
      <c r="DS127" s="48">
        <v>521.82268333032096</v>
      </c>
      <c r="DT127" s="48">
        <v>0</v>
      </c>
      <c r="DU127" s="48">
        <v>450.96127278757297</v>
      </c>
      <c r="DV127" s="48">
        <v>15004.537184325591</v>
      </c>
      <c r="DW127" s="48">
        <v>0</v>
      </c>
      <c r="DX127" s="48">
        <v>0</v>
      </c>
      <c r="DY127" s="48">
        <v>2.5061956486277786E-4</v>
      </c>
      <c r="DZ127" s="48">
        <v>0</v>
      </c>
      <c r="EA127" s="48">
        <v>0</v>
      </c>
      <c r="EB127" s="48">
        <v>14.276791883597843</v>
      </c>
      <c r="EC127" s="48">
        <v>0.4129177738902618</v>
      </c>
      <c r="ED127" s="48">
        <v>0</v>
      </c>
      <c r="EE127" s="48">
        <v>0</v>
      </c>
      <c r="EF127" s="48">
        <v>0</v>
      </c>
      <c r="EG127" s="48">
        <v>0</v>
      </c>
      <c r="EH127" s="48">
        <v>0</v>
      </c>
      <c r="EI127" s="48">
        <v>2.5388487434970324E-3</v>
      </c>
      <c r="EJ127" s="48">
        <v>1.4700124632298002E-7</v>
      </c>
      <c r="EK127" s="48">
        <v>0</v>
      </c>
      <c r="EL127" s="48">
        <v>0</v>
      </c>
      <c r="EM127" s="48">
        <v>0</v>
      </c>
      <c r="EN127" s="48">
        <v>0</v>
      </c>
      <c r="EO127" s="48">
        <v>0</v>
      </c>
      <c r="EP127" s="48">
        <v>0</v>
      </c>
      <c r="EQ127" s="48">
        <v>0</v>
      </c>
      <c r="ER127" s="48">
        <v>3.624720154135206E-2</v>
      </c>
      <c r="ES127" s="48">
        <v>6.2306463262788983E-3</v>
      </c>
      <c r="ET127" s="48">
        <v>0</v>
      </c>
      <c r="EU127" s="48">
        <v>0</v>
      </c>
      <c r="EV127" s="48">
        <v>0</v>
      </c>
      <c r="EW127" s="48">
        <v>0</v>
      </c>
      <c r="EX127" s="48">
        <v>3.5710754830495968</v>
      </c>
      <c r="EY127" s="48">
        <v>2.7448005093642073E-4</v>
      </c>
      <c r="EZ127" s="48">
        <v>0</v>
      </c>
      <c r="FA127" s="48">
        <v>1.2784683720119588E-4</v>
      </c>
      <c r="FB127" s="48">
        <v>3.5050041589759907E-6</v>
      </c>
      <c r="FC127" s="48">
        <v>0</v>
      </c>
      <c r="FD127" s="48">
        <v>0</v>
      </c>
      <c r="FE127" s="48">
        <v>0</v>
      </c>
      <c r="FF127" s="48">
        <v>0</v>
      </c>
      <c r="FG127" s="48">
        <v>0</v>
      </c>
      <c r="FH127" s="48">
        <v>0</v>
      </c>
      <c r="FI127" s="48">
        <v>0</v>
      </c>
      <c r="FJ127" s="48">
        <v>0</v>
      </c>
      <c r="FK127" s="48">
        <v>0</v>
      </c>
      <c r="FL127" s="48">
        <v>0</v>
      </c>
      <c r="FM127" s="48">
        <v>0.4067294418346642</v>
      </c>
      <c r="FN127" s="48">
        <v>0</v>
      </c>
      <c r="FO127" s="48">
        <v>0</v>
      </c>
      <c r="FP127" s="48">
        <v>957.51591669304912</v>
      </c>
      <c r="FQ127" s="48">
        <v>29.178131114689187</v>
      </c>
      <c r="FR127" s="48">
        <v>89.135876988343711</v>
      </c>
      <c r="FS127" s="48">
        <v>0</v>
      </c>
      <c r="FT127" s="48">
        <v>0</v>
      </c>
      <c r="FU127" s="48">
        <v>0</v>
      </c>
      <c r="FV127" s="48">
        <v>6.8140319787505827E-4</v>
      </c>
      <c r="FW127" s="48">
        <v>0</v>
      </c>
      <c r="FX127" s="48">
        <v>0</v>
      </c>
      <c r="FY127" s="48">
        <v>0</v>
      </c>
      <c r="FZ127" s="48">
        <v>0</v>
      </c>
      <c r="GA127" s="48">
        <v>0</v>
      </c>
      <c r="GB127" s="48">
        <v>0</v>
      </c>
      <c r="GC127" s="48">
        <v>0</v>
      </c>
      <c r="GD127" s="48">
        <v>0</v>
      </c>
      <c r="GE127" s="48">
        <v>0</v>
      </c>
      <c r="GF127" s="48">
        <v>0</v>
      </c>
      <c r="GG127" s="48">
        <v>0</v>
      </c>
      <c r="GH127" s="48">
        <v>0</v>
      </c>
      <c r="GI127" s="48">
        <v>0</v>
      </c>
      <c r="GJ127" s="48">
        <v>0</v>
      </c>
      <c r="GK127" s="48">
        <v>0</v>
      </c>
      <c r="GL127" s="48">
        <v>0</v>
      </c>
      <c r="GM127" s="48">
        <v>0</v>
      </c>
      <c r="GN127" s="48">
        <v>0</v>
      </c>
      <c r="GO127" s="48">
        <v>0</v>
      </c>
      <c r="GP127" s="48">
        <v>0</v>
      </c>
      <c r="GQ127" s="48">
        <v>0</v>
      </c>
      <c r="GR127" s="48">
        <v>0</v>
      </c>
      <c r="GS127" s="48">
        <v>0</v>
      </c>
      <c r="GT127" s="48">
        <v>0</v>
      </c>
      <c r="GU127" s="48">
        <v>0</v>
      </c>
      <c r="GV127" s="48">
        <v>0</v>
      </c>
      <c r="GW127" s="48">
        <v>0</v>
      </c>
      <c r="GX127" s="48">
        <v>0</v>
      </c>
      <c r="GY127" s="48">
        <v>0</v>
      </c>
      <c r="GZ127" s="48">
        <v>0</v>
      </c>
      <c r="HA127" s="48">
        <v>0</v>
      </c>
      <c r="HB127" s="48">
        <v>0</v>
      </c>
      <c r="HC127" s="48">
        <v>0</v>
      </c>
      <c r="HD127" s="48">
        <v>0</v>
      </c>
      <c r="HE127" s="48">
        <v>0</v>
      </c>
      <c r="HF127" s="48">
        <v>0</v>
      </c>
      <c r="HG127" s="48">
        <v>0</v>
      </c>
      <c r="HH127" s="48">
        <v>0</v>
      </c>
      <c r="HI127" s="48">
        <v>0</v>
      </c>
      <c r="HJ127" s="48">
        <v>0</v>
      </c>
      <c r="HK127" s="48">
        <v>0</v>
      </c>
      <c r="HL127" s="48">
        <v>0</v>
      </c>
      <c r="HM127" s="48">
        <v>0</v>
      </c>
      <c r="HN127" s="48">
        <v>0</v>
      </c>
      <c r="HO127" s="48">
        <v>0</v>
      </c>
      <c r="HP127" s="48">
        <v>0</v>
      </c>
      <c r="HQ127" s="48">
        <v>0</v>
      </c>
      <c r="HR127" s="48">
        <v>0</v>
      </c>
      <c r="HS127" s="48">
        <v>0</v>
      </c>
      <c r="HT127" s="48">
        <v>0</v>
      </c>
      <c r="HU127" s="48">
        <v>0</v>
      </c>
      <c r="HV127" s="48">
        <v>0</v>
      </c>
      <c r="HW127" s="48">
        <v>0</v>
      </c>
      <c r="HX127" s="48">
        <v>0</v>
      </c>
      <c r="HY127" s="48">
        <v>0</v>
      </c>
      <c r="HZ127" s="48">
        <v>0</v>
      </c>
      <c r="IA127" s="48">
        <v>0</v>
      </c>
      <c r="IB127" s="48">
        <v>0</v>
      </c>
      <c r="IC127" s="48">
        <v>0</v>
      </c>
      <c r="ID127" s="48">
        <v>0</v>
      </c>
      <c r="IE127" s="48">
        <v>0</v>
      </c>
      <c r="IF127" s="48">
        <v>0</v>
      </c>
      <c r="IG127" s="48">
        <v>0</v>
      </c>
      <c r="IH127" s="48">
        <v>0</v>
      </c>
      <c r="II127" s="48">
        <v>0</v>
      </c>
      <c r="IJ127" s="48">
        <v>0</v>
      </c>
      <c r="IK127" s="48">
        <v>1.9745080080253958E-8</v>
      </c>
      <c r="IL127" s="48">
        <v>0</v>
      </c>
      <c r="IM127" s="48">
        <v>0</v>
      </c>
      <c r="IN127" s="48">
        <v>0</v>
      </c>
      <c r="IO127" s="48">
        <v>0</v>
      </c>
      <c r="IP127" s="23">
        <v>24464.999999999978</v>
      </c>
      <c r="IQ127" s="25">
        <v>0</v>
      </c>
      <c r="IR127" s="25">
        <v>0</v>
      </c>
      <c r="IS127" s="26">
        <v>0</v>
      </c>
      <c r="IT127" s="26">
        <v>0</v>
      </c>
      <c r="IU127" s="26">
        <v>0</v>
      </c>
      <c r="IV127" s="9">
        <v>1473</v>
      </c>
      <c r="IW127" s="38">
        <f t="shared" si="5"/>
        <v>25937.999999999978</v>
      </c>
    </row>
    <row r="128" spans="1:257" ht="30" customHeight="1" x14ac:dyDescent="0.25">
      <c r="A128" s="112" t="b">
        <v>1</v>
      </c>
      <c r="B128" s="113" t="b">
        <f>IFERROR(VLOOKUP(C128,'Bridge matrix'!$D$3:$E$727,2,FALSE)='symmetric IOT 245 2012'!D128,"FALSCH")</f>
        <v>1</v>
      </c>
      <c r="C128" s="108">
        <v>122</v>
      </c>
      <c r="D128" s="49" t="s">
        <v>1437</v>
      </c>
      <c r="E128" s="48">
        <v>0</v>
      </c>
      <c r="F128" s="48">
        <v>0</v>
      </c>
      <c r="G128" s="48">
        <v>0</v>
      </c>
      <c r="H128" s="48">
        <v>0</v>
      </c>
      <c r="I128" s="48">
        <v>0</v>
      </c>
      <c r="J128" s="48">
        <v>0</v>
      </c>
      <c r="K128" s="48">
        <v>0</v>
      </c>
      <c r="L128" s="48">
        <v>0</v>
      </c>
      <c r="M128" s="48">
        <v>0</v>
      </c>
      <c r="N128" s="48">
        <v>0</v>
      </c>
      <c r="O128" s="48">
        <v>0</v>
      </c>
      <c r="P128" s="48">
        <v>0</v>
      </c>
      <c r="Q128" s="48">
        <v>0</v>
      </c>
      <c r="R128" s="48">
        <v>0</v>
      </c>
      <c r="S128" s="48">
        <v>0</v>
      </c>
      <c r="T128" s="48">
        <v>0</v>
      </c>
      <c r="U128" s="48">
        <v>0</v>
      </c>
      <c r="V128" s="48">
        <v>0</v>
      </c>
      <c r="W128" s="48">
        <v>0</v>
      </c>
      <c r="X128" s="48">
        <v>0</v>
      </c>
      <c r="Y128" s="48">
        <v>0</v>
      </c>
      <c r="Z128" s="48">
        <v>0</v>
      </c>
      <c r="AA128" s="48">
        <v>0</v>
      </c>
      <c r="AB128" s="48">
        <v>0</v>
      </c>
      <c r="AC128" s="48">
        <v>0</v>
      </c>
      <c r="AD128" s="48">
        <v>0</v>
      </c>
      <c r="AE128" s="48">
        <v>0</v>
      </c>
      <c r="AF128" s="48">
        <v>0</v>
      </c>
      <c r="AG128" s="48">
        <v>0</v>
      </c>
      <c r="AH128" s="48">
        <v>0</v>
      </c>
      <c r="AI128" s="48">
        <v>0</v>
      </c>
      <c r="AJ128" s="48">
        <v>0</v>
      </c>
      <c r="AK128" s="48">
        <v>0</v>
      </c>
      <c r="AL128" s="48">
        <v>0</v>
      </c>
      <c r="AM128" s="48">
        <v>0</v>
      </c>
      <c r="AN128" s="48">
        <v>0</v>
      </c>
      <c r="AO128" s="48">
        <v>0</v>
      </c>
      <c r="AP128" s="48">
        <v>0</v>
      </c>
      <c r="AQ128" s="48">
        <v>0</v>
      </c>
      <c r="AR128" s="48">
        <v>0</v>
      </c>
      <c r="AS128" s="48">
        <v>0</v>
      </c>
      <c r="AT128" s="48">
        <v>0</v>
      </c>
      <c r="AU128" s="48">
        <v>0</v>
      </c>
      <c r="AV128" s="48">
        <v>0</v>
      </c>
      <c r="AW128" s="48">
        <v>0</v>
      </c>
      <c r="AX128" s="48">
        <v>0</v>
      </c>
      <c r="AY128" s="48">
        <v>0</v>
      </c>
      <c r="AZ128" s="48">
        <v>0</v>
      </c>
      <c r="BA128" s="48">
        <v>0</v>
      </c>
      <c r="BB128" s="48">
        <v>0</v>
      </c>
      <c r="BC128" s="48">
        <v>0</v>
      </c>
      <c r="BD128" s="48">
        <v>0</v>
      </c>
      <c r="BE128" s="48">
        <v>0</v>
      </c>
      <c r="BF128" s="48">
        <v>0</v>
      </c>
      <c r="BG128" s="48">
        <v>0</v>
      </c>
      <c r="BH128" s="48">
        <v>0</v>
      </c>
      <c r="BI128" s="48">
        <v>0</v>
      </c>
      <c r="BJ128" s="48">
        <v>0</v>
      </c>
      <c r="BK128" s="48">
        <v>0</v>
      </c>
      <c r="BL128" s="48">
        <v>0</v>
      </c>
      <c r="BM128" s="48">
        <v>0</v>
      </c>
      <c r="BN128" s="48">
        <v>0</v>
      </c>
      <c r="BO128" s="48">
        <v>0</v>
      </c>
      <c r="BP128" s="48">
        <v>0</v>
      </c>
      <c r="BQ128" s="48">
        <v>0</v>
      </c>
      <c r="BR128" s="48">
        <v>0</v>
      </c>
      <c r="BS128" s="48">
        <v>0</v>
      </c>
      <c r="BT128" s="48">
        <v>0</v>
      </c>
      <c r="BU128" s="48">
        <v>0</v>
      </c>
      <c r="BV128" s="48">
        <v>0</v>
      </c>
      <c r="BW128" s="48">
        <v>0</v>
      </c>
      <c r="BX128" s="48">
        <v>0</v>
      </c>
      <c r="BY128" s="48">
        <v>0</v>
      </c>
      <c r="BZ128" s="48">
        <v>0</v>
      </c>
      <c r="CA128" s="48">
        <v>976.628527699693</v>
      </c>
      <c r="CB128" s="48">
        <v>3.8721617475840753</v>
      </c>
      <c r="CC128" s="48">
        <v>0</v>
      </c>
      <c r="CD128" s="48">
        <v>0</v>
      </c>
      <c r="CE128" s="48">
        <v>0</v>
      </c>
      <c r="CF128" s="48">
        <v>0</v>
      </c>
      <c r="CG128" s="48">
        <v>0</v>
      </c>
      <c r="CH128" s="48">
        <v>0</v>
      </c>
      <c r="CI128" s="48">
        <v>0</v>
      </c>
      <c r="CJ128" s="48">
        <v>0</v>
      </c>
      <c r="CK128" s="48">
        <v>0</v>
      </c>
      <c r="CL128" s="48">
        <v>0</v>
      </c>
      <c r="CM128" s="48">
        <v>1.82127610126109E-8</v>
      </c>
      <c r="CN128" s="48">
        <v>0</v>
      </c>
      <c r="CO128" s="48">
        <v>0</v>
      </c>
      <c r="CP128" s="48">
        <v>0</v>
      </c>
      <c r="CQ128" s="48">
        <v>0</v>
      </c>
      <c r="CR128" s="48">
        <v>4.3121437048581573E-13</v>
      </c>
      <c r="CS128" s="48">
        <v>0</v>
      </c>
      <c r="CT128" s="48">
        <v>0</v>
      </c>
      <c r="CU128" s="48">
        <v>4.4080805050265488E-7</v>
      </c>
      <c r="CV128" s="48">
        <v>1.0327760239675795E-6</v>
      </c>
      <c r="CW128" s="48">
        <v>0</v>
      </c>
      <c r="CX128" s="48">
        <v>0</v>
      </c>
      <c r="CY128" s="48">
        <v>0</v>
      </c>
      <c r="CZ128" s="48">
        <v>0</v>
      </c>
      <c r="DA128" s="48">
        <v>1.5119914137231489E-8</v>
      </c>
      <c r="DB128" s="48">
        <v>0</v>
      </c>
      <c r="DC128" s="48">
        <v>0</v>
      </c>
      <c r="DD128" s="48">
        <v>0</v>
      </c>
      <c r="DE128" s="48">
        <v>3.0746046603969734E-5</v>
      </c>
      <c r="DF128" s="48">
        <v>0</v>
      </c>
      <c r="DG128" s="48">
        <v>0</v>
      </c>
      <c r="DH128" s="48">
        <v>0</v>
      </c>
      <c r="DI128" s="48">
        <v>0</v>
      </c>
      <c r="DJ128" s="48">
        <v>8.9678969351858102E-11</v>
      </c>
      <c r="DK128" s="48">
        <v>0</v>
      </c>
      <c r="DL128" s="48">
        <v>1.6398764478193582E-2</v>
      </c>
      <c r="DM128" s="48">
        <v>0</v>
      </c>
      <c r="DN128" s="48">
        <v>0</v>
      </c>
      <c r="DO128" s="48">
        <v>0</v>
      </c>
      <c r="DP128" s="48">
        <v>0</v>
      </c>
      <c r="DQ128" s="48">
        <v>0</v>
      </c>
      <c r="DR128" s="48">
        <v>0</v>
      </c>
      <c r="DS128" s="48">
        <v>0</v>
      </c>
      <c r="DT128" s="48">
        <v>0</v>
      </c>
      <c r="DU128" s="48">
        <v>0</v>
      </c>
      <c r="DV128" s="48">
        <v>0</v>
      </c>
      <c r="DW128" s="48">
        <v>0</v>
      </c>
      <c r="DX128" s="48">
        <v>0</v>
      </c>
      <c r="DY128" s="48">
        <v>0</v>
      </c>
      <c r="DZ128" s="48">
        <v>0</v>
      </c>
      <c r="EA128" s="48">
        <v>0</v>
      </c>
      <c r="EB128" s="48">
        <v>0</v>
      </c>
      <c r="EC128" s="48">
        <v>0</v>
      </c>
      <c r="ED128" s="48">
        <v>0</v>
      </c>
      <c r="EE128" s="48">
        <v>0</v>
      </c>
      <c r="EF128" s="48">
        <v>0</v>
      </c>
      <c r="EG128" s="48">
        <v>0</v>
      </c>
      <c r="EH128" s="48">
        <v>0</v>
      </c>
      <c r="EI128" s="48">
        <v>0</v>
      </c>
      <c r="EJ128" s="48">
        <v>2.018385042422091E-8</v>
      </c>
      <c r="EK128" s="48">
        <v>0</v>
      </c>
      <c r="EL128" s="48">
        <v>2.8952894776307178E-7</v>
      </c>
      <c r="EM128" s="48">
        <v>7.6831276748619946E-12</v>
      </c>
      <c r="EN128" s="48">
        <v>0</v>
      </c>
      <c r="EO128" s="48">
        <v>0</v>
      </c>
      <c r="EP128" s="48">
        <v>0</v>
      </c>
      <c r="EQ128" s="48">
        <v>0</v>
      </c>
      <c r="ER128" s="48">
        <v>0</v>
      </c>
      <c r="ES128" s="48">
        <v>0</v>
      </c>
      <c r="ET128" s="48">
        <v>0.22063491172941813</v>
      </c>
      <c r="EU128" s="48">
        <v>0</v>
      </c>
      <c r="EV128" s="48">
        <v>0</v>
      </c>
      <c r="EW128" s="48">
        <v>0</v>
      </c>
      <c r="EX128" s="48">
        <v>83.812877592904016</v>
      </c>
      <c r="EY128" s="48">
        <v>6.6384531206759405</v>
      </c>
      <c r="EZ128" s="48">
        <v>5.4964397376276102</v>
      </c>
      <c r="FA128" s="48">
        <v>0</v>
      </c>
      <c r="FB128" s="48">
        <v>0</v>
      </c>
      <c r="FC128" s="48">
        <v>0</v>
      </c>
      <c r="FD128" s="48">
        <v>1.8166526856109938E-6</v>
      </c>
      <c r="FE128" s="48">
        <v>0</v>
      </c>
      <c r="FF128" s="48">
        <v>0</v>
      </c>
      <c r="FG128" s="48">
        <v>4.662835054944076E-7</v>
      </c>
      <c r="FH128" s="48">
        <v>3.3424413118364464E-7</v>
      </c>
      <c r="FI128" s="48">
        <v>5.1764345548772867E-7</v>
      </c>
      <c r="FJ128" s="48">
        <v>0</v>
      </c>
      <c r="FK128" s="48">
        <v>0</v>
      </c>
      <c r="FL128" s="48">
        <v>0</v>
      </c>
      <c r="FM128" s="48">
        <v>0</v>
      </c>
      <c r="FN128" s="48">
        <v>0</v>
      </c>
      <c r="FO128" s="48">
        <v>0</v>
      </c>
      <c r="FP128" s="48">
        <v>0</v>
      </c>
      <c r="FQ128" s="48">
        <v>7.3761263550684074E-4</v>
      </c>
      <c r="FR128" s="48">
        <v>8.9144666551019775E-8</v>
      </c>
      <c r="FS128" s="48">
        <v>0</v>
      </c>
      <c r="FT128" s="48">
        <v>2.4281265835901862E-8</v>
      </c>
      <c r="FU128" s="48">
        <v>0</v>
      </c>
      <c r="FV128" s="48">
        <v>0</v>
      </c>
      <c r="FW128" s="48">
        <v>488.0518114881155</v>
      </c>
      <c r="FX128" s="48">
        <v>886.07733080135006</v>
      </c>
      <c r="FY128" s="48">
        <v>149.59239927663418</v>
      </c>
      <c r="FZ128" s="48">
        <v>2.9061240416434195</v>
      </c>
      <c r="GA128" s="48">
        <v>30.458359518375602</v>
      </c>
      <c r="GB128" s="48">
        <v>0</v>
      </c>
      <c r="GC128" s="48">
        <v>0</v>
      </c>
      <c r="GD128" s="48">
        <v>0</v>
      </c>
      <c r="GE128" s="48">
        <v>0</v>
      </c>
      <c r="GF128" s="48">
        <v>0</v>
      </c>
      <c r="GG128" s="48">
        <v>349.42414023516875</v>
      </c>
      <c r="GH128" s="48">
        <v>310.76997616273928</v>
      </c>
      <c r="GI128" s="48">
        <v>0.97291496571586422</v>
      </c>
      <c r="GJ128" s="48">
        <v>39.530568903027294</v>
      </c>
      <c r="GK128" s="48">
        <v>82.739516519512335</v>
      </c>
      <c r="GL128" s="48">
        <v>82.733140012268095</v>
      </c>
      <c r="GM128" s="48">
        <v>60.85434825075621</v>
      </c>
      <c r="GN128" s="48">
        <v>2.9227130070655623</v>
      </c>
      <c r="GO128" s="48">
        <v>20.259954966369506</v>
      </c>
      <c r="GP128" s="48">
        <v>8.7689921935473389</v>
      </c>
      <c r="GQ128" s="48">
        <v>66.255312142870167</v>
      </c>
      <c r="GR128" s="48">
        <v>0</v>
      </c>
      <c r="GS128" s="48">
        <v>17027.706154634481</v>
      </c>
      <c r="GT128" s="48">
        <v>2.2167621963815896E-10</v>
      </c>
      <c r="GU128" s="48">
        <v>0</v>
      </c>
      <c r="GV128" s="48">
        <v>0</v>
      </c>
      <c r="GW128" s="48">
        <v>0</v>
      </c>
      <c r="GX128" s="48">
        <v>3.2409609265887846E-8</v>
      </c>
      <c r="GY128" s="48">
        <v>0</v>
      </c>
      <c r="GZ128" s="48">
        <v>0</v>
      </c>
      <c r="HA128" s="48">
        <v>0</v>
      </c>
      <c r="HB128" s="48">
        <v>0</v>
      </c>
      <c r="HC128" s="48">
        <v>0</v>
      </c>
      <c r="HD128" s="48">
        <v>0</v>
      </c>
      <c r="HE128" s="48">
        <v>0</v>
      </c>
      <c r="HF128" s="48">
        <v>0</v>
      </c>
      <c r="HG128" s="48">
        <v>0</v>
      </c>
      <c r="HH128" s="48">
        <v>0</v>
      </c>
      <c r="HI128" s="48">
        <v>0</v>
      </c>
      <c r="HJ128" s="48">
        <v>0</v>
      </c>
      <c r="HK128" s="48">
        <v>0</v>
      </c>
      <c r="HL128" s="48">
        <v>0</v>
      </c>
      <c r="HM128" s="48">
        <v>0</v>
      </c>
      <c r="HN128" s="48">
        <v>0</v>
      </c>
      <c r="HO128" s="48">
        <v>0</v>
      </c>
      <c r="HP128" s="48">
        <v>0</v>
      </c>
      <c r="HQ128" s="48">
        <v>0</v>
      </c>
      <c r="HR128" s="48">
        <v>0</v>
      </c>
      <c r="HS128" s="48">
        <v>0</v>
      </c>
      <c r="HT128" s="48">
        <v>0</v>
      </c>
      <c r="HU128" s="48">
        <v>0</v>
      </c>
      <c r="HV128" s="48">
        <v>16340.758513519097</v>
      </c>
      <c r="HW128" s="48">
        <v>0</v>
      </c>
      <c r="HX128" s="48">
        <v>422.62018048458242</v>
      </c>
      <c r="HY128" s="48">
        <v>357.77895037023501</v>
      </c>
      <c r="HZ128" s="48">
        <v>530.65854165642065</v>
      </c>
      <c r="IA128" s="48">
        <v>149.74771363230326</v>
      </c>
      <c r="IB128" s="48">
        <v>7.726076186639621</v>
      </c>
      <c r="IC128" s="48">
        <v>0</v>
      </c>
      <c r="ID128" s="48">
        <v>0</v>
      </c>
      <c r="IE128" s="48">
        <v>0</v>
      </c>
      <c r="IF128" s="48">
        <v>0</v>
      </c>
      <c r="IG128" s="48">
        <v>0</v>
      </c>
      <c r="IH128" s="48">
        <v>0</v>
      </c>
      <c r="II128" s="48">
        <v>0</v>
      </c>
      <c r="IJ128" s="48">
        <v>0</v>
      </c>
      <c r="IK128" s="48">
        <v>0</v>
      </c>
      <c r="IL128" s="48">
        <v>0</v>
      </c>
      <c r="IM128" s="48">
        <v>0</v>
      </c>
      <c r="IN128" s="48">
        <v>0</v>
      </c>
      <c r="IO128" s="48">
        <v>0</v>
      </c>
      <c r="IP128" s="23">
        <v>38495.999999999905</v>
      </c>
      <c r="IQ128" s="25">
        <v>304329</v>
      </c>
      <c r="IR128" s="25">
        <v>0</v>
      </c>
      <c r="IS128" s="26">
        <v>0</v>
      </c>
      <c r="IT128" s="26">
        <v>0</v>
      </c>
      <c r="IU128" s="26">
        <v>2386</v>
      </c>
      <c r="IV128" s="9">
        <v>30147</v>
      </c>
      <c r="IW128" s="38">
        <f t="shared" si="5"/>
        <v>375357.99999999988</v>
      </c>
    </row>
    <row r="129" spans="1:257" ht="30" customHeight="1" x14ac:dyDescent="0.25">
      <c r="A129" s="112" t="b">
        <v>1</v>
      </c>
      <c r="B129" s="113" t="str">
        <f>IFERROR(VLOOKUP(C129,'Bridge matrix'!$D$3:$E$727,2,FALSE)='symmetric IOT 245 2012'!D129,"FALSCH")</f>
        <v>FALSCH</v>
      </c>
      <c r="C129" s="108">
        <v>123</v>
      </c>
      <c r="D129" s="49" t="s">
        <v>1438</v>
      </c>
      <c r="E129" s="48">
        <v>0</v>
      </c>
      <c r="F129" s="48">
        <v>0</v>
      </c>
      <c r="G129" s="48">
        <v>0</v>
      </c>
      <c r="H129" s="48">
        <v>0</v>
      </c>
      <c r="I129" s="48">
        <v>0</v>
      </c>
      <c r="J129" s="48">
        <v>0</v>
      </c>
      <c r="K129" s="48">
        <v>0</v>
      </c>
      <c r="L129" s="48">
        <v>0</v>
      </c>
      <c r="M129" s="48">
        <v>0</v>
      </c>
      <c r="N129" s="48">
        <v>0</v>
      </c>
      <c r="O129" s="48">
        <v>0</v>
      </c>
      <c r="P129" s="48">
        <v>0</v>
      </c>
      <c r="Q129" s="48">
        <v>0</v>
      </c>
      <c r="R129" s="48">
        <v>0</v>
      </c>
      <c r="S129" s="48">
        <v>0</v>
      </c>
      <c r="T129" s="48">
        <v>0</v>
      </c>
      <c r="U129" s="48">
        <v>0</v>
      </c>
      <c r="V129" s="48">
        <v>0</v>
      </c>
      <c r="W129" s="48">
        <v>0</v>
      </c>
      <c r="X129" s="48">
        <v>0</v>
      </c>
      <c r="Y129" s="48">
        <v>0</v>
      </c>
      <c r="Z129" s="48">
        <v>0</v>
      </c>
      <c r="AA129" s="48">
        <v>0</v>
      </c>
      <c r="AB129" s="48">
        <v>0</v>
      </c>
      <c r="AC129" s="48">
        <v>0</v>
      </c>
      <c r="AD129" s="48">
        <v>0</v>
      </c>
      <c r="AE129" s="48">
        <v>0</v>
      </c>
      <c r="AF129" s="48">
        <v>0</v>
      </c>
      <c r="AG129" s="48">
        <v>0</v>
      </c>
      <c r="AH129" s="48">
        <v>0</v>
      </c>
      <c r="AI129" s="48">
        <v>0</v>
      </c>
      <c r="AJ129" s="48">
        <v>0</v>
      </c>
      <c r="AK129" s="48">
        <v>0</v>
      </c>
      <c r="AL129" s="48">
        <v>0</v>
      </c>
      <c r="AM129" s="48">
        <v>0</v>
      </c>
      <c r="AN129" s="48">
        <v>0</v>
      </c>
      <c r="AO129" s="48">
        <v>0</v>
      </c>
      <c r="AP129" s="48">
        <v>0</v>
      </c>
      <c r="AQ129" s="48">
        <v>0</v>
      </c>
      <c r="AR129" s="48">
        <v>0</v>
      </c>
      <c r="AS129" s="48">
        <v>0</v>
      </c>
      <c r="AT129" s="48">
        <v>0</v>
      </c>
      <c r="AU129" s="48">
        <v>0</v>
      </c>
      <c r="AV129" s="48">
        <v>0</v>
      </c>
      <c r="AW129" s="48">
        <v>0</v>
      </c>
      <c r="AX129" s="48">
        <v>0</v>
      </c>
      <c r="AY129" s="48">
        <v>0</v>
      </c>
      <c r="AZ129" s="48">
        <v>0</v>
      </c>
      <c r="BA129" s="48">
        <v>0</v>
      </c>
      <c r="BB129" s="48">
        <v>0</v>
      </c>
      <c r="BC129" s="48">
        <v>0</v>
      </c>
      <c r="BD129" s="48">
        <v>0</v>
      </c>
      <c r="BE129" s="48">
        <v>0</v>
      </c>
      <c r="BF129" s="48">
        <v>0</v>
      </c>
      <c r="BG129" s="48">
        <v>0</v>
      </c>
      <c r="BH129" s="48">
        <v>0</v>
      </c>
      <c r="BI129" s="48">
        <v>0</v>
      </c>
      <c r="BJ129" s="48">
        <v>0</v>
      </c>
      <c r="BK129" s="48">
        <v>0</v>
      </c>
      <c r="BL129" s="48">
        <v>0</v>
      </c>
      <c r="BM129" s="48">
        <v>0</v>
      </c>
      <c r="BN129" s="48">
        <v>0</v>
      </c>
      <c r="BO129" s="48">
        <v>0</v>
      </c>
      <c r="BP129" s="48">
        <v>0</v>
      </c>
      <c r="BQ129" s="48">
        <v>0</v>
      </c>
      <c r="BR129" s="48">
        <v>0</v>
      </c>
      <c r="BS129" s="48">
        <v>0</v>
      </c>
      <c r="BT129" s="48">
        <v>0</v>
      </c>
      <c r="BU129" s="48">
        <v>0</v>
      </c>
      <c r="BV129" s="48">
        <v>0</v>
      </c>
      <c r="BW129" s="48">
        <v>0</v>
      </c>
      <c r="BX129" s="48">
        <v>0</v>
      </c>
      <c r="BY129" s="48">
        <v>0</v>
      </c>
      <c r="BZ129" s="48">
        <v>0</v>
      </c>
      <c r="CA129" s="48">
        <v>0</v>
      </c>
      <c r="CB129" s="48">
        <v>0</v>
      </c>
      <c r="CC129" s="48">
        <v>0</v>
      </c>
      <c r="CD129" s="48">
        <v>161.54111225310896</v>
      </c>
      <c r="CE129" s="48">
        <v>0</v>
      </c>
      <c r="CF129" s="48">
        <v>0</v>
      </c>
      <c r="CG129" s="48">
        <v>0</v>
      </c>
      <c r="CH129" s="48">
        <v>0</v>
      </c>
      <c r="CI129" s="48">
        <v>8.9800221591771118E-2</v>
      </c>
      <c r="CJ129" s="48">
        <v>0</v>
      </c>
      <c r="CK129" s="48">
        <v>0</v>
      </c>
      <c r="CL129" s="48">
        <v>0</v>
      </c>
      <c r="CM129" s="48">
        <v>8.942174365553897E-4</v>
      </c>
      <c r="CN129" s="48">
        <v>1.5392683792896676E-5</v>
      </c>
      <c r="CO129" s="48">
        <v>0</v>
      </c>
      <c r="CP129" s="48">
        <v>0</v>
      </c>
      <c r="CQ129" s="48">
        <v>0</v>
      </c>
      <c r="CR129" s="48">
        <v>0</v>
      </c>
      <c r="CS129" s="48">
        <v>0</v>
      </c>
      <c r="CT129" s="48">
        <v>2.0605189388272669E-8</v>
      </c>
      <c r="CU129" s="48">
        <v>2.1159636089985542E-2</v>
      </c>
      <c r="CV129" s="48">
        <v>5.0868692838320594E-2</v>
      </c>
      <c r="CW129" s="48">
        <v>0</v>
      </c>
      <c r="CX129" s="48">
        <v>1.9178948116934662E-9</v>
      </c>
      <c r="CY129" s="48">
        <v>0</v>
      </c>
      <c r="CZ129" s="48">
        <v>0</v>
      </c>
      <c r="DA129" s="48">
        <v>7.4236248657580525E-4</v>
      </c>
      <c r="DB129" s="48">
        <v>0</v>
      </c>
      <c r="DC129" s="48">
        <v>9.228006623588384E-9</v>
      </c>
      <c r="DD129" s="48">
        <v>0</v>
      </c>
      <c r="DE129" s="48">
        <v>0</v>
      </c>
      <c r="DF129" s="48">
        <v>0</v>
      </c>
      <c r="DG129" s="48">
        <v>0</v>
      </c>
      <c r="DH129" s="48">
        <v>0</v>
      </c>
      <c r="DI129" s="48">
        <v>0</v>
      </c>
      <c r="DJ129" s="48">
        <v>0</v>
      </c>
      <c r="DK129" s="48">
        <v>0</v>
      </c>
      <c r="DL129" s="48">
        <v>805.15189863583896</v>
      </c>
      <c r="DM129" s="48">
        <v>0</v>
      </c>
      <c r="DN129" s="48">
        <v>0</v>
      </c>
      <c r="DO129" s="48">
        <v>0</v>
      </c>
      <c r="DP129" s="48">
        <v>0</v>
      </c>
      <c r="DQ129" s="48">
        <v>0</v>
      </c>
      <c r="DR129" s="48">
        <v>0</v>
      </c>
      <c r="DS129" s="48">
        <v>0</v>
      </c>
      <c r="DT129" s="48">
        <v>0</v>
      </c>
      <c r="DU129" s="48">
        <v>0</v>
      </c>
      <c r="DV129" s="48">
        <v>0</v>
      </c>
      <c r="DW129" s="48">
        <v>73388.196844360238</v>
      </c>
      <c r="DX129" s="48">
        <v>66976.889272797853</v>
      </c>
      <c r="DY129" s="48">
        <v>6518.0424413234341</v>
      </c>
      <c r="DZ129" s="48">
        <v>6529.2097445091531</v>
      </c>
      <c r="EA129" s="48">
        <v>0</v>
      </c>
      <c r="EB129" s="48">
        <v>1.2200021434893877</v>
      </c>
      <c r="EC129" s="48">
        <v>3.5482914921562192E-2</v>
      </c>
      <c r="ED129" s="48">
        <v>0</v>
      </c>
      <c r="EE129" s="48">
        <v>0</v>
      </c>
      <c r="EF129" s="48">
        <v>0</v>
      </c>
      <c r="EG129" s="48">
        <v>0</v>
      </c>
      <c r="EH129" s="48">
        <v>0</v>
      </c>
      <c r="EI129" s="48">
        <v>5.3488709456723509E-2</v>
      </c>
      <c r="EJ129" s="48">
        <v>9.9414206342625746E-4</v>
      </c>
      <c r="EK129" s="48">
        <v>0</v>
      </c>
      <c r="EL129" s="48">
        <v>0.24295447253786168</v>
      </c>
      <c r="EM129" s="48">
        <v>0</v>
      </c>
      <c r="EN129" s="48">
        <v>0</v>
      </c>
      <c r="EO129" s="48">
        <v>0</v>
      </c>
      <c r="EP129" s="48">
        <v>0</v>
      </c>
      <c r="EQ129" s="48">
        <v>0</v>
      </c>
      <c r="ER129" s="48">
        <v>1.4290436052624866</v>
      </c>
      <c r="ES129" s="48">
        <v>6.1027021883323512E-2</v>
      </c>
      <c r="ET129" s="48">
        <v>0</v>
      </c>
      <c r="EU129" s="48">
        <v>0.83608985560749127</v>
      </c>
      <c r="EV129" s="48">
        <v>0</v>
      </c>
      <c r="EW129" s="48">
        <v>1.7069888867801732</v>
      </c>
      <c r="EX129" s="48">
        <v>0.30464178289704164</v>
      </c>
      <c r="EY129" s="48">
        <v>296.01590581546583</v>
      </c>
      <c r="EZ129" s="48">
        <v>0</v>
      </c>
      <c r="FA129" s="48">
        <v>0.2125854740404349</v>
      </c>
      <c r="FB129" s="48">
        <v>5.8281689790807773E-3</v>
      </c>
      <c r="FC129" s="48">
        <v>0</v>
      </c>
      <c r="FD129" s="48">
        <v>0</v>
      </c>
      <c r="FE129" s="48">
        <v>0</v>
      </c>
      <c r="FF129" s="48">
        <v>0</v>
      </c>
      <c r="FG129" s="48">
        <v>0</v>
      </c>
      <c r="FH129" s="48">
        <v>0</v>
      </c>
      <c r="FI129" s="48">
        <v>0</v>
      </c>
      <c r="FJ129" s="48">
        <v>0</v>
      </c>
      <c r="FK129" s="48">
        <v>0</v>
      </c>
      <c r="FL129" s="48">
        <v>0</v>
      </c>
      <c r="FM129" s="48">
        <v>5.4385818858783654</v>
      </c>
      <c r="FN129" s="48">
        <v>0</v>
      </c>
      <c r="FO129" s="48">
        <v>0</v>
      </c>
      <c r="FP129" s="48">
        <v>0</v>
      </c>
      <c r="FQ129" s="48">
        <v>55.790024322899733</v>
      </c>
      <c r="FR129" s="48">
        <v>330089.8649351541</v>
      </c>
      <c r="FS129" s="48">
        <v>0</v>
      </c>
      <c r="FT129" s="48">
        <v>0</v>
      </c>
      <c r="FU129" s="48">
        <v>1888.044487331465</v>
      </c>
      <c r="FV129" s="48">
        <v>6.5937192603638992E-2</v>
      </c>
      <c r="FW129" s="48">
        <v>0</v>
      </c>
      <c r="FX129" s="48">
        <v>0</v>
      </c>
      <c r="FY129" s="48">
        <v>0</v>
      </c>
      <c r="FZ129" s="48">
        <v>0</v>
      </c>
      <c r="GA129" s="48">
        <v>0</v>
      </c>
      <c r="GB129" s="48">
        <v>375708.47619898728</v>
      </c>
      <c r="GC129" s="48">
        <v>0</v>
      </c>
      <c r="GD129" s="48">
        <v>0</v>
      </c>
      <c r="GE129" s="48">
        <v>0</v>
      </c>
      <c r="GF129" s="48">
        <v>0</v>
      </c>
      <c r="GG129" s="48">
        <v>0</v>
      </c>
      <c r="GH129" s="48">
        <v>0</v>
      </c>
      <c r="GI129" s="48">
        <v>0</v>
      </c>
      <c r="GJ129" s="48">
        <v>0</v>
      </c>
      <c r="GK129" s="48">
        <v>0</v>
      </c>
      <c r="GL129" s="48">
        <v>0</v>
      </c>
      <c r="GM129" s="48">
        <v>0</v>
      </c>
      <c r="GN129" s="48">
        <v>0</v>
      </c>
      <c r="GO129" s="48">
        <v>0</v>
      </c>
      <c r="GP129" s="48">
        <v>0</v>
      </c>
      <c r="GQ129" s="48">
        <v>0</v>
      </c>
      <c r="GR129" s="48">
        <v>0</v>
      </c>
      <c r="GS129" s="48">
        <v>0</v>
      </c>
      <c r="GT129" s="48">
        <v>0</v>
      </c>
      <c r="GU129" s="48">
        <v>0</v>
      </c>
      <c r="GV129" s="48">
        <v>0</v>
      </c>
      <c r="GW129" s="48">
        <v>0</v>
      </c>
      <c r="GX129" s="48">
        <v>0</v>
      </c>
      <c r="GY129" s="48">
        <v>0</v>
      </c>
      <c r="GZ129" s="48">
        <v>0</v>
      </c>
      <c r="HA129" s="48">
        <v>0</v>
      </c>
      <c r="HB129" s="48">
        <v>0</v>
      </c>
      <c r="HC129" s="48">
        <v>0</v>
      </c>
      <c r="HD129" s="48">
        <v>0</v>
      </c>
      <c r="HE129" s="48">
        <v>0</v>
      </c>
      <c r="HF129" s="48">
        <v>0</v>
      </c>
      <c r="HG129" s="48">
        <v>0</v>
      </c>
      <c r="HH129" s="48">
        <v>0</v>
      </c>
      <c r="HI129" s="48">
        <v>0</v>
      </c>
      <c r="HJ129" s="48">
        <v>0</v>
      </c>
      <c r="HK129" s="48">
        <v>0</v>
      </c>
      <c r="HL129" s="48">
        <v>0</v>
      </c>
      <c r="HM129" s="48">
        <v>0</v>
      </c>
      <c r="HN129" s="48">
        <v>0</v>
      </c>
      <c r="HO129" s="48">
        <v>0</v>
      </c>
      <c r="HP129" s="48">
        <v>0</v>
      </c>
      <c r="HQ129" s="48">
        <v>0</v>
      </c>
      <c r="HR129" s="48">
        <v>0</v>
      </c>
      <c r="HS129" s="48">
        <v>0</v>
      </c>
      <c r="HT129" s="48">
        <v>0</v>
      </c>
      <c r="HU129" s="48">
        <v>0</v>
      </c>
      <c r="HV129" s="48">
        <v>0</v>
      </c>
      <c r="HW129" s="48">
        <v>0</v>
      </c>
      <c r="HX129" s="48">
        <v>0</v>
      </c>
      <c r="HY129" s="48">
        <v>0</v>
      </c>
      <c r="HZ129" s="48">
        <v>0</v>
      </c>
      <c r="IA129" s="48">
        <v>0</v>
      </c>
      <c r="IB129" s="48">
        <v>0</v>
      </c>
      <c r="IC129" s="48">
        <v>0</v>
      </c>
      <c r="ID129" s="48">
        <v>0</v>
      </c>
      <c r="IE129" s="48">
        <v>0</v>
      </c>
      <c r="IF129" s="48">
        <v>0</v>
      </c>
      <c r="IG129" s="48">
        <v>0</v>
      </c>
      <c r="IH129" s="48">
        <v>0</v>
      </c>
      <c r="II129" s="48">
        <v>0</v>
      </c>
      <c r="IJ129" s="48">
        <v>0</v>
      </c>
      <c r="IK129" s="48">
        <v>7.6941061529211255E-6</v>
      </c>
      <c r="IL129" s="48">
        <v>0</v>
      </c>
      <c r="IM129" s="48">
        <v>0</v>
      </c>
      <c r="IN129" s="48">
        <v>0</v>
      </c>
      <c r="IO129" s="48">
        <v>0</v>
      </c>
      <c r="IP129" s="23">
        <v>862428.99999999627</v>
      </c>
      <c r="IQ129" s="25">
        <v>0</v>
      </c>
      <c r="IR129" s="25">
        <v>0</v>
      </c>
      <c r="IS129" s="26">
        <v>0</v>
      </c>
      <c r="IT129" s="26">
        <v>0</v>
      </c>
      <c r="IU129" s="26">
        <v>-76282</v>
      </c>
      <c r="IV129" s="9">
        <v>89449</v>
      </c>
      <c r="IW129" s="38">
        <f t="shared" si="5"/>
        <v>875595.99999999627</v>
      </c>
    </row>
    <row r="130" spans="1:257" ht="30" customHeight="1" x14ac:dyDescent="0.25">
      <c r="A130" s="112" t="b">
        <v>1</v>
      </c>
      <c r="B130" s="113" t="b">
        <f>IFERROR(VLOOKUP(C130,'Bridge matrix'!$D$3:$E$727,2,FALSE)='symmetric IOT 245 2012'!D130,"FALSCH")</f>
        <v>1</v>
      </c>
      <c r="C130" s="108">
        <v>124</v>
      </c>
      <c r="D130" s="49" t="s">
        <v>1439</v>
      </c>
      <c r="E130" s="48">
        <v>0</v>
      </c>
      <c r="F130" s="48">
        <v>0</v>
      </c>
      <c r="G130" s="48">
        <v>0</v>
      </c>
      <c r="H130" s="48">
        <v>0</v>
      </c>
      <c r="I130" s="48">
        <v>0</v>
      </c>
      <c r="J130" s="48">
        <v>0</v>
      </c>
      <c r="K130" s="48">
        <v>0</v>
      </c>
      <c r="L130" s="48">
        <v>0</v>
      </c>
      <c r="M130" s="48">
        <v>0</v>
      </c>
      <c r="N130" s="48">
        <v>0</v>
      </c>
      <c r="O130" s="48">
        <v>0</v>
      </c>
      <c r="P130" s="48">
        <v>0</v>
      </c>
      <c r="Q130" s="48">
        <v>0</v>
      </c>
      <c r="R130" s="48">
        <v>0</v>
      </c>
      <c r="S130" s="48">
        <v>0</v>
      </c>
      <c r="T130" s="48">
        <v>0</v>
      </c>
      <c r="U130" s="48">
        <v>0</v>
      </c>
      <c r="V130" s="48">
        <v>0</v>
      </c>
      <c r="W130" s="48">
        <v>0</v>
      </c>
      <c r="X130" s="48">
        <v>0</v>
      </c>
      <c r="Y130" s="48">
        <v>0</v>
      </c>
      <c r="Z130" s="48">
        <v>0</v>
      </c>
      <c r="AA130" s="48">
        <v>0</v>
      </c>
      <c r="AB130" s="48">
        <v>0</v>
      </c>
      <c r="AC130" s="48">
        <v>0</v>
      </c>
      <c r="AD130" s="48">
        <v>0</v>
      </c>
      <c r="AE130" s="48">
        <v>0</v>
      </c>
      <c r="AF130" s="48">
        <v>0</v>
      </c>
      <c r="AG130" s="48">
        <v>0</v>
      </c>
      <c r="AH130" s="48">
        <v>0</v>
      </c>
      <c r="AI130" s="48">
        <v>0</v>
      </c>
      <c r="AJ130" s="48">
        <v>0</v>
      </c>
      <c r="AK130" s="48">
        <v>0</v>
      </c>
      <c r="AL130" s="48">
        <v>0</v>
      </c>
      <c r="AM130" s="48">
        <v>0</v>
      </c>
      <c r="AN130" s="48">
        <v>0</v>
      </c>
      <c r="AO130" s="48">
        <v>0</v>
      </c>
      <c r="AP130" s="48">
        <v>0</v>
      </c>
      <c r="AQ130" s="48">
        <v>0</v>
      </c>
      <c r="AR130" s="48">
        <v>0</v>
      </c>
      <c r="AS130" s="48">
        <v>0</v>
      </c>
      <c r="AT130" s="48">
        <v>0</v>
      </c>
      <c r="AU130" s="48">
        <v>0</v>
      </c>
      <c r="AV130" s="48">
        <v>0</v>
      </c>
      <c r="AW130" s="48">
        <v>0</v>
      </c>
      <c r="AX130" s="48">
        <v>0</v>
      </c>
      <c r="AY130" s="48">
        <v>0</v>
      </c>
      <c r="AZ130" s="48">
        <v>0</v>
      </c>
      <c r="BA130" s="48">
        <v>0</v>
      </c>
      <c r="BB130" s="48">
        <v>0</v>
      </c>
      <c r="BC130" s="48">
        <v>0</v>
      </c>
      <c r="BD130" s="48">
        <v>0</v>
      </c>
      <c r="BE130" s="48">
        <v>0</v>
      </c>
      <c r="BF130" s="48">
        <v>0</v>
      </c>
      <c r="BG130" s="48">
        <v>0</v>
      </c>
      <c r="BH130" s="48">
        <v>0</v>
      </c>
      <c r="BI130" s="48">
        <v>0</v>
      </c>
      <c r="BJ130" s="48">
        <v>0</v>
      </c>
      <c r="BK130" s="48">
        <v>0</v>
      </c>
      <c r="BL130" s="48">
        <v>0</v>
      </c>
      <c r="BM130" s="48">
        <v>0</v>
      </c>
      <c r="BN130" s="48">
        <v>0</v>
      </c>
      <c r="BO130" s="48">
        <v>0</v>
      </c>
      <c r="BP130" s="48">
        <v>0</v>
      </c>
      <c r="BQ130" s="48">
        <v>0</v>
      </c>
      <c r="BR130" s="48">
        <v>0</v>
      </c>
      <c r="BS130" s="48">
        <v>0</v>
      </c>
      <c r="BT130" s="48">
        <v>0</v>
      </c>
      <c r="BU130" s="48">
        <v>0</v>
      </c>
      <c r="BV130" s="48">
        <v>0</v>
      </c>
      <c r="BW130" s="48">
        <v>0</v>
      </c>
      <c r="BX130" s="48">
        <v>0</v>
      </c>
      <c r="BY130" s="48">
        <v>0</v>
      </c>
      <c r="BZ130" s="48">
        <v>0</v>
      </c>
      <c r="CA130" s="48">
        <v>0</v>
      </c>
      <c r="CB130" s="48">
        <v>0</v>
      </c>
      <c r="CC130" s="48">
        <v>0</v>
      </c>
      <c r="CD130" s="48">
        <v>0</v>
      </c>
      <c r="CE130" s="48">
        <v>0</v>
      </c>
      <c r="CF130" s="48">
        <v>0</v>
      </c>
      <c r="CG130" s="48">
        <v>0</v>
      </c>
      <c r="CH130" s="48">
        <v>0</v>
      </c>
      <c r="CI130" s="48">
        <v>1.3704866831951112E-2</v>
      </c>
      <c r="CJ130" s="48">
        <v>0</v>
      </c>
      <c r="CK130" s="48">
        <v>0</v>
      </c>
      <c r="CL130" s="48">
        <v>4.4508072918866649E-6</v>
      </c>
      <c r="CM130" s="48">
        <v>7.421674812034697E-9</v>
      </c>
      <c r="CN130" s="48">
        <v>6.6221049798307835E-6</v>
      </c>
      <c r="CO130" s="48">
        <v>0</v>
      </c>
      <c r="CP130" s="48">
        <v>0</v>
      </c>
      <c r="CQ130" s="48">
        <v>0</v>
      </c>
      <c r="CR130" s="48">
        <v>0</v>
      </c>
      <c r="CS130" s="48">
        <v>0</v>
      </c>
      <c r="CT130" s="48">
        <v>8.8645832717881514E-9</v>
      </c>
      <c r="CU130" s="48">
        <v>0</v>
      </c>
      <c r="CV130" s="48">
        <v>8.3892891671483161E-4</v>
      </c>
      <c r="CW130" s="48">
        <v>0</v>
      </c>
      <c r="CX130" s="48">
        <v>8.250998301652791E-10</v>
      </c>
      <c r="CY130" s="48">
        <v>0</v>
      </c>
      <c r="CZ130" s="48">
        <v>0</v>
      </c>
      <c r="DA130" s="48">
        <v>5.996937684491887E-9</v>
      </c>
      <c r="DB130" s="48">
        <v>0</v>
      </c>
      <c r="DC130" s="48">
        <v>3.9699918115758451E-9</v>
      </c>
      <c r="DD130" s="48">
        <v>0</v>
      </c>
      <c r="DE130" s="48">
        <v>0</v>
      </c>
      <c r="DF130" s="48">
        <v>0</v>
      </c>
      <c r="DG130" s="48">
        <v>0</v>
      </c>
      <c r="DH130" s="48">
        <v>0</v>
      </c>
      <c r="DI130" s="48">
        <v>0</v>
      </c>
      <c r="DJ130" s="48">
        <v>0</v>
      </c>
      <c r="DK130" s="48">
        <v>0</v>
      </c>
      <c r="DL130" s="48">
        <v>6.5041618481302393E-3</v>
      </c>
      <c r="DM130" s="48">
        <v>0</v>
      </c>
      <c r="DN130" s="48">
        <v>0</v>
      </c>
      <c r="DO130" s="48">
        <v>0</v>
      </c>
      <c r="DP130" s="48">
        <v>0</v>
      </c>
      <c r="DQ130" s="48">
        <v>0</v>
      </c>
      <c r="DR130" s="48">
        <v>3.4671864017165785E-3</v>
      </c>
      <c r="DS130" s="48">
        <v>0</v>
      </c>
      <c r="DT130" s="48">
        <v>0</v>
      </c>
      <c r="DU130" s="48">
        <v>0</v>
      </c>
      <c r="DV130" s="48">
        <v>0</v>
      </c>
      <c r="DW130" s="48">
        <v>4930.9925264030444</v>
      </c>
      <c r="DX130" s="48">
        <v>125.25899773622777</v>
      </c>
      <c r="DY130" s="48">
        <v>13.890014222214155</v>
      </c>
      <c r="DZ130" s="48">
        <v>435.86582610221075</v>
      </c>
      <c r="EA130" s="48">
        <v>0</v>
      </c>
      <c r="EB130" s="48">
        <v>0.53484270693146074</v>
      </c>
      <c r="EC130" s="48">
        <v>1.6345975807419762E-2</v>
      </c>
      <c r="ED130" s="48">
        <v>0</v>
      </c>
      <c r="EE130" s="48">
        <v>0</v>
      </c>
      <c r="EF130" s="48">
        <v>0</v>
      </c>
      <c r="EG130" s="48">
        <v>0</v>
      </c>
      <c r="EH130" s="48">
        <v>0</v>
      </c>
      <c r="EI130" s="48">
        <v>0.28301517436877971</v>
      </c>
      <c r="EJ130" s="48">
        <v>1.6395438486725948E-5</v>
      </c>
      <c r="EK130" s="48">
        <v>0</v>
      </c>
      <c r="EL130" s="48">
        <v>2.924979634747997E-2</v>
      </c>
      <c r="EM130" s="48">
        <v>0</v>
      </c>
      <c r="EN130" s="48">
        <v>0</v>
      </c>
      <c r="EO130" s="48">
        <v>0</v>
      </c>
      <c r="EP130" s="48">
        <v>0</v>
      </c>
      <c r="EQ130" s="48">
        <v>0</v>
      </c>
      <c r="ER130" s="48">
        <v>0.21770138296171601</v>
      </c>
      <c r="ES130" s="48">
        <v>3.6173455835560904E-4</v>
      </c>
      <c r="ET130" s="48">
        <v>0</v>
      </c>
      <c r="EU130" s="48">
        <v>0</v>
      </c>
      <c r="EV130" s="48">
        <v>0</v>
      </c>
      <c r="EW130" s="48">
        <v>0</v>
      </c>
      <c r="EX130" s="48">
        <v>0.13102363953797283</v>
      </c>
      <c r="EY130" s="48">
        <v>0</v>
      </c>
      <c r="EZ130" s="48">
        <v>0</v>
      </c>
      <c r="FA130" s="48">
        <v>0.94338608057168105</v>
      </c>
      <c r="FB130" s="48">
        <v>2.586354272276719E-2</v>
      </c>
      <c r="FC130" s="48">
        <v>0</v>
      </c>
      <c r="FD130" s="48">
        <v>0</v>
      </c>
      <c r="FE130" s="48">
        <v>0</v>
      </c>
      <c r="FF130" s="48">
        <v>0</v>
      </c>
      <c r="FG130" s="48">
        <v>0</v>
      </c>
      <c r="FH130" s="48">
        <v>22724.474156132826</v>
      </c>
      <c r="FI130" s="48">
        <v>0</v>
      </c>
      <c r="FJ130" s="48">
        <v>0</v>
      </c>
      <c r="FK130" s="48">
        <v>0</v>
      </c>
      <c r="FL130" s="48">
        <v>0</v>
      </c>
      <c r="FM130" s="48">
        <v>6.2294455919274037E-2</v>
      </c>
      <c r="FN130" s="48">
        <v>0</v>
      </c>
      <c r="FO130" s="48">
        <v>0</v>
      </c>
      <c r="FP130" s="48">
        <v>0</v>
      </c>
      <c r="FQ130" s="48">
        <v>12.159699750893157</v>
      </c>
      <c r="FR130" s="48">
        <v>59674.689475418323</v>
      </c>
      <c r="FS130" s="48">
        <v>0</v>
      </c>
      <c r="FT130" s="48">
        <v>0</v>
      </c>
      <c r="FU130" s="48">
        <v>579.41501355438288</v>
      </c>
      <c r="FV130" s="48">
        <v>0.67744804203024989</v>
      </c>
      <c r="FW130" s="48">
        <v>0</v>
      </c>
      <c r="FX130" s="48">
        <v>0</v>
      </c>
      <c r="FY130" s="48">
        <v>0</v>
      </c>
      <c r="FZ130" s="48">
        <v>0</v>
      </c>
      <c r="GA130" s="48">
        <v>0</v>
      </c>
      <c r="GB130" s="48">
        <v>241056.30821219736</v>
      </c>
      <c r="GC130" s="48">
        <v>0</v>
      </c>
      <c r="GD130" s="48">
        <v>0</v>
      </c>
      <c r="GE130" s="48">
        <v>0</v>
      </c>
      <c r="GF130" s="48">
        <v>0</v>
      </c>
      <c r="GG130" s="48">
        <v>0</v>
      </c>
      <c r="GH130" s="48">
        <v>0</v>
      </c>
      <c r="GI130" s="48">
        <v>0</v>
      </c>
      <c r="GJ130" s="48">
        <v>0</v>
      </c>
      <c r="GK130" s="48">
        <v>0</v>
      </c>
      <c r="GL130" s="48">
        <v>0</v>
      </c>
      <c r="GM130" s="48">
        <v>0</v>
      </c>
      <c r="GN130" s="48">
        <v>0</v>
      </c>
      <c r="GO130" s="48">
        <v>0</v>
      </c>
      <c r="GP130" s="48">
        <v>0</v>
      </c>
      <c r="GQ130" s="48">
        <v>0</v>
      </c>
      <c r="GR130" s="48">
        <v>0</v>
      </c>
      <c r="GS130" s="48">
        <v>0</v>
      </c>
      <c r="GT130" s="48">
        <v>0</v>
      </c>
      <c r="GU130" s="48">
        <v>0</v>
      </c>
      <c r="GV130" s="48">
        <v>0</v>
      </c>
      <c r="GW130" s="48">
        <v>0</v>
      </c>
      <c r="GX130" s="48">
        <v>0</v>
      </c>
      <c r="GY130" s="48">
        <v>0</v>
      </c>
      <c r="GZ130" s="48">
        <v>0</v>
      </c>
      <c r="HA130" s="48">
        <v>0</v>
      </c>
      <c r="HB130" s="48">
        <v>0</v>
      </c>
      <c r="HC130" s="48">
        <v>0</v>
      </c>
      <c r="HD130" s="48">
        <v>0</v>
      </c>
      <c r="HE130" s="48">
        <v>0</v>
      </c>
      <c r="HF130" s="48">
        <v>0</v>
      </c>
      <c r="HG130" s="48">
        <v>0</v>
      </c>
      <c r="HH130" s="48">
        <v>0</v>
      </c>
      <c r="HI130" s="48">
        <v>0</v>
      </c>
      <c r="HJ130" s="48">
        <v>0</v>
      </c>
      <c r="HK130" s="48">
        <v>0</v>
      </c>
      <c r="HL130" s="48">
        <v>0</v>
      </c>
      <c r="HM130" s="48">
        <v>0</v>
      </c>
      <c r="HN130" s="48">
        <v>0</v>
      </c>
      <c r="HO130" s="48">
        <v>0</v>
      </c>
      <c r="HP130" s="48">
        <v>0</v>
      </c>
      <c r="HQ130" s="48">
        <v>0</v>
      </c>
      <c r="HR130" s="48">
        <v>0</v>
      </c>
      <c r="HS130" s="48">
        <v>0</v>
      </c>
      <c r="HT130" s="48">
        <v>0</v>
      </c>
      <c r="HU130" s="48">
        <v>0</v>
      </c>
      <c r="HV130" s="48">
        <v>0</v>
      </c>
      <c r="HW130" s="48">
        <v>0</v>
      </c>
      <c r="HX130" s="48">
        <v>0</v>
      </c>
      <c r="HY130" s="48">
        <v>0</v>
      </c>
      <c r="HZ130" s="48">
        <v>0</v>
      </c>
      <c r="IA130" s="48">
        <v>0</v>
      </c>
      <c r="IB130" s="48">
        <v>0</v>
      </c>
      <c r="IC130" s="48">
        <v>0</v>
      </c>
      <c r="ID130" s="48">
        <v>0</v>
      </c>
      <c r="IE130" s="48">
        <v>0</v>
      </c>
      <c r="IF130" s="48">
        <v>0</v>
      </c>
      <c r="IG130" s="48">
        <v>0</v>
      </c>
      <c r="IH130" s="48">
        <v>0</v>
      </c>
      <c r="II130" s="48">
        <v>0</v>
      </c>
      <c r="IJ130" s="48">
        <v>0</v>
      </c>
      <c r="IK130" s="48">
        <v>3.3100906480076083E-6</v>
      </c>
      <c r="IL130" s="48">
        <v>0</v>
      </c>
      <c r="IM130" s="48">
        <v>0</v>
      </c>
      <c r="IN130" s="48">
        <v>0</v>
      </c>
      <c r="IO130" s="48">
        <v>0</v>
      </c>
      <c r="IP130" s="23">
        <v>329555.99999999878</v>
      </c>
      <c r="IQ130" s="25">
        <v>7942</v>
      </c>
      <c r="IR130" s="25">
        <v>0</v>
      </c>
      <c r="IS130" s="26">
        <v>0</v>
      </c>
      <c r="IT130" s="26">
        <v>0</v>
      </c>
      <c r="IU130" s="26">
        <v>-18453</v>
      </c>
      <c r="IV130" s="9">
        <v>116835</v>
      </c>
      <c r="IW130" s="38">
        <f t="shared" si="5"/>
        <v>435879.99999999878</v>
      </c>
    </row>
    <row r="131" spans="1:257" ht="30" customHeight="1" x14ac:dyDescent="0.25">
      <c r="A131" s="112" t="b">
        <v>1</v>
      </c>
      <c r="B131" s="113" t="str">
        <f>IFERROR(VLOOKUP(C131,'Bridge matrix'!$D$3:$E$727,2,FALSE)='symmetric IOT 245 2012'!D131,"FALSCH")</f>
        <v>FALSCH</v>
      </c>
      <c r="C131" s="108">
        <v>125</v>
      </c>
      <c r="D131" s="49" t="s">
        <v>1440</v>
      </c>
      <c r="E131" s="48">
        <v>0</v>
      </c>
      <c r="F131" s="48">
        <v>0</v>
      </c>
      <c r="G131" s="48">
        <v>0</v>
      </c>
      <c r="H131" s="48">
        <v>0</v>
      </c>
      <c r="I131" s="48">
        <v>0</v>
      </c>
      <c r="J131" s="48">
        <v>0</v>
      </c>
      <c r="K131" s="48">
        <v>0</v>
      </c>
      <c r="L131" s="48">
        <v>0</v>
      </c>
      <c r="M131" s="48">
        <v>0</v>
      </c>
      <c r="N131" s="48">
        <v>0</v>
      </c>
      <c r="O131" s="48">
        <v>0</v>
      </c>
      <c r="P131" s="48">
        <v>0</v>
      </c>
      <c r="Q131" s="48">
        <v>0</v>
      </c>
      <c r="R131" s="48">
        <v>0</v>
      </c>
      <c r="S131" s="48">
        <v>0</v>
      </c>
      <c r="T131" s="48">
        <v>0</v>
      </c>
      <c r="U131" s="48">
        <v>0</v>
      </c>
      <c r="V131" s="48">
        <v>0</v>
      </c>
      <c r="W131" s="48">
        <v>0</v>
      </c>
      <c r="X131" s="48">
        <v>0</v>
      </c>
      <c r="Y131" s="48">
        <v>0</v>
      </c>
      <c r="Z131" s="48">
        <v>0</v>
      </c>
      <c r="AA131" s="48">
        <v>0</v>
      </c>
      <c r="AB131" s="48">
        <v>0</v>
      </c>
      <c r="AC131" s="48">
        <v>0</v>
      </c>
      <c r="AD131" s="48">
        <v>0</v>
      </c>
      <c r="AE131" s="48">
        <v>0</v>
      </c>
      <c r="AF131" s="48">
        <v>0</v>
      </c>
      <c r="AG131" s="48">
        <v>0</v>
      </c>
      <c r="AH131" s="48">
        <v>0</v>
      </c>
      <c r="AI131" s="48">
        <v>0</v>
      </c>
      <c r="AJ131" s="48">
        <v>0</v>
      </c>
      <c r="AK131" s="48">
        <v>0</v>
      </c>
      <c r="AL131" s="48">
        <v>0</v>
      </c>
      <c r="AM131" s="48">
        <v>0</v>
      </c>
      <c r="AN131" s="48">
        <v>0</v>
      </c>
      <c r="AO131" s="48">
        <v>0</v>
      </c>
      <c r="AP131" s="48">
        <v>0</v>
      </c>
      <c r="AQ131" s="48">
        <v>0</v>
      </c>
      <c r="AR131" s="48">
        <v>0</v>
      </c>
      <c r="AS131" s="48">
        <v>0</v>
      </c>
      <c r="AT131" s="48">
        <v>0</v>
      </c>
      <c r="AU131" s="48">
        <v>0</v>
      </c>
      <c r="AV131" s="48">
        <v>0</v>
      </c>
      <c r="AW131" s="48">
        <v>0</v>
      </c>
      <c r="AX131" s="48">
        <v>0</v>
      </c>
      <c r="AY131" s="48">
        <v>0</v>
      </c>
      <c r="AZ131" s="48">
        <v>0</v>
      </c>
      <c r="BA131" s="48">
        <v>0</v>
      </c>
      <c r="BB131" s="48">
        <v>0</v>
      </c>
      <c r="BC131" s="48">
        <v>0</v>
      </c>
      <c r="BD131" s="48">
        <v>0</v>
      </c>
      <c r="BE131" s="48">
        <v>0</v>
      </c>
      <c r="BF131" s="48">
        <v>0</v>
      </c>
      <c r="BG131" s="48">
        <v>0</v>
      </c>
      <c r="BH131" s="48">
        <v>0</v>
      </c>
      <c r="BI131" s="48">
        <v>0</v>
      </c>
      <c r="BJ131" s="48">
        <v>0</v>
      </c>
      <c r="BK131" s="48">
        <v>0</v>
      </c>
      <c r="BL131" s="48">
        <v>0</v>
      </c>
      <c r="BM131" s="48">
        <v>0</v>
      </c>
      <c r="BN131" s="48">
        <v>0</v>
      </c>
      <c r="BO131" s="48">
        <v>0</v>
      </c>
      <c r="BP131" s="48">
        <v>0</v>
      </c>
      <c r="BQ131" s="48">
        <v>0</v>
      </c>
      <c r="BR131" s="48">
        <v>0</v>
      </c>
      <c r="BS131" s="48">
        <v>0</v>
      </c>
      <c r="BT131" s="48">
        <v>0</v>
      </c>
      <c r="BU131" s="48">
        <v>0</v>
      </c>
      <c r="BV131" s="48">
        <v>0</v>
      </c>
      <c r="BW131" s="48">
        <v>0</v>
      </c>
      <c r="BX131" s="48">
        <v>0</v>
      </c>
      <c r="BY131" s="48">
        <v>0</v>
      </c>
      <c r="BZ131" s="48">
        <v>0</v>
      </c>
      <c r="CA131" s="48">
        <v>1.7387594632237945E-2</v>
      </c>
      <c r="CB131" s="48">
        <v>0</v>
      </c>
      <c r="CC131" s="48">
        <v>0</v>
      </c>
      <c r="CD131" s="48">
        <v>0</v>
      </c>
      <c r="CE131" s="48">
        <v>0</v>
      </c>
      <c r="CF131" s="48">
        <v>0</v>
      </c>
      <c r="CG131" s="48">
        <v>0</v>
      </c>
      <c r="CH131" s="48">
        <v>0</v>
      </c>
      <c r="CI131" s="48">
        <v>0</v>
      </c>
      <c r="CJ131" s="48">
        <v>0</v>
      </c>
      <c r="CK131" s="48">
        <v>0</v>
      </c>
      <c r="CL131" s="48">
        <v>0</v>
      </c>
      <c r="CM131" s="48">
        <v>0</v>
      </c>
      <c r="CN131" s="48">
        <v>0</v>
      </c>
      <c r="CO131" s="48">
        <v>0</v>
      </c>
      <c r="CP131" s="48">
        <v>0</v>
      </c>
      <c r="CQ131" s="48">
        <v>0</v>
      </c>
      <c r="CR131" s="48">
        <v>0</v>
      </c>
      <c r="CS131" s="48">
        <v>0</v>
      </c>
      <c r="CT131" s="48">
        <v>0</v>
      </c>
      <c r="CU131" s="48">
        <v>0</v>
      </c>
      <c r="CV131" s="48">
        <v>0</v>
      </c>
      <c r="CW131" s="48">
        <v>0</v>
      </c>
      <c r="CX131" s="48">
        <v>0</v>
      </c>
      <c r="CY131" s="48">
        <v>0</v>
      </c>
      <c r="CZ131" s="48">
        <v>0</v>
      </c>
      <c r="DA131" s="48">
        <v>0</v>
      </c>
      <c r="DB131" s="48">
        <v>0</v>
      </c>
      <c r="DC131" s="48">
        <v>0</v>
      </c>
      <c r="DD131" s="48">
        <v>7.5874249571154231E-3</v>
      </c>
      <c r="DE131" s="48">
        <v>0</v>
      </c>
      <c r="DF131" s="48">
        <v>0</v>
      </c>
      <c r="DG131" s="48">
        <v>0</v>
      </c>
      <c r="DH131" s="48">
        <v>0</v>
      </c>
      <c r="DI131" s="48">
        <v>0</v>
      </c>
      <c r="DJ131" s="48">
        <v>0</v>
      </c>
      <c r="DK131" s="48">
        <v>3.4857312191905805E-2</v>
      </c>
      <c r="DL131" s="48">
        <v>0</v>
      </c>
      <c r="DM131" s="48">
        <v>0</v>
      </c>
      <c r="DN131" s="48">
        <v>0</v>
      </c>
      <c r="DO131" s="48">
        <v>0</v>
      </c>
      <c r="DP131" s="48">
        <v>0</v>
      </c>
      <c r="DQ131" s="48">
        <v>0</v>
      </c>
      <c r="DR131" s="48">
        <v>0</v>
      </c>
      <c r="DS131" s="48">
        <v>0</v>
      </c>
      <c r="DT131" s="48">
        <v>0</v>
      </c>
      <c r="DU131" s="48">
        <v>0</v>
      </c>
      <c r="DV131" s="48">
        <v>0</v>
      </c>
      <c r="DW131" s="48">
        <v>0</v>
      </c>
      <c r="DX131" s="48">
        <v>0</v>
      </c>
      <c r="DY131" s="48">
        <v>0</v>
      </c>
      <c r="DZ131" s="48">
        <v>0</v>
      </c>
      <c r="EA131" s="48">
        <v>0</v>
      </c>
      <c r="EB131" s="48">
        <v>0</v>
      </c>
      <c r="EC131" s="48">
        <v>0</v>
      </c>
      <c r="ED131" s="48">
        <v>8.6980165589107365E-5</v>
      </c>
      <c r="EE131" s="48">
        <v>0</v>
      </c>
      <c r="EF131" s="48">
        <v>0</v>
      </c>
      <c r="EG131" s="48">
        <v>0</v>
      </c>
      <c r="EH131" s="48">
        <v>0</v>
      </c>
      <c r="EI131" s="48">
        <v>0</v>
      </c>
      <c r="EJ131" s="48">
        <v>0</v>
      </c>
      <c r="EK131" s="48">
        <v>0</v>
      </c>
      <c r="EL131" s="48">
        <v>0</v>
      </c>
      <c r="EM131" s="48">
        <v>0</v>
      </c>
      <c r="EN131" s="48">
        <v>0</v>
      </c>
      <c r="EO131" s="48">
        <v>0</v>
      </c>
      <c r="EP131" s="48">
        <v>0</v>
      </c>
      <c r="EQ131" s="48">
        <v>0</v>
      </c>
      <c r="ER131" s="48">
        <v>0</v>
      </c>
      <c r="ES131" s="48">
        <v>0</v>
      </c>
      <c r="ET131" s="48">
        <v>3.6030168733873105E-3</v>
      </c>
      <c r="EU131" s="48">
        <v>0</v>
      </c>
      <c r="EV131" s="48">
        <v>0</v>
      </c>
      <c r="EW131" s="48">
        <v>0</v>
      </c>
      <c r="EX131" s="48">
        <v>0</v>
      </c>
      <c r="EY131" s="48">
        <v>0</v>
      </c>
      <c r="EZ131" s="48">
        <v>0</v>
      </c>
      <c r="FA131" s="48">
        <v>0</v>
      </c>
      <c r="FB131" s="48">
        <v>0</v>
      </c>
      <c r="FC131" s="48">
        <v>0</v>
      </c>
      <c r="FD131" s="48">
        <v>0</v>
      </c>
      <c r="FE131" s="48">
        <v>0</v>
      </c>
      <c r="FF131" s="48">
        <v>0</v>
      </c>
      <c r="FG131" s="48">
        <v>0</v>
      </c>
      <c r="FH131" s="48">
        <v>0</v>
      </c>
      <c r="FI131" s="48">
        <v>0</v>
      </c>
      <c r="FJ131" s="48">
        <v>0</v>
      </c>
      <c r="FK131" s="48">
        <v>0</v>
      </c>
      <c r="FL131" s="48">
        <v>0</v>
      </c>
      <c r="FM131" s="48">
        <v>0</v>
      </c>
      <c r="FN131" s="48">
        <v>0</v>
      </c>
      <c r="FO131" s="48">
        <v>0</v>
      </c>
      <c r="FP131" s="48">
        <v>0</v>
      </c>
      <c r="FQ131" s="48">
        <v>0</v>
      </c>
      <c r="FR131" s="48">
        <v>31.048369173774379</v>
      </c>
      <c r="FS131" s="48">
        <v>0</v>
      </c>
      <c r="FT131" s="48">
        <v>0</v>
      </c>
      <c r="FU131" s="48">
        <v>0</v>
      </c>
      <c r="FV131" s="48">
        <v>2.5075888728340857E-3</v>
      </c>
      <c r="FW131" s="48">
        <v>0</v>
      </c>
      <c r="FX131" s="48">
        <v>0</v>
      </c>
      <c r="FY131" s="48">
        <v>0</v>
      </c>
      <c r="FZ131" s="48">
        <v>0</v>
      </c>
      <c r="GA131" s="48">
        <v>0</v>
      </c>
      <c r="GB131" s="48">
        <v>56573.716229880076</v>
      </c>
      <c r="GC131" s="48">
        <v>603.77716430497412</v>
      </c>
      <c r="GD131" s="48">
        <v>0</v>
      </c>
      <c r="GE131" s="48">
        <v>0</v>
      </c>
      <c r="GF131" s="48">
        <v>0</v>
      </c>
      <c r="GG131" s="48">
        <v>0</v>
      </c>
      <c r="GH131" s="48">
        <v>0</v>
      </c>
      <c r="GI131" s="48">
        <v>0</v>
      </c>
      <c r="GJ131" s="48">
        <v>0</v>
      </c>
      <c r="GK131" s="48">
        <v>0</v>
      </c>
      <c r="GL131" s="48">
        <v>0</v>
      </c>
      <c r="GM131" s="48">
        <v>0</v>
      </c>
      <c r="GN131" s="48">
        <v>0</v>
      </c>
      <c r="GO131" s="48">
        <v>0</v>
      </c>
      <c r="GP131" s="48">
        <v>0</v>
      </c>
      <c r="GQ131" s="48">
        <v>0</v>
      </c>
      <c r="GR131" s="48">
        <v>0</v>
      </c>
      <c r="GS131" s="48">
        <v>0</v>
      </c>
      <c r="GT131" s="48">
        <v>2.8502291683770478E-4</v>
      </c>
      <c r="GU131" s="48">
        <v>0</v>
      </c>
      <c r="GV131" s="48">
        <v>0</v>
      </c>
      <c r="GW131" s="48">
        <v>0</v>
      </c>
      <c r="GX131" s="48">
        <v>1.0843052989780933E-2</v>
      </c>
      <c r="GY131" s="48">
        <v>2.6418349724964638E-4</v>
      </c>
      <c r="GZ131" s="48">
        <v>0</v>
      </c>
      <c r="HA131" s="48">
        <v>2.1519734584967329E-3</v>
      </c>
      <c r="HB131" s="48">
        <v>0</v>
      </c>
      <c r="HC131" s="48">
        <v>0</v>
      </c>
      <c r="HD131" s="48">
        <v>0</v>
      </c>
      <c r="HE131" s="48">
        <v>0</v>
      </c>
      <c r="HF131" s="48">
        <v>0</v>
      </c>
      <c r="HG131" s="48">
        <v>0</v>
      </c>
      <c r="HH131" s="48">
        <v>0</v>
      </c>
      <c r="HI131" s="48">
        <v>0</v>
      </c>
      <c r="HJ131" s="48">
        <v>0</v>
      </c>
      <c r="HK131" s="48">
        <v>0</v>
      </c>
      <c r="HL131" s="48">
        <v>0</v>
      </c>
      <c r="HM131" s="48">
        <v>0</v>
      </c>
      <c r="HN131" s="48">
        <v>0</v>
      </c>
      <c r="HO131" s="48">
        <v>0</v>
      </c>
      <c r="HP131" s="48">
        <v>0</v>
      </c>
      <c r="HQ131" s="48">
        <v>0</v>
      </c>
      <c r="HR131" s="48">
        <v>0</v>
      </c>
      <c r="HS131" s="48">
        <v>0</v>
      </c>
      <c r="HT131" s="48">
        <v>0</v>
      </c>
      <c r="HU131" s="48">
        <v>0</v>
      </c>
      <c r="HV131" s="48">
        <v>39966.874074580825</v>
      </c>
      <c r="HW131" s="48">
        <v>129.07069914514631</v>
      </c>
      <c r="HX131" s="48">
        <v>0</v>
      </c>
      <c r="HY131" s="48">
        <v>0</v>
      </c>
      <c r="HZ131" s="48">
        <v>0</v>
      </c>
      <c r="IA131" s="48">
        <v>0</v>
      </c>
      <c r="IB131" s="48">
        <v>0</v>
      </c>
      <c r="IC131" s="48">
        <v>4087.3750543231818</v>
      </c>
      <c r="ID131" s="48">
        <v>2536.5727851617844</v>
      </c>
      <c r="IE131" s="48">
        <v>1716.8740918583037</v>
      </c>
      <c r="IF131" s="48">
        <v>220.93833881126741</v>
      </c>
      <c r="IG131" s="48">
        <v>0</v>
      </c>
      <c r="IH131" s="48">
        <v>0</v>
      </c>
      <c r="II131" s="48">
        <v>0</v>
      </c>
      <c r="IJ131" s="48">
        <v>1773.6736186097746</v>
      </c>
      <c r="IK131" s="48">
        <v>0</v>
      </c>
      <c r="IL131" s="48">
        <v>0</v>
      </c>
      <c r="IM131" s="48">
        <v>0</v>
      </c>
      <c r="IN131" s="48">
        <v>0</v>
      </c>
      <c r="IO131" s="48">
        <v>0</v>
      </c>
      <c r="IP131" s="23">
        <v>107639.99999999964</v>
      </c>
      <c r="IQ131" s="25">
        <v>0</v>
      </c>
      <c r="IR131" s="25">
        <v>0</v>
      </c>
      <c r="IS131" s="26">
        <v>0</v>
      </c>
      <c r="IT131" s="26">
        <v>0</v>
      </c>
      <c r="IU131" s="26">
        <v>-47301</v>
      </c>
      <c r="IV131" s="9">
        <v>1916</v>
      </c>
      <c r="IW131" s="38">
        <f t="shared" si="5"/>
        <v>62254.999999999636</v>
      </c>
    </row>
    <row r="132" spans="1:257" ht="30" customHeight="1" x14ac:dyDescent="0.25">
      <c r="A132" s="112" t="b">
        <v>0</v>
      </c>
      <c r="B132" s="113" t="str">
        <f>IFERROR(VLOOKUP(C132,'Bridge matrix'!$D$3:$E$727,2,FALSE)='symmetric IOT 245 2012'!D132,"FALSCH")</f>
        <v>FALSCH</v>
      </c>
      <c r="C132" s="108">
        <v>126</v>
      </c>
      <c r="D132" s="49" t="s">
        <v>1441</v>
      </c>
      <c r="E132" s="48">
        <v>35.888522571393963</v>
      </c>
      <c r="F132" s="48">
        <v>4.2787812639852687</v>
      </c>
      <c r="G132" s="48">
        <v>7.2544490450815262</v>
      </c>
      <c r="H132" s="48">
        <v>0</v>
      </c>
      <c r="I132" s="48">
        <v>0</v>
      </c>
      <c r="J132" s="48">
        <v>0</v>
      </c>
      <c r="K132" s="48">
        <v>0</v>
      </c>
      <c r="L132" s="48">
        <v>0</v>
      </c>
      <c r="M132" s="48">
        <v>0</v>
      </c>
      <c r="N132" s="48">
        <v>0</v>
      </c>
      <c r="O132" s="48">
        <v>0</v>
      </c>
      <c r="P132" s="48">
        <v>0</v>
      </c>
      <c r="Q132" s="48">
        <v>0</v>
      </c>
      <c r="R132" s="48">
        <v>0</v>
      </c>
      <c r="S132" s="48">
        <v>0</v>
      </c>
      <c r="T132" s="48">
        <v>0</v>
      </c>
      <c r="U132" s="48">
        <v>0</v>
      </c>
      <c r="V132" s="48">
        <v>0</v>
      </c>
      <c r="W132" s="48">
        <v>0</v>
      </c>
      <c r="X132" s="48">
        <v>0</v>
      </c>
      <c r="Y132" s="48">
        <v>0</v>
      </c>
      <c r="Z132" s="48">
        <v>0</v>
      </c>
      <c r="AA132" s="48">
        <v>0</v>
      </c>
      <c r="AB132" s="48">
        <v>0</v>
      </c>
      <c r="AC132" s="48">
        <v>0</v>
      </c>
      <c r="AD132" s="48">
        <v>0</v>
      </c>
      <c r="AE132" s="48">
        <v>0</v>
      </c>
      <c r="AF132" s="48">
        <v>0</v>
      </c>
      <c r="AG132" s="48">
        <v>0</v>
      </c>
      <c r="AH132" s="48">
        <v>15.507653100804632</v>
      </c>
      <c r="AI132" s="48">
        <v>13.059132996085653</v>
      </c>
      <c r="AJ132" s="48">
        <v>8.1638376971538502</v>
      </c>
      <c r="AK132" s="48">
        <v>23.669506029333423</v>
      </c>
      <c r="AL132" s="48">
        <v>8.1615229293615865</v>
      </c>
      <c r="AM132" s="48">
        <v>0.81552477567907333</v>
      </c>
      <c r="AN132" s="48">
        <v>8.9792733758299903</v>
      </c>
      <c r="AO132" s="48">
        <v>5.712110300003995</v>
      </c>
      <c r="AP132" s="48">
        <v>21.244083684420978</v>
      </c>
      <c r="AQ132" s="48">
        <v>8.1632761152590501</v>
      </c>
      <c r="AR132" s="48">
        <v>13.059124258108559</v>
      </c>
      <c r="AS132" s="48">
        <v>11.616960398248638</v>
      </c>
      <c r="AT132" s="48">
        <v>0</v>
      </c>
      <c r="AU132" s="48">
        <v>0</v>
      </c>
      <c r="AV132" s="48">
        <v>0</v>
      </c>
      <c r="AW132" s="48">
        <v>0</v>
      </c>
      <c r="AX132" s="48">
        <v>0</v>
      </c>
      <c r="AY132" s="48">
        <v>0</v>
      </c>
      <c r="AZ132" s="48">
        <v>0</v>
      </c>
      <c r="BA132" s="48">
        <v>0</v>
      </c>
      <c r="BB132" s="48">
        <v>0</v>
      </c>
      <c r="BC132" s="48">
        <v>0</v>
      </c>
      <c r="BD132" s="48">
        <v>0</v>
      </c>
      <c r="BE132" s="48">
        <v>0</v>
      </c>
      <c r="BF132" s="48">
        <v>0</v>
      </c>
      <c r="BG132" s="48">
        <v>0</v>
      </c>
      <c r="BH132" s="48">
        <v>0</v>
      </c>
      <c r="BI132" s="48">
        <v>0</v>
      </c>
      <c r="BJ132" s="48">
        <v>0</v>
      </c>
      <c r="BK132" s="48">
        <v>0</v>
      </c>
      <c r="BL132" s="48">
        <v>0</v>
      </c>
      <c r="BM132" s="48">
        <v>0</v>
      </c>
      <c r="BN132" s="48">
        <v>0</v>
      </c>
      <c r="BO132" s="48">
        <v>0</v>
      </c>
      <c r="BP132" s="48">
        <v>0</v>
      </c>
      <c r="BQ132" s="48">
        <v>0</v>
      </c>
      <c r="BR132" s="48">
        <v>0</v>
      </c>
      <c r="BS132" s="48">
        <v>0</v>
      </c>
      <c r="BT132" s="48">
        <v>0</v>
      </c>
      <c r="BU132" s="48">
        <v>0</v>
      </c>
      <c r="BV132" s="48">
        <v>0</v>
      </c>
      <c r="BW132" s="48">
        <v>0</v>
      </c>
      <c r="BX132" s="48">
        <v>0</v>
      </c>
      <c r="BY132" s="48">
        <v>0</v>
      </c>
      <c r="BZ132" s="48">
        <v>0</v>
      </c>
      <c r="CA132" s="48">
        <v>0</v>
      </c>
      <c r="CB132" s="48">
        <v>0</v>
      </c>
      <c r="CC132" s="48">
        <v>0</v>
      </c>
      <c r="CD132" s="48">
        <v>0</v>
      </c>
      <c r="CE132" s="48">
        <v>0</v>
      </c>
      <c r="CF132" s="48">
        <v>0</v>
      </c>
      <c r="CG132" s="48">
        <v>0</v>
      </c>
      <c r="CH132" s="48">
        <v>0</v>
      </c>
      <c r="CI132" s="48">
        <v>4.5558471858211498E-2</v>
      </c>
      <c r="CJ132" s="48">
        <v>0</v>
      </c>
      <c r="CK132" s="48">
        <v>0</v>
      </c>
      <c r="CL132" s="48">
        <v>1.5691837109857629E-3</v>
      </c>
      <c r="CM132" s="48">
        <v>0</v>
      </c>
      <c r="CN132" s="48">
        <v>0</v>
      </c>
      <c r="CO132" s="48">
        <v>0</v>
      </c>
      <c r="CP132" s="48">
        <v>0</v>
      </c>
      <c r="CQ132" s="48">
        <v>0</v>
      </c>
      <c r="CR132" s="48">
        <v>1.8705043729364232E-6</v>
      </c>
      <c r="CS132" s="48">
        <v>0</v>
      </c>
      <c r="CT132" s="48">
        <v>0</v>
      </c>
      <c r="CU132" s="48">
        <v>2.9355845794622019E-2</v>
      </c>
      <c r="CV132" s="48">
        <v>4.7708839531842184E-2</v>
      </c>
      <c r="CW132" s="48">
        <v>0</v>
      </c>
      <c r="CX132" s="48">
        <v>0</v>
      </c>
      <c r="CY132" s="48">
        <v>122.89906570366379</v>
      </c>
      <c r="CZ132" s="48">
        <v>0</v>
      </c>
      <c r="DA132" s="48">
        <v>0</v>
      </c>
      <c r="DB132" s="48">
        <v>0</v>
      </c>
      <c r="DC132" s="48">
        <v>0</v>
      </c>
      <c r="DD132" s="48">
        <v>0</v>
      </c>
      <c r="DE132" s="48">
        <v>0</v>
      </c>
      <c r="DF132" s="48">
        <v>0</v>
      </c>
      <c r="DG132" s="48">
        <v>0</v>
      </c>
      <c r="DH132" s="48">
        <v>0</v>
      </c>
      <c r="DI132" s="48">
        <v>0</v>
      </c>
      <c r="DJ132" s="48">
        <v>3.8900583054339544E-4</v>
      </c>
      <c r="DK132" s="48">
        <v>3506.007972738224</v>
      </c>
      <c r="DL132" s="48">
        <v>799.20963095197794</v>
      </c>
      <c r="DM132" s="48">
        <v>0</v>
      </c>
      <c r="DN132" s="48">
        <v>0</v>
      </c>
      <c r="DO132" s="48">
        <v>0</v>
      </c>
      <c r="DP132" s="48">
        <v>0</v>
      </c>
      <c r="DQ132" s="48">
        <v>0</v>
      </c>
      <c r="DR132" s="48">
        <v>1.3161233590254355E-2</v>
      </c>
      <c r="DS132" s="48">
        <v>0</v>
      </c>
      <c r="DT132" s="48">
        <v>0</v>
      </c>
      <c r="DU132" s="48">
        <v>0</v>
      </c>
      <c r="DV132" s="48">
        <v>0</v>
      </c>
      <c r="DW132" s="48">
        <v>86.290355405722863</v>
      </c>
      <c r="DX132" s="48">
        <v>0</v>
      </c>
      <c r="DY132" s="48">
        <v>2.3190985952164621E-5</v>
      </c>
      <c r="DZ132" s="48">
        <v>2617.256178441708</v>
      </c>
      <c r="EA132" s="48">
        <v>0</v>
      </c>
      <c r="EB132" s="48">
        <v>0.14700223358235054</v>
      </c>
      <c r="EC132" s="48">
        <v>0</v>
      </c>
      <c r="ED132" s="48">
        <v>2.4452252247587651</v>
      </c>
      <c r="EE132" s="48">
        <v>4.8869951151164752</v>
      </c>
      <c r="EF132" s="48">
        <v>3.367570646562756</v>
      </c>
      <c r="EG132" s="48">
        <v>2.4554100966055858</v>
      </c>
      <c r="EH132" s="48">
        <v>1.6277032211436706</v>
      </c>
      <c r="EI132" s="48">
        <v>0</v>
      </c>
      <c r="EJ132" s="48">
        <v>9.3238810611088313E-4</v>
      </c>
      <c r="EK132" s="48">
        <v>0</v>
      </c>
      <c r="EL132" s="48">
        <v>2.0315123028943328E-2</v>
      </c>
      <c r="EM132" s="48">
        <v>1.4365701300166053E-2</v>
      </c>
      <c r="EN132" s="48">
        <v>0</v>
      </c>
      <c r="EO132" s="48">
        <v>0</v>
      </c>
      <c r="EP132" s="48">
        <v>0</v>
      </c>
      <c r="EQ132" s="48">
        <v>0</v>
      </c>
      <c r="ER132" s="48">
        <v>3.2536312150776001E-3</v>
      </c>
      <c r="ES132" s="48">
        <v>6.5995072139602703E-5</v>
      </c>
      <c r="ET132" s="48">
        <v>0</v>
      </c>
      <c r="EU132" s="48">
        <v>0</v>
      </c>
      <c r="EV132" s="48">
        <v>0</v>
      </c>
      <c r="EW132" s="48">
        <v>5.5575935789666919E-3</v>
      </c>
      <c r="EX132" s="48">
        <v>3.3924381911370753E-2</v>
      </c>
      <c r="EY132" s="48">
        <v>4.8108221871722649E-3</v>
      </c>
      <c r="EZ132" s="48">
        <v>0</v>
      </c>
      <c r="FA132" s="48">
        <v>0</v>
      </c>
      <c r="FB132" s="48">
        <v>0</v>
      </c>
      <c r="FC132" s="48">
        <v>0</v>
      </c>
      <c r="FD132" s="48">
        <v>0</v>
      </c>
      <c r="FE132" s="48">
        <v>0</v>
      </c>
      <c r="FF132" s="48">
        <v>0</v>
      </c>
      <c r="FG132" s="48">
        <v>62.877235928460252</v>
      </c>
      <c r="FH132" s="48">
        <v>0</v>
      </c>
      <c r="FI132" s="48">
        <v>0</v>
      </c>
      <c r="FJ132" s="48">
        <v>0</v>
      </c>
      <c r="FK132" s="48">
        <v>0</v>
      </c>
      <c r="FL132" s="48">
        <v>0</v>
      </c>
      <c r="FM132" s="48">
        <v>0</v>
      </c>
      <c r="FN132" s="48">
        <v>0</v>
      </c>
      <c r="FO132" s="48">
        <v>0</v>
      </c>
      <c r="FP132" s="48">
        <v>0</v>
      </c>
      <c r="FQ132" s="48">
        <v>0</v>
      </c>
      <c r="FR132" s="48">
        <v>384.92442885445888</v>
      </c>
      <c r="FS132" s="48">
        <v>16.651634173245867</v>
      </c>
      <c r="FT132" s="48">
        <v>3.9664393700182039</v>
      </c>
      <c r="FU132" s="48">
        <v>31.626217080685951</v>
      </c>
      <c r="FV132" s="48">
        <v>118.26436359202346</v>
      </c>
      <c r="FW132" s="48">
        <v>0</v>
      </c>
      <c r="FX132" s="48">
        <v>0</v>
      </c>
      <c r="FY132" s="48">
        <v>0</v>
      </c>
      <c r="FZ132" s="48">
        <v>0</v>
      </c>
      <c r="GA132" s="48">
        <v>0</v>
      </c>
      <c r="GB132" s="48">
        <v>17466.667420270409</v>
      </c>
      <c r="GC132" s="48">
        <v>0</v>
      </c>
      <c r="GD132" s="48">
        <v>0</v>
      </c>
      <c r="GE132" s="48">
        <v>0</v>
      </c>
      <c r="GF132" s="48">
        <v>0</v>
      </c>
      <c r="GG132" s="48">
        <v>0</v>
      </c>
      <c r="GH132" s="48">
        <v>0</v>
      </c>
      <c r="GI132" s="48">
        <v>0</v>
      </c>
      <c r="GJ132" s="48">
        <v>0</v>
      </c>
      <c r="GK132" s="48">
        <v>0</v>
      </c>
      <c r="GL132" s="48">
        <v>0</v>
      </c>
      <c r="GM132" s="48">
        <v>0</v>
      </c>
      <c r="GN132" s="48">
        <v>0</v>
      </c>
      <c r="GO132" s="48">
        <v>0</v>
      </c>
      <c r="GP132" s="48">
        <v>0</v>
      </c>
      <c r="GQ132" s="48">
        <v>0</v>
      </c>
      <c r="GR132" s="48">
        <v>0</v>
      </c>
      <c r="GS132" s="48">
        <v>0</v>
      </c>
      <c r="GT132" s="48">
        <v>0</v>
      </c>
      <c r="GU132" s="48">
        <v>0</v>
      </c>
      <c r="GV132" s="48">
        <v>0</v>
      </c>
      <c r="GW132" s="48">
        <v>0</v>
      </c>
      <c r="GX132" s="48">
        <v>0</v>
      </c>
      <c r="GY132" s="48">
        <v>0</v>
      </c>
      <c r="GZ132" s="48">
        <v>0</v>
      </c>
      <c r="HA132" s="48">
        <v>0</v>
      </c>
      <c r="HB132" s="48">
        <v>0.81728558160091092</v>
      </c>
      <c r="HC132" s="48">
        <v>0.8179217572439722</v>
      </c>
      <c r="HD132" s="48">
        <v>0</v>
      </c>
      <c r="HE132" s="48">
        <v>0.80281436853607968</v>
      </c>
      <c r="HF132" s="48">
        <v>3.2331926999537863</v>
      </c>
      <c r="HG132" s="48">
        <v>3.2332346902648763</v>
      </c>
      <c r="HH132" s="48">
        <v>6.656682821755501</v>
      </c>
      <c r="HI132" s="48">
        <v>8.9151366556954237</v>
      </c>
      <c r="HJ132" s="48">
        <v>12.125612060541295</v>
      </c>
      <c r="HK132" s="48">
        <v>0.80830340769935971</v>
      </c>
      <c r="HL132" s="48">
        <v>1.2488332626364547</v>
      </c>
      <c r="HM132" s="48">
        <v>3.1467835589922508</v>
      </c>
      <c r="HN132" s="48">
        <v>0.80829747621147163</v>
      </c>
      <c r="HO132" s="48">
        <v>4.0415517138579</v>
      </c>
      <c r="HP132" s="48">
        <v>7.2747299226730897</v>
      </c>
      <c r="HQ132" s="48">
        <v>0.8083144613999953</v>
      </c>
      <c r="HR132" s="48">
        <v>2.7643985369931796</v>
      </c>
      <c r="HS132" s="48">
        <v>4.0375521305339186</v>
      </c>
      <c r="HT132" s="48">
        <v>2.4248904835905054</v>
      </c>
      <c r="HU132" s="48">
        <v>3.2332195600147848</v>
      </c>
      <c r="HV132" s="48">
        <v>0</v>
      </c>
      <c r="HW132" s="48">
        <v>20.221951604573153</v>
      </c>
      <c r="HX132" s="48">
        <v>0</v>
      </c>
      <c r="HY132" s="48">
        <v>0</v>
      </c>
      <c r="HZ132" s="48">
        <v>0</v>
      </c>
      <c r="IA132" s="48">
        <v>0</v>
      </c>
      <c r="IB132" s="48">
        <v>0</v>
      </c>
      <c r="IC132" s="48">
        <v>0</v>
      </c>
      <c r="ID132" s="48">
        <v>0</v>
      </c>
      <c r="IE132" s="48">
        <v>0</v>
      </c>
      <c r="IF132" s="48">
        <v>0</v>
      </c>
      <c r="IG132" s="48">
        <v>0</v>
      </c>
      <c r="IH132" s="48">
        <v>0</v>
      </c>
      <c r="II132" s="48">
        <v>0</v>
      </c>
      <c r="IJ132" s="48">
        <v>0.80839319411151589</v>
      </c>
      <c r="IK132" s="48">
        <v>1238.3680734724223</v>
      </c>
      <c r="IL132" s="48">
        <v>2163.2271928597479</v>
      </c>
      <c r="IM132" s="48">
        <v>2599.8552246250329</v>
      </c>
      <c r="IN132" s="48">
        <v>1380.9548082264378</v>
      </c>
      <c r="IO132" s="48">
        <v>0</v>
      </c>
      <c r="IP132" s="23">
        <v>32887.999999999847</v>
      </c>
      <c r="IQ132" s="25">
        <v>0</v>
      </c>
      <c r="IR132" s="25">
        <v>0</v>
      </c>
      <c r="IS132" s="26">
        <v>0</v>
      </c>
      <c r="IT132" s="26">
        <v>0</v>
      </c>
      <c r="IU132" s="26">
        <v>-3187</v>
      </c>
      <c r="IV132" s="9">
        <v>25071</v>
      </c>
      <c r="IW132" s="38">
        <f t="shared" si="5"/>
        <v>54771.999999999847</v>
      </c>
    </row>
    <row r="133" spans="1:257" ht="30" customHeight="1" x14ac:dyDescent="0.25">
      <c r="A133" s="112" t="b">
        <v>0</v>
      </c>
      <c r="B133" s="113" t="b">
        <f>IFERROR(VLOOKUP(C133,'Bridge matrix'!$D$3:$E$727,2,FALSE)='symmetric IOT 245 2012'!D133,"FALSCH")</f>
        <v>1</v>
      </c>
      <c r="C133" s="108">
        <v>127</v>
      </c>
      <c r="D133" s="49" t="s">
        <v>378</v>
      </c>
      <c r="E133" s="48">
        <v>0</v>
      </c>
      <c r="F133" s="48">
        <v>0</v>
      </c>
      <c r="G133" s="48">
        <v>0</v>
      </c>
      <c r="H133" s="48">
        <v>0</v>
      </c>
      <c r="I133" s="48">
        <v>0</v>
      </c>
      <c r="J133" s="48">
        <v>0</v>
      </c>
      <c r="K133" s="48">
        <v>0</v>
      </c>
      <c r="L133" s="48">
        <v>0</v>
      </c>
      <c r="M133" s="48">
        <v>0</v>
      </c>
      <c r="N133" s="48">
        <v>0</v>
      </c>
      <c r="O133" s="48">
        <v>0</v>
      </c>
      <c r="P133" s="48">
        <v>0</v>
      </c>
      <c r="Q133" s="48">
        <v>0</v>
      </c>
      <c r="R133" s="48">
        <v>0</v>
      </c>
      <c r="S133" s="48">
        <v>0</v>
      </c>
      <c r="T133" s="48">
        <v>0</v>
      </c>
      <c r="U133" s="48">
        <v>0</v>
      </c>
      <c r="V133" s="48">
        <v>0</v>
      </c>
      <c r="W133" s="48">
        <v>0</v>
      </c>
      <c r="X133" s="48">
        <v>0</v>
      </c>
      <c r="Y133" s="48">
        <v>0</v>
      </c>
      <c r="Z133" s="48">
        <v>0</v>
      </c>
      <c r="AA133" s="48">
        <v>0</v>
      </c>
      <c r="AB133" s="48">
        <v>0</v>
      </c>
      <c r="AC133" s="48">
        <v>0</v>
      </c>
      <c r="AD133" s="48">
        <v>0</v>
      </c>
      <c r="AE133" s="48">
        <v>0</v>
      </c>
      <c r="AF133" s="48">
        <v>0</v>
      </c>
      <c r="AG133" s="48">
        <v>0</v>
      </c>
      <c r="AH133" s="48">
        <v>0</v>
      </c>
      <c r="AI133" s="48">
        <v>0</v>
      </c>
      <c r="AJ133" s="48">
        <v>0</v>
      </c>
      <c r="AK133" s="48">
        <v>0</v>
      </c>
      <c r="AL133" s="48">
        <v>0</v>
      </c>
      <c r="AM133" s="48">
        <v>0</v>
      </c>
      <c r="AN133" s="48">
        <v>0</v>
      </c>
      <c r="AO133" s="48">
        <v>0</v>
      </c>
      <c r="AP133" s="48">
        <v>0</v>
      </c>
      <c r="AQ133" s="48">
        <v>0</v>
      </c>
      <c r="AR133" s="48">
        <v>0</v>
      </c>
      <c r="AS133" s="48">
        <v>0</v>
      </c>
      <c r="AT133" s="48">
        <v>0</v>
      </c>
      <c r="AU133" s="48">
        <v>0</v>
      </c>
      <c r="AV133" s="48">
        <v>0</v>
      </c>
      <c r="AW133" s="48">
        <v>0</v>
      </c>
      <c r="AX133" s="48">
        <v>0</v>
      </c>
      <c r="AY133" s="48">
        <v>0</v>
      </c>
      <c r="AZ133" s="48">
        <v>0</v>
      </c>
      <c r="BA133" s="48">
        <v>0</v>
      </c>
      <c r="BB133" s="48">
        <v>0</v>
      </c>
      <c r="BC133" s="48">
        <v>0</v>
      </c>
      <c r="BD133" s="48">
        <v>0</v>
      </c>
      <c r="BE133" s="48">
        <v>0</v>
      </c>
      <c r="BF133" s="48">
        <v>0</v>
      </c>
      <c r="BG133" s="48">
        <v>0</v>
      </c>
      <c r="BH133" s="48">
        <v>0</v>
      </c>
      <c r="BI133" s="48">
        <v>0</v>
      </c>
      <c r="BJ133" s="48">
        <v>0</v>
      </c>
      <c r="BK133" s="48">
        <v>0</v>
      </c>
      <c r="BL133" s="48">
        <v>0</v>
      </c>
      <c r="BM133" s="48">
        <v>0</v>
      </c>
      <c r="BN133" s="48">
        <v>0</v>
      </c>
      <c r="BO133" s="48">
        <v>0</v>
      </c>
      <c r="BP133" s="48">
        <v>0</v>
      </c>
      <c r="BQ133" s="48">
        <v>0</v>
      </c>
      <c r="BR133" s="48">
        <v>0</v>
      </c>
      <c r="BS133" s="48">
        <v>0</v>
      </c>
      <c r="BT133" s="48">
        <v>0</v>
      </c>
      <c r="BU133" s="48">
        <v>0</v>
      </c>
      <c r="BV133" s="48">
        <v>0</v>
      </c>
      <c r="BW133" s="48">
        <v>0</v>
      </c>
      <c r="BX133" s="48">
        <v>0</v>
      </c>
      <c r="BY133" s="48">
        <v>0</v>
      </c>
      <c r="BZ133" s="48">
        <v>0</v>
      </c>
      <c r="CA133" s="48">
        <v>329.05247668661133</v>
      </c>
      <c r="CB133" s="48">
        <v>1.677467080715447</v>
      </c>
      <c r="CC133" s="48">
        <v>0</v>
      </c>
      <c r="CD133" s="48">
        <v>0</v>
      </c>
      <c r="CE133" s="48">
        <v>0</v>
      </c>
      <c r="CF133" s="48">
        <v>0</v>
      </c>
      <c r="CG133" s="48">
        <v>0</v>
      </c>
      <c r="CH133" s="48">
        <v>0</v>
      </c>
      <c r="CI133" s="48">
        <v>0</v>
      </c>
      <c r="CJ133" s="48">
        <v>0</v>
      </c>
      <c r="CK133" s="48">
        <v>0</v>
      </c>
      <c r="CL133" s="48">
        <v>0</v>
      </c>
      <c r="CM133" s="48">
        <v>0</v>
      </c>
      <c r="CN133" s="48">
        <v>0</v>
      </c>
      <c r="CO133" s="48">
        <v>0</v>
      </c>
      <c r="CP133" s="48">
        <v>0</v>
      </c>
      <c r="CQ133" s="48">
        <v>0</v>
      </c>
      <c r="CR133" s="48">
        <v>0</v>
      </c>
      <c r="CS133" s="48">
        <v>0</v>
      </c>
      <c r="CT133" s="48">
        <v>0</v>
      </c>
      <c r="CU133" s="48">
        <v>0</v>
      </c>
      <c r="CV133" s="48">
        <v>0</v>
      </c>
      <c r="CW133" s="48">
        <v>0</v>
      </c>
      <c r="CX133" s="48">
        <v>0</v>
      </c>
      <c r="CY133" s="48">
        <v>0</v>
      </c>
      <c r="CZ133" s="48">
        <v>0</v>
      </c>
      <c r="DA133" s="48">
        <v>0</v>
      </c>
      <c r="DB133" s="48">
        <v>0</v>
      </c>
      <c r="DC133" s="48">
        <v>0</v>
      </c>
      <c r="DD133" s="48">
        <v>0</v>
      </c>
      <c r="DE133" s="48">
        <v>0</v>
      </c>
      <c r="DF133" s="48">
        <v>0</v>
      </c>
      <c r="DG133" s="48">
        <v>139.18885064749486</v>
      </c>
      <c r="DH133" s="48">
        <v>2.8638351714751082</v>
      </c>
      <c r="DI133" s="48">
        <v>238.04537320687916</v>
      </c>
      <c r="DJ133" s="48">
        <v>0</v>
      </c>
      <c r="DK133" s="48">
        <v>0</v>
      </c>
      <c r="DL133" s="48">
        <v>1542.1420187142953</v>
      </c>
      <c r="DM133" s="48">
        <v>0</v>
      </c>
      <c r="DN133" s="48">
        <v>0</v>
      </c>
      <c r="DO133" s="48">
        <v>1334.5067082084836</v>
      </c>
      <c r="DP133" s="48">
        <v>0</v>
      </c>
      <c r="DQ133" s="48">
        <v>0</v>
      </c>
      <c r="DR133" s="48">
        <v>91.337611103772005</v>
      </c>
      <c r="DS133" s="48">
        <v>46.806834301795753</v>
      </c>
      <c r="DT133" s="48">
        <v>0</v>
      </c>
      <c r="DU133" s="48">
        <v>91.697857314672433</v>
      </c>
      <c r="DV133" s="48">
        <v>22.605192639784793</v>
      </c>
      <c r="DW133" s="48">
        <v>0</v>
      </c>
      <c r="DX133" s="48">
        <v>0</v>
      </c>
      <c r="DY133" s="48">
        <v>0</v>
      </c>
      <c r="DZ133" s="48">
        <v>2023.686815296428</v>
      </c>
      <c r="EA133" s="48">
        <v>61817.033340187496</v>
      </c>
      <c r="EB133" s="48">
        <v>35060.526008948655</v>
      </c>
      <c r="EC133" s="48">
        <v>146062.99170482159</v>
      </c>
      <c r="ED133" s="48">
        <v>3.3367767854127011</v>
      </c>
      <c r="EE133" s="48">
        <v>0.84207584131717772</v>
      </c>
      <c r="EF133" s="48">
        <v>3.4815871331172135</v>
      </c>
      <c r="EG133" s="48">
        <v>0.84618112937424583</v>
      </c>
      <c r="EH133" s="48">
        <v>0</v>
      </c>
      <c r="EI133" s="48">
        <v>0</v>
      </c>
      <c r="EJ133" s="48">
        <v>0</v>
      </c>
      <c r="EK133" s="48">
        <v>0</v>
      </c>
      <c r="EL133" s="48">
        <v>0</v>
      </c>
      <c r="EM133" s="48">
        <v>201.72886329313826</v>
      </c>
      <c r="EN133" s="48">
        <v>0</v>
      </c>
      <c r="EO133" s="48">
        <v>0</v>
      </c>
      <c r="EP133" s="48">
        <v>0</v>
      </c>
      <c r="EQ133" s="48">
        <v>489.73074372505039</v>
      </c>
      <c r="ER133" s="48">
        <v>0</v>
      </c>
      <c r="ES133" s="48">
        <v>0</v>
      </c>
      <c r="ET133" s="48">
        <v>0</v>
      </c>
      <c r="EU133" s="48">
        <v>0</v>
      </c>
      <c r="EV133" s="48">
        <v>0</v>
      </c>
      <c r="EW133" s="48">
        <v>0</v>
      </c>
      <c r="EX133" s="48">
        <v>93.305851594184801</v>
      </c>
      <c r="EY133" s="48">
        <v>1.742551341940117E-2</v>
      </c>
      <c r="EZ133" s="48">
        <v>299.69299844893959</v>
      </c>
      <c r="FA133" s="48">
        <v>0</v>
      </c>
      <c r="FB133" s="48">
        <v>0</v>
      </c>
      <c r="FC133" s="48">
        <v>21.601731049644634</v>
      </c>
      <c r="FD133" s="48">
        <v>0</v>
      </c>
      <c r="FE133" s="48">
        <v>0</v>
      </c>
      <c r="FF133" s="48">
        <v>0</v>
      </c>
      <c r="FG133" s="48">
        <v>293.0706782357571</v>
      </c>
      <c r="FH133" s="48">
        <v>177.69308060091339</v>
      </c>
      <c r="FI133" s="48">
        <v>0</v>
      </c>
      <c r="FJ133" s="48">
        <v>0</v>
      </c>
      <c r="FK133" s="48">
        <v>0</v>
      </c>
      <c r="FL133" s="48">
        <v>0</v>
      </c>
      <c r="FM133" s="48">
        <v>111.03007868039209</v>
      </c>
      <c r="FN133" s="48">
        <v>0</v>
      </c>
      <c r="FO133" s="48">
        <v>0</v>
      </c>
      <c r="FP133" s="48">
        <v>1026.6067009779342</v>
      </c>
      <c r="FQ133" s="48">
        <v>0</v>
      </c>
      <c r="FR133" s="48">
        <v>889.65639003807416</v>
      </c>
      <c r="FS133" s="48">
        <v>27.995079466490935</v>
      </c>
      <c r="FT133" s="48">
        <v>6.9677379596850599</v>
      </c>
      <c r="FU133" s="48">
        <v>53.61193171228571</v>
      </c>
      <c r="FV133" s="48">
        <v>209.02761145276304</v>
      </c>
      <c r="FW133" s="48">
        <v>2317.5787572603622</v>
      </c>
      <c r="FX133" s="48">
        <v>4804.736159151983</v>
      </c>
      <c r="FY133" s="48">
        <v>687.2922731502631</v>
      </c>
      <c r="FZ133" s="48">
        <v>14.216752576067096</v>
      </c>
      <c r="GA133" s="48">
        <v>140.90735552267336</v>
      </c>
      <c r="GB133" s="48">
        <v>0</v>
      </c>
      <c r="GC133" s="48">
        <v>13099.258851903338</v>
      </c>
      <c r="GD133" s="48">
        <v>5651.9414819959129</v>
      </c>
      <c r="GE133" s="48">
        <v>431.83281455191116</v>
      </c>
      <c r="GF133" s="48">
        <v>1116.0803351093505</v>
      </c>
      <c r="GG133" s="48">
        <v>16.61390298066507</v>
      </c>
      <c r="GH133" s="48">
        <v>0</v>
      </c>
      <c r="GI133" s="48">
        <v>0</v>
      </c>
      <c r="GJ133" s="48">
        <v>2.3066138404248679</v>
      </c>
      <c r="GK133" s="48">
        <v>3.8385574230761659</v>
      </c>
      <c r="GL133" s="48">
        <v>3.8353840121229545</v>
      </c>
      <c r="GM133" s="48">
        <v>0</v>
      </c>
      <c r="GN133" s="48">
        <v>0</v>
      </c>
      <c r="GO133" s="48">
        <v>0.77359140223214073</v>
      </c>
      <c r="GP133" s="48">
        <v>0.52924557754414692</v>
      </c>
      <c r="GQ133" s="48">
        <v>3.5760927460688037</v>
      </c>
      <c r="GR133" s="48">
        <v>2174.6573572789757</v>
      </c>
      <c r="GS133" s="48">
        <v>9344.7041299945249</v>
      </c>
      <c r="GT133" s="48">
        <v>115.15177568757895</v>
      </c>
      <c r="GU133" s="48">
        <v>6890.2838920469485</v>
      </c>
      <c r="GV133" s="48">
        <v>39.429089851500692</v>
      </c>
      <c r="GW133" s="48">
        <v>10.595663308748055</v>
      </c>
      <c r="GX133" s="48">
        <v>532.73010838837592</v>
      </c>
      <c r="GY133" s="48">
        <v>67.643189738686914</v>
      </c>
      <c r="GZ133" s="48">
        <v>239.72179121262639</v>
      </c>
      <c r="HA133" s="48">
        <v>823.35630901674392</v>
      </c>
      <c r="HB133" s="48">
        <v>79.219258198779841</v>
      </c>
      <c r="HC133" s="48">
        <v>178.69903757216105</v>
      </c>
      <c r="HD133" s="48">
        <v>60.029794940423997</v>
      </c>
      <c r="HE133" s="48">
        <v>53.059834852860021</v>
      </c>
      <c r="HF133" s="48">
        <v>269.41804950316379</v>
      </c>
      <c r="HG133" s="48">
        <v>257.1335432334094</v>
      </c>
      <c r="HH133" s="48">
        <v>484.72641299480682</v>
      </c>
      <c r="HI133" s="48">
        <v>707.7982806198138</v>
      </c>
      <c r="HJ133" s="48">
        <v>805.90269694143694</v>
      </c>
      <c r="HK133" s="48">
        <v>38.496145922783228</v>
      </c>
      <c r="HL133" s="48">
        <v>60.735567411218007</v>
      </c>
      <c r="HM133" s="48">
        <v>277.35921816024103</v>
      </c>
      <c r="HN133" s="48">
        <v>81.066444278747497</v>
      </c>
      <c r="HO133" s="48">
        <v>342.31080970368004</v>
      </c>
      <c r="HP133" s="48">
        <v>586.3379469055775</v>
      </c>
      <c r="HQ133" s="48">
        <v>91.721947484448933</v>
      </c>
      <c r="HR133" s="48">
        <v>195.11175729812655</v>
      </c>
      <c r="HS133" s="48">
        <v>328.89380421508486</v>
      </c>
      <c r="HT133" s="48">
        <v>200.63049203851392</v>
      </c>
      <c r="HU133" s="48">
        <v>265.32557246130591</v>
      </c>
      <c r="HV133" s="48">
        <v>23159.741546659377</v>
      </c>
      <c r="HW133" s="48">
        <v>363.75346028957966</v>
      </c>
      <c r="HX133" s="48">
        <v>2285.8069136272643</v>
      </c>
      <c r="HY133" s="48">
        <v>1938.796190163449</v>
      </c>
      <c r="HZ133" s="48">
        <v>2871.4754773871418</v>
      </c>
      <c r="IA133" s="48">
        <v>810.81195371784929</v>
      </c>
      <c r="IB133" s="48">
        <v>40.985880065674834</v>
      </c>
      <c r="IC133" s="48">
        <v>5994.6033682459174</v>
      </c>
      <c r="ID133" s="48">
        <v>3719.1636951070705</v>
      </c>
      <c r="IE133" s="48">
        <v>2517.6441138357354</v>
      </c>
      <c r="IF133" s="48">
        <v>323.91081388730453</v>
      </c>
      <c r="IG133" s="48">
        <v>111.82522500035036</v>
      </c>
      <c r="IH133" s="48">
        <v>8.4547799628493134</v>
      </c>
      <c r="II133" s="48">
        <v>2.0741658773523355</v>
      </c>
      <c r="IJ133" s="48">
        <v>7914.9862062518341</v>
      </c>
      <c r="IK133" s="48">
        <v>1873.3738311034824</v>
      </c>
      <c r="IL133" s="48">
        <v>4953.8649770785096</v>
      </c>
      <c r="IM133" s="48">
        <v>2283.5098147823933</v>
      </c>
      <c r="IN133" s="48">
        <v>2092.2438785225072</v>
      </c>
      <c r="IO133" s="48">
        <v>0</v>
      </c>
      <c r="IP133" s="23">
        <v>369878.99999999901</v>
      </c>
      <c r="IQ133" s="25">
        <v>9472</v>
      </c>
      <c r="IR133" s="25">
        <v>0</v>
      </c>
      <c r="IS133" s="26">
        <v>0</v>
      </c>
      <c r="IT133" s="26">
        <v>0</v>
      </c>
      <c r="IU133" s="26">
        <v>-86755</v>
      </c>
      <c r="IV133" s="9">
        <v>25624</v>
      </c>
      <c r="IW133" s="38">
        <f t="shared" si="5"/>
        <v>318219.99999999901</v>
      </c>
    </row>
    <row r="134" spans="1:257" ht="30" customHeight="1" x14ac:dyDescent="0.25">
      <c r="A134" s="112" t="b">
        <v>0</v>
      </c>
      <c r="B134" s="113" t="str">
        <f>IFERROR(VLOOKUP(C134,'Bridge matrix'!$D$3:$E$727,2,FALSE)='symmetric IOT 245 2012'!D134,"FALSCH")</f>
        <v>FALSCH</v>
      </c>
      <c r="C134" s="108">
        <v>128</v>
      </c>
      <c r="D134" s="49" t="s">
        <v>1442</v>
      </c>
      <c r="E134" s="48">
        <v>1575.0290160571421</v>
      </c>
      <c r="F134" s="48">
        <v>195.35457177138056</v>
      </c>
      <c r="G134" s="48">
        <v>313.83701334198258</v>
      </c>
      <c r="H134" s="48">
        <v>0</v>
      </c>
      <c r="I134" s="48">
        <v>0</v>
      </c>
      <c r="J134" s="48">
        <v>0</v>
      </c>
      <c r="K134" s="48">
        <v>0</v>
      </c>
      <c r="L134" s="48">
        <v>0</v>
      </c>
      <c r="M134" s="48">
        <v>0</v>
      </c>
      <c r="N134" s="48">
        <v>0</v>
      </c>
      <c r="O134" s="48">
        <v>16848.850839773957</v>
      </c>
      <c r="P134" s="48">
        <v>2198.6528749670533</v>
      </c>
      <c r="Q134" s="48">
        <v>229.65359421490052</v>
      </c>
      <c r="R134" s="48">
        <v>2871.9751305543027</v>
      </c>
      <c r="S134" s="48">
        <v>0</v>
      </c>
      <c r="T134" s="48">
        <v>0</v>
      </c>
      <c r="U134" s="48">
        <v>0</v>
      </c>
      <c r="V134" s="48">
        <v>0</v>
      </c>
      <c r="W134" s="48">
        <v>0</v>
      </c>
      <c r="X134" s="48">
        <v>0</v>
      </c>
      <c r="Y134" s="48">
        <v>0</v>
      </c>
      <c r="Z134" s="48">
        <v>0</v>
      </c>
      <c r="AA134" s="48">
        <v>0</v>
      </c>
      <c r="AB134" s="48">
        <v>0</v>
      </c>
      <c r="AC134" s="48">
        <v>0</v>
      </c>
      <c r="AD134" s="48">
        <v>0</v>
      </c>
      <c r="AE134" s="48">
        <v>0</v>
      </c>
      <c r="AF134" s="48">
        <v>0</v>
      </c>
      <c r="AG134" s="48">
        <v>0</v>
      </c>
      <c r="AH134" s="48">
        <v>0</v>
      </c>
      <c r="AI134" s="48">
        <v>0</v>
      </c>
      <c r="AJ134" s="48">
        <v>0</v>
      </c>
      <c r="AK134" s="48">
        <v>0</v>
      </c>
      <c r="AL134" s="48">
        <v>0</v>
      </c>
      <c r="AM134" s="48">
        <v>0</v>
      </c>
      <c r="AN134" s="48">
        <v>0</v>
      </c>
      <c r="AO134" s="48">
        <v>0</v>
      </c>
      <c r="AP134" s="48">
        <v>0</v>
      </c>
      <c r="AQ134" s="48">
        <v>0</v>
      </c>
      <c r="AR134" s="48">
        <v>0</v>
      </c>
      <c r="AS134" s="48">
        <v>0</v>
      </c>
      <c r="AT134" s="48">
        <v>0</v>
      </c>
      <c r="AU134" s="48">
        <v>0</v>
      </c>
      <c r="AV134" s="48">
        <v>0</v>
      </c>
      <c r="AW134" s="48">
        <v>0</v>
      </c>
      <c r="AX134" s="48">
        <v>0</v>
      </c>
      <c r="AY134" s="48">
        <v>0</v>
      </c>
      <c r="AZ134" s="48">
        <v>0</v>
      </c>
      <c r="BA134" s="48">
        <v>0</v>
      </c>
      <c r="BB134" s="48">
        <v>0</v>
      </c>
      <c r="BC134" s="48">
        <v>0</v>
      </c>
      <c r="BD134" s="48">
        <v>0</v>
      </c>
      <c r="BE134" s="48">
        <v>0</v>
      </c>
      <c r="BF134" s="48">
        <v>0</v>
      </c>
      <c r="BG134" s="48">
        <v>0</v>
      </c>
      <c r="BH134" s="48">
        <v>0</v>
      </c>
      <c r="BI134" s="48">
        <v>0</v>
      </c>
      <c r="BJ134" s="48">
        <v>196.97881185746419</v>
      </c>
      <c r="BK134" s="48">
        <v>0</v>
      </c>
      <c r="BL134" s="48">
        <v>0</v>
      </c>
      <c r="BM134" s="48">
        <v>43.699679609931962</v>
      </c>
      <c r="BN134" s="48">
        <v>18.25671024933181</v>
      </c>
      <c r="BO134" s="48">
        <v>0</v>
      </c>
      <c r="BP134" s="48">
        <v>0</v>
      </c>
      <c r="BQ134" s="48">
        <v>0</v>
      </c>
      <c r="BR134" s="48">
        <v>0</v>
      </c>
      <c r="BS134" s="48">
        <v>0</v>
      </c>
      <c r="BT134" s="48">
        <v>0</v>
      </c>
      <c r="BU134" s="48">
        <v>0</v>
      </c>
      <c r="BV134" s="48">
        <v>0</v>
      </c>
      <c r="BW134" s="48">
        <v>0</v>
      </c>
      <c r="BX134" s="48">
        <v>0</v>
      </c>
      <c r="BY134" s="48">
        <v>17.130723807862584</v>
      </c>
      <c r="BZ134" s="48">
        <v>12.22848340210326</v>
      </c>
      <c r="CA134" s="48">
        <v>0</v>
      </c>
      <c r="CB134" s="48">
        <v>0</v>
      </c>
      <c r="CC134" s="48">
        <v>0</v>
      </c>
      <c r="CD134" s="48">
        <v>0</v>
      </c>
      <c r="CE134" s="48">
        <v>0</v>
      </c>
      <c r="CF134" s="48">
        <v>0</v>
      </c>
      <c r="CG134" s="48">
        <v>0</v>
      </c>
      <c r="CH134" s="48">
        <v>0</v>
      </c>
      <c r="CI134" s="48">
        <v>154.41468871952554</v>
      </c>
      <c r="CJ134" s="48">
        <v>143.57890590821196</v>
      </c>
      <c r="CK134" s="48">
        <v>12.956858078865364</v>
      </c>
      <c r="CL134" s="48">
        <v>0</v>
      </c>
      <c r="CM134" s="48">
        <v>55.832633631694513</v>
      </c>
      <c r="CN134" s="48">
        <v>12168.430297005609</v>
      </c>
      <c r="CO134" s="48">
        <v>225.58664285976604</v>
      </c>
      <c r="CP134" s="48">
        <v>0</v>
      </c>
      <c r="CQ134" s="48">
        <v>0</v>
      </c>
      <c r="CR134" s="48">
        <v>6073.8271515209672</v>
      </c>
      <c r="CS134" s="48">
        <v>48.413512107637253</v>
      </c>
      <c r="CT134" s="48">
        <v>229.79604205258832</v>
      </c>
      <c r="CU134" s="48">
        <v>178.29312669970008</v>
      </c>
      <c r="CV134" s="48">
        <v>200.2277726898929</v>
      </c>
      <c r="CW134" s="48">
        <v>23.673022914702933</v>
      </c>
      <c r="CX134" s="48">
        <v>0</v>
      </c>
      <c r="CY134" s="48">
        <v>9183.9145162227269</v>
      </c>
      <c r="CZ134" s="48">
        <v>1147.9765457716699</v>
      </c>
      <c r="DA134" s="48">
        <v>3406.3004463009561</v>
      </c>
      <c r="DB134" s="48">
        <v>276.55612382437937</v>
      </c>
      <c r="DC134" s="48">
        <v>17.688663335049771</v>
      </c>
      <c r="DD134" s="48">
        <v>8074.2580263261934</v>
      </c>
      <c r="DE134" s="48">
        <v>1409.3782722520132</v>
      </c>
      <c r="DF134" s="48">
        <v>4142.8113000555686</v>
      </c>
      <c r="DG134" s="48">
        <v>0</v>
      </c>
      <c r="DH134" s="48">
        <v>0</v>
      </c>
      <c r="DI134" s="48">
        <v>5125.8500140073493</v>
      </c>
      <c r="DJ134" s="48">
        <v>524.20181513659657</v>
      </c>
      <c r="DK134" s="48">
        <v>0</v>
      </c>
      <c r="DL134" s="48">
        <v>1129.0392072578236</v>
      </c>
      <c r="DM134" s="48">
        <v>856.13777589567007</v>
      </c>
      <c r="DN134" s="48">
        <v>3644.8417987188709</v>
      </c>
      <c r="DO134" s="48">
        <v>2813.8522122896061</v>
      </c>
      <c r="DP134" s="48">
        <v>0</v>
      </c>
      <c r="DQ134" s="48">
        <v>0</v>
      </c>
      <c r="DR134" s="48">
        <v>307.6026330515686</v>
      </c>
      <c r="DS134" s="48">
        <v>1920.399968133127</v>
      </c>
      <c r="DT134" s="48">
        <v>0</v>
      </c>
      <c r="DU134" s="48">
        <v>174.36261540462135</v>
      </c>
      <c r="DV134" s="48">
        <v>1536.1101714711906</v>
      </c>
      <c r="DW134" s="48">
        <v>0</v>
      </c>
      <c r="DX134" s="48">
        <v>0</v>
      </c>
      <c r="DY134" s="48">
        <v>0</v>
      </c>
      <c r="DZ134" s="48">
        <v>345.98230502312714</v>
      </c>
      <c r="EA134" s="48">
        <v>978.46450597293529</v>
      </c>
      <c r="EB134" s="48">
        <v>518.99033976756971</v>
      </c>
      <c r="EC134" s="48">
        <v>0</v>
      </c>
      <c r="ED134" s="48">
        <v>6.2429212989612415</v>
      </c>
      <c r="EE134" s="48">
        <v>1.557530240034696</v>
      </c>
      <c r="EF134" s="48">
        <v>5.6346974404711849</v>
      </c>
      <c r="EG134" s="48">
        <v>1.5651235113045801</v>
      </c>
      <c r="EH134" s="48">
        <v>0</v>
      </c>
      <c r="EI134" s="48">
        <v>0</v>
      </c>
      <c r="EJ134" s="48">
        <v>475.70792008342181</v>
      </c>
      <c r="EK134" s="48">
        <v>0</v>
      </c>
      <c r="EL134" s="48">
        <v>0</v>
      </c>
      <c r="EM134" s="48">
        <v>0</v>
      </c>
      <c r="EN134" s="48">
        <v>446.91575792544637</v>
      </c>
      <c r="EO134" s="48">
        <v>369.39399674362102</v>
      </c>
      <c r="EP134" s="48">
        <v>7.2527269468755327</v>
      </c>
      <c r="EQ134" s="48">
        <v>208.02311756526521</v>
      </c>
      <c r="ER134" s="48">
        <v>0</v>
      </c>
      <c r="ES134" s="48">
        <v>52.24891318244547</v>
      </c>
      <c r="ET134" s="48">
        <v>0</v>
      </c>
      <c r="EU134" s="48">
        <v>340.32197300158475</v>
      </c>
      <c r="EV134" s="48">
        <v>302.41176277997539</v>
      </c>
      <c r="EW134" s="48">
        <v>1290.2229137102422</v>
      </c>
      <c r="EX134" s="48">
        <v>5209.5888668565149</v>
      </c>
      <c r="EY134" s="48">
        <v>1215.7674854189445</v>
      </c>
      <c r="EZ134" s="48">
        <v>0</v>
      </c>
      <c r="FA134" s="48">
        <v>0</v>
      </c>
      <c r="FB134" s="48">
        <v>0</v>
      </c>
      <c r="FC134" s="48">
        <v>0</v>
      </c>
      <c r="FD134" s="48">
        <v>0</v>
      </c>
      <c r="FE134" s="48">
        <v>52.169166728073975</v>
      </c>
      <c r="FF134" s="48">
        <v>0</v>
      </c>
      <c r="FG134" s="48">
        <v>0</v>
      </c>
      <c r="FH134" s="48">
        <v>6.9303490323243642</v>
      </c>
      <c r="FI134" s="48">
        <v>0</v>
      </c>
      <c r="FJ134" s="48">
        <v>0</v>
      </c>
      <c r="FK134" s="48">
        <v>0</v>
      </c>
      <c r="FL134" s="48">
        <v>0</v>
      </c>
      <c r="FM134" s="48">
        <v>102.20803676454048</v>
      </c>
      <c r="FN134" s="48">
        <v>0</v>
      </c>
      <c r="FO134" s="48">
        <v>0</v>
      </c>
      <c r="FP134" s="48">
        <v>0</v>
      </c>
      <c r="FQ134" s="48">
        <v>0</v>
      </c>
      <c r="FR134" s="48">
        <v>0</v>
      </c>
      <c r="FS134" s="48">
        <v>41.014095876151579</v>
      </c>
      <c r="FT134" s="48">
        <v>10.379246437246032</v>
      </c>
      <c r="FU134" s="48">
        <v>79.248606710772449</v>
      </c>
      <c r="FV134" s="48">
        <v>342.78123324844228</v>
      </c>
      <c r="FW134" s="48">
        <v>1717.6819647514101</v>
      </c>
      <c r="FX134" s="48">
        <v>3619.6991938435085</v>
      </c>
      <c r="FY134" s="48">
        <v>502.89456616179604</v>
      </c>
      <c r="FZ134" s="48">
        <v>10.637585495826574</v>
      </c>
      <c r="GA134" s="48">
        <v>104.5670053401528</v>
      </c>
      <c r="GB134" s="48">
        <v>0</v>
      </c>
      <c r="GC134" s="48">
        <v>58276.752161321077</v>
      </c>
      <c r="GD134" s="48">
        <v>0</v>
      </c>
      <c r="GE134" s="48">
        <v>0</v>
      </c>
      <c r="GF134" s="48">
        <v>0</v>
      </c>
      <c r="GG134" s="48">
        <v>0</v>
      </c>
      <c r="GH134" s="48">
        <v>0</v>
      </c>
      <c r="GI134" s="48">
        <v>0</v>
      </c>
      <c r="GJ134" s="48">
        <v>0</v>
      </c>
      <c r="GK134" s="48">
        <v>0</v>
      </c>
      <c r="GL134" s="48">
        <v>0</v>
      </c>
      <c r="GM134" s="48">
        <v>0</v>
      </c>
      <c r="GN134" s="48">
        <v>0</v>
      </c>
      <c r="GO134" s="48">
        <v>5834.1613489142437</v>
      </c>
      <c r="GP134" s="48">
        <v>0</v>
      </c>
      <c r="GQ134" s="48">
        <v>0</v>
      </c>
      <c r="GR134" s="48">
        <v>0</v>
      </c>
      <c r="GS134" s="48">
        <v>0</v>
      </c>
      <c r="GT134" s="48">
        <v>31.964057251648327</v>
      </c>
      <c r="GU134" s="48">
        <v>1753.8668954259851</v>
      </c>
      <c r="GV134" s="48">
        <v>10.861810306950847</v>
      </c>
      <c r="GW134" s="48">
        <v>2.6864084471237111</v>
      </c>
      <c r="GX134" s="48">
        <v>162.00377789532581</v>
      </c>
      <c r="GY134" s="48">
        <v>2.549907002867732E-2</v>
      </c>
      <c r="GZ134" s="48">
        <v>0</v>
      </c>
      <c r="HA134" s="48">
        <v>0.20770912070336153</v>
      </c>
      <c r="HB134" s="48">
        <v>0</v>
      </c>
      <c r="HC134" s="48">
        <v>0</v>
      </c>
      <c r="HD134" s="48">
        <v>0</v>
      </c>
      <c r="HE134" s="48">
        <v>0</v>
      </c>
      <c r="HF134" s="48">
        <v>0</v>
      </c>
      <c r="HG134" s="48">
        <v>0</v>
      </c>
      <c r="HH134" s="48">
        <v>0</v>
      </c>
      <c r="HI134" s="48">
        <v>0</v>
      </c>
      <c r="HJ134" s="48">
        <v>0</v>
      </c>
      <c r="HK134" s="48">
        <v>0</v>
      </c>
      <c r="HL134" s="48">
        <v>0</v>
      </c>
      <c r="HM134" s="48">
        <v>0</v>
      </c>
      <c r="HN134" s="48">
        <v>0</v>
      </c>
      <c r="HO134" s="48">
        <v>0</v>
      </c>
      <c r="HP134" s="48">
        <v>0</v>
      </c>
      <c r="HQ134" s="48">
        <v>0</v>
      </c>
      <c r="HR134" s="48">
        <v>0</v>
      </c>
      <c r="HS134" s="48">
        <v>0</v>
      </c>
      <c r="HT134" s="48">
        <v>0</v>
      </c>
      <c r="HU134" s="48">
        <v>0</v>
      </c>
      <c r="HV134" s="48">
        <v>0</v>
      </c>
      <c r="HW134" s="48">
        <v>5.3369652076143016E-3</v>
      </c>
      <c r="HX134" s="48">
        <v>0</v>
      </c>
      <c r="HY134" s="48">
        <v>0</v>
      </c>
      <c r="HZ134" s="48">
        <v>0</v>
      </c>
      <c r="IA134" s="48">
        <v>0</v>
      </c>
      <c r="IB134" s="48">
        <v>0</v>
      </c>
      <c r="IC134" s="48">
        <v>0</v>
      </c>
      <c r="ID134" s="48">
        <v>0</v>
      </c>
      <c r="IE134" s="48">
        <v>0</v>
      </c>
      <c r="IF134" s="48">
        <v>0</v>
      </c>
      <c r="IG134" s="48">
        <v>0</v>
      </c>
      <c r="IH134" s="48">
        <v>0</v>
      </c>
      <c r="II134" s="48">
        <v>0</v>
      </c>
      <c r="IJ134" s="48">
        <v>0</v>
      </c>
      <c r="IK134" s="48">
        <v>420.65174579456345</v>
      </c>
      <c r="IL134" s="48">
        <v>850.99350367088971</v>
      </c>
      <c r="IM134" s="48">
        <v>1023.6466769899273</v>
      </c>
      <c r="IN134" s="48">
        <v>543.70895171484631</v>
      </c>
      <c r="IO134" s="48">
        <v>0</v>
      </c>
      <c r="IP134" s="23">
        <v>177005.99999999904</v>
      </c>
      <c r="IQ134" s="25">
        <v>0</v>
      </c>
      <c r="IR134" s="25">
        <v>0</v>
      </c>
      <c r="IS134" s="26">
        <v>0</v>
      </c>
      <c r="IT134" s="26">
        <v>0</v>
      </c>
      <c r="IU134" s="26">
        <v>42</v>
      </c>
      <c r="IV134" s="9">
        <v>37648</v>
      </c>
      <c r="IW134" s="38">
        <f t="shared" si="5"/>
        <v>214695.99999999904</v>
      </c>
    </row>
    <row r="135" spans="1:257" ht="30" customHeight="1" x14ac:dyDescent="0.25">
      <c r="A135" s="112" t="b">
        <v>0</v>
      </c>
      <c r="B135" s="113" t="b">
        <f>IFERROR(VLOOKUP(C135,'Bridge matrix'!$D$3:$E$727,2,FALSE)='symmetric IOT 245 2012'!D135,"FALSCH")</f>
        <v>1</v>
      </c>
      <c r="C135" s="108">
        <v>129</v>
      </c>
      <c r="D135" s="49" t="s">
        <v>1443</v>
      </c>
      <c r="E135" s="48">
        <v>0</v>
      </c>
      <c r="F135" s="48">
        <v>0</v>
      </c>
      <c r="G135" s="48">
        <v>0</v>
      </c>
      <c r="H135" s="48">
        <v>0</v>
      </c>
      <c r="I135" s="48">
        <v>0</v>
      </c>
      <c r="J135" s="48">
        <v>0</v>
      </c>
      <c r="K135" s="48">
        <v>0</v>
      </c>
      <c r="L135" s="48">
        <v>0</v>
      </c>
      <c r="M135" s="48">
        <v>0</v>
      </c>
      <c r="N135" s="48">
        <v>0</v>
      </c>
      <c r="O135" s="48">
        <v>0</v>
      </c>
      <c r="P135" s="48">
        <v>0</v>
      </c>
      <c r="Q135" s="48">
        <v>0</v>
      </c>
      <c r="R135" s="48">
        <v>0</v>
      </c>
      <c r="S135" s="48">
        <v>0</v>
      </c>
      <c r="T135" s="48">
        <v>0</v>
      </c>
      <c r="U135" s="48">
        <v>0</v>
      </c>
      <c r="V135" s="48">
        <v>0</v>
      </c>
      <c r="W135" s="48">
        <v>0</v>
      </c>
      <c r="X135" s="48">
        <v>0</v>
      </c>
      <c r="Y135" s="48">
        <v>0</v>
      </c>
      <c r="Z135" s="48">
        <v>0</v>
      </c>
      <c r="AA135" s="48">
        <v>0</v>
      </c>
      <c r="AB135" s="48">
        <v>0</v>
      </c>
      <c r="AC135" s="48">
        <v>0</v>
      </c>
      <c r="AD135" s="48">
        <v>0</v>
      </c>
      <c r="AE135" s="48">
        <v>0</v>
      </c>
      <c r="AF135" s="48">
        <v>0</v>
      </c>
      <c r="AG135" s="48">
        <v>0</v>
      </c>
      <c r="AH135" s="48">
        <v>0</v>
      </c>
      <c r="AI135" s="48">
        <v>0</v>
      </c>
      <c r="AJ135" s="48">
        <v>0</v>
      </c>
      <c r="AK135" s="48">
        <v>0</v>
      </c>
      <c r="AL135" s="48">
        <v>0</v>
      </c>
      <c r="AM135" s="48">
        <v>0</v>
      </c>
      <c r="AN135" s="48">
        <v>0</v>
      </c>
      <c r="AO135" s="48">
        <v>0</v>
      </c>
      <c r="AP135" s="48">
        <v>0</v>
      </c>
      <c r="AQ135" s="48">
        <v>0</v>
      </c>
      <c r="AR135" s="48">
        <v>0</v>
      </c>
      <c r="AS135" s="48">
        <v>0</v>
      </c>
      <c r="AT135" s="48">
        <v>0</v>
      </c>
      <c r="AU135" s="48">
        <v>0</v>
      </c>
      <c r="AV135" s="48">
        <v>0</v>
      </c>
      <c r="AW135" s="48">
        <v>0</v>
      </c>
      <c r="AX135" s="48">
        <v>0</v>
      </c>
      <c r="AY135" s="48">
        <v>0</v>
      </c>
      <c r="AZ135" s="48">
        <v>0</v>
      </c>
      <c r="BA135" s="48">
        <v>0</v>
      </c>
      <c r="BB135" s="48">
        <v>0</v>
      </c>
      <c r="BC135" s="48">
        <v>0</v>
      </c>
      <c r="BD135" s="48">
        <v>0</v>
      </c>
      <c r="BE135" s="48">
        <v>0</v>
      </c>
      <c r="BF135" s="48">
        <v>0</v>
      </c>
      <c r="BG135" s="48">
        <v>0</v>
      </c>
      <c r="BH135" s="48">
        <v>0</v>
      </c>
      <c r="BI135" s="48">
        <v>0</v>
      </c>
      <c r="BJ135" s="48">
        <v>0</v>
      </c>
      <c r="BK135" s="48">
        <v>0</v>
      </c>
      <c r="BL135" s="48">
        <v>0</v>
      </c>
      <c r="BM135" s="48">
        <v>0</v>
      </c>
      <c r="BN135" s="48">
        <v>0</v>
      </c>
      <c r="BO135" s="48">
        <v>0</v>
      </c>
      <c r="BP135" s="48">
        <v>0</v>
      </c>
      <c r="BQ135" s="48">
        <v>0</v>
      </c>
      <c r="BR135" s="48">
        <v>0</v>
      </c>
      <c r="BS135" s="48">
        <v>0</v>
      </c>
      <c r="BT135" s="48">
        <v>0</v>
      </c>
      <c r="BU135" s="48">
        <v>0</v>
      </c>
      <c r="BV135" s="48">
        <v>0</v>
      </c>
      <c r="BW135" s="48">
        <v>0</v>
      </c>
      <c r="BX135" s="48">
        <v>0</v>
      </c>
      <c r="BY135" s="48">
        <v>0</v>
      </c>
      <c r="BZ135" s="48">
        <v>0</v>
      </c>
      <c r="CA135" s="48">
        <v>0</v>
      </c>
      <c r="CB135" s="48">
        <v>0.69444197175699007</v>
      </c>
      <c r="CC135" s="48">
        <v>8160.3690109695381</v>
      </c>
      <c r="CD135" s="48">
        <v>0</v>
      </c>
      <c r="CE135" s="48">
        <v>0</v>
      </c>
      <c r="CF135" s="48">
        <v>0</v>
      </c>
      <c r="CG135" s="48">
        <v>0</v>
      </c>
      <c r="CH135" s="48">
        <v>0</v>
      </c>
      <c r="CI135" s="48">
        <v>360.73420462163267</v>
      </c>
      <c r="CJ135" s="48">
        <v>324.7658919808332</v>
      </c>
      <c r="CK135" s="48">
        <v>30.320196417376565</v>
      </c>
      <c r="CL135" s="48">
        <v>0</v>
      </c>
      <c r="CM135" s="48">
        <v>127.42006306966721</v>
      </c>
      <c r="CN135" s="48">
        <v>2291.5833878885387</v>
      </c>
      <c r="CO135" s="48">
        <v>11073.930250122276</v>
      </c>
      <c r="CP135" s="48">
        <v>1076.4818508834956</v>
      </c>
      <c r="CQ135" s="48">
        <v>4202.2780975553824</v>
      </c>
      <c r="CR135" s="48">
        <v>967.96398426228188</v>
      </c>
      <c r="CS135" s="48">
        <v>48.758381966815058</v>
      </c>
      <c r="CT135" s="48">
        <v>232.16775726726834</v>
      </c>
      <c r="CU135" s="48">
        <v>168.58141318121838</v>
      </c>
      <c r="CV135" s="48">
        <v>195.25160914268457</v>
      </c>
      <c r="CW135" s="48">
        <v>31.941180469479168</v>
      </c>
      <c r="CX135" s="48">
        <v>4099.2880843516841</v>
      </c>
      <c r="CY135" s="48">
        <v>3742.1294825261953</v>
      </c>
      <c r="CZ135" s="48">
        <v>239.0635352211178</v>
      </c>
      <c r="DA135" s="48">
        <v>831.49345775540735</v>
      </c>
      <c r="DB135" s="48">
        <v>67.379256566960677</v>
      </c>
      <c r="DC135" s="48">
        <v>3.426173294231178</v>
      </c>
      <c r="DD135" s="48">
        <v>774.59205702049371</v>
      </c>
      <c r="DE135" s="48">
        <v>215.04557348429768</v>
      </c>
      <c r="DF135" s="48">
        <v>631.74078610008382</v>
      </c>
      <c r="DG135" s="48">
        <v>1957.4539929683995</v>
      </c>
      <c r="DH135" s="48">
        <v>979.10096088421562</v>
      </c>
      <c r="DI135" s="48">
        <v>0</v>
      </c>
      <c r="DJ135" s="48">
        <v>1708.8581901990046</v>
      </c>
      <c r="DK135" s="48">
        <v>1621.8474214898315</v>
      </c>
      <c r="DL135" s="48">
        <v>20193.328811118849</v>
      </c>
      <c r="DM135" s="48">
        <v>899.49548583611909</v>
      </c>
      <c r="DN135" s="48">
        <v>2388.2672457798481</v>
      </c>
      <c r="DO135" s="48">
        <v>124.70462485824424</v>
      </c>
      <c r="DP135" s="48">
        <v>1602.0409554614168</v>
      </c>
      <c r="DQ135" s="48">
        <v>2789.0281342249164</v>
      </c>
      <c r="DR135" s="48">
        <v>2119.7259893265764</v>
      </c>
      <c r="DS135" s="48">
        <v>5241.0065797716661</v>
      </c>
      <c r="DT135" s="48">
        <v>327.66193981219669</v>
      </c>
      <c r="DU135" s="48">
        <v>163.90769425082618</v>
      </c>
      <c r="DV135" s="48">
        <v>2424.9824031655917</v>
      </c>
      <c r="DW135" s="48">
        <v>2035.9329057630937</v>
      </c>
      <c r="DX135" s="48">
        <v>1013.8636249360903</v>
      </c>
      <c r="DY135" s="48">
        <v>144.63652678252677</v>
      </c>
      <c r="DZ135" s="48">
        <v>127.95261958409587</v>
      </c>
      <c r="EA135" s="48">
        <v>974.74220704754498</v>
      </c>
      <c r="EB135" s="48">
        <v>6124.4605216443169</v>
      </c>
      <c r="EC135" s="48">
        <v>180.31853194474985</v>
      </c>
      <c r="ED135" s="48">
        <v>93.377173891494238</v>
      </c>
      <c r="EE135" s="48">
        <v>26.493952632233025</v>
      </c>
      <c r="EF135" s="48">
        <v>91.523569431801008</v>
      </c>
      <c r="EG135" s="48">
        <v>32.227982462698201</v>
      </c>
      <c r="EH135" s="48">
        <v>4.1799297417827042</v>
      </c>
      <c r="EI135" s="48">
        <v>751.79422425877794</v>
      </c>
      <c r="EJ135" s="48">
        <v>731.58379524809982</v>
      </c>
      <c r="EK135" s="48">
        <v>293.17014229316663</v>
      </c>
      <c r="EL135" s="48">
        <v>201.99501715042709</v>
      </c>
      <c r="EM135" s="48">
        <v>506.52803968368767</v>
      </c>
      <c r="EN135" s="48">
        <v>490.23836701328088</v>
      </c>
      <c r="EO135" s="48">
        <v>67.826864325511224</v>
      </c>
      <c r="EP135" s="48">
        <v>146.83245790505296</v>
      </c>
      <c r="EQ135" s="48">
        <v>158.50050307363961</v>
      </c>
      <c r="ER135" s="48">
        <v>1393.3457601827445</v>
      </c>
      <c r="ES135" s="48">
        <v>164.46385197554844</v>
      </c>
      <c r="ET135" s="48">
        <v>22.698710310415333</v>
      </c>
      <c r="EU135" s="48">
        <v>285.2503301926775</v>
      </c>
      <c r="EV135" s="48">
        <v>253.17491982451054</v>
      </c>
      <c r="EW135" s="48">
        <v>1085.5673386356441</v>
      </c>
      <c r="EX135" s="48">
        <v>2795.3455333120937</v>
      </c>
      <c r="EY135" s="48">
        <v>173.89320224797558</v>
      </c>
      <c r="EZ135" s="48">
        <v>196.8178518444127</v>
      </c>
      <c r="FA135" s="48">
        <v>427.25885942057471</v>
      </c>
      <c r="FB135" s="48">
        <v>352.2214510203608</v>
      </c>
      <c r="FC135" s="48">
        <v>319.14420362166953</v>
      </c>
      <c r="FD135" s="48">
        <v>1266.6724130201083</v>
      </c>
      <c r="FE135" s="48">
        <v>148.48804133151145</v>
      </c>
      <c r="FF135" s="48">
        <v>6.8336676641103535</v>
      </c>
      <c r="FG135" s="48">
        <v>857.21587597341056</v>
      </c>
      <c r="FH135" s="48">
        <v>935.87572563039816</v>
      </c>
      <c r="FI135" s="48">
        <v>422.80249539767868</v>
      </c>
      <c r="FJ135" s="48">
        <v>634.43223032710432</v>
      </c>
      <c r="FK135" s="48">
        <v>187.15024514826797</v>
      </c>
      <c r="FL135" s="48">
        <v>6.6867293390886271</v>
      </c>
      <c r="FM135" s="48">
        <v>600.22822058091492</v>
      </c>
      <c r="FN135" s="48">
        <v>145.56841917954191</v>
      </c>
      <c r="FO135" s="48">
        <v>84.114318408376477</v>
      </c>
      <c r="FP135" s="48">
        <v>467.37832401049423</v>
      </c>
      <c r="FQ135" s="48">
        <v>15.440861064115838</v>
      </c>
      <c r="FR135" s="48">
        <v>8554.8055591549237</v>
      </c>
      <c r="FS135" s="48">
        <v>66.347595628181196</v>
      </c>
      <c r="FT135" s="48">
        <v>17.134906669716528</v>
      </c>
      <c r="FU135" s="48">
        <v>129.46792984520499</v>
      </c>
      <c r="FV135" s="48">
        <v>477.30441951961888</v>
      </c>
      <c r="FW135" s="48">
        <v>18409.916668631126</v>
      </c>
      <c r="FX135" s="48">
        <v>38654.252095481206</v>
      </c>
      <c r="FY135" s="48">
        <v>1909.2859977436649</v>
      </c>
      <c r="FZ135" s="48">
        <v>40.253507114532077</v>
      </c>
      <c r="GA135" s="48">
        <v>370.89025059448142</v>
      </c>
      <c r="GB135" s="48">
        <v>17248.999271141467</v>
      </c>
      <c r="GC135" s="48">
        <v>13188.930386793401</v>
      </c>
      <c r="GD135" s="48">
        <v>2027.0587257020688</v>
      </c>
      <c r="GE135" s="48">
        <v>4621.7563170914445</v>
      </c>
      <c r="GF135" s="48">
        <v>10651.973207950568</v>
      </c>
      <c r="GG135" s="48">
        <v>4866.9662152782848</v>
      </c>
      <c r="GH135" s="48">
        <v>4229.3548501333098</v>
      </c>
      <c r="GI135" s="48">
        <v>7.658019911659018</v>
      </c>
      <c r="GJ135" s="48">
        <v>548.12629245409835</v>
      </c>
      <c r="GK135" s="48">
        <v>1141.570723562395</v>
      </c>
      <c r="GL135" s="48">
        <v>1142.1780858590118</v>
      </c>
      <c r="GM135" s="48">
        <v>833.79706054310691</v>
      </c>
      <c r="GN135" s="48">
        <v>34.157529857171284</v>
      </c>
      <c r="GO135" s="48">
        <v>279.87663880911646</v>
      </c>
      <c r="GP135" s="48">
        <v>123.39805934443467</v>
      </c>
      <c r="GQ135" s="48">
        <v>915.38932326110876</v>
      </c>
      <c r="GR135" s="48">
        <v>126.93293855178285</v>
      </c>
      <c r="GS135" s="48">
        <v>15856.586786190632</v>
      </c>
      <c r="GT135" s="48">
        <v>293.37177852249857</v>
      </c>
      <c r="GU135" s="48">
        <v>21215.549575600457</v>
      </c>
      <c r="GV135" s="48">
        <v>120.16471161333574</v>
      </c>
      <c r="GW135" s="48">
        <v>32.670637571678967</v>
      </c>
      <c r="GX135" s="48">
        <v>1745.336739485087</v>
      </c>
      <c r="GY135" s="48">
        <v>1274.8111969868148</v>
      </c>
      <c r="GZ135" s="48">
        <v>83.756268065532808</v>
      </c>
      <c r="HA135" s="48">
        <v>6548.536384107616</v>
      </c>
      <c r="HB135" s="48">
        <v>1885.8423649520751</v>
      </c>
      <c r="HC135" s="48">
        <v>4251.805511667766</v>
      </c>
      <c r="HD135" s="48">
        <v>1438.6496893914666</v>
      </c>
      <c r="HE135" s="48">
        <v>705.25600565309207</v>
      </c>
      <c r="HF135" s="48">
        <v>3469.174522065066</v>
      </c>
      <c r="HG135" s="48">
        <v>3313.788601069974</v>
      </c>
      <c r="HH135" s="48">
        <v>6240.8305176826689</v>
      </c>
      <c r="HI135" s="48">
        <v>9106.255887846728</v>
      </c>
      <c r="HJ135" s="48">
        <v>10357.958706824009</v>
      </c>
      <c r="HK135" s="48">
        <v>491.15925941028507</v>
      </c>
      <c r="HL135" s="48">
        <v>779.12222538635092</v>
      </c>
      <c r="HM135" s="48">
        <v>3573.2293075220573</v>
      </c>
      <c r="HN135" s="48">
        <v>1047.2456571605051</v>
      </c>
      <c r="HO135" s="48">
        <v>4404.5783474833497</v>
      </c>
      <c r="HP135" s="48">
        <v>7549.7526384606454</v>
      </c>
      <c r="HQ135" s="48">
        <v>1178.5200453578564</v>
      </c>
      <c r="HR135" s="48">
        <v>2512.9514192076599</v>
      </c>
      <c r="HS135" s="48">
        <v>4228.8072054667673</v>
      </c>
      <c r="HT135" s="48">
        <v>2583.5711092821589</v>
      </c>
      <c r="HU135" s="48">
        <v>3416.7026286940172</v>
      </c>
      <c r="HV135" s="48">
        <v>25388.323973765913</v>
      </c>
      <c r="HW135" s="48">
        <v>670.41669580212374</v>
      </c>
      <c r="HX135" s="48">
        <v>1854.2572509634581</v>
      </c>
      <c r="HY135" s="48">
        <v>1572.5228798073938</v>
      </c>
      <c r="HZ135" s="48">
        <v>2329.4442513053759</v>
      </c>
      <c r="IA135" s="48">
        <v>658.10140417906098</v>
      </c>
      <c r="IB135" s="48">
        <v>33.239342378352255</v>
      </c>
      <c r="IC135" s="48">
        <v>6356.9737280511581</v>
      </c>
      <c r="ID135" s="48">
        <v>3943.9683829228352</v>
      </c>
      <c r="IE135" s="48">
        <v>2669.4915386117195</v>
      </c>
      <c r="IF135" s="48">
        <v>343.91830574244949</v>
      </c>
      <c r="IG135" s="48">
        <v>0</v>
      </c>
      <c r="IH135" s="48">
        <v>0</v>
      </c>
      <c r="II135" s="48">
        <v>0</v>
      </c>
      <c r="IJ135" s="48">
        <v>6429.499296338804</v>
      </c>
      <c r="IK135" s="48">
        <v>714.4144523249164</v>
      </c>
      <c r="IL135" s="48">
        <v>2344.5738092883475</v>
      </c>
      <c r="IM135" s="48">
        <v>1299.3406737302973</v>
      </c>
      <c r="IN135" s="48">
        <v>1053.6866157150134</v>
      </c>
      <c r="IO135" s="48">
        <v>0</v>
      </c>
      <c r="IP135" s="23">
        <v>419870.99999999878</v>
      </c>
      <c r="IQ135" s="25">
        <v>227646</v>
      </c>
      <c r="IR135" s="25">
        <v>0</v>
      </c>
      <c r="IS135" s="26">
        <v>0</v>
      </c>
      <c r="IT135" s="26">
        <v>0</v>
      </c>
      <c r="IU135" s="26">
        <v>198674</v>
      </c>
      <c r="IV135" s="9">
        <v>12939</v>
      </c>
      <c r="IW135" s="38">
        <f t="shared" ref="IW135:IW198" si="13">SUM(IP135:IV135)</f>
        <v>859129.99999999884</v>
      </c>
    </row>
    <row r="136" spans="1:257" s="74" customFormat="1" ht="30" customHeight="1" x14ac:dyDescent="0.25">
      <c r="A136" s="114" t="b">
        <v>1</v>
      </c>
      <c r="B136" s="113" t="b">
        <f>IFERROR(VLOOKUP(C136,'Bridge matrix'!$D$3:$E$727,2,FALSE)='symmetric IOT 245 2012'!D136,"FALSCH")</f>
        <v>1</v>
      </c>
      <c r="C136" s="109">
        <v>130</v>
      </c>
      <c r="D136" s="90" t="s">
        <v>1444</v>
      </c>
      <c r="E136" s="48">
        <v>7213.7531619431193</v>
      </c>
      <c r="F136" s="48">
        <v>895.07477063905912</v>
      </c>
      <c r="G136" s="48">
        <v>1436.4729101166267</v>
      </c>
      <c r="H136" s="48">
        <v>84.468263810140783</v>
      </c>
      <c r="I136" s="48">
        <v>864.94142454492987</v>
      </c>
      <c r="J136" s="48">
        <v>3080.5001934085149</v>
      </c>
      <c r="K136" s="48">
        <v>6837.3070926278169</v>
      </c>
      <c r="L136" s="48">
        <v>228.78874005206578</v>
      </c>
      <c r="M136" s="48">
        <v>12.896041475514556</v>
      </c>
      <c r="N136" s="48">
        <v>46.369907554328186</v>
      </c>
      <c r="O136" s="48">
        <v>2919.4804042970236</v>
      </c>
      <c r="P136" s="48">
        <v>425.64153496951826</v>
      </c>
      <c r="Q136" s="48">
        <v>39.520134483154102</v>
      </c>
      <c r="R136" s="48">
        <v>2117.7286655922594</v>
      </c>
      <c r="S136" s="48">
        <v>6.9789088092944684</v>
      </c>
      <c r="T136" s="48">
        <v>1022.5536610615044</v>
      </c>
      <c r="U136" s="48">
        <v>125.92132181509011</v>
      </c>
      <c r="V136" s="48">
        <v>278.64374333106338</v>
      </c>
      <c r="W136" s="48">
        <v>428.893259623782</v>
      </c>
      <c r="X136" s="48">
        <v>5.8186826093559993</v>
      </c>
      <c r="Y136" s="48">
        <v>194.75711627966379</v>
      </c>
      <c r="Z136" s="48">
        <v>518.45343989836374</v>
      </c>
      <c r="AA136" s="48">
        <v>37.304253171391636</v>
      </c>
      <c r="AB136" s="48">
        <v>33.794348190864284</v>
      </c>
      <c r="AC136" s="48">
        <v>8.1391228746407496</v>
      </c>
      <c r="AD136" s="48">
        <v>125.82750732302668</v>
      </c>
      <c r="AE136" s="48">
        <v>188.94274284098776</v>
      </c>
      <c r="AF136" s="48">
        <v>89.74073087816258</v>
      </c>
      <c r="AG136" s="48">
        <v>206.58420511996209</v>
      </c>
      <c r="AH136" s="48">
        <v>353.16371096406186</v>
      </c>
      <c r="AI136" s="48">
        <v>299.54954695280497</v>
      </c>
      <c r="AJ136" s="48">
        <v>191.19075146533669</v>
      </c>
      <c r="AK136" s="48">
        <v>567.62764056690321</v>
      </c>
      <c r="AL136" s="48">
        <v>186.4848102894492</v>
      </c>
      <c r="AM136" s="48">
        <v>16.300338967354101</v>
      </c>
      <c r="AN136" s="48">
        <v>201.6622277231136</v>
      </c>
      <c r="AO136" s="48">
        <v>129.35123472561386</v>
      </c>
      <c r="AP136" s="48">
        <v>487.72486655430959</v>
      </c>
      <c r="AQ136" s="48">
        <v>193.51332643275285</v>
      </c>
      <c r="AR136" s="48">
        <v>312.3675528589315</v>
      </c>
      <c r="AS136" s="48">
        <v>274.91156359762567</v>
      </c>
      <c r="AT136" s="48">
        <v>1047.7065205044387</v>
      </c>
      <c r="AU136" s="48">
        <v>133.70991518280672</v>
      </c>
      <c r="AV136" s="48">
        <v>63.387846959687273</v>
      </c>
      <c r="AW136" s="48">
        <v>39.987979934196602</v>
      </c>
      <c r="AX136" s="48">
        <v>2105.393418608407</v>
      </c>
      <c r="AY136" s="48">
        <v>346.2734973564443</v>
      </c>
      <c r="AZ136" s="48">
        <v>53.986738284511091</v>
      </c>
      <c r="BA136" s="48">
        <v>98.598174476396068</v>
      </c>
      <c r="BB136" s="48">
        <v>2187.3909339331858</v>
      </c>
      <c r="BC136" s="48">
        <v>363.77633493458779</v>
      </c>
      <c r="BD136" s="48">
        <v>1992.6484186096627</v>
      </c>
      <c r="BE136" s="48">
        <v>3440.2444409923914</v>
      </c>
      <c r="BF136" s="48">
        <v>111.5192389496514</v>
      </c>
      <c r="BG136" s="48">
        <v>7.1496337378306434</v>
      </c>
      <c r="BH136" s="48">
        <v>695.33424920950142</v>
      </c>
      <c r="BI136" s="48">
        <v>84.699891221634573</v>
      </c>
      <c r="BJ136" s="48">
        <v>535.95497720775904</v>
      </c>
      <c r="BK136" s="48">
        <v>106.40181640068978</v>
      </c>
      <c r="BL136" s="48">
        <v>1.195094488649314</v>
      </c>
      <c r="BM136" s="48">
        <v>306.35030818298532</v>
      </c>
      <c r="BN136" s="48">
        <v>26.437094427746892</v>
      </c>
      <c r="BO136" s="48">
        <v>0</v>
      </c>
      <c r="BP136" s="48">
        <v>397.19801905838546</v>
      </c>
      <c r="BQ136" s="48">
        <v>53.865477259295616</v>
      </c>
      <c r="BR136" s="48">
        <v>2.3597628159675161</v>
      </c>
      <c r="BS136" s="48">
        <v>3.5389543533026755</v>
      </c>
      <c r="BT136" s="48">
        <v>948.8297235429128</v>
      </c>
      <c r="BU136" s="48">
        <v>5408.8733846520863</v>
      </c>
      <c r="BV136" s="48">
        <v>2387.6185250907047</v>
      </c>
      <c r="BW136" s="48">
        <v>1221.6847528347039</v>
      </c>
      <c r="BX136" s="48">
        <v>110.45544332444304</v>
      </c>
      <c r="BY136" s="48">
        <v>767.50730806760828</v>
      </c>
      <c r="BZ136" s="48">
        <v>555.952004990094</v>
      </c>
      <c r="CA136" s="48">
        <v>0</v>
      </c>
      <c r="CB136" s="48">
        <v>2.3361308575218582</v>
      </c>
      <c r="CC136" s="48">
        <v>0</v>
      </c>
      <c r="CD136" s="48">
        <v>182.24716844150458</v>
      </c>
      <c r="CE136" s="48">
        <v>12.765421942723874</v>
      </c>
      <c r="CF136" s="48">
        <v>2.3241659742864234</v>
      </c>
      <c r="CG136" s="48">
        <v>344.70770990902201</v>
      </c>
      <c r="CH136" s="48">
        <v>31.812180088431912</v>
      </c>
      <c r="CI136" s="48">
        <v>1881.7491256109799</v>
      </c>
      <c r="CJ136" s="48">
        <v>1694.1715376665713</v>
      </c>
      <c r="CK136" s="48">
        <v>156.7662684436969</v>
      </c>
      <c r="CL136" s="48">
        <v>914.39562017560991</v>
      </c>
      <c r="CM136" s="48">
        <v>665.85485146359906</v>
      </c>
      <c r="CN136" s="48">
        <v>3788.4036012465481</v>
      </c>
      <c r="CO136" s="48">
        <v>156.53023365927507</v>
      </c>
      <c r="CP136" s="48">
        <v>15.424243330197681</v>
      </c>
      <c r="CQ136" s="48">
        <v>61.536933433412756</v>
      </c>
      <c r="CR136" s="48">
        <v>399.81624944361539</v>
      </c>
      <c r="CS136" s="48">
        <v>0.27724812185823033</v>
      </c>
      <c r="CT136" s="48">
        <v>0</v>
      </c>
      <c r="CU136" s="48">
        <v>0</v>
      </c>
      <c r="CV136" s="48">
        <v>0</v>
      </c>
      <c r="CW136" s="48">
        <v>0</v>
      </c>
      <c r="CX136" s="48">
        <v>144.46030447400665</v>
      </c>
      <c r="CY136" s="48">
        <v>63.222081950082597</v>
      </c>
      <c r="CZ136" s="48">
        <v>30.670118383512282</v>
      </c>
      <c r="DA136" s="48">
        <v>112.60036888605653</v>
      </c>
      <c r="DB136" s="48">
        <v>8.4024365288062342</v>
      </c>
      <c r="DC136" s="48">
        <v>0</v>
      </c>
      <c r="DD136" s="48">
        <v>152.79710594921985</v>
      </c>
      <c r="DE136" s="48">
        <v>0</v>
      </c>
      <c r="DF136" s="48">
        <v>310.87941460608619</v>
      </c>
      <c r="DG136" s="48">
        <v>25.32232518343902</v>
      </c>
      <c r="DH136" s="48">
        <v>19.485236975758173</v>
      </c>
      <c r="DI136" s="48">
        <v>0</v>
      </c>
      <c r="DJ136" s="48">
        <v>0</v>
      </c>
      <c r="DK136" s="48">
        <v>0</v>
      </c>
      <c r="DL136" s="48">
        <v>3261.7214839035246</v>
      </c>
      <c r="DM136" s="48">
        <v>998.60905586939487</v>
      </c>
      <c r="DN136" s="48">
        <v>847.02956968246679</v>
      </c>
      <c r="DO136" s="48">
        <v>12.890015013735287</v>
      </c>
      <c r="DP136" s="48">
        <v>164.7851850870687</v>
      </c>
      <c r="DQ136" s="48">
        <v>280.0650900928253</v>
      </c>
      <c r="DR136" s="48">
        <v>217.22603999455816</v>
      </c>
      <c r="DS136" s="48">
        <v>519.11532518866147</v>
      </c>
      <c r="DT136" s="48">
        <v>54.648308381416385</v>
      </c>
      <c r="DU136" s="48">
        <v>27.450256432625732</v>
      </c>
      <c r="DV136" s="48">
        <v>409.25568838320061</v>
      </c>
      <c r="DW136" s="48">
        <v>282.56558883495319</v>
      </c>
      <c r="DX136" s="48">
        <v>142.00258085345669</v>
      </c>
      <c r="DY136" s="48">
        <v>20.524748450173259</v>
      </c>
      <c r="DZ136" s="48">
        <v>18.216307790571111</v>
      </c>
      <c r="EA136" s="48">
        <v>364.22156070272439</v>
      </c>
      <c r="EB136" s="48">
        <v>239.56251124578662</v>
      </c>
      <c r="EC136" s="48">
        <v>847.58780892731795</v>
      </c>
      <c r="ED136" s="48">
        <v>0</v>
      </c>
      <c r="EE136" s="48">
        <v>0</v>
      </c>
      <c r="EF136" s="48">
        <v>0</v>
      </c>
      <c r="EG136" s="48">
        <v>0</v>
      </c>
      <c r="EH136" s="48">
        <v>0</v>
      </c>
      <c r="EI136" s="48">
        <v>21.918601022092059</v>
      </c>
      <c r="EJ136" s="48">
        <v>49.144054112041673</v>
      </c>
      <c r="EK136" s="48">
        <v>21.799803273347536</v>
      </c>
      <c r="EL136" s="48">
        <v>653.5488690566342</v>
      </c>
      <c r="EM136" s="48">
        <v>1277.397589080309</v>
      </c>
      <c r="EN136" s="48">
        <v>1276.8777214623012</v>
      </c>
      <c r="EO136" s="48">
        <v>164.78177351609983</v>
      </c>
      <c r="EP136" s="48">
        <v>402.70376488874945</v>
      </c>
      <c r="EQ136" s="48">
        <v>385.42756679062143</v>
      </c>
      <c r="ER136" s="48">
        <v>73.230741713760395</v>
      </c>
      <c r="ES136" s="48">
        <v>8.9351913692969909</v>
      </c>
      <c r="ET136" s="48">
        <v>804.43105714396188</v>
      </c>
      <c r="EU136" s="48">
        <v>5195.5953830432163</v>
      </c>
      <c r="EV136" s="48">
        <v>4617.1089957643289</v>
      </c>
      <c r="EW136" s="48">
        <v>19934.461123782083</v>
      </c>
      <c r="EX136" s="48">
        <v>1104.0280090700342</v>
      </c>
      <c r="EY136" s="48">
        <v>0</v>
      </c>
      <c r="EZ136" s="48">
        <v>80.514787791284846</v>
      </c>
      <c r="FA136" s="48">
        <v>116.44011690017642</v>
      </c>
      <c r="FB136" s="48">
        <v>93.170279418162096</v>
      </c>
      <c r="FC136" s="48">
        <v>84.689627140780175</v>
      </c>
      <c r="FD136" s="48">
        <v>242.57067872479081</v>
      </c>
      <c r="FE136" s="48">
        <v>29.711694167915041</v>
      </c>
      <c r="FF136" s="48">
        <v>0.90896481064905166</v>
      </c>
      <c r="FG136" s="48">
        <v>165.453574656558</v>
      </c>
      <c r="FH136" s="48">
        <v>1054.9975645523157</v>
      </c>
      <c r="FI136" s="48">
        <v>603.81062030805219</v>
      </c>
      <c r="FJ136" s="48">
        <v>701.6458781301186</v>
      </c>
      <c r="FK136" s="48">
        <v>205.4863333470428</v>
      </c>
      <c r="FL136" s="48">
        <v>7.5944290606866938</v>
      </c>
      <c r="FM136" s="48">
        <v>657.27871966082205</v>
      </c>
      <c r="FN136" s="48">
        <v>158.7886835713395</v>
      </c>
      <c r="FO136" s="48">
        <v>91.58618724229656</v>
      </c>
      <c r="FP136" s="48">
        <v>138.98675237047146</v>
      </c>
      <c r="FQ136" s="48">
        <v>0</v>
      </c>
      <c r="FR136" s="48">
        <v>230.82460419677955</v>
      </c>
      <c r="FS136" s="48">
        <v>16.915491624378891</v>
      </c>
      <c r="FT136" s="48">
        <v>4.0498061001981398</v>
      </c>
      <c r="FU136" s="48">
        <v>32.816514111566924</v>
      </c>
      <c r="FV136" s="48">
        <v>156.55556884330528</v>
      </c>
      <c r="FW136" s="48">
        <v>16915.108250571364</v>
      </c>
      <c r="FX136" s="48">
        <v>0</v>
      </c>
      <c r="FY136" s="48">
        <v>1068.3800334947196</v>
      </c>
      <c r="FZ136" s="48">
        <v>22.00745246226322</v>
      </c>
      <c r="GA136" s="48">
        <v>207.41420486266108</v>
      </c>
      <c r="GB136" s="48">
        <v>30261.418185860581</v>
      </c>
      <c r="GC136" s="48">
        <v>51099.459787076798</v>
      </c>
      <c r="GD136" s="48">
        <v>246.55782448239037</v>
      </c>
      <c r="GE136" s="48">
        <v>1526.1983032242319</v>
      </c>
      <c r="GF136" s="48">
        <v>8013.376839554785</v>
      </c>
      <c r="GG136" s="48">
        <v>102004.11201195141</v>
      </c>
      <c r="GH136" s="48">
        <v>90093.202051158572</v>
      </c>
      <c r="GI136" s="48">
        <v>158.40806540418981</v>
      </c>
      <c r="GJ136" s="48">
        <v>11479.632410831371</v>
      </c>
      <c r="GK136" s="48">
        <v>23922.250870977503</v>
      </c>
      <c r="GL136" s="48">
        <v>23942.710559193929</v>
      </c>
      <c r="GM136" s="48">
        <v>17761.295014179948</v>
      </c>
      <c r="GN136" s="48">
        <v>721.44269934698264</v>
      </c>
      <c r="GO136" s="48">
        <v>5955.1036202089799</v>
      </c>
      <c r="GP136" s="48">
        <v>2592.2720426402493</v>
      </c>
      <c r="GQ136" s="48">
        <v>19189.590343162243</v>
      </c>
      <c r="GR136" s="48">
        <v>3565.3895049833068</v>
      </c>
      <c r="GS136" s="48">
        <v>4818.2055991390762</v>
      </c>
      <c r="GT136" s="48">
        <v>51.730004192916965</v>
      </c>
      <c r="GU136" s="48">
        <v>3191.9158821117499</v>
      </c>
      <c r="GV136" s="48">
        <v>18.69313045512358</v>
      </c>
      <c r="GW136" s="48">
        <v>4.0934190396005032</v>
      </c>
      <c r="GX136" s="48">
        <v>206.44466304383431</v>
      </c>
      <c r="GY136" s="48">
        <v>1.4886774445929414</v>
      </c>
      <c r="GZ136" s="48">
        <v>4.7354532877360702</v>
      </c>
      <c r="HA136" s="48">
        <v>11.226972019110958</v>
      </c>
      <c r="HB136" s="48">
        <v>494.59159888118472</v>
      </c>
      <c r="HC136" s="48">
        <v>1116.7588107878958</v>
      </c>
      <c r="HD136" s="48">
        <v>378.22406803576041</v>
      </c>
      <c r="HE136" s="48">
        <v>371.49890973708619</v>
      </c>
      <c r="HF136" s="48">
        <v>1851.0246691509981</v>
      </c>
      <c r="HG136" s="48">
        <v>1767.0548434261423</v>
      </c>
      <c r="HH136" s="48">
        <v>3328.9889255194194</v>
      </c>
      <c r="HI136" s="48">
        <v>4857.400457277874</v>
      </c>
      <c r="HJ136" s="48">
        <v>5522.4704439714569</v>
      </c>
      <c r="HK136" s="48">
        <v>262.30212841037365</v>
      </c>
      <c r="HL136" s="48">
        <v>415.92067739074656</v>
      </c>
      <c r="HM136" s="48">
        <v>1906.4338962049274</v>
      </c>
      <c r="HN136" s="48">
        <v>559.10998162273575</v>
      </c>
      <c r="HO136" s="48">
        <v>2349.1828895064245</v>
      </c>
      <c r="HP136" s="48">
        <v>4026.4786196409777</v>
      </c>
      <c r="HQ136" s="48">
        <v>629.29502138471526</v>
      </c>
      <c r="HR136" s="48">
        <v>1340.3351234932084</v>
      </c>
      <c r="HS136" s="48">
        <v>2208.0566740843724</v>
      </c>
      <c r="HT136" s="48">
        <v>1378.1988952810761</v>
      </c>
      <c r="HU136" s="48">
        <v>1822.2712986908778</v>
      </c>
      <c r="HV136" s="48">
        <v>67923.025646805239</v>
      </c>
      <c r="HW136" s="48">
        <v>308.49028283672794</v>
      </c>
      <c r="HX136" s="48">
        <v>64.328131298210707</v>
      </c>
      <c r="HY136" s="48">
        <v>55.509825606643211</v>
      </c>
      <c r="HZ136" s="48">
        <v>80.953350893099383</v>
      </c>
      <c r="IA136" s="48">
        <v>23.295794369923861</v>
      </c>
      <c r="IB136" s="48">
        <v>1.1059107130454016</v>
      </c>
      <c r="IC136" s="48">
        <v>1251.6176940597834</v>
      </c>
      <c r="ID136" s="48">
        <v>775.64115465791531</v>
      </c>
      <c r="IE136" s="48">
        <v>525.23067821757877</v>
      </c>
      <c r="IF136" s="48">
        <v>67.781206666753945</v>
      </c>
      <c r="IG136" s="48">
        <v>112.64942581669467</v>
      </c>
      <c r="IH136" s="48">
        <v>8.4107754678791551</v>
      </c>
      <c r="II136" s="48">
        <v>3.011822960812212</v>
      </c>
      <c r="IJ136" s="48">
        <v>7880.7681687958211</v>
      </c>
      <c r="IK136" s="48">
        <v>2564.048557019802</v>
      </c>
      <c r="IL136" s="48">
        <v>6839.1502247097524</v>
      </c>
      <c r="IM136" s="48">
        <v>3107.4686191466785</v>
      </c>
      <c r="IN136" s="48">
        <v>2875.2548516651568</v>
      </c>
      <c r="IO136" s="48">
        <v>0</v>
      </c>
      <c r="IP136" s="23">
        <v>669154.99999999895</v>
      </c>
      <c r="IQ136" s="72">
        <v>747615</v>
      </c>
      <c r="IR136" s="72">
        <v>0</v>
      </c>
      <c r="IS136" s="73">
        <v>0</v>
      </c>
      <c r="IT136" s="73">
        <v>0</v>
      </c>
      <c r="IU136" s="73">
        <v>-122898</v>
      </c>
      <c r="IV136" s="9">
        <v>175714</v>
      </c>
      <c r="IW136" s="38">
        <f t="shared" si="13"/>
        <v>1469585.9999999991</v>
      </c>
    </row>
    <row r="137" spans="1:257" s="74" customFormat="1" ht="30" customHeight="1" x14ac:dyDescent="0.25">
      <c r="A137" s="114" t="b">
        <v>1</v>
      </c>
      <c r="B137" s="113" t="b">
        <f>IFERROR(VLOOKUP(C137,'Bridge matrix'!$D$3:$E$727,2,FALSE)='symmetric IOT 245 2012'!D137,"FALSCH")</f>
        <v>0</v>
      </c>
      <c r="C137" s="109">
        <v>130</v>
      </c>
      <c r="D137" s="71" t="s">
        <v>1445</v>
      </c>
      <c r="E137" s="76">
        <f>E136/E257</f>
        <v>1.5253323115763249E-2</v>
      </c>
      <c r="F137" s="76">
        <f t="shared" ref="F137:BQ137" si="14">F136/F257</f>
        <v>4.8118711243260361E-3</v>
      </c>
      <c r="G137" s="76">
        <f t="shared" si="14"/>
        <v>1.525755494451036E-2</v>
      </c>
      <c r="H137" s="76">
        <f t="shared" si="14"/>
        <v>7.4963974639339098E-2</v>
      </c>
      <c r="I137" s="76">
        <f t="shared" si="14"/>
        <v>7.4581721608799861E-2</v>
      </c>
      <c r="J137" s="76">
        <f t="shared" si="14"/>
        <v>7.446127283181242E-2</v>
      </c>
      <c r="K137" s="76">
        <f t="shared" si="14"/>
        <v>7.440455269659535E-2</v>
      </c>
      <c r="L137" s="76">
        <f t="shared" si="14"/>
        <v>7.4692445794486972E-2</v>
      </c>
      <c r="M137" s="76">
        <f t="shared" si="14"/>
        <v>7.4973777171572401E-2</v>
      </c>
      <c r="N137" s="76">
        <f t="shared" si="14"/>
        <v>7.5206801029189252E-2</v>
      </c>
      <c r="O137" s="76">
        <f t="shared" si="14"/>
        <v>1.7813949953626267E-2</v>
      </c>
      <c r="P137" s="76">
        <f t="shared" si="14"/>
        <v>1.8091513801381322E-2</v>
      </c>
      <c r="Q137" s="76">
        <f t="shared" si="14"/>
        <v>1.7563295301241327E-2</v>
      </c>
      <c r="R137" s="76">
        <f t="shared" si="14"/>
        <v>2.0039865769644259E-2</v>
      </c>
      <c r="S137" s="76">
        <f t="shared" si="14"/>
        <v>1.7422324273235656E-2</v>
      </c>
      <c r="T137" s="76">
        <f t="shared" si="14"/>
        <v>3.6694576698634677E-2</v>
      </c>
      <c r="U137" s="76">
        <f t="shared" si="14"/>
        <v>3.6452310599307557E-2</v>
      </c>
      <c r="V137" s="76">
        <f t="shared" si="14"/>
        <v>3.6490775054949721E-2</v>
      </c>
      <c r="W137" s="76">
        <f t="shared" si="14"/>
        <v>3.6981737814482711E-2</v>
      </c>
      <c r="X137" s="76">
        <f t="shared" si="14"/>
        <v>3.6541899352791896E-2</v>
      </c>
      <c r="Y137" s="76">
        <f t="shared" si="14"/>
        <v>3.682431887517032E-2</v>
      </c>
      <c r="Z137" s="76">
        <f t="shared" si="14"/>
        <v>3.6893226559364008E-2</v>
      </c>
      <c r="AA137" s="76">
        <f t="shared" si="14"/>
        <v>3.6919886129371859E-2</v>
      </c>
      <c r="AB137" s="76">
        <f t="shared" si="14"/>
        <v>3.7032181026924509E-2</v>
      </c>
      <c r="AC137" s="76">
        <f t="shared" si="14"/>
        <v>3.5532214980955518E-2</v>
      </c>
      <c r="AD137" s="76">
        <f t="shared" si="14"/>
        <v>3.6674842603456541E-2</v>
      </c>
      <c r="AE137" s="76">
        <f t="shared" si="14"/>
        <v>3.674844200105979E-2</v>
      </c>
      <c r="AF137" s="76">
        <f t="shared" si="14"/>
        <v>3.6683670065737334E-2</v>
      </c>
      <c r="AG137" s="76">
        <f t="shared" si="14"/>
        <v>3.6729846478730711E-2</v>
      </c>
      <c r="AH137" s="76">
        <f t="shared" si="14"/>
        <v>3.6891787719143788E-2</v>
      </c>
      <c r="AI137" s="76">
        <f t="shared" si="14"/>
        <v>3.6881675041906606E-2</v>
      </c>
      <c r="AJ137" s="76">
        <f t="shared" si="14"/>
        <v>3.6837450139527161E-2</v>
      </c>
      <c r="AK137" s="76">
        <f t="shared" si="14"/>
        <v>3.7020677626682201E-2</v>
      </c>
      <c r="AL137" s="76">
        <f t="shared" si="14"/>
        <v>3.7017529616083837E-2</v>
      </c>
      <c r="AM137" s="76">
        <f t="shared" si="14"/>
        <v>3.6314831288348691E-2</v>
      </c>
      <c r="AN137" s="76">
        <f t="shared" si="14"/>
        <v>3.6426512223469223E-2</v>
      </c>
      <c r="AO137" s="76">
        <f t="shared" si="14"/>
        <v>3.6744583062663115E-2</v>
      </c>
      <c r="AP137" s="76">
        <f t="shared" si="14"/>
        <v>3.6765646425335911E-2</v>
      </c>
      <c r="AQ137" s="76">
        <f t="shared" si="14"/>
        <v>3.6929081940156816E-2</v>
      </c>
      <c r="AR137" s="76">
        <f t="shared" si="14"/>
        <v>3.6972885118922265E-2</v>
      </c>
      <c r="AS137" s="76">
        <f t="shared" si="14"/>
        <v>3.6778897665474847E-2</v>
      </c>
      <c r="AT137" s="76">
        <f t="shared" si="14"/>
        <v>2.460156999933006E-2</v>
      </c>
      <c r="AU137" s="76">
        <f t="shared" si="14"/>
        <v>2.5842149562901217E-2</v>
      </c>
      <c r="AV137" s="76">
        <f t="shared" si="14"/>
        <v>2.6541729192871531E-2</v>
      </c>
      <c r="AW137" s="76">
        <f t="shared" si="14"/>
        <v>7.4815729224240683E-3</v>
      </c>
      <c r="AX137" s="76">
        <f t="shared" si="14"/>
        <v>2.6046257633026579E-2</v>
      </c>
      <c r="AY137" s="76">
        <f t="shared" si="14"/>
        <v>2.6329463028604689E-2</v>
      </c>
      <c r="AZ137" s="76">
        <f t="shared" si="14"/>
        <v>2.6313795750114426E-2</v>
      </c>
      <c r="BA137" s="76">
        <f t="shared" si="14"/>
        <v>2.628121434694031E-2</v>
      </c>
      <c r="BB137" s="76">
        <f t="shared" si="14"/>
        <v>2.6025136759783345E-2</v>
      </c>
      <c r="BC137" s="76">
        <f t="shared" si="14"/>
        <v>2.6170826773053144E-2</v>
      </c>
      <c r="BD137" s="76">
        <f t="shared" si="14"/>
        <v>2.7840598153860779E-2</v>
      </c>
      <c r="BE137" s="76">
        <f t="shared" si="14"/>
        <v>3.2944943473758636E-3</v>
      </c>
      <c r="BF137" s="76">
        <f t="shared" si="14"/>
        <v>3.1064373676187545E-3</v>
      </c>
      <c r="BG137" s="76">
        <f t="shared" si="14"/>
        <v>3.4763525015165417E-3</v>
      </c>
      <c r="BH137" s="76">
        <f t="shared" si="14"/>
        <v>3.6199743447766432E-3</v>
      </c>
      <c r="BI137" s="76">
        <f t="shared" si="14"/>
        <v>3.7111557494724752E-3</v>
      </c>
      <c r="BJ137" s="76">
        <f t="shared" si="14"/>
        <v>4.1743058556791869E-3</v>
      </c>
      <c r="BK137" s="76">
        <f t="shared" si="14"/>
        <v>5.1735070547704676E-3</v>
      </c>
      <c r="BL137" s="76">
        <f t="shared" si="14"/>
        <v>4.5139188895970432E-3</v>
      </c>
      <c r="BM137" s="76">
        <f t="shared" si="14"/>
        <v>1.1085771508105842E-2</v>
      </c>
      <c r="BN137" s="76">
        <f t="shared" si="14"/>
        <v>6.0065581304944247E-3</v>
      </c>
      <c r="BO137" s="76">
        <f t="shared" si="14"/>
        <v>0</v>
      </c>
      <c r="BP137" s="76">
        <f t="shared" si="14"/>
        <v>3.1182647429546127E-3</v>
      </c>
      <c r="BQ137" s="76">
        <f t="shared" si="14"/>
        <v>5.3563401776443049E-3</v>
      </c>
      <c r="BR137" s="76">
        <f t="shared" ref="BR137:EC137" si="15">BR136/BR257</f>
        <v>8.5897615601797036E-4</v>
      </c>
      <c r="BS137" s="76">
        <f t="shared" si="15"/>
        <v>1.1877307347259159E-3</v>
      </c>
      <c r="BT137" s="76">
        <f t="shared" si="15"/>
        <v>2.1978066002555009E-2</v>
      </c>
      <c r="BU137" s="76">
        <f t="shared" si="15"/>
        <v>1.2824699568817604E-2</v>
      </c>
      <c r="BV137" s="76">
        <f t="shared" si="15"/>
        <v>3.3107013260828246E-2</v>
      </c>
      <c r="BW137" s="76">
        <f t="shared" si="15"/>
        <v>1.2881281877923112E-2</v>
      </c>
      <c r="BX137" s="76">
        <f t="shared" si="15"/>
        <v>3.2371736241438201E-2</v>
      </c>
      <c r="BY137" s="76">
        <f t="shared" si="15"/>
        <v>2.1629142278937457E-2</v>
      </c>
      <c r="BZ137" s="76">
        <f t="shared" si="15"/>
        <v>2.1954664321670897E-2</v>
      </c>
      <c r="CA137" s="76">
        <f t="shared" si="15"/>
        <v>0</v>
      </c>
      <c r="CB137" s="76">
        <f t="shared" si="15"/>
        <v>1.849849642891496E-4</v>
      </c>
      <c r="CC137" s="76">
        <f t="shared" si="15"/>
        <v>0</v>
      </c>
      <c r="CD137" s="76">
        <f t="shared" si="15"/>
        <v>3.5150940428946374E-3</v>
      </c>
      <c r="CE137" s="76">
        <f t="shared" si="15"/>
        <v>3.4205382762914969E-3</v>
      </c>
      <c r="CF137" s="76">
        <f t="shared" si="15"/>
        <v>3.9757016698278094E-3</v>
      </c>
      <c r="CG137" s="76">
        <f t="shared" si="15"/>
        <v>5.5097779811618067E-3</v>
      </c>
      <c r="CH137" s="76">
        <f t="shared" si="15"/>
        <v>5.8534885726308876E-3</v>
      </c>
      <c r="CI137" s="76">
        <f t="shared" si="15"/>
        <v>2.9035734311501685E-3</v>
      </c>
      <c r="CJ137" s="76">
        <f t="shared" si="15"/>
        <v>3.563931211046941E-3</v>
      </c>
      <c r="CK137" s="76">
        <f t="shared" si="15"/>
        <v>3.9150972878619923E-3</v>
      </c>
      <c r="CL137" s="76">
        <f t="shared" si="15"/>
        <v>4.9955212505250236E-3</v>
      </c>
      <c r="CM137" s="76">
        <f t="shared" si="15"/>
        <v>6.3284709340016357E-3</v>
      </c>
      <c r="CN137" s="76">
        <f t="shared" si="15"/>
        <v>2.8277339677722341E-3</v>
      </c>
      <c r="CO137" s="76">
        <f t="shared" si="15"/>
        <v>4.9058078110473917E-4</v>
      </c>
      <c r="CP137" s="76">
        <f t="shared" si="15"/>
        <v>5.3388692368547546E-4</v>
      </c>
      <c r="CQ137" s="76">
        <f t="shared" si="15"/>
        <v>5.4981617389771129E-4</v>
      </c>
      <c r="CR137" s="76">
        <f t="shared" si="15"/>
        <v>8.7657792238107031E-4</v>
      </c>
      <c r="CS137" s="76">
        <f t="shared" si="15"/>
        <v>6.8375101194890312E-6</v>
      </c>
      <c r="CT137" s="76">
        <f t="shared" si="15"/>
        <v>0</v>
      </c>
      <c r="CU137" s="76">
        <f t="shared" si="15"/>
        <v>0</v>
      </c>
      <c r="CV137" s="76">
        <f t="shared" si="15"/>
        <v>0</v>
      </c>
      <c r="CW137" s="76">
        <f t="shared" si="15"/>
        <v>0</v>
      </c>
      <c r="CX137" s="76">
        <f t="shared" si="15"/>
        <v>4.0564942531459957E-4</v>
      </c>
      <c r="CY137" s="76">
        <f t="shared" si="15"/>
        <v>1.601796619839399E-4</v>
      </c>
      <c r="CZ137" s="76">
        <f t="shared" si="15"/>
        <v>6.2436523458622825E-4</v>
      </c>
      <c r="DA137" s="76">
        <f t="shared" si="15"/>
        <v>1.5043003962889815E-4</v>
      </c>
      <c r="DB137" s="76">
        <f t="shared" si="15"/>
        <v>2.1865004374856554E-4</v>
      </c>
      <c r="DC137" s="76">
        <f t="shared" si="15"/>
        <v>0</v>
      </c>
      <c r="DD137" s="76">
        <f t="shared" si="15"/>
        <v>3.4537454773231753E-4</v>
      </c>
      <c r="DE137" s="76">
        <f t="shared" si="15"/>
        <v>0</v>
      </c>
      <c r="DF137" s="76">
        <f t="shared" si="15"/>
        <v>1.0433683297382044E-3</v>
      </c>
      <c r="DG137" s="76">
        <f t="shared" si="15"/>
        <v>1.1146887619711281E-4</v>
      </c>
      <c r="DH137" s="76">
        <f t="shared" si="15"/>
        <v>2.1534010623097972E-4</v>
      </c>
      <c r="DI137" s="76">
        <f t="shared" si="15"/>
        <v>0</v>
      </c>
      <c r="DJ137" s="76">
        <f t="shared" si="15"/>
        <v>0</v>
      </c>
      <c r="DK137" s="76">
        <f t="shared" si="15"/>
        <v>0</v>
      </c>
      <c r="DL137" s="76">
        <f t="shared" si="15"/>
        <v>6.1120948100494392E-3</v>
      </c>
      <c r="DM137" s="76">
        <f t="shared" si="15"/>
        <v>2.3766623725497188E-3</v>
      </c>
      <c r="DN137" s="76">
        <f t="shared" si="15"/>
        <v>2.9508973966601067E-3</v>
      </c>
      <c r="DO137" s="76">
        <f t="shared" si="15"/>
        <v>3.0500009232986905E-4</v>
      </c>
      <c r="DP137" s="76">
        <f t="shared" si="15"/>
        <v>1.8968140834409125E-3</v>
      </c>
      <c r="DQ137" s="76">
        <f t="shared" si="15"/>
        <v>1.9669455081073504E-3</v>
      </c>
      <c r="DR137" s="76">
        <f t="shared" si="15"/>
        <v>2.2041733388192836E-3</v>
      </c>
      <c r="DS137" s="76">
        <f t="shared" si="15"/>
        <v>1.4601018136031004E-3</v>
      </c>
      <c r="DT137" s="76">
        <f t="shared" si="15"/>
        <v>1.4013796180620006E-3</v>
      </c>
      <c r="DU137" s="76">
        <f t="shared" si="15"/>
        <v>1.894585073425483E-3</v>
      </c>
      <c r="DV137" s="76">
        <f t="shared" si="15"/>
        <v>2.6772558459435569E-3</v>
      </c>
      <c r="DW137" s="76">
        <f t="shared" si="15"/>
        <v>5.703396853591658E-4</v>
      </c>
      <c r="DX137" s="76">
        <f t="shared" si="15"/>
        <v>5.2123604762087709E-4</v>
      </c>
      <c r="DY137" s="76">
        <f t="shared" si="15"/>
        <v>7.6760888902666438E-4</v>
      </c>
      <c r="DZ137" s="76">
        <f t="shared" si="15"/>
        <v>5.0926440685560861E-4</v>
      </c>
      <c r="EA137" s="76">
        <f t="shared" si="15"/>
        <v>2.7175319809143728E-3</v>
      </c>
      <c r="EB137" s="76">
        <f t="shared" si="15"/>
        <v>2.2392513996182099E-3</v>
      </c>
      <c r="EC137" s="76">
        <f t="shared" si="15"/>
        <v>2.8032724757171275E-3</v>
      </c>
      <c r="ED137" s="76">
        <f t="shared" ref="ED137:GO137" si="16">ED136/ED257</f>
        <v>0</v>
      </c>
      <c r="EE137" s="76">
        <f t="shared" si="16"/>
        <v>0</v>
      </c>
      <c r="EF137" s="76">
        <f t="shared" si="16"/>
        <v>0</v>
      </c>
      <c r="EG137" s="76">
        <f t="shared" si="16"/>
        <v>0</v>
      </c>
      <c r="EH137" s="76">
        <f t="shared" si="16"/>
        <v>0</v>
      </c>
      <c r="EI137" s="76">
        <f t="shared" si="16"/>
        <v>6.6694900501047653E-4</v>
      </c>
      <c r="EJ137" s="76">
        <f t="shared" si="16"/>
        <v>8.1815534683025797E-4</v>
      </c>
      <c r="EK137" s="76">
        <f t="shared" si="16"/>
        <v>2.0644836574461832E-3</v>
      </c>
      <c r="EL137" s="76">
        <f t="shared" si="16"/>
        <v>1.0581962589685169E-2</v>
      </c>
      <c r="EM137" s="76">
        <f t="shared" si="16"/>
        <v>9.4841061038976101E-3</v>
      </c>
      <c r="EN137" s="76">
        <f t="shared" si="16"/>
        <v>1.409685542648061E-2</v>
      </c>
      <c r="EO137" s="76">
        <f t="shared" si="16"/>
        <v>1.3243282909870478E-2</v>
      </c>
      <c r="EP137" s="76">
        <f t="shared" si="16"/>
        <v>1.7447469628567951E-2</v>
      </c>
      <c r="EQ137" s="76">
        <f t="shared" si="16"/>
        <v>9.3710884284066709E-3</v>
      </c>
      <c r="ER137" s="76">
        <f t="shared" si="16"/>
        <v>2.0543714478539529E-3</v>
      </c>
      <c r="ES137" s="76">
        <f t="shared" si="16"/>
        <v>1.0566317561800094E-3</v>
      </c>
      <c r="ET137" s="76">
        <f t="shared" si="16"/>
        <v>8.3694191192537053E-3</v>
      </c>
      <c r="EU137" s="76">
        <f t="shared" si="16"/>
        <v>0.19589858443021638</v>
      </c>
      <c r="EV137" s="76">
        <f t="shared" si="16"/>
        <v>0.16027596984742315</v>
      </c>
      <c r="EW137" s="76">
        <f t="shared" si="16"/>
        <v>0.22145427249991295</v>
      </c>
      <c r="EX137" s="76">
        <f t="shared" si="16"/>
        <v>2.2097428523944885E-3</v>
      </c>
      <c r="EY137" s="76">
        <f t="shared" si="16"/>
        <v>0</v>
      </c>
      <c r="EZ137" s="76">
        <f t="shared" si="16"/>
        <v>3.2844615436338305E-3</v>
      </c>
      <c r="FA137" s="76">
        <f t="shared" si="16"/>
        <v>8.9828151680693906E-4</v>
      </c>
      <c r="FB137" s="76">
        <f t="shared" si="16"/>
        <v>3.2162241853046184E-4</v>
      </c>
      <c r="FC137" s="76">
        <f t="shared" si="16"/>
        <v>8.2310228720707923E-4</v>
      </c>
      <c r="FD137" s="76">
        <f t="shared" si="16"/>
        <v>8.5003157213367421E-4</v>
      </c>
      <c r="FE137" s="76">
        <f t="shared" si="16"/>
        <v>7.7976351973789025E-4</v>
      </c>
      <c r="FF137" s="76">
        <f t="shared" si="16"/>
        <v>4.1484942322911149E-4</v>
      </c>
      <c r="FG137" s="76">
        <f t="shared" si="16"/>
        <v>1.5414685906754162E-3</v>
      </c>
      <c r="FH137" s="76">
        <f t="shared" si="16"/>
        <v>7.1251804958764823E-3</v>
      </c>
      <c r="FI137" s="76">
        <f t="shared" si="16"/>
        <v>1.0388458468360135E-2</v>
      </c>
      <c r="FJ137" s="76">
        <f t="shared" si="16"/>
        <v>4.9912100349746918E-3</v>
      </c>
      <c r="FK137" s="76">
        <f t="shared" si="16"/>
        <v>9.6460710832759061E-3</v>
      </c>
      <c r="FL137" s="76">
        <f t="shared" si="16"/>
        <v>1.1561841965177082E-2</v>
      </c>
      <c r="FM137" s="76">
        <f t="shared" si="16"/>
        <v>7.1335221300766255E-3</v>
      </c>
      <c r="FN137" s="76">
        <f t="shared" si="16"/>
        <v>4.6158632964971701E-3</v>
      </c>
      <c r="FO137" s="76">
        <f t="shared" si="16"/>
        <v>6.8339452224220488E-3</v>
      </c>
      <c r="FP137" s="76">
        <f t="shared" si="16"/>
        <v>4.8669911956445843E-4</v>
      </c>
      <c r="FQ137" s="76">
        <f t="shared" si="16"/>
        <v>0</v>
      </c>
      <c r="FR137" s="76">
        <f t="shared" si="16"/>
        <v>3.318218931091603E-4</v>
      </c>
      <c r="FS137" s="76">
        <f t="shared" si="16"/>
        <v>6.643765149468529E-4</v>
      </c>
      <c r="FT137" s="76">
        <f t="shared" si="16"/>
        <v>8.2914338484223551E-4</v>
      </c>
      <c r="FU137" s="76">
        <f t="shared" si="16"/>
        <v>6.1147771218836191E-4</v>
      </c>
      <c r="FV137" s="76">
        <f t="shared" si="16"/>
        <v>1.0152369648477441E-3</v>
      </c>
      <c r="FW137" s="76">
        <f t="shared" si="16"/>
        <v>2.3880246669361862E-2</v>
      </c>
      <c r="FX137" s="76">
        <f t="shared" si="16"/>
        <v>0</v>
      </c>
      <c r="FY137" s="76">
        <f t="shared" si="16"/>
        <v>1.4455472558101397E-2</v>
      </c>
      <c r="FZ137" s="76">
        <f t="shared" si="16"/>
        <v>9.7886458662102341E-3</v>
      </c>
      <c r="GA137" s="76">
        <f t="shared" si="16"/>
        <v>6.2472507546006461E-3</v>
      </c>
      <c r="GB137" s="76">
        <f t="shared" si="16"/>
        <v>5.7346429389294072E-3</v>
      </c>
      <c r="GC137" s="76">
        <f t="shared" si="16"/>
        <v>1.3543150959537415E-2</v>
      </c>
      <c r="GD137" s="76">
        <f t="shared" si="16"/>
        <v>2.6419628877490907E-3</v>
      </c>
      <c r="GE137" s="76">
        <f t="shared" si="16"/>
        <v>8.1016708337569247E-3</v>
      </c>
      <c r="GF137" s="76">
        <f t="shared" si="16"/>
        <v>7.8364399732951135E-3</v>
      </c>
      <c r="GG137" s="76">
        <f t="shared" si="16"/>
        <v>0.10866327965093647</v>
      </c>
      <c r="GH137" s="76">
        <f t="shared" si="16"/>
        <v>8.4154087860195584E-2</v>
      </c>
      <c r="GI137" s="76">
        <f t="shared" si="16"/>
        <v>0.10809925514347699</v>
      </c>
      <c r="GJ137" s="76">
        <f t="shared" si="16"/>
        <v>0.11632527649858439</v>
      </c>
      <c r="GK137" s="76">
        <f t="shared" si="16"/>
        <v>0.11055164819551173</v>
      </c>
      <c r="GL137" s="76">
        <f t="shared" si="16"/>
        <v>0.11306888311928888</v>
      </c>
      <c r="GM137" s="76">
        <f t="shared" si="16"/>
        <v>0.11697818485563384</v>
      </c>
      <c r="GN137" s="76">
        <f t="shared" si="16"/>
        <v>0.13193231151926227</v>
      </c>
      <c r="GO137" s="76">
        <f t="shared" si="16"/>
        <v>0.11362206701514457</v>
      </c>
      <c r="GP137" s="76">
        <f t="shared" ref="GP137:IO137" si="17">GP136/GP257</f>
        <v>0.1317958904385125</v>
      </c>
      <c r="GQ137" s="76">
        <f t="shared" si="17"/>
        <v>0.13183662370831459</v>
      </c>
      <c r="GR137" s="76">
        <f t="shared" si="17"/>
        <v>2.7195920932907049E-2</v>
      </c>
      <c r="GS137" s="76">
        <f t="shared" si="17"/>
        <v>3.6403168848126955E-3</v>
      </c>
      <c r="GT137" s="76">
        <f t="shared" si="17"/>
        <v>2.9980895800245473E-3</v>
      </c>
      <c r="GU137" s="76">
        <f t="shared" si="17"/>
        <v>2.6923051431910873E-3</v>
      </c>
      <c r="GV137" s="76">
        <f t="shared" si="17"/>
        <v>2.8389439054413391E-3</v>
      </c>
      <c r="GW137" s="76">
        <f t="shared" si="17"/>
        <v>2.1613963337300556E-3</v>
      </c>
      <c r="GX137" s="76">
        <f t="shared" si="17"/>
        <v>2.0732930820664803E-3</v>
      </c>
      <c r="GY137" s="76">
        <f t="shared" si="17"/>
        <v>4.6517348845088059E-5</v>
      </c>
      <c r="GZ137" s="76">
        <f t="shared" si="17"/>
        <v>1.9089790184243214E-3</v>
      </c>
      <c r="HA137" s="76">
        <f t="shared" si="17"/>
        <v>3.3930805013904579E-5</v>
      </c>
      <c r="HB137" s="76">
        <f t="shared" si="17"/>
        <v>8.3465593389349477E-4</v>
      </c>
      <c r="HC137" s="76">
        <f t="shared" si="17"/>
        <v>1.5300294615932279E-3</v>
      </c>
      <c r="HD137" s="76">
        <f t="shared" si="17"/>
        <v>1.2199911463074021E-3</v>
      </c>
      <c r="HE137" s="76">
        <f t="shared" si="17"/>
        <v>2.1428393144762876E-2</v>
      </c>
      <c r="HF137" s="76">
        <f t="shared" si="17"/>
        <v>2.1372296031944436E-2</v>
      </c>
      <c r="HG137" s="76">
        <f t="shared" si="17"/>
        <v>2.1358838138654312E-2</v>
      </c>
      <c r="HH137" s="76">
        <f t="shared" si="17"/>
        <v>2.1365825914953406E-2</v>
      </c>
      <c r="HI137" s="76">
        <f t="shared" si="17"/>
        <v>2.1366680440367901E-2</v>
      </c>
      <c r="HJ137" s="76">
        <f t="shared" si="17"/>
        <v>2.1359469120370247E-2</v>
      </c>
      <c r="HK137" s="76">
        <f t="shared" si="17"/>
        <v>2.1389664937254842E-2</v>
      </c>
      <c r="HL137" s="76">
        <f t="shared" si="17"/>
        <v>2.1389277498148101E-2</v>
      </c>
      <c r="HM137" s="76">
        <f t="shared" si="17"/>
        <v>2.137344838760873E-2</v>
      </c>
      <c r="HN137" s="76">
        <f t="shared" si="17"/>
        <v>2.1390109437504991E-2</v>
      </c>
      <c r="HO137" s="76">
        <f t="shared" si="17"/>
        <v>2.1362688115897671E-2</v>
      </c>
      <c r="HP137" s="76">
        <f t="shared" si="17"/>
        <v>2.1363473195880993E-2</v>
      </c>
      <c r="HQ137" s="76">
        <f t="shared" si="17"/>
        <v>2.1388249795660841E-2</v>
      </c>
      <c r="HR137" s="76">
        <f t="shared" si="17"/>
        <v>2.1361826952537868E-2</v>
      </c>
      <c r="HS137" s="76">
        <f t="shared" si="17"/>
        <v>2.0983778010626581E-2</v>
      </c>
      <c r="HT137" s="76">
        <f t="shared" si="17"/>
        <v>2.1366610863740178E-2</v>
      </c>
      <c r="HU137" s="76">
        <f t="shared" si="17"/>
        <v>2.1363520874850262E-2</v>
      </c>
      <c r="HV137" s="76">
        <f t="shared" si="17"/>
        <v>4.8181683550055719E-2</v>
      </c>
      <c r="HW137" s="76">
        <f t="shared" si="17"/>
        <v>1.1255491290133814E-2</v>
      </c>
      <c r="HX137" s="76">
        <f t="shared" si="17"/>
        <v>8.5880658658184586E-4</v>
      </c>
      <c r="HY137" s="76">
        <f t="shared" si="17"/>
        <v>9.0418981978505029E-4</v>
      </c>
      <c r="HZ137" s="76">
        <f t="shared" si="17"/>
        <v>7.9898273896759637E-4</v>
      </c>
      <c r="IA137" s="76">
        <f t="shared" si="17"/>
        <v>7.7103831314862795E-4</v>
      </c>
      <c r="IB137" s="76">
        <f t="shared" si="17"/>
        <v>5.5925747303568806E-4</v>
      </c>
      <c r="IC137" s="76">
        <f t="shared" si="17"/>
        <v>1.2554030484571497E-2</v>
      </c>
      <c r="ID137" s="76">
        <f t="shared" si="17"/>
        <v>1.0965996130024795E-2</v>
      </c>
      <c r="IE137" s="76">
        <f t="shared" si="17"/>
        <v>1.0894698198455182E-2</v>
      </c>
      <c r="IF137" s="76">
        <f t="shared" si="17"/>
        <v>1.1694328022935713E-2</v>
      </c>
      <c r="IG137" s="76">
        <f t="shared" si="17"/>
        <v>4.9665502453409896E-4</v>
      </c>
      <c r="IH137" s="76">
        <f t="shared" si="17"/>
        <v>7.0430670199670873E-4</v>
      </c>
      <c r="II137" s="76">
        <f t="shared" si="17"/>
        <v>6.0799632203407993E-4</v>
      </c>
      <c r="IJ137" s="76">
        <f t="shared" si="17"/>
        <v>1.580162526011553E-2</v>
      </c>
      <c r="IK137" s="76">
        <f t="shared" si="17"/>
        <v>1.2804768333997929E-2</v>
      </c>
      <c r="IL137" s="76">
        <f t="shared" si="17"/>
        <v>2.3303035871219045E-2</v>
      </c>
      <c r="IM137" s="76">
        <f t="shared" si="17"/>
        <v>1.4624555999312262E-2</v>
      </c>
      <c r="IN137" s="76">
        <f t="shared" si="17"/>
        <v>1.6194984745905069E-2</v>
      </c>
      <c r="IO137" s="76" t="e">
        <f t="shared" si="17"/>
        <v>#DIV/0!</v>
      </c>
      <c r="IP137" s="23"/>
      <c r="IQ137" s="72"/>
      <c r="IR137" s="72"/>
      <c r="IS137" s="73"/>
      <c r="IT137" s="73"/>
      <c r="IU137" s="73"/>
      <c r="IV137" s="9"/>
      <c r="IW137" s="38">
        <f t="shared" si="13"/>
        <v>0</v>
      </c>
    </row>
    <row r="138" spans="1:257" s="74" customFormat="1" ht="30" customHeight="1" x14ac:dyDescent="0.25">
      <c r="A138" s="114" t="b">
        <v>1</v>
      </c>
      <c r="B138" s="113" t="b">
        <f>IFERROR(VLOOKUP(C138,'Bridge matrix'!$D$3:$E$727,2,FALSE)='symmetric IOT 245 2012'!D138,"FALSCH")</f>
        <v>1</v>
      </c>
      <c r="C138" s="109">
        <v>131</v>
      </c>
      <c r="D138" s="90" t="s">
        <v>858</v>
      </c>
      <c r="E138" s="48">
        <v>3069.0048416915461</v>
      </c>
      <c r="F138" s="48">
        <v>380.73187545202603</v>
      </c>
      <c r="G138" s="48">
        <v>610.77335365126737</v>
      </c>
      <c r="H138" s="48">
        <v>0</v>
      </c>
      <c r="I138" s="48">
        <v>0</v>
      </c>
      <c r="J138" s="48">
        <v>0</v>
      </c>
      <c r="K138" s="48">
        <v>0</v>
      </c>
      <c r="L138" s="48">
        <v>0</v>
      </c>
      <c r="M138" s="48">
        <v>0</v>
      </c>
      <c r="N138" s="48">
        <v>0</v>
      </c>
      <c r="O138" s="48">
        <v>0</v>
      </c>
      <c r="P138" s="48">
        <v>0</v>
      </c>
      <c r="Q138" s="48">
        <v>0</v>
      </c>
      <c r="R138" s="48">
        <v>0</v>
      </c>
      <c r="S138" s="48">
        <v>0</v>
      </c>
      <c r="T138" s="48">
        <v>672.35266403132414</v>
      </c>
      <c r="U138" s="48">
        <v>82.610096229774541</v>
      </c>
      <c r="V138" s="48">
        <v>183.20636285784258</v>
      </c>
      <c r="W138" s="48">
        <v>282.07113038652415</v>
      </c>
      <c r="X138" s="48">
        <v>4.0825121347169402</v>
      </c>
      <c r="Y138" s="48">
        <v>127.62327215203995</v>
      </c>
      <c r="Z138" s="48">
        <v>339.83481213581831</v>
      </c>
      <c r="AA138" s="48">
        <v>24.533896100159993</v>
      </c>
      <c r="AB138" s="48">
        <v>22.071162086821296</v>
      </c>
      <c r="AC138" s="48">
        <v>5.712721099560599</v>
      </c>
      <c r="AD138" s="48">
        <v>82.547746722814168</v>
      </c>
      <c r="AE138" s="48">
        <v>123.5420456091388</v>
      </c>
      <c r="AF138" s="48">
        <v>58.866212238857109</v>
      </c>
      <c r="AG138" s="48">
        <v>135.91608876212595</v>
      </c>
      <c r="AH138" s="48">
        <v>232.21432185562747</v>
      </c>
      <c r="AI138" s="48">
        <v>197.05655459084372</v>
      </c>
      <c r="AJ138" s="48">
        <v>125.94747164883128</v>
      </c>
      <c r="AK138" s="48">
        <v>374.49371944403555</v>
      </c>
      <c r="AL138" s="48">
        <v>121.82255726512248</v>
      </c>
      <c r="AM138" s="48">
        <v>10.618468922685723</v>
      </c>
      <c r="AN138" s="48">
        <v>132.47442773634384</v>
      </c>
      <c r="AO138" s="48">
        <v>85.018724933576692</v>
      </c>
      <c r="AP138" s="48">
        <v>320.04425722964896</v>
      </c>
      <c r="AQ138" s="48">
        <v>127.57682444079138</v>
      </c>
      <c r="AR138" s="48">
        <v>205.23030112664699</v>
      </c>
      <c r="AS138" s="48">
        <v>180.38362342926811</v>
      </c>
      <c r="AT138" s="48">
        <v>429.62752042613573</v>
      </c>
      <c r="AU138" s="48">
        <v>54.964377111482975</v>
      </c>
      <c r="AV138" s="48">
        <v>25.44957055364419</v>
      </c>
      <c r="AW138" s="48">
        <v>15.980544083998746</v>
      </c>
      <c r="AX138" s="48">
        <v>863.5153803214987</v>
      </c>
      <c r="AY138" s="48">
        <v>142.03220246460597</v>
      </c>
      <c r="AZ138" s="48">
        <v>22.163491404331815</v>
      </c>
      <c r="BA138" s="48">
        <v>40.227121891822541</v>
      </c>
      <c r="BB138" s="48">
        <v>898.41463284590372</v>
      </c>
      <c r="BC138" s="48">
        <v>149.18041390017879</v>
      </c>
      <c r="BD138" s="48">
        <v>6182.7547829594423</v>
      </c>
      <c r="BE138" s="48">
        <v>2000.7498730457594</v>
      </c>
      <c r="BF138" s="48">
        <v>64.823943991073904</v>
      </c>
      <c r="BG138" s="48">
        <v>4.1738311582982481</v>
      </c>
      <c r="BH138" s="48">
        <v>404.38350633588487</v>
      </c>
      <c r="BI138" s="48">
        <v>49.305751269286503</v>
      </c>
      <c r="BJ138" s="48">
        <v>312.04710713496462</v>
      </c>
      <c r="BK138" s="48">
        <v>62.114981100895363</v>
      </c>
      <c r="BL138" s="48">
        <v>0.83711279673220174</v>
      </c>
      <c r="BM138" s="48">
        <v>178.51379356650384</v>
      </c>
      <c r="BN138" s="48">
        <v>15.298598824425959</v>
      </c>
      <c r="BO138" s="48">
        <v>0</v>
      </c>
      <c r="BP138" s="48">
        <v>2070.3082009605209</v>
      </c>
      <c r="BQ138" s="48">
        <v>280.81310492946756</v>
      </c>
      <c r="BR138" s="48">
        <v>11.726978193024811</v>
      </c>
      <c r="BS138" s="48">
        <v>19.2835281006647</v>
      </c>
      <c r="BT138" s="48">
        <v>288.57158515108353</v>
      </c>
      <c r="BU138" s="48">
        <v>1645.8136702590798</v>
      </c>
      <c r="BV138" s="48">
        <v>5407.3499705168742</v>
      </c>
      <c r="BW138" s="48">
        <v>2765.4941897992458</v>
      </c>
      <c r="BX138" s="48">
        <v>250.6650149822546</v>
      </c>
      <c r="BY138" s="48">
        <v>536.88774809913855</v>
      </c>
      <c r="BZ138" s="48">
        <v>389.65620442479002</v>
      </c>
      <c r="CA138" s="48">
        <v>0</v>
      </c>
      <c r="CB138" s="48">
        <v>0</v>
      </c>
      <c r="CC138" s="48">
        <v>2959.360366635261</v>
      </c>
      <c r="CD138" s="48">
        <v>4274.6224965435267</v>
      </c>
      <c r="CE138" s="48">
        <v>310.91631959927804</v>
      </c>
      <c r="CF138" s="48">
        <v>48.269856043587303</v>
      </c>
      <c r="CG138" s="48">
        <v>2594.6192379672666</v>
      </c>
      <c r="CH138" s="48">
        <v>238.79856747281787</v>
      </c>
      <c r="CI138" s="48">
        <v>1331.6716115094653</v>
      </c>
      <c r="CJ138" s="48">
        <v>1202.6558137995262</v>
      </c>
      <c r="CK138" s="48">
        <v>111.53937332737156</v>
      </c>
      <c r="CL138" s="48">
        <v>522.69750504328658</v>
      </c>
      <c r="CM138" s="48">
        <v>473.30209665470562</v>
      </c>
      <c r="CN138" s="48">
        <v>4144.6114242107778</v>
      </c>
      <c r="CO138" s="48">
        <v>4522.8208701082076</v>
      </c>
      <c r="CP138" s="48">
        <v>439.38383560043059</v>
      </c>
      <c r="CQ138" s="48">
        <v>1718.0506562153873</v>
      </c>
      <c r="CR138" s="48">
        <v>2887.3877481699997</v>
      </c>
      <c r="CS138" s="48">
        <v>76.981565252035182</v>
      </c>
      <c r="CT138" s="48">
        <v>360.78637828520561</v>
      </c>
      <c r="CU138" s="48">
        <v>160.49604662220591</v>
      </c>
      <c r="CV138" s="48">
        <v>36.935578810838294</v>
      </c>
      <c r="CW138" s="48">
        <v>53.156822620946855</v>
      </c>
      <c r="CX138" s="48">
        <v>982.05044666119204</v>
      </c>
      <c r="CY138" s="48">
        <v>927.12646280782894</v>
      </c>
      <c r="CZ138" s="48">
        <v>152.88245122792006</v>
      </c>
      <c r="DA138" s="48">
        <v>475.62573975109137</v>
      </c>
      <c r="DB138" s="48">
        <v>38.409597422082797</v>
      </c>
      <c r="DC138" s="48">
        <v>2.7267984328286192</v>
      </c>
      <c r="DD138" s="48">
        <v>1306.4059289165509</v>
      </c>
      <c r="DE138" s="48">
        <v>1105.4339628244688</v>
      </c>
      <c r="DF138" s="48">
        <v>4056.9045200581336</v>
      </c>
      <c r="DG138" s="48">
        <v>208.7440222636385</v>
      </c>
      <c r="DH138" s="48">
        <v>106.86676474921822</v>
      </c>
      <c r="DI138" s="48">
        <v>0</v>
      </c>
      <c r="DJ138" s="48">
        <v>840.23358599861001</v>
      </c>
      <c r="DK138" s="48">
        <v>887.54642577732659</v>
      </c>
      <c r="DL138" s="48">
        <v>3713.3254946169359</v>
      </c>
      <c r="DM138" s="48">
        <v>3007.2730391527707</v>
      </c>
      <c r="DN138" s="48">
        <v>1615.592349973818</v>
      </c>
      <c r="DO138" s="48">
        <v>9.8381146098298995</v>
      </c>
      <c r="DP138" s="48">
        <v>691.8224397182405</v>
      </c>
      <c r="DQ138" s="48">
        <v>1208.8824892326006</v>
      </c>
      <c r="DR138" s="48">
        <v>913.34157573786115</v>
      </c>
      <c r="DS138" s="48">
        <v>781.93621176327565</v>
      </c>
      <c r="DT138" s="48">
        <v>51.249461695484598</v>
      </c>
      <c r="DU138" s="48">
        <v>25.050114660050387</v>
      </c>
      <c r="DV138" s="48">
        <v>376.34485231959093</v>
      </c>
      <c r="DW138" s="48">
        <v>12009.132784035875</v>
      </c>
      <c r="DX138" s="48">
        <v>5982.460170167943</v>
      </c>
      <c r="DY138" s="48">
        <v>855.70597336428148</v>
      </c>
      <c r="DZ138" s="48">
        <v>755.31608019868304</v>
      </c>
      <c r="EA138" s="48">
        <v>801.22228382635205</v>
      </c>
      <c r="EB138" s="48">
        <v>602.75543102310769</v>
      </c>
      <c r="EC138" s="48">
        <v>2169.2477429539854</v>
      </c>
      <c r="ED138" s="48">
        <v>0</v>
      </c>
      <c r="EE138" s="48">
        <v>0</v>
      </c>
      <c r="EF138" s="48">
        <v>0</v>
      </c>
      <c r="EG138" s="48">
        <v>0</v>
      </c>
      <c r="EH138" s="48">
        <v>0</v>
      </c>
      <c r="EI138" s="48">
        <v>63.287903622006638</v>
      </c>
      <c r="EJ138" s="48">
        <v>155.05911469664673</v>
      </c>
      <c r="EK138" s="48">
        <v>65.723129008765923</v>
      </c>
      <c r="EL138" s="48">
        <v>1615.6455989426597</v>
      </c>
      <c r="EM138" s="48">
        <v>3182.8994185990823</v>
      </c>
      <c r="EN138" s="48">
        <v>3183.2802567158301</v>
      </c>
      <c r="EO138" s="48">
        <v>410.06795153537053</v>
      </c>
      <c r="EP138" s="48">
        <v>1001.3705253550443</v>
      </c>
      <c r="EQ138" s="48">
        <v>958.67569816350863</v>
      </c>
      <c r="ER138" s="48">
        <v>168.42272789131943</v>
      </c>
      <c r="ES138" s="48">
        <v>18.623874295441688</v>
      </c>
      <c r="ET138" s="48">
        <v>0</v>
      </c>
      <c r="EU138" s="48">
        <v>2148.0017923475816</v>
      </c>
      <c r="EV138" s="48">
        <v>1909.0443059065158</v>
      </c>
      <c r="EW138" s="48">
        <v>8211.502871034505</v>
      </c>
      <c r="EX138" s="48">
        <v>9656.6694466623085</v>
      </c>
      <c r="EY138" s="48">
        <v>449.28232220391305</v>
      </c>
      <c r="EZ138" s="48">
        <v>659.87145184224073</v>
      </c>
      <c r="FA138" s="48">
        <v>1222.3597638348188</v>
      </c>
      <c r="FB138" s="48">
        <v>994.78574165670398</v>
      </c>
      <c r="FC138" s="48">
        <v>901.9349087987963</v>
      </c>
      <c r="FD138" s="48">
        <v>3144.9094654966857</v>
      </c>
      <c r="FE138" s="48">
        <v>365.97702845170926</v>
      </c>
      <c r="FF138" s="48">
        <v>16.937204667612043</v>
      </c>
      <c r="FG138" s="48">
        <v>2103.3850079007093</v>
      </c>
      <c r="FH138" s="48">
        <v>1395.9384496678792</v>
      </c>
      <c r="FI138" s="48">
        <v>517.46744283186445</v>
      </c>
      <c r="FJ138" s="48">
        <v>917.40839473153289</v>
      </c>
      <c r="FK138" s="48">
        <v>272.41376400076319</v>
      </c>
      <c r="FL138" s="48">
        <v>10.210921453871199</v>
      </c>
      <c r="FM138" s="48">
        <v>873.87688188244329</v>
      </c>
      <c r="FN138" s="48">
        <v>211.69444827518805</v>
      </c>
      <c r="FO138" s="48">
        <v>122.42227126978106</v>
      </c>
      <c r="FP138" s="48">
        <v>814.79728727318263</v>
      </c>
      <c r="FQ138" s="48">
        <v>2.7098296790154919</v>
      </c>
      <c r="FR138" s="48">
        <v>1446.7602932512186</v>
      </c>
      <c r="FS138" s="48">
        <v>27.73977881033699</v>
      </c>
      <c r="FT138" s="48">
        <v>7.1333603636239156</v>
      </c>
      <c r="FU138" s="48">
        <v>53.478091629066292</v>
      </c>
      <c r="FV138" s="48">
        <v>194.48601431068661</v>
      </c>
      <c r="FW138" s="48">
        <v>3.7370670996386823</v>
      </c>
      <c r="FX138" s="48">
        <v>0</v>
      </c>
      <c r="FY138" s="48">
        <v>1090.7720570199726</v>
      </c>
      <c r="FZ138" s="48">
        <v>22.809055899127181</v>
      </c>
      <c r="GA138" s="48">
        <v>208.98315827045701</v>
      </c>
      <c r="GB138" s="48">
        <v>47781.938302089293</v>
      </c>
      <c r="GC138" s="48">
        <v>22560.149981572384</v>
      </c>
      <c r="GD138" s="48">
        <v>571.62575559857828</v>
      </c>
      <c r="GE138" s="48">
        <v>1856.3689651021239</v>
      </c>
      <c r="GF138" s="48">
        <v>68.300462342216804</v>
      </c>
      <c r="GG138" s="48">
        <v>17712.892218391898</v>
      </c>
      <c r="GH138" s="48">
        <v>15538.27519314364</v>
      </c>
      <c r="GI138" s="48">
        <v>27.892243766523045</v>
      </c>
      <c r="GJ138" s="48">
        <v>0</v>
      </c>
      <c r="GK138" s="48">
        <v>4154.6692782902091</v>
      </c>
      <c r="GL138" s="48">
        <v>0</v>
      </c>
      <c r="GM138" s="48">
        <v>0</v>
      </c>
      <c r="GN138" s="48">
        <v>0</v>
      </c>
      <c r="GO138" s="48">
        <v>0</v>
      </c>
      <c r="GP138" s="48">
        <v>0</v>
      </c>
      <c r="GQ138" s="48">
        <v>0</v>
      </c>
      <c r="GR138" s="48">
        <v>960.13902203729833</v>
      </c>
      <c r="GS138" s="48">
        <v>7698.0299665530556</v>
      </c>
      <c r="GT138" s="48">
        <v>0</v>
      </c>
      <c r="GU138" s="48">
        <v>46.475979300725662</v>
      </c>
      <c r="GV138" s="48">
        <v>0.8173949451775584</v>
      </c>
      <c r="GW138" s="48">
        <v>0</v>
      </c>
      <c r="GX138" s="48">
        <v>0</v>
      </c>
      <c r="GY138" s="48">
        <v>0</v>
      </c>
      <c r="GZ138" s="48">
        <v>0.82826909913507574</v>
      </c>
      <c r="HA138" s="48">
        <v>0</v>
      </c>
      <c r="HB138" s="48">
        <v>2505.8411019174096</v>
      </c>
      <c r="HC138" s="48">
        <v>5650.7462365842848</v>
      </c>
      <c r="HD138" s="48">
        <v>1911.424967050549</v>
      </c>
      <c r="HE138" s="48">
        <v>475.97775555050373</v>
      </c>
      <c r="HF138" s="48">
        <v>2349.3146302720193</v>
      </c>
      <c r="HG138" s="48">
        <v>2243.9199485832978</v>
      </c>
      <c r="HH138" s="48">
        <v>4225.820643228566</v>
      </c>
      <c r="HI138" s="48">
        <v>6165.0952535496253</v>
      </c>
      <c r="HJ138" s="48">
        <v>7011.1417734252864</v>
      </c>
      <c r="HK138" s="48">
        <v>332.49103630373111</v>
      </c>
      <c r="HL138" s="48">
        <v>527.48277763405758</v>
      </c>
      <c r="HM138" s="48">
        <v>2419.3891742912283</v>
      </c>
      <c r="HN138" s="48">
        <v>708.76695245584153</v>
      </c>
      <c r="HO138" s="48">
        <v>2982.7101506803883</v>
      </c>
      <c r="HP138" s="48">
        <v>5111.4317322025163</v>
      </c>
      <c r="HQ138" s="48">
        <v>797.98678041552353</v>
      </c>
      <c r="HR138" s="48">
        <v>1701.9806592965772</v>
      </c>
      <c r="HS138" s="48">
        <v>2856.1973649223837</v>
      </c>
      <c r="HT138" s="48">
        <v>1749.210146472858</v>
      </c>
      <c r="HU138" s="48">
        <v>2313.6519414463919</v>
      </c>
      <c r="HV138" s="48">
        <v>0</v>
      </c>
      <c r="HW138" s="48">
        <v>0</v>
      </c>
      <c r="HX138" s="48">
        <v>77.711978885027108</v>
      </c>
      <c r="HY138" s="48">
        <v>65.688719704823839</v>
      </c>
      <c r="HZ138" s="48">
        <v>97.70225617688827</v>
      </c>
      <c r="IA138" s="48">
        <v>28.022590533897695</v>
      </c>
      <c r="IB138" s="48">
        <v>1.604355785139334</v>
      </c>
      <c r="IC138" s="48">
        <v>0</v>
      </c>
      <c r="ID138" s="48">
        <v>0</v>
      </c>
      <c r="IE138" s="48">
        <v>0</v>
      </c>
      <c r="IF138" s="48">
        <v>0</v>
      </c>
      <c r="IG138" s="48">
        <v>426.35551253480878</v>
      </c>
      <c r="IH138" s="48">
        <v>30.662417302600865</v>
      </c>
      <c r="II138" s="48">
        <v>9.7843534448651575</v>
      </c>
      <c r="IJ138" s="48">
        <v>0</v>
      </c>
      <c r="IK138" s="48">
        <v>1067.4941599788358</v>
      </c>
      <c r="IL138" s="48">
        <v>2074.8935754943482</v>
      </c>
      <c r="IM138" s="48">
        <v>2494.1436220749742</v>
      </c>
      <c r="IN138" s="48">
        <v>1324.3880572153548</v>
      </c>
      <c r="IO138" s="48">
        <v>0</v>
      </c>
      <c r="IP138" s="23">
        <v>340551.99999999878</v>
      </c>
      <c r="IQ138" s="72">
        <v>35400</v>
      </c>
      <c r="IR138" s="72">
        <v>0</v>
      </c>
      <c r="IS138" s="73">
        <v>0</v>
      </c>
      <c r="IT138" s="73">
        <v>0</v>
      </c>
      <c r="IU138" s="73">
        <v>-24745</v>
      </c>
      <c r="IV138" s="9">
        <v>63328</v>
      </c>
      <c r="IW138" s="38">
        <f t="shared" si="13"/>
        <v>414534.99999999878</v>
      </c>
    </row>
    <row r="139" spans="1:257" s="74" customFormat="1" ht="30" customHeight="1" x14ac:dyDescent="0.25">
      <c r="A139" s="114" t="b">
        <v>1</v>
      </c>
      <c r="B139" s="113" t="b">
        <f>IFERROR(VLOOKUP(C139,'Bridge matrix'!$D$3:$E$727,2,FALSE)='symmetric IOT 245 2012'!D139,"FALSCH")</f>
        <v>0</v>
      </c>
      <c r="C139" s="109">
        <v>131</v>
      </c>
      <c r="D139" s="71" t="s">
        <v>1446</v>
      </c>
      <c r="E139" s="76">
        <f>E138/E257</f>
        <v>6.4893435418787492E-3</v>
      </c>
      <c r="F139" s="76">
        <f t="shared" ref="F139:BQ139" si="18">F138/F257</f>
        <v>2.0467929358461072E-3</v>
      </c>
      <c r="G139" s="76">
        <f t="shared" si="18"/>
        <v>6.4873538069161853E-3</v>
      </c>
      <c r="H139" s="76">
        <f t="shared" si="18"/>
        <v>0</v>
      </c>
      <c r="I139" s="76">
        <f t="shared" si="18"/>
        <v>0</v>
      </c>
      <c r="J139" s="76">
        <f t="shared" si="18"/>
        <v>0</v>
      </c>
      <c r="K139" s="76">
        <f t="shared" si="18"/>
        <v>0</v>
      </c>
      <c r="L139" s="76">
        <f t="shared" si="18"/>
        <v>0</v>
      </c>
      <c r="M139" s="76">
        <f t="shared" si="18"/>
        <v>0</v>
      </c>
      <c r="N139" s="76">
        <f t="shared" si="18"/>
        <v>0</v>
      </c>
      <c r="O139" s="76">
        <f t="shared" si="18"/>
        <v>0</v>
      </c>
      <c r="P139" s="76">
        <f t="shared" si="18"/>
        <v>0</v>
      </c>
      <c r="Q139" s="76">
        <f t="shared" si="18"/>
        <v>0</v>
      </c>
      <c r="R139" s="76">
        <f t="shared" si="18"/>
        <v>0</v>
      </c>
      <c r="S139" s="76">
        <f t="shared" si="18"/>
        <v>0</v>
      </c>
      <c r="T139" s="76">
        <f t="shared" si="18"/>
        <v>2.4127532215001114E-2</v>
      </c>
      <c r="U139" s="76">
        <f t="shared" si="18"/>
        <v>2.3914368456427346E-2</v>
      </c>
      <c r="V139" s="76">
        <f t="shared" si="18"/>
        <v>2.3992435989269683E-2</v>
      </c>
      <c r="W139" s="76">
        <f t="shared" si="18"/>
        <v>2.4321857140257985E-2</v>
      </c>
      <c r="X139" s="76">
        <f t="shared" si="18"/>
        <v>2.5638577930596096E-2</v>
      </c>
      <c r="Y139" s="76">
        <f t="shared" si="18"/>
        <v>2.4130774573961442E-2</v>
      </c>
      <c r="Z139" s="76">
        <f t="shared" si="18"/>
        <v>2.4182697523124717E-2</v>
      </c>
      <c r="AA139" s="76">
        <f t="shared" si="18"/>
        <v>2.4281109346062181E-2</v>
      </c>
      <c r="AB139" s="76">
        <f t="shared" si="18"/>
        <v>2.4185797733323754E-2</v>
      </c>
      <c r="AC139" s="76">
        <f t="shared" si="18"/>
        <v>2.4939497457186051E-2</v>
      </c>
      <c r="AD139" s="76">
        <f t="shared" si="18"/>
        <v>2.4060125506238813E-2</v>
      </c>
      <c r="AE139" s="76">
        <f t="shared" si="18"/>
        <v>2.4028325351350053E-2</v>
      </c>
      <c r="AF139" s="76">
        <f t="shared" si="18"/>
        <v>2.4062972149420912E-2</v>
      </c>
      <c r="AG139" s="76">
        <f t="shared" si="18"/>
        <v>2.4165337671016512E-2</v>
      </c>
      <c r="AH139" s="76">
        <f t="shared" si="18"/>
        <v>2.4257309574240212E-2</v>
      </c>
      <c r="AI139" s="76">
        <f t="shared" si="18"/>
        <v>2.4262349535258316E-2</v>
      </c>
      <c r="AJ139" s="76">
        <f t="shared" si="18"/>
        <v>2.4266778970762608E-2</v>
      </c>
      <c r="AK139" s="76">
        <f t="shared" si="18"/>
        <v>2.4424482301299653E-2</v>
      </c>
      <c r="AL139" s="76">
        <f t="shared" si="18"/>
        <v>2.4181970180141153E-2</v>
      </c>
      <c r="AM139" s="76">
        <f t="shared" si="18"/>
        <v>2.3656434890108196E-2</v>
      </c>
      <c r="AN139" s="76">
        <f t="shared" si="18"/>
        <v>2.392902932650651E-2</v>
      </c>
      <c r="AO139" s="76">
        <f t="shared" si="18"/>
        <v>2.4151123155725953E-2</v>
      </c>
      <c r="AP139" s="76">
        <f t="shared" si="18"/>
        <v>2.4125556863429438E-2</v>
      </c>
      <c r="AQ139" s="76">
        <f t="shared" si="18"/>
        <v>2.4346101068528692E-2</v>
      </c>
      <c r="AR139" s="76">
        <f t="shared" si="18"/>
        <v>2.4291755904314885E-2</v>
      </c>
      <c r="AS139" s="76">
        <f t="shared" si="18"/>
        <v>2.4132527347386929E-2</v>
      </c>
      <c r="AT139" s="76">
        <f t="shared" si="18"/>
        <v>1.0088236839752879E-2</v>
      </c>
      <c r="AU139" s="76">
        <f t="shared" si="18"/>
        <v>1.0622979245815057E-2</v>
      </c>
      <c r="AV139" s="76">
        <f t="shared" si="18"/>
        <v>1.0656232102965785E-2</v>
      </c>
      <c r="AW139" s="76">
        <f t="shared" si="18"/>
        <v>2.989888614058374E-3</v>
      </c>
      <c r="AX139" s="76">
        <f t="shared" si="18"/>
        <v>1.0682727449960726E-2</v>
      </c>
      <c r="AY139" s="76">
        <f t="shared" si="18"/>
        <v>1.0799647250547927E-2</v>
      </c>
      <c r="AZ139" s="76">
        <f t="shared" si="18"/>
        <v>1.0802756463068766E-2</v>
      </c>
      <c r="BA139" s="76">
        <f t="shared" si="18"/>
        <v>1.0722486685111762E-2</v>
      </c>
      <c r="BB139" s="76">
        <f t="shared" si="18"/>
        <v>1.0689156347906566E-2</v>
      </c>
      <c r="BC139" s="76">
        <f t="shared" si="18"/>
        <v>1.0732349510354969E-2</v>
      </c>
      <c r="BD139" s="76">
        <f t="shared" si="18"/>
        <v>8.6383322711959656E-2</v>
      </c>
      <c r="BE139" s="76">
        <f t="shared" si="18"/>
        <v>1.9159856982025449E-3</v>
      </c>
      <c r="BF139" s="76">
        <f t="shared" si="18"/>
        <v>1.8057110488461298E-3</v>
      </c>
      <c r="BG139" s="76">
        <f t="shared" si="18"/>
        <v>2.0294338032007166E-3</v>
      </c>
      <c r="BH139" s="76">
        <f t="shared" si="18"/>
        <v>2.1052578958262588E-3</v>
      </c>
      <c r="BI139" s="76">
        <f t="shared" si="18"/>
        <v>2.1603489646316591E-3</v>
      </c>
      <c r="BJ139" s="76">
        <f t="shared" si="18"/>
        <v>2.4303908386996802E-3</v>
      </c>
      <c r="BK139" s="76">
        <f t="shared" si="18"/>
        <v>3.0201767582826071E-3</v>
      </c>
      <c r="BL139" s="76">
        <f t="shared" si="18"/>
        <v>3.1618079589367911E-3</v>
      </c>
      <c r="BM139" s="76">
        <f t="shared" si="18"/>
        <v>6.4598045886129375E-3</v>
      </c>
      <c r="BN139" s="76">
        <f t="shared" si="18"/>
        <v>3.4758707468844829E-3</v>
      </c>
      <c r="BO139" s="76">
        <f t="shared" si="18"/>
        <v>0</v>
      </c>
      <c r="BP139" s="76">
        <f t="shared" si="18"/>
        <v>1.6253276099939536E-2</v>
      </c>
      <c r="BQ139" s="76">
        <f t="shared" si="18"/>
        <v>2.7923831605579694E-2</v>
      </c>
      <c r="BR139" s="76">
        <f t="shared" ref="BR139:EC139" si="19">BR138/BR257</f>
        <v>4.2687318326189274E-3</v>
      </c>
      <c r="BS139" s="76">
        <f t="shared" si="19"/>
        <v>6.4718661820929828E-3</v>
      </c>
      <c r="BT139" s="76">
        <f t="shared" si="19"/>
        <v>6.6842818975259418E-3</v>
      </c>
      <c r="BU139" s="76">
        <f t="shared" si="19"/>
        <v>3.9023035605192679E-3</v>
      </c>
      <c r="BV139" s="76">
        <f t="shared" si="19"/>
        <v>7.4978982320067403E-2</v>
      </c>
      <c r="BW139" s="76">
        <f t="shared" si="19"/>
        <v>2.9159003669240811E-2</v>
      </c>
      <c r="BX139" s="76">
        <f t="shared" si="19"/>
        <v>7.3463665580762061E-2</v>
      </c>
      <c r="BY139" s="76">
        <f t="shared" si="19"/>
        <v>1.5130046801367637E-2</v>
      </c>
      <c r="BZ139" s="76">
        <f t="shared" si="19"/>
        <v>1.5387607369371874E-2</v>
      </c>
      <c r="CA139" s="76">
        <f t="shared" si="19"/>
        <v>0</v>
      </c>
      <c r="CB139" s="76">
        <f t="shared" si="19"/>
        <v>0</v>
      </c>
      <c r="CC139" s="76">
        <f t="shared" si="19"/>
        <v>8.9228955113756017E-3</v>
      </c>
      <c r="CD139" s="76">
        <f t="shared" si="19"/>
        <v>8.2446823189169682E-2</v>
      </c>
      <c r="CE139" s="76">
        <f t="shared" si="19"/>
        <v>8.3311086518310706E-2</v>
      </c>
      <c r="CF139" s="76">
        <f t="shared" si="19"/>
        <v>8.2570070037170262E-2</v>
      </c>
      <c r="CG139" s="76">
        <f t="shared" si="19"/>
        <v>4.1472167682654749E-2</v>
      </c>
      <c r="CH139" s="76">
        <f t="shared" si="19"/>
        <v>4.3939292496683026E-2</v>
      </c>
      <c r="CI139" s="76">
        <f t="shared" si="19"/>
        <v>2.0547937329001677E-3</v>
      </c>
      <c r="CJ139" s="76">
        <f t="shared" si="19"/>
        <v>2.5299578558914204E-3</v>
      </c>
      <c r="CK139" s="76">
        <f t="shared" si="19"/>
        <v>2.7855960490675096E-3</v>
      </c>
      <c r="CL139" s="76">
        <f t="shared" si="19"/>
        <v>2.8555982076321376E-3</v>
      </c>
      <c r="CM139" s="76">
        <f t="shared" si="19"/>
        <v>4.4983956414787543E-3</v>
      </c>
      <c r="CN139" s="76">
        <f t="shared" si="19"/>
        <v>3.0936140234903522E-3</v>
      </c>
      <c r="CO139" s="76">
        <f t="shared" si="19"/>
        <v>1.4174954853030251E-2</v>
      </c>
      <c r="CP139" s="76">
        <f t="shared" si="19"/>
        <v>1.5208608894711474E-2</v>
      </c>
      <c r="CQ139" s="76">
        <f t="shared" si="19"/>
        <v>1.5350326798213505E-2</v>
      </c>
      <c r="CR139" s="76">
        <f t="shared" si="19"/>
        <v>6.3304589468826875E-3</v>
      </c>
      <c r="CS139" s="76">
        <f t="shared" si="19"/>
        <v>1.8985240653642691E-3</v>
      </c>
      <c r="CT139" s="76">
        <f t="shared" si="19"/>
        <v>1.5312201730821205E-3</v>
      </c>
      <c r="CU139" s="76">
        <f t="shared" si="19"/>
        <v>1.3236179039391636E-3</v>
      </c>
      <c r="CV139" s="76">
        <f t="shared" si="19"/>
        <v>1.8321472138227345E-4</v>
      </c>
      <c r="CW139" s="76">
        <f t="shared" si="19"/>
        <v>1.4695439146629619E-3</v>
      </c>
      <c r="CX139" s="76">
        <f t="shared" si="19"/>
        <v>2.7576308991494507E-3</v>
      </c>
      <c r="CY139" s="76">
        <f t="shared" si="19"/>
        <v>2.34897046804277E-3</v>
      </c>
      <c r="CZ139" s="76">
        <f t="shared" si="19"/>
        <v>3.1122960247963231E-3</v>
      </c>
      <c r="DA139" s="76">
        <f t="shared" si="19"/>
        <v>6.3541886751439073E-4</v>
      </c>
      <c r="DB139" s="76">
        <f t="shared" si="19"/>
        <v>9.9950295701863121E-4</v>
      </c>
      <c r="DC139" s="76">
        <f t="shared" si="19"/>
        <v>8.7101738685122095E-4</v>
      </c>
      <c r="DD139" s="76">
        <f t="shared" si="19"/>
        <v>2.9529313009653609E-3</v>
      </c>
      <c r="DE139" s="76">
        <f t="shared" si="19"/>
        <v>1.8187317022524869E-2</v>
      </c>
      <c r="DF139" s="76">
        <f t="shared" si="19"/>
        <v>1.3615715593018102E-2</v>
      </c>
      <c r="DG139" s="76">
        <f t="shared" si="19"/>
        <v>9.1889119210153023E-4</v>
      </c>
      <c r="DH139" s="76">
        <f t="shared" si="19"/>
        <v>1.1810326198387095E-3</v>
      </c>
      <c r="DI139" s="76">
        <f t="shared" si="19"/>
        <v>0</v>
      </c>
      <c r="DJ139" s="76">
        <f t="shared" si="19"/>
        <v>3.6268093095785073E-3</v>
      </c>
      <c r="DK139" s="76">
        <f t="shared" si="19"/>
        <v>6.3979017197669796E-3</v>
      </c>
      <c r="DL139" s="76">
        <f t="shared" si="19"/>
        <v>6.9583493243299101E-3</v>
      </c>
      <c r="DM139" s="76">
        <f t="shared" si="19"/>
        <v>7.1572279803883516E-3</v>
      </c>
      <c r="DN139" s="76">
        <f t="shared" si="19"/>
        <v>5.6284307304512848E-3</v>
      </c>
      <c r="DO139" s="76">
        <f t="shared" si="19"/>
        <v>2.3278684013576081E-4</v>
      </c>
      <c r="DP139" s="76">
        <f t="shared" si="19"/>
        <v>7.9634497858811944E-3</v>
      </c>
      <c r="DQ139" s="76">
        <f t="shared" si="19"/>
        <v>8.4901905526232908E-3</v>
      </c>
      <c r="DR139" s="76">
        <f t="shared" si="19"/>
        <v>9.267595867083981E-3</v>
      </c>
      <c r="DS139" s="76">
        <f t="shared" si="19"/>
        <v>2.1993311033585219E-3</v>
      </c>
      <c r="DT139" s="76">
        <f t="shared" si="19"/>
        <v>1.3142209371868555E-3</v>
      </c>
      <c r="DU139" s="76">
        <f t="shared" si="19"/>
        <v>1.7289300534956286E-3</v>
      </c>
      <c r="DV139" s="76">
        <f t="shared" si="19"/>
        <v>2.4619607853073127E-3</v>
      </c>
      <c r="DW139" s="76">
        <f t="shared" si="19"/>
        <v>2.423962890075811E-2</v>
      </c>
      <c r="DX139" s="76">
        <f t="shared" si="19"/>
        <v>2.1959276200519507E-2</v>
      </c>
      <c r="DY139" s="76">
        <f t="shared" si="19"/>
        <v>3.2002707031573478E-2</v>
      </c>
      <c r="DZ139" s="76">
        <f t="shared" si="19"/>
        <v>2.1116002210392275E-2</v>
      </c>
      <c r="EA139" s="76">
        <f t="shared" si="19"/>
        <v>5.9780842625527675E-3</v>
      </c>
      <c r="EB139" s="76">
        <f t="shared" si="19"/>
        <v>5.6341075050811394E-3</v>
      </c>
      <c r="EC139" s="76">
        <f t="shared" si="19"/>
        <v>7.1744690364651817E-3</v>
      </c>
      <c r="ED139" s="76">
        <f t="shared" ref="ED139:GO139" si="20">ED138/ED257</f>
        <v>0</v>
      </c>
      <c r="EE139" s="76">
        <f t="shared" si="20"/>
        <v>0</v>
      </c>
      <c r="EF139" s="76">
        <f t="shared" si="20"/>
        <v>0</v>
      </c>
      <c r="EG139" s="76">
        <f t="shared" si="20"/>
        <v>0</v>
      </c>
      <c r="EH139" s="76">
        <f t="shared" si="20"/>
        <v>0</v>
      </c>
      <c r="EI139" s="76">
        <f t="shared" si="20"/>
        <v>1.9257526658454352E-3</v>
      </c>
      <c r="EJ139" s="76">
        <f t="shared" si="20"/>
        <v>2.5814403401599479E-3</v>
      </c>
      <c r="EK139" s="76">
        <f t="shared" si="20"/>
        <v>6.2241078074641272E-3</v>
      </c>
      <c r="EL139" s="76">
        <f t="shared" si="20"/>
        <v>2.6159790178933315E-2</v>
      </c>
      <c r="EM139" s="76">
        <f t="shared" si="20"/>
        <v>2.3631605431290573E-2</v>
      </c>
      <c r="EN139" s="76">
        <f t="shared" si="20"/>
        <v>3.5143726612680205E-2</v>
      </c>
      <c r="EO139" s="76">
        <f t="shared" si="20"/>
        <v>3.2956593308685153E-2</v>
      </c>
      <c r="EP139" s="76">
        <f t="shared" si="20"/>
        <v>4.3385196145116489E-2</v>
      </c>
      <c r="EQ139" s="76">
        <f t="shared" si="20"/>
        <v>2.330874985528758E-2</v>
      </c>
      <c r="ER139" s="76">
        <f t="shared" si="20"/>
        <v>4.7248305186097369E-3</v>
      </c>
      <c r="ES139" s="76">
        <f t="shared" si="20"/>
        <v>2.2023677155127981E-3</v>
      </c>
      <c r="ET139" s="76">
        <f t="shared" si="20"/>
        <v>0</v>
      </c>
      <c r="EU139" s="76">
        <f t="shared" si="20"/>
        <v>8.0989853799583053E-2</v>
      </c>
      <c r="EV139" s="76">
        <f t="shared" si="20"/>
        <v>6.6269591619250001E-2</v>
      </c>
      <c r="EW139" s="76">
        <f t="shared" si="20"/>
        <v>9.1222550895365351E-2</v>
      </c>
      <c r="EX139" s="76">
        <f t="shared" si="20"/>
        <v>1.9328093229874433E-2</v>
      </c>
      <c r="EY139" s="76">
        <f t="shared" si="20"/>
        <v>1.1859417394420566E-2</v>
      </c>
      <c r="EZ139" s="76">
        <f t="shared" si="20"/>
        <v>2.6918314843428801E-2</v>
      </c>
      <c r="FA139" s="76">
        <f t="shared" si="20"/>
        <v>9.4299388558897017E-3</v>
      </c>
      <c r="FB139" s="76">
        <f t="shared" si="20"/>
        <v>3.4339855815531659E-3</v>
      </c>
      <c r="FC139" s="76">
        <f t="shared" si="20"/>
        <v>8.7659458591088871E-3</v>
      </c>
      <c r="FD139" s="76">
        <f t="shared" si="20"/>
        <v>1.102059140547316E-2</v>
      </c>
      <c r="FE139" s="76">
        <f t="shared" si="20"/>
        <v>9.6048220689108049E-3</v>
      </c>
      <c r="FF139" s="76">
        <f t="shared" si="20"/>
        <v>7.7301007752489737E-3</v>
      </c>
      <c r="FG139" s="76">
        <f t="shared" si="20"/>
        <v>1.9596445289905329E-2</v>
      </c>
      <c r="FH139" s="76">
        <f t="shared" si="20"/>
        <v>9.4278069914202206E-3</v>
      </c>
      <c r="FI139" s="76">
        <f t="shared" si="20"/>
        <v>8.9029388649122746E-3</v>
      </c>
      <c r="FJ139" s="76">
        <f t="shared" si="20"/>
        <v>6.5260527121701259E-3</v>
      </c>
      <c r="FK139" s="76">
        <f t="shared" si="20"/>
        <v>1.2787821403072035E-2</v>
      </c>
      <c r="FL139" s="76">
        <f t="shared" si="20"/>
        <v>1.5545218636596258E-2</v>
      </c>
      <c r="FM139" s="76">
        <f t="shared" si="20"/>
        <v>9.4842870906997074E-3</v>
      </c>
      <c r="FN139" s="76">
        <f t="shared" si="20"/>
        <v>6.1537926500073968E-3</v>
      </c>
      <c r="FO139" s="76">
        <f t="shared" si="20"/>
        <v>9.1348610642435733E-3</v>
      </c>
      <c r="FP139" s="76">
        <f t="shared" si="20"/>
        <v>2.8532296465372969E-3</v>
      </c>
      <c r="FQ139" s="76">
        <f t="shared" si="20"/>
        <v>2.7141689480879083E-4</v>
      </c>
      <c r="FR139" s="76">
        <f t="shared" si="20"/>
        <v>2.0797901551800045E-3</v>
      </c>
      <c r="FS139" s="76">
        <f t="shared" si="20"/>
        <v>1.0895135642908017E-3</v>
      </c>
      <c r="FT139" s="76">
        <f t="shared" si="20"/>
        <v>1.4604596888984876E-3</v>
      </c>
      <c r="FU139" s="76">
        <f t="shared" si="20"/>
        <v>9.9646967409055035E-4</v>
      </c>
      <c r="FV139" s="76">
        <f t="shared" si="20"/>
        <v>1.261209628842659E-3</v>
      </c>
      <c r="FW139" s="76">
        <f t="shared" si="20"/>
        <v>5.27588016803345E-6</v>
      </c>
      <c r="FX139" s="76">
        <f t="shared" si="20"/>
        <v>0</v>
      </c>
      <c r="FY139" s="76">
        <f t="shared" si="20"/>
        <v>1.4758442729240652E-2</v>
      </c>
      <c r="FZ139" s="76">
        <f t="shared" si="20"/>
        <v>1.0145189277223077E-2</v>
      </c>
      <c r="GA139" s="76">
        <f t="shared" si="20"/>
        <v>6.2945071388356439E-3</v>
      </c>
      <c r="GB139" s="76">
        <f t="shared" si="20"/>
        <v>9.054841825637476E-3</v>
      </c>
      <c r="GC139" s="76">
        <f t="shared" si="20"/>
        <v>5.9792318381320904E-3</v>
      </c>
      <c r="GD139" s="76">
        <f t="shared" si="20"/>
        <v>6.1251920726646345E-3</v>
      </c>
      <c r="GE139" s="76">
        <f t="shared" si="20"/>
        <v>9.8543487235483729E-3</v>
      </c>
      <c r="GF139" s="76">
        <f t="shared" si="20"/>
        <v>6.6792375300650698E-5</v>
      </c>
      <c r="GG139" s="76">
        <f t="shared" si="20"/>
        <v>1.886924872527199E-2</v>
      </c>
      <c r="GH139" s="76">
        <f t="shared" si="20"/>
        <v>1.451396271893182E-2</v>
      </c>
      <c r="GI139" s="76">
        <f t="shared" si="20"/>
        <v>1.9033947341936804E-2</v>
      </c>
      <c r="GJ139" s="76">
        <f t="shared" si="20"/>
        <v>0</v>
      </c>
      <c r="GK139" s="76">
        <f t="shared" si="20"/>
        <v>1.9199929759931986E-2</v>
      </c>
      <c r="GL139" s="76">
        <f t="shared" si="20"/>
        <v>0</v>
      </c>
      <c r="GM139" s="76">
        <f t="shared" si="20"/>
        <v>0</v>
      </c>
      <c r="GN139" s="76">
        <f t="shared" si="20"/>
        <v>0</v>
      </c>
      <c r="GO139" s="76">
        <f t="shared" si="20"/>
        <v>0</v>
      </c>
      <c r="GP139" s="76">
        <f t="shared" ref="GP139:IO139" si="21">GP138/GP257</f>
        <v>0</v>
      </c>
      <c r="GQ139" s="76">
        <f t="shared" si="21"/>
        <v>0</v>
      </c>
      <c r="GR139" s="76">
        <f t="shared" si="21"/>
        <v>7.3237061172219163E-3</v>
      </c>
      <c r="GS139" s="76">
        <f t="shared" si="21"/>
        <v>5.8161213527385455E-3</v>
      </c>
      <c r="GT139" s="76">
        <f t="shared" si="21"/>
        <v>0</v>
      </c>
      <c r="GU139" s="76">
        <f t="shared" si="21"/>
        <v>3.9201383347045696E-5</v>
      </c>
      <c r="GV139" s="76">
        <f t="shared" si="21"/>
        <v>1.2413856542227005E-4</v>
      </c>
      <c r="GW139" s="76">
        <f t="shared" si="21"/>
        <v>0</v>
      </c>
      <c r="GX139" s="76">
        <f t="shared" si="21"/>
        <v>0</v>
      </c>
      <c r="GY139" s="76">
        <f t="shared" si="21"/>
        <v>0</v>
      </c>
      <c r="GZ139" s="76">
        <f t="shared" si="21"/>
        <v>3.3389587770888784E-4</v>
      </c>
      <c r="HA139" s="76">
        <f t="shared" si="21"/>
        <v>0</v>
      </c>
      <c r="HB139" s="76">
        <f t="shared" si="21"/>
        <v>4.2287720815331158E-3</v>
      </c>
      <c r="HC139" s="76">
        <f t="shared" si="21"/>
        <v>7.7418759882997654E-3</v>
      </c>
      <c r="HD139" s="76">
        <f t="shared" si="21"/>
        <v>6.1654498846226476E-3</v>
      </c>
      <c r="HE139" s="76">
        <f t="shared" si="21"/>
        <v>2.7454827475311534E-2</v>
      </c>
      <c r="HF139" s="76">
        <f t="shared" si="21"/>
        <v>2.7125650234246425E-2</v>
      </c>
      <c r="HG139" s="76">
        <f t="shared" si="21"/>
        <v>2.7122827090619042E-2</v>
      </c>
      <c r="HH139" s="76">
        <f t="shared" si="21"/>
        <v>2.7121792902014653E-2</v>
      </c>
      <c r="HI139" s="76">
        <f t="shared" si="21"/>
        <v>2.7118954124866403E-2</v>
      </c>
      <c r="HJ139" s="76">
        <f t="shared" si="21"/>
        <v>2.711725987985918E-2</v>
      </c>
      <c r="HK139" s="76">
        <f t="shared" si="21"/>
        <v>2.7113283084195437E-2</v>
      </c>
      <c r="HL139" s="76">
        <f t="shared" si="21"/>
        <v>2.7126507816559495E-2</v>
      </c>
      <c r="HM139" s="76">
        <f t="shared" si="21"/>
        <v>2.7124302473425156E-2</v>
      </c>
      <c r="HN139" s="76">
        <f t="shared" si="21"/>
        <v>2.7115600109151858E-2</v>
      </c>
      <c r="HO139" s="76">
        <f t="shared" si="21"/>
        <v>2.7123774387142294E-2</v>
      </c>
      <c r="HP139" s="76">
        <f t="shared" si="21"/>
        <v>2.7119958931564048E-2</v>
      </c>
      <c r="HQ139" s="76">
        <f t="shared" si="21"/>
        <v>2.7121683809934748E-2</v>
      </c>
      <c r="HR139" s="76">
        <f t="shared" si="21"/>
        <v>2.7125616335192622E-2</v>
      </c>
      <c r="HS139" s="76">
        <f t="shared" si="21"/>
        <v>2.7143239647560678E-2</v>
      </c>
      <c r="HT139" s="76">
        <f t="shared" si="21"/>
        <v>2.7118504191638575E-2</v>
      </c>
      <c r="HU139" s="76">
        <f t="shared" si="21"/>
        <v>2.7124255089643785E-2</v>
      </c>
      <c r="HV139" s="76">
        <f t="shared" si="21"/>
        <v>0</v>
      </c>
      <c r="HW139" s="76">
        <f t="shared" si="21"/>
        <v>0</v>
      </c>
      <c r="HX139" s="76">
        <f t="shared" si="21"/>
        <v>1.0374863683414192E-3</v>
      </c>
      <c r="HY139" s="76">
        <f t="shared" si="21"/>
        <v>1.0699920416378892E-3</v>
      </c>
      <c r="HZ139" s="76">
        <f t="shared" si="21"/>
        <v>9.6428888220584006E-4</v>
      </c>
      <c r="IA139" s="76">
        <f t="shared" si="21"/>
        <v>9.2748461770448762E-4</v>
      </c>
      <c r="IB139" s="76">
        <f t="shared" si="21"/>
        <v>8.1132043632746323E-4</v>
      </c>
      <c r="IC139" s="76">
        <f t="shared" si="21"/>
        <v>0</v>
      </c>
      <c r="ID139" s="76">
        <f t="shared" si="21"/>
        <v>0</v>
      </c>
      <c r="IE139" s="76">
        <f t="shared" si="21"/>
        <v>0</v>
      </c>
      <c r="IF139" s="76">
        <f t="shared" si="21"/>
        <v>0</v>
      </c>
      <c r="IG139" s="76">
        <f t="shared" si="21"/>
        <v>1.8797397856495967E-3</v>
      </c>
      <c r="IH139" s="76">
        <f t="shared" si="21"/>
        <v>2.5676284057416618E-3</v>
      </c>
      <c r="II139" s="76">
        <f t="shared" si="21"/>
        <v>1.9751661984658097E-3</v>
      </c>
      <c r="IJ139" s="76">
        <f t="shared" si="21"/>
        <v>0</v>
      </c>
      <c r="IK139" s="76">
        <f t="shared" si="21"/>
        <v>5.3310282985873855E-3</v>
      </c>
      <c r="IL139" s="76">
        <f t="shared" si="21"/>
        <v>7.0697846706180107E-3</v>
      </c>
      <c r="IM139" s="76">
        <f t="shared" si="21"/>
        <v>1.1738088953374319E-2</v>
      </c>
      <c r="IN139" s="76">
        <f t="shared" si="21"/>
        <v>7.4596672263121328E-3</v>
      </c>
      <c r="IO139" s="76" t="e">
        <f t="shared" si="21"/>
        <v>#DIV/0!</v>
      </c>
      <c r="IP139" s="23"/>
      <c r="IQ139" s="72"/>
      <c r="IR139" s="72"/>
      <c r="IS139" s="73"/>
      <c r="IT139" s="73"/>
      <c r="IU139" s="73"/>
      <c r="IV139" s="9"/>
      <c r="IW139" s="38">
        <f t="shared" si="13"/>
        <v>0</v>
      </c>
    </row>
    <row r="140" spans="1:257" s="74" customFormat="1" ht="30" customHeight="1" x14ac:dyDescent="0.25">
      <c r="A140" s="114" t="b">
        <v>0</v>
      </c>
      <c r="B140" s="113" t="str">
        <f>IFERROR(VLOOKUP(C140,'Bridge matrix'!$D$3:$E$727,2,FALSE)='symmetric IOT 245 2012'!D140,"FALSCH")</f>
        <v>FALSCH</v>
      </c>
      <c r="C140" s="109">
        <v>132</v>
      </c>
      <c r="D140" s="90" t="s">
        <v>1447</v>
      </c>
      <c r="E140" s="48">
        <v>0</v>
      </c>
      <c r="F140" s="48">
        <v>0</v>
      </c>
      <c r="G140" s="48">
        <v>0</v>
      </c>
      <c r="H140" s="48">
        <v>0</v>
      </c>
      <c r="I140" s="48">
        <v>0</v>
      </c>
      <c r="J140" s="48">
        <v>0</v>
      </c>
      <c r="K140" s="48">
        <v>0</v>
      </c>
      <c r="L140" s="48">
        <v>0</v>
      </c>
      <c r="M140" s="48">
        <v>0</v>
      </c>
      <c r="N140" s="48">
        <v>0</v>
      </c>
      <c r="O140" s="48">
        <v>0</v>
      </c>
      <c r="P140" s="48">
        <v>0</v>
      </c>
      <c r="Q140" s="48">
        <v>0</v>
      </c>
      <c r="R140" s="48">
        <v>0</v>
      </c>
      <c r="S140" s="48">
        <v>0</v>
      </c>
      <c r="T140" s="48">
        <v>0</v>
      </c>
      <c r="U140" s="48">
        <v>0</v>
      </c>
      <c r="V140" s="48">
        <v>0</v>
      </c>
      <c r="W140" s="48">
        <v>0</v>
      </c>
      <c r="X140" s="48">
        <v>0</v>
      </c>
      <c r="Y140" s="48">
        <v>0</v>
      </c>
      <c r="Z140" s="48">
        <v>0</v>
      </c>
      <c r="AA140" s="48">
        <v>0</v>
      </c>
      <c r="AB140" s="48">
        <v>0</v>
      </c>
      <c r="AC140" s="48">
        <v>0</v>
      </c>
      <c r="AD140" s="48">
        <v>0</v>
      </c>
      <c r="AE140" s="48">
        <v>0</v>
      </c>
      <c r="AF140" s="48">
        <v>0</v>
      </c>
      <c r="AG140" s="48">
        <v>0</v>
      </c>
      <c r="AH140" s="48">
        <v>0</v>
      </c>
      <c r="AI140" s="48">
        <v>0</v>
      </c>
      <c r="AJ140" s="48">
        <v>0</v>
      </c>
      <c r="AK140" s="48">
        <v>0</v>
      </c>
      <c r="AL140" s="48">
        <v>0</v>
      </c>
      <c r="AM140" s="48">
        <v>0</v>
      </c>
      <c r="AN140" s="48">
        <v>0</v>
      </c>
      <c r="AO140" s="48">
        <v>0</v>
      </c>
      <c r="AP140" s="48">
        <v>0</v>
      </c>
      <c r="AQ140" s="48">
        <v>0</v>
      </c>
      <c r="AR140" s="48">
        <v>0</v>
      </c>
      <c r="AS140" s="48">
        <v>0</v>
      </c>
      <c r="AT140" s="48">
        <v>0</v>
      </c>
      <c r="AU140" s="48">
        <v>0</v>
      </c>
      <c r="AV140" s="48">
        <v>0</v>
      </c>
      <c r="AW140" s="48">
        <v>0</v>
      </c>
      <c r="AX140" s="48">
        <v>0</v>
      </c>
      <c r="AY140" s="48">
        <v>0</v>
      </c>
      <c r="AZ140" s="48">
        <v>0</v>
      </c>
      <c r="BA140" s="48">
        <v>0</v>
      </c>
      <c r="BB140" s="48">
        <v>0</v>
      </c>
      <c r="BC140" s="48">
        <v>0</v>
      </c>
      <c r="BD140" s="48">
        <v>0</v>
      </c>
      <c r="BE140" s="48">
        <v>0</v>
      </c>
      <c r="BF140" s="48">
        <v>0</v>
      </c>
      <c r="BG140" s="48">
        <v>0</v>
      </c>
      <c r="BH140" s="48">
        <v>0</v>
      </c>
      <c r="BI140" s="48">
        <v>0</v>
      </c>
      <c r="BJ140" s="48">
        <v>0</v>
      </c>
      <c r="BK140" s="48">
        <v>0</v>
      </c>
      <c r="BL140" s="48">
        <v>0</v>
      </c>
      <c r="BM140" s="48">
        <v>0</v>
      </c>
      <c r="BN140" s="48">
        <v>0</v>
      </c>
      <c r="BO140" s="48">
        <v>0</v>
      </c>
      <c r="BP140" s="48">
        <v>0</v>
      </c>
      <c r="BQ140" s="48">
        <v>0</v>
      </c>
      <c r="BR140" s="48">
        <v>0</v>
      </c>
      <c r="BS140" s="48">
        <v>0</v>
      </c>
      <c r="BT140" s="48">
        <v>0</v>
      </c>
      <c r="BU140" s="48">
        <v>0</v>
      </c>
      <c r="BV140" s="48">
        <v>0</v>
      </c>
      <c r="BW140" s="48">
        <v>0</v>
      </c>
      <c r="BX140" s="48">
        <v>0</v>
      </c>
      <c r="BY140" s="48">
        <v>0</v>
      </c>
      <c r="BZ140" s="48">
        <v>0</v>
      </c>
      <c r="CA140" s="48">
        <v>10976.006839873011</v>
      </c>
      <c r="CB140" s="48">
        <v>137.04936742024714</v>
      </c>
      <c r="CC140" s="48">
        <v>0</v>
      </c>
      <c r="CD140" s="48">
        <v>0</v>
      </c>
      <c r="CE140" s="48">
        <v>0</v>
      </c>
      <c r="CF140" s="48">
        <v>0</v>
      </c>
      <c r="CG140" s="48">
        <v>0</v>
      </c>
      <c r="CH140" s="48">
        <v>0</v>
      </c>
      <c r="CI140" s="48">
        <v>0</v>
      </c>
      <c r="CJ140" s="48">
        <v>0</v>
      </c>
      <c r="CK140" s="48">
        <v>0</v>
      </c>
      <c r="CL140" s="48">
        <v>0</v>
      </c>
      <c r="CM140" s="48">
        <v>1.1391895193345074E-5</v>
      </c>
      <c r="CN140" s="48">
        <v>0</v>
      </c>
      <c r="CO140" s="48">
        <v>0</v>
      </c>
      <c r="CP140" s="48">
        <v>0</v>
      </c>
      <c r="CQ140" s="48">
        <v>0</v>
      </c>
      <c r="CR140" s="48">
        <v>2.7096043333949731E-10</v>
      </c>
      <c r="CS140" s="48">
        <v>0</v>
      </c>
      <c r="CT140" s="48">
        <v>0</v>
      </c>
      <c r="CU140" s="48">
        <v>2.7575551896998887E-4</v>
      </c>
      <c r="CV140" s="48">
        <v>6.4597927288545195E-4</v>
      </c>
      <c r="CW140" s="48">
        <v>0</v>
      </c>
      <c r="CX140" s="48">
        <v>0</v>
      </c>
      <c r="CY140" s="48">
        <v>0</v>
      </c>
      <c r="CZ140" s="48">
        <v>0</v>
      </c>
      <c r="DA140" s="48">
        <v>9.4573511982010946E-6</v>
      </c>
      <c r="DB140" s="48">
        <v>0</v>
      </c>
      <c r="DC140" s="48">
        <v>0</v>
      </c>
      <c r="DD140" s="48">
        <v>0</v>
      </c>
      <c r="DE140" s="48">
        <v>1.9231336661195718E-2</v>
      </c>
      <c r="DF140" s="48">
        <v>0</v>
      </c>
      <c r="DG140" s="48">
        <v>0</v>
      </c>
      <c r="DH140" s="48">
        <v>0</v>
      </c>
      <c r="DI140" s="48">
        <v>0</v>
      </c>
      <c r="DJ140" s="48">
        <v>5.6351211972928133E-8</v>
      </c>
      <c r="DK140" s="48">
        <v>0</v>
      </c>
      <c r="DL140" s="48">
        <v>10.257258968486358</v>
      </c>
      <c r="DM140" s="48">
        <v>0</v>
      </c>
      <c r="DN140" s="48">
        <v>0</v>
      </c>
      <c r="DO140" s="48">
        <v>0</v>
      </c>
      <c r="DP140" s="48">
        <v>0</v>
      </c>
      <c r="DQ140" s="48">
        <v>0</v>
      </c>
      <c r="DR140" s="48">
        <v>0</v>
      </c>
      <c r="DS140" s="48">
        <v>0</v>
      </c>
      <c r="DT140" s="48">
        <v>0</v>
      </c>
      <c r="DU140" s="48">
        <v>0</v>
      </c>
      <c r="DV140" s="48">
        <v>0</v>
      </c>
      <c r="DW140" s="48">
        <v>0</v>
      </c>
      <c r="DX140" s="48">
        <v>0</v>
      </c>
      <c r="DY140" s="48">
        <v>0</v>
      </c>
      <c r="DZ140" s="48">
        <v>0</v>
      </c>
      <c r="EA140" s="48">
        <v>0</v>
      </c>
      <c r="EB140" s="48">
        <v>0</v>
      </c>
      <c r="EC140" s="48">
        <v>0</v>
      </c>
      <c r="ED140" s="48">
        <v>0</v>
      </c>
      <c r="EE140" s="48">
        <v>0</v>
      </c>
      <c r="EF140" s="48">
        <v>0</v>
      </c>
      <c r="EG140" s="48">
        <v>0</v>
      </c>
      <c r="EH140" s="48">
        <v>0</v>
      </c>
      <c r="EI140" s="48">
        <v>0</v>
      </c>
      <c r="EJ140" s="48">
        <v>1.2624565945071016E-5</v>
      </c>
      <c r="EK140" s="48">
        <v>0</v>
      </c>
      <c r="EL140" s="48">
        <v>2.3972051189568439E-4</v>
      </c>
      <c r="EM140" s="48">
        <v>6.7950051328679776E-8</v>
      </c>
      <c r="EN140" s="48">
        <v>0</v>
      </c>
      <c r="EO140" s="48">
        <v>0</v>
      </c>
      <c r="EP140" s="48">
        <v>0</v>
      </c>
      <c r="EQ140" s="48">
        <v>0</v>
      </c>
      <c r="ER140" s="48">
        <v>0</v>
      </c>
      <c r="ES140" s="48">
        <v>0</v>
      </c>
      <c r="ET140" s="48">
        <v>182.64762286878297</v>
      </c>
      <c r="EU140" s="48">
        <v>0</v>
      </c>
      <c r="EV140" s="48">
        <v>0</v>
      </c>
      <c r="EW140" s="48">
        <v>0</v>
      </c>
      <c r="EX140" s="48">
        <v>65401.70875315251</v>
      </c>
      <c r="EY140" s="48">
        <v>4863.2447359216585</v>
      </c>
      <c r="EZ140" s="48">
        <v>4550.1033557081355</v>
      </c>
      <c r="FA140" s="48">
        <v>0</v>
      </c>
      <c r="FB140" s="48">
        <v>0</v>
      </c>
      <c r="FC140" s="48">
        <v>0</v>
      </c>
      <c r="FD140" s="48">
        <v>1.5038748491986635E-3</v>
      </c>
      <c r="FE140" s="48">
        <v>0</v>
      </c>
      <c r="FF140" s="48">
        <v>0</v>
      </c>
      <c r="FG140" s="48">
        <v>3.8600225682289995E-4</v>
      </c>
      <c r="FH140" s="48">
        <v>2.7669644636023626E-4</v>
      </c>
      <c r="FI140" s="48">
        <v>4.2851943011795892E-4</v>
      </c>
      <c r="FJ140" s="48">
        <v>0</v>
      </c>
      <c r="FK140" s="48">
        <v>0</v>
      </c>
      <c r="FL140" s="48">
        <v>0</v>
      </c>
      <c r="FM140" s="48">
        <v>0</v>
      </c>
      <c r="FN140" s="48">
        <v>0</v>
      </c>
      <c r="FO140" s="48">
        <v>0</v>
      </c>
      <c r="FP140" s="48">
        <v>0</v>
      </c>
      <c r="FQ140" s="48">
        <v>0.57604553750246601</v>
      </c>
      <c r="FR140" s="48">
        <v>7.3796396541912922E-5</v>
      </c>
      <c r="FS140" s="48">
        <v>0</v>
      </c>
      <c r="FT140" s="48">
        <v>2.0100696895201012E-5</v>
      </c>
      <c r="FU140" s="48">
        <v>0</v>
      </c>
      <c r="FV140" s="48">
        <v>0</v>
      </c>
      <c r="FW140" s="48">
        <v>305271.4016124995</v>
      </c>
      <c r="FX140" s="48">
        <v>0</v>
      </c>
      <c r="FY140" s="48">
        <v>0</v>
      </c>
      <c r="FZ140" s="48">
        <v>0</v>
      </c>
      <c r="GA140" s="48">
        <v>0</v>
      </c>
      <c r="GB140" s="48">
        <v>0</v>
      </c>
      <c r="GC140" s="48">
        <v>0</v>
      </c>
      <c r="GD140" s="48">
        <v>0</v>
      </c>
      <c r="GE140" s="48">
        <v>0</v>
      </c>
      <c r="GF140" s="48">
        <v>0</v>
      </c>
      <c r="GG140" s="48">
        <v>0</v>
      </c>
      <c r="GH140" s="48">
        <v>229130.98126565639</v>
      </c>
      <c r="GI140" s="48">
        <v>0</v>
      </c>
      <c r="GJ140" s="48">
        <v>0</v>
      </c>
      <c r="GK140" s="48">
        <v>0</v>
      </c>
      <c r="GL140" s="48">
        <v>0</v>
      </c>
      <c r="GM140" s="48">
        <v>0</v>
      </c>
      <c r="GN140" s="48">
        <v>0</v>
      </c>
      <c r="GO140" s="48">
        <v>0</v>
      </c>
      <c r="GP140" s="48">
        <v>0</v>
      </c>
      <c r="GQ140" s="48">
        <v>0</v>
      </c>
      <c r="GR140" s="48">
        <v>0</v>
      </c>
      <c r="GS140" s="48">
        <v>0</v>
      </c>
      <c r="GT140" s="48">
        <v>1.8350964607587734E-7</v>
      </c>
      <c r="GU140" s="48">
        <v>0</v>
      </c>
      <c r="GV140" s="48">
        <v>0</v>
      </c>
      <c r="GW140" s="48">
        <v>0</v>
      </c>
      <c r="GX140" s="48">
        <v>2.6829562212620771E-5</v>
      </c>
      <c r="GY140" s="48">
        <v>0</v>
      </c>
      <c r="GZ140" s="48">
        <v>0</v>
      </c>
      <c r="HA140" s="48">
        <v>0</v>
      </c>
      <c r="HB140" s="48">
        <v>0</v>
      </c>
      <c r="HC140" s="48">
        <v>0</v>
      </c>
      <c r="HD140" s="48">
        <v>0</v>
      </c>
      <c r="HE140" s="48">
        <v>0</v>
      </c>
      <c r="HF140" s="48">
        <v>0</v>
      </c>
      <c r="HG140" s="48">
        <v>0</v>
      </c>
      <c r="HH140" s="48">
        <v>0</v>
      </c>
      <c r="HI140" s="48">
        <v>0</v>
      </c>
      <c r="HJ140" s="48">
        <v>0</v>
      </c>
      <c r="HK140" s="48">
        <v>0</v>
      </c>
      <c r="HL140" s="48">
        <v>0</v>
      </c>
      <c r="HM140" s="48">
        <v>0</v>
      </c>
      <c r="HN140" s="48">
        <v>0</v>
      </c>
      <c r="HO140" s="48">
        <v>0</v>
      </c>
      <c r="HP140" s="48">
        <v>0</v>
      </c>
      <c r="HQ140" s="48">
        <v>0</v>
      </c>
      <c r="HR140" s="48">
        <v>0</v>
      </c>
      <c r="HS140" s="48">
        <v>0</v>
      </c>
      <c r="HT140" s="48">
        <v>0</v>
      </c>
      <c r="HU140" s="48">
        <v>0</v>
      </c>
      <c r="HV140" s="48">
        <v>0</v>
      </c>
      <c r="HW140" s="48">
        <v>0</v>
      </c>
      <c r="HX140" s="48">
        <v>0</v>
      </c>
      <c r="HY140" s="48">
        <v>0</v>
      </c>
      <c r="HZ140" s="48">
        <v>0</v>
      </c>
      <c r="IA140" s="48">
        <v>0</v>
      </c>
      <c r="IB140" s="48">
        <v>0</v>
      </c>
      <c r="IC140" s="48">
        <v>0</v>
      </c>
      <c r="ID140" s="48">
        <v>0</v>
      </c>
      <c r="IE140" s="48">
        <v>0</v>
      </c>
      <c r="IF140" s="48">
        <v>0</v>
      </c>
      <c r="IG140" s="48">
        <v>0</v>
      </c>
      <c r="IH140" s="48">
        <v>0</v>
      </c>
      <c r="II140" s="48">
        <v>0</v>
      </c>
      <c r="IJ140" s="48">
        <v>0</v>
      </c>
      <c r="IK140" s="48">
        <v>0</v>
      </c>
      <c r="IL140" s="48">
        <v>0</v>
      </c>
      <c r="IM140" s="48">
        <v>0</v>
      </c>
      <c r="IN140" s="48">
        <v>0</v>
      </c>
      <c r="IO140" s="48">
        <v>0</v>
      </c>
      <c r="IP140" s="23">
        <v>620523.99999999965</v>
      </c>
      <c r="IQ140" s="72">
        <v>0</v>
      </c>
      <c r="IR140" s="72">
        <v>0</v>
      </c>
      <c r="IS140" s="73">
        <v>0</v>
      </c>
      <c r="IT140" s="73">
        <v>0</v>
      </c>
      <c r="IU140" s="73">
        <v>-50642</v>
      </c>
      <c r="IV140" s="9">
        <v>853145</v>
      </c>
      <c r="IW140" s="38">
        <f t="shared" si="13"/>
        <v>1423026.9999999995</v>
      </c>
    </row>
    <row r="141" spans="1:257" s="74" customFormat="1" ht="30" customHeight="1" x14ac:dyDescent="0.25">
      <c r="A141" s="114" t="b">
        <v>0</v>
      </c>
      <c r="B141" s="113" t="str">
        <f>IFERROR(VLOOKUP(C141,'Bridge matrix'!$D$3:$E$727,2,FALSE)='symmetric IOT 245 2012'!D141,"FALSCH")</f>
        <v>FALSCH</v>
      </c>
      <c r="C141" s="109">
        <v>132</v>
      </c>
      <c r="D141" s="71" t="s">
        <v>1448</v>
      </c>
      <c r="E141" s="76">
        <f>E140/E257</f>
        <v>0</v>
      </c>
      <c r="F141" s="76">
        <f t="shared" ref="F141:BQ141" si="22">F140/F257</f>
        <v>0</v>
      </c>
      <c r="G141" s="76">
        <f t="shared" si="22"/>
        <v>0</v>
      </c>
      <c r="H141" s="76">
        <f t="shared" si="22"/>
        <v>0</v>
      </c>
      <c r="I141" s="76">
        <f t="shared" si="22"/>
        <v>0</v>
      </c>
      <c r="J141" s="76">
        <f t="shared" si="22"/>
        <v>0</v>
      </c>
      <c r="K141" s="76">
        <f t="shared" si="22"/>
        <v>0</v>
      </c>
      <c r="L141" s="76">
        <f t="shared" si="22"/>
        <v>0</v>
      </c>
      <c r="M141" s="76">
        <f t="shared" si="22"/>
        <v>0</v>
      </c>
      <c r="N141" s="76">
        <f t="shared" si="22"/>
        <v>0</v>
      </c>
      <c r="O141" s="76">
        <f t="shared" si="22"/>
        <v>0</v>
      </c>
      <c r="P141" s="76">
        <f t="shared" si="22"/>
        <v>0</v>
      </c>
      <c r="Q141" s="76">
        <f t="shared" si="22"/>
        <v>0</v>
      </c>
      <c r="R141" s="76">
        <f t="shared" si="22"/>
        <v>0</v>
      </c>
      <c r="S141" s="76">
        <f t="shared" si="22"/>
        <v>0</v>
      </c>
      <c r="T141" s="76">
        <f t="shared" si="22"/>
        <v>0</v>
      </c>
      <c r="U141" s="76">
        <f t="shared" si="22"/>
        <v>0</v>
      </c>
      <c r="V141" s="76">
        <f t="shared" si="22"/>
        <v>0</v>
      </c>
      <c r="W141" s="76">
        <f t="shared" si="22"/>
        <v>0</v>
      </c>
      <c r="X141" s="76">
        <f t="shared" si="22"/>
        <v>0</v>
      </c>
      <c r="Y141" s="76">
        <f t="shared" si="22"/>
        <v>0</v>
      </c>
      <c r="Z141" s="76">
        <f t="shared" si="22"/>
        <v>0</v>
      </c>
      <c r="AA141" s="76">
        <f t="shared" si="22"/>
        <v>0</v>
      </c>
      <c r="AB141" s="76">
        <f t="shared" si="22"/>
        <v>0</v>
      </c>
      <c r="AC141" s="76">
        <f t="shared" si="22"/>
        <v>0</v>
      </c>
      <c r="AD141" s="76">
        <f t="shared" si="22"/>
        <v>0</v>
      </c>
      <c r="AE141" s="76">
        <f t="shared" si="22"/>
        <v>0</v>
      </c>
      <c r="AF141" s="76">
        <f t="shared" si="22"/>
        <v>0</v>
      </c>
      <c r="AG141" s="76">
        <f t="shared" si="22"/>
        <v>0</v>
      </c>
      <c r="AH141" s="76">
        <f t="shared" si="22"/>
        <v>0</v>
      </c>
      <c r="AI141" s="76">
        <f t="shared" si="22"/>
        <v>0</v>
      </c>
      <c r="AJ141" s="76">
        <f t="shared" si="22"/>
        <v>0</v>
      </c>
      <c r="AK141" s="76">
        <f t="shared" si="22"/>
        <v>0</v>
      </c>
      <c r="AL141" s="76">
        <f t="shared" si="22"/>
        <v>0</v>
      </c>
      <c r="AM141" s="76">
        <f t="shared" si="22"/>
        <v>0</v>
      </c>
      <c r="AN141" s="76">
        <f t="shared" si="22"/>
        <v>0</v>
      </c>
      <c r="AO141" s="76">
        <f t="shared" si="22"/>
        <v>0</v>
      </c>
      <c r="AP141" s="76">
        <f t="shared" si="22"/>
        <v>0</v>
      </c>
      <c r="AQ141" s="76">
        <f t="shared" si="22"/>
        <v>0</v>
      </c>
      <c r="AR141" s="76">
        <f t="shared" si="22"/>
        <v>0</v>
      </c>
      <c r="AS141" s="76">
        <f t="shared" si="22"/>
        <v>0</v>
      </c>
      <c r="AT141" s="76">
        <f t="shared" si="22"/>
        <v>0</v>
      </c>
      <c r="AU141" s="76">
        <f t="shared" si="22"/>
        <v>0</v>
      </c>
      <c r="AV141" s="76">
        <f t="shared" si="22"/>
        <v>0</v>
      </c>
      <c r="AW141" s="76">
        <f t="shared" si="22"/>
        <v>0</v>
      </c>
      <c r="AX141" s="76">
        <f t="shared" si="22"/>
        <v>0</v>
      </c>
      <c r="AY141" s="76">
        <f t="shared" si="22"/>
        <v>0</v>
      </c>
      <c r="AZ141" s="76">
        <f t="shared" si="22"/>
        <v>0</v>
      </c>
      <c r="BA141" s="76">
        <f t="shared" si="22"/>
        <v>0</v>
      </c>
      <c r="BB141" s="76">
        <f t="shared" si="22"/>
        <v>0</v>
      </c>
      <c r="BC141" s="76">
        <f t="shared" si="22"/>
        <v>0</v>
      </c>
      <c r="BD141" s="76">
        <f t="shared" si="22"/>
        <v>0</v>
      </c>
      <c r="BE141" s="76">
        <f t="shared" si="22"/>
        <v>0</v>
      </c>
      <c r="BF141" s="76">
        <f t="shared" si="22"/>
        <v>0</v>
      </c>
      <c r="BG141" s="76">
        <f t="shared" si="22"/>
        <v>0</v>
      </c>
      <c r="BH141" s="76">
        <f t="shared" si="22"/>
        <v>0</v>
      </c>
      <c r="BI141" s="76">
        <f t="shared" si="22"/>
        <v>0</v>
      </c>
      <c r="BJ141" s="76">
        <f t="shared" si="22"/>
        <v>0</v>
      </c>
      <c r="BK141" s="76">
        <f t="shared" si="22"/>
        <v>0</v>
      </c>
      <c r="BL141" s="76">
        <f t="shared" si="22"/>
        <v>0</v>
      </c>
      <c r="BM141" s="76">
        <f t="shared" si="22"/>
        <v>0</v>
      </c>
      <c r="BN141" s="76">
        <f t="shared" si="22"/>
        <v>0</v>
      </c>
      <c r="BO141" s="76">
        <f t="shared" si="22"/>
        <v>0</v>
      </c>
      <c r="BP141" s="76">
        <f t="shared" si="22"/>
        <v>0</v>
      </c>
      <c r="BQ141" s="76">
        <f t="shared" si="22"/>
        <v>0</v>
      </c>
      <c r="BR141" s="76">
        <f t="shared" ref="BR141:EC141" si="23">BR140/BR257</f>
        <v>0</v>
      </c>
      <c r="BS141" s="76">
        <f t="shared" si="23"/>
        <v>0</v>
      </c>
      <c r="BT141" s="76">
        <f t="shared" si="23"/>
        <v>0</v>
      </c>
      <c r="BU141" s="76">
        <f t="shared" si="23"/>
        <v>0</v>
      </c>
      <c r="BV141" s="76">
        <f t="shared" si="23"/>
        <v>0</v>
      </c>
      <c r="BW141" s="76">
        <f t="shared" si="23"/>
        <v>0</v>
      </c>
      <c r="BX141" s="76">
        <f t="shared" si="23"/>
        <v>0</v>
      </c>
      <c r="BY141" s="76">
        <f t="shared" si="23"/>
        <v>0</v>
      </c>
      <c r="BZ141" s="76">
        <f t="shared" si="23"/>
        <v>0</v>
      </c>
      <c r="CA141" s="76">
        <f t="shared" si="23"/>
        <v>3.0371905634107919E-3</v>
      </c>
      <c r="CB141" s="76">
        <f t="shared" si="23"/>
        <v>1.0852162778663075E-2</v>
      </c>
      <c r="CC141" s="76">
        <f t="shared" si="23"/>
        <v>0</v>
      </c>
      <c r="CD141" s="76">
        <f t="shared" si="23"/>
        <v>0</v>
      </c>
      <c r="CE141" s="76">
        <f t="shared" si="23"/>
        <v>0</v>
      </c>
      <c r="CF141" s="76">
        <f t="shared" si="23"/>
        <v>0</v>
      </c>
      <c r="CG141" s="76">
        <f t="shared" si="23"/>
        <v>0</v>
      </c>
      <c r="CH141" s="76">
        <f t="shared" si="23"/>
        <v>0</v>
      </c>
      <c r="CI141" s="76">
        <f t="shared" si="23"/>
        <v>0</v>
      </c>
      <c r="CJ141" s="76">
        <f t="shared" si="23"/>
        <v>0</v>
      </c>
      <c r="CK141" s="76">
        <f t="shared" si="23"/>
        <v>0</v>
      </c>
      <c r="CL141" s="76">
        <f t="shared" si="23"/>
        <v>0</v>
      </c>
      <c r="CM141" s="76">
        <f t="shared" si="23"/>
        <v>1.0827176141438452E-10</v>
      </c>
      <c r="CN141" s="76">
        <f t="shared" si="23"/>
        <v>0</v>
      </c>
      <c r="CO141" s="76">
        <f t="shared" si="23"/>
        <v>0</v>
      </c>
      <c r="CP141" s="76">
        <f t="shared" si="23"/>
        <v>0</v>
      </c>
      <c r="CQ141" s="76">
        <f t="shared" si="23"/>
        <v>0</v>
      </c>
      <c r="CR141" s="76">
        <f t="shared" si="23"/>
        <v>5.9406773495259678E-16</v>
      </c>
      <c r="CS141" s="76">
        <f t="shared" si="23"/>
        <v>0</v>
      </c>
      <c r="CT141" s="76">
        <f t="shared" si="23"/>
        <v>0</v>
      </c>
      <c r="CU141" s="76">
        <f t="shared" si="23"/>
        <v>2.2741678047552164E-9</v>
      </c>
      <c r="CV141" s="76">
        <f t="shared" si="23"/>
        <v>3.2043064251561818E-9</v>
      </c>
      <c r="CW141" s="76">
        <f t="shared" si="23"/>
        <v>0</v>
      </c>
      <c r="CX141" s="76">
        <f t="shared" si="23"/>
        <v>0</v>
      </c>
      <c r="CY141" s="76">
        <f t="shared" si="23"/>
        <v>0</v>
      </c>
      <c r="CZ141" s="76">
        <f t="shared" si="23"/>
        <v>0</v>
      </c>
      <c r="DA141" s="76">
        <f t="shared" si="23"/>
        <v>1.263468077062374E-11</v>
      </c>
      <c r="DB141" s="76">
        <f t="shared" si="23"/>
        <v>0</v>
      </c>
      <c r="DC141" s="76">
        <f t="shared" si="23"/>
        <v>0</v>
      </c>
      <c r="DD141" s="76">
        <f t="shared" si="23"/>
        <v>0</v>
      </c>
      <c r="DE141" s="76">
        <f t="shared" si="23"/>
        <v>3.1640643257458034E-7</v>
      </c>
      <c r="DF141" s="76">
        <f t="shared" si="23"/>
        <v>0</v>
      </c>
      <c r="DG141" s="76">
        <f t="shared" si="23"/>
        <v>0</v>
      </c>
      <c r="DH141" s="76">
        <f t="shared" si="23"/>
        <v>0</v>
      </c>
      <c r="DI141" s="76">
        <f t="shared" si="23"/>
        <v>0</v>
      </c>
      <c r="DJ141" s="76">
        <f t="shared" si="23"/>
        <v>2.4323605196827457E-13</v>
      </c>
      <c r="DK141" s="76">
        <f t="shared" si="23"/>
        <v>0</v>
      </c>
      <c r="DL141" s="76">
        <f t="shared" si="23"/>
        <v>1.9220935820549934E-5</v>
      </c>
      <c r="DM141" s="76">
        <f t="shared" si="23"/>
        <v>0</v>
      </c>
      <c r="DN141" s="76">
        <f t="shared" si="23"/>
        <v>0</v>
      </c>
      <c r="DO141" s="76">
        <f t="shared" si="23"/>
        <v>0</v>
      </c>
      <c r="DP141" s="76">
        <f t="shared" si="23"/>
        <v>0</v>
      </c>
      <c r="DQ141" s="76">
        <f t="shared" si="23"/>
        <v>0</v>
      </c>
      <c r="DR141" s="76">
        <f t="shared" si="23"/>
        <v>0</v>
      </c>
      <c r="DS141" s="76">
        <f t="shared" si="23"/>
        <v>0</v>
      </c>
      <c r="DT141" s="76">
        <f t="shared" si="23"/>
        <v>0</v>
      </c>
      <c r="DU141" s="76">
        <f t="shared" si="23"/>
        <v>0</v>
      </c>
      <c r="DV141" s="76">
        <f t="shared" si="23"/>
        <v>0</v>
      </c>
      <c r="DW141" s="76">
        <f t="shared" si="23"/>
        <v>0</v>
      </c>
      <c r="DX141" s="76">
        <f t="shared" si="23"/>
        <v>0</v>
      </c>
      <c r="DY141" s="76">
        <f t="shared" si="23"/>
        <v>0</v>
      </c>
      <c r="DZ141" s="76">
        <f t="shared" si="23"/>
        <v>0</v>
      </c>
      <c r="EA141" s="76">
        <f t="shared" si="23"/>
        <v>0</v>
      </c>
      <c r="EB141" s="76">
        <f t="shared" si="23"/>
        <v>0</v>
      </c>
      <c r="EC141" s="76">
        <f t="shared" si="23"/>
        <v>0</v>
      </c>
      <c r="ED141" s="76">
        <f t="shared" ref="ED141:GO141" si="24">ED140/ED257</f>
        <v>0</v>
      </c>
      <c r="EE141" s="76">
        <f t="shared" si="24"/>
        <v>0</v>
      </c>
      <c r="EF141" s="76">
        <f t="shared" si="24"/>
        <v>0</v>
      </c>
      <c r="EG141" s="76">
        <f t="shared" si="24"/>
        <v>0</v>
      </c>
      <c r="EH141" s="76">
        <f t="shared" si="24"/>
        <v>0</v>
      </c>
      <c r="EI141" s="76">
        <f t="shared" si="24"/>
        <v>0</v>
      </c>
      <c r="EJ141" s="76">
        <f t="shared" si="24"/>
        <v>2.1017509271462773E-10</v>
      </c>
      <c r="EK141" s="76">
        <f t="shared" si="24"/>
        <v>0</v>
      </c>
      <c r="EL141" s="76">
        <f t="shared" si="24"/>
        <v>3.8814442331174599E-9</v>
      </c>
      <c r="EM141" s="76">
        <f t="shared" si="24"/>
        <v>5.0449875753286081E-13</v>
      </c>
      <c r="EN141" s="76">
        <f t="shared" si="24"/>
        <v>0</v>
      </c>
      <c r="EO141" s="76">
        <f t="shared" si="24"/>
        <v>0</v>
      </c>
      <c r="EP141" s="76">
        <f t="shared" si="24"/>
        <v>0</v>
      </c>
      <c r="EQ141" s="76">
        <f t="shared" si="24"/>
        <v>0</v>
      </c>
      <c r="ER141" s="76">
        <f t="shared" si="24"/>
        <v>0</v>
      </c>
      <c r="ES141" s="76">
        <f t="shared" si="24"/>
        <v>0</v>
      </c>
      <c r="ET141" s="76">
        <f t="shared" si="24"/>
        <v>1.9002927514404292E-3</v>
      </c>
      <c r="EU141" s="76">
        <f t="shared" si="24"/>
        <v>0</v>
      </c>
      <c r="EV141" s="76">
        <f t="shared" si="24"/>
        <v>0</v>
      </c>
      <c r="EW141" s="76">
        <f t="shared" si="24"/>
        <v>0</v>
      </c>
      <c r="EX141" s="76">
        <f t="shared" si="24"/>
        <v>0.13090334417638594</v>
      </c>
      <c r="EY141" s="76">
        <f t="shared" si="24"/>
        <v>0.12837195314427896</v>
      </c>
      <c r="EZ141" s="76">
        <f t="shared" si="24"/>
        <v>0.18561359846247111</v>
      </c>
      <c r="FA141" s="76">
        <f t="shared" si="24"/>
        <v>0</v>
      </c>
      <c r="FB141" s="76">
        <f t="shared" si="24"/>
        <v>0</v>
      </c>
      <c r="FC141" s="76">
        <f t="shared" si="24"/>
        <v>0</v>
      </c>
      <c r="FD141" s="76">
        <f t="shared" si="24"/>
        <v>5.2699737209664048E-9</v>
      </c>
      <c r="FE141" s="76">
        <f t="shared" si="24"/>
        <v>0</v>
      </c>
      <c r="FF141" s="76">
        <f t="shared" si="24"/>
        <v>0</v>
      </c>
      <c r="FG141" s="76">
        <f t="shared" si="24"/>
        <v>3.5962375310259971E-9</v>
      </c>
      <c r="FH141" s="76">
        <f t="shared" si="24"/>
        <v>1.8687361839748819E-9</v>
      </c>
      <c r="FI141" s="76">
        <f t="shared" si="24"/>
        <v>7.3726035166367613E-9</v>
      </c>
      <c r="FJ141" s="76">
        <f t="shared" si="24"/>
        <v>0</v>
      </c>
      <c r="FK141" s="76">
        <f t="shared" si="24"/>
        <v>0</v>
      </c>
      <c r="FL141" s="76">
        <f t="shared" si="24"/>
        <v>0</v>
      </c>
      <c r="FM141" s="76">
        <f t="shared" si="24"/>
        <v>0</v>
      </c>
      <c r="FN141" s="76">
        <f t="shared" si="24"/>
        <v>0</v>
      </c>
      <c r="FO141" s="76">
        <f t="shared" si="24"/>
        <v>0</v>
      </c>
      <c r="FP141" s="76">
        <f t="shared" si="24"/>
        <v>0</v>
      </c>
      <c r="FQ141" s="76">
        <f t="shared" si="24"/>
        <v>5.7696796321967789E-5</v>
      </c>
      <c r="FR141" s="76">
        <f t="shared" si="24"/>
        <v>1.0608600452444091E-10</v>
      </c>
      <c r="FS141" s="76">
        <f t="shared" si="24"/>
        <v>0</v>
      </c>
      <c r="FT141" s="76">
        <f t="shared" si="24"/>
        <v>4.1153476114719089E-9</v>
      </c>
      <c r="FU141" s="76">
        <f t="shared" si="24"/>
        <v>0</v>
      </c>
      <c r="FV141" s="76">
        <f t="shared" si="24"/>
        <v>0</v>
      </c>
      <c r="FW141" s="76">
        <f t="shared" si="24"/>
        <v>0.43097308415759478</v>
      </c>
      <c r="FX141" s="76">
        <f t="shared" si="24"/>
        <v>0</v>
      </c>
      <c r="FY141" s="76">
        <f t="shared" si="24"/>
        <v>0</v>
      </c>
      <c r="FZ141" s="76">
        <f t="shared" si="24"/>
        <v>0</v>
      </c>
      <c r="GA141" s="76">
        <f t="shared" si="24"/>
        <v>0</v>
      </c>
      <c r="GB141" s="76">
        <f t="shared" si="24"/>
        <v>0</v>
      </c>
      <c r="GC141" s="76">
        <f t="shared" si="24"/>
        <v>0</v>
      </c>
      <c r="GD141" s="76">
        <f t="shared" si="24"/>
        <v>0</v>
      </c>
      <c r="GE141" s="76">
        <f t="shared" si="24"/>
        <v>0</v>
      </c>
      <c r="GF141" s="76">
        <f t="shared" si="24"/>
        <v>0</v>
      </c>
      <c r="GG141" s="76">
        <f t="shared" si="24"/>
        <v>0</v>
      </c>
      <c r="GH141" s="76">
        <f t="shared" si="24"/>
        <v>0.21402623383253264</v>
      </c>
      <c r="GI141" s="76">
        <f t="shared" si="24"/>
        <v>0</v>
      </c>
      <c r="GJ141" s="76">
        <f t="shared" si="24"/>
        <v>0</v>
      </c>
      <c r="GK141" s="76">
        <f t="shared" si="24"/>
        <v>0</v>
      </c>
      <c r="GL141" s="76">
        <f t="shared" si="24"/>
        <v>0</v>
      </c>
      <c r="GM141" s="76">
        <f t="shared" si="24"/>
        <v>0</v>
      </c>
      <c r="GN141" s="76">
        <f t="shared" si="24"/>
        <v>0</v>
      </c>
      <c r="GO141" s="76">
        <f t="shared" si="24"/>
        <v>0</v>
      </c>
      <c r="GP141" s="76">
        <f t="shared" ref="GP141:IO141" si="25">GP140/GP257</f>
        <v>0</v>
      </c>
      <c r="GQ141" s="76">
        <f t="shared" si="25"/>
        <v>0</v>
      </c>
      <c r="GR141" s="76">
        <f t="shared" si="25"/>
        <v>0</v>
      </c>
      <c r="GS141" s="76">
        <f t="shared" si="25"/>
        <v>0</v>
      </c>
      <c r="GT141" s="76">
        <f t="shared" si="25"/>
        <v>1.0635575355499633E-11</v>
      </c>
      <c r="GU141" s="76">
        <f t="shared" si="25"/>
        <v>0</v>
      </c>
      <c r="GV141" s="76">
        <f t="shared" si="25"/>
        <v>0</v>
      </c>
      <c r="GW141" s="76">
        <f t="shared" si="25"/>
        <v>0</v>
      </c>
      <c r="GX141" s="76">
        <f t="shared" si="25"/>
        <v>2.6944530757129792E-10</v>
      </c>
      <c r="GY141" s="76">
        <f t="shared" si="25"/>
        <v>0</v>
      </c>
      <c r="GZ141" s="76">
        <f t="shared" si="25"/>
        <v>0</v>
      </c>
      <c r="HA141" s="76">
        <f t="shared" si="25"/>
        <v>0</v>
      </c>
      <c r="HB141" s="76">
        <f t="shared" si="25"/>
        <v>0</v>
      </c>
      <c r="HC141" s="76">
        <f t="shared" si="25"/>
        <v>0</v>
      </c>
      <c r="HD141" s="76">
        <f t="shared" si="25"/>
        <v>0</v>
      </c>
      <c r="HE141" s="76">
        <f t="shared" si="25"/>
        <v>0</v>
      </c>
      <c r="HF141" s="76">
        <f t="shared" si="25"/>
        <v>0</v>
      </c>
      <c r="HG141" s="76">
        <f t="shared" si="25"/>
        <v>0</v>
      </c>
      <c r="HH141" s="76">
        <f t="shared" si="25"/>
        <v>0</v>
      </c>
      <c r="HI141" s="76">
        <f t="shared" si="25"/>
        <v>0</v>
      </c>
      <c r="HJ141" s="76">
        <f t="shared" si="25"/>
        <v>0</v>
      </c>
      <c r="HK141" s="76">
        <f t="shared" si="25"/>
        <v>0</v>
      </c>
      <c r="HL141" s="76">
        <f t="shared" si="25"/>
        <v>0</v>
      </c>
      <c r="HM141" s="76">
        <f t="shared" si="25"/>
        <v>0</v>
      </c>
      <c r="HN141" s="76">
        <f t="shared" si="25"/>
        <v>0</v>
      </c>
      <c r="HO141" s="76">
        <f t="shared" si="25"/>
        <v>0</v>
      </c>
      <c r="HP141" s="76">
        <f t="shared" si="25"/>
        <v>0</v>
      </c>
      <c r="HQ141" s="76">
        <f t="shared" si="25"/>
        <v>0</v>
      </c>
      <c r="HR141" s="76">
        <f t="shared" si="25"/>
        <v>0</v>
      </c>
      <c r="HS141" s="76">
        <f t="shared" si="25"/>
        <v>0</v>
      </c>
      <c r="HT141" s="76">
        <f t="shared" si="25"/>
        <v>0</v>
      </c>
      <c r="HU141" s="76">
        <f t="shared" si="25"/>
        <v>0</v>
      </c>
      <c r="HV141" s="76">
        <f t="shared" si="25"/>
        <v>0</v>
      </c>
      <c r="HW141" s="76">
        <f t="shared" si="25"/>
        <v>0</v>
      </c>
      <c r="HX141" s="76">
        <f t="shared" si="25"/>
        <v>0</v>
      </c>
      <c r="HY141" s="76">
        <f t="shared" si="25"/>
        <v>0</v>
      </c>
      <c r="HZ141" s="76">
        <f t="shared" si="25"/>
        <v>0</v>
      </c>
      <c r="IA141" s="76">
        <f t="shared" si="25"/>
        <v>0</v>
      </c>
      <c r="IB141" s="76">
        <f t="shared" si="25"/>
        <v>0</v>
      </c>
      <c r="IC141" s="76">
        <f t="shared" si="25"/>
        <v>0</v>
      </c>
      <c r="ID141" s="76">
        <f t="shared" si="25"/>
        <v>0</v>
      </c>
      <c r="IE141" s="76">
        <f t="shared" si="25"/>
        <v>0</v>
      </c>
      <c r="IF141" s="76">
        <f t="shared" si="25"/>
        <v>0</v>
      </c>
      <c r="IG141" s="76">
        <f t="shared" si="25"/>
        <v>0</v>
      </c>
      <c r="IH141" s="76">
        <f t="shared" si="25"/>
        <v>0</v>
      </c>
      <c r="II141" s="76">
        <f t="shared" si="25"/>
        <v>0</v>
      </c>
      <c r="IJ141" s="76">
        <f t="shared" si="25"/>
        <v>0</v>
      </c>
      <c r="IK141" s="76">
        <f t="shared" si="25"/>
        <v>0</v>
      </c>
      <c r="IL141" s="76">
        <f t="shared" si="25"/>
        <v>0</v>
      </c>
      <c r="IM141" s="76">
        <f t="shared" si="25"/>
        <v>0</v>
      </c>
      <c r="IN141" s="76">
        <f t="shared" si="25"/>
        <v>0</v>
      </c>
      <c r="IO141" s="76" t="e">
        <f t="shared" si="25"/>
        <v>#DIV/0!</v>
      </c>
      <c r="IP141" s="23"/>
      <c r="IQ141" s="72"/>
      <c r="IR141" s="72"/>
      <c r="IS141" s="73"/>
      <c r="IT141" s="73"/>
      <c r="IU141" s="73"/>
      <c r="IV141" s="9"/>
      <c r="IW141" s="38">
        <f t="shared" si="13"/>
        <v>0</v>
      </c>
    </row>
    <row r="142" spans="1:257" s="74" customFormat="1" ht="30" customHeight="1" x14ac:dyDescent="0.25">
      <c r="A142" s="114" t="b">
        <v>0</v>
      </c>
      <c r="B142" s="113" t="str">
        <f>IFERROR(VLOOKUP(C142,'Bridge matrix'!$D$3:$E$727,2,FALSE)='symmetric IOT 245 2012'!D142,"FALSCH")</f>
        <v>FALSCH</v>
      </c>
      <c r="C142" s="109">
        <v>133</v>
      </c>
      <c r="D142" s="90" t="s">
        <v>1449</v>
      </c>
      <c r="E142" s="48">
        <v>10456.898869874598</v>
      </c>
      <c r="F142" s="48">
        <v>1297.7487604770147</v>
      </c>
      <c r="G142" s="48">
        <v>2082.8152457014276</v>
      </c>
      <c r="H142" s="48">
        <v>161.9018920563046</v>
      </c>
      <c r="I142" s="48">
        <v>1663.3484711613789</v>
      </c>
      <c r="J142" s="48">
        <v>5922.0328373604352</v>
      </c>
      <c r="K142" s="48">
        <v>13141.778427605008</v>
      </c>
      <c r="L142" s="48">
        <v>440.3520266673878</v>
      </c>
      <c r="M142" s="48">
        <v>24.823261033048656</v>
      </c>
      <c r="N142" s="48">
        <v>88.551362264333648</v>
      </c>
      <c r="O142" s="48">
        <v>650.78477639976063</v>
      </c>
      <c r="P142" s="48">
        <v>95.177968088594696</v>
      </c>
      <c r="Q142" s="48">
        <v>8.4923215058412893</v>
      </c>
      <c r="R142" s="48">
        <v>472.41200152795113</v>
      </c>
      <c r="S142" s="48">
        <v>1.7005593329962181</v>
      </c>
      <c r="T142" s="48">
        <v>0.3946513373434169</v>
      </c>
      <c r="U142" s="48">
        <v>0</v>
      </c>
      <c r="V142" s="48">
        <v>0</v>
      </c>
      <c r="W142" s="48">
        <v>0.30388575185513317</v>
      </c>
      <c r="X142" s="48">
        <v>0</v>
      </c>
      <c r="Y142" s="48">
        <v>0.60662436145261545</v>
      </c>
      <c r="Z142" s="48">
        <v>0.19379166288212826</v>
      </c>
      <c r="AA142" s="48">
        <v>0</v>
      </c>
      <c r="AB142" s="48">
        <v>0</v>
      </c>
      <c r="AC142" s="48">
        <v>0</v>
      </c>
      <c r="AD142" s="48">
        <v>0</v>
      </c>
      <c r="AE142" s="48">
        <v>0</v>
      </c>
      <c r="AF142" s="48">
        <v>0</v>
      </c>
      <c r="AG142" s="48">
        <v>0</v>
      </c>
      <c r="AH142" s="48">
        <v>0.40177062635825644</v>
      </c>
      <c r="AI142" s="48">
        <v>0.47092158569724979</v>
      </c>
      <c r="AJ142" s="48">
        <v>0</v>
      </c>
      <c r="AK142" s="48">
        <v>0.12576060479170148</v>
      </c>
      <c r="AL142" s="48">
        <v>0</v>
      </c>
      <c r="AM142" s="48">
        <v>0</v>
      </c>
      <c r="AN142" s="48">
        <v>0.59640214212761944</v>
      </c>
      <c r="AO142" s="48">
        <v>0</v>
      </c>
      <c r="AP142" s="48">
        <v>0.22797405025283604</v>
      </c>
      <c r="AQ142" s="48">
        <v>0</v>
      </c>
      <c r="AR142" s="48">
        <v>0.45392698339167903</v>
      </c>
      <c r="AS142" s="48">
        <v>0</v>
      </c>
      <c r="AT142" s="48">
        <v>512.20999022370063</v>
      </c>
      <c r="AU142" s="48">
        <v>65.182214893621037</v>
      </c>
      <c r="AV142" s="48">
        <v>30.900403358268512</v>
      </c>
      <c r="AW142" s="48">
        <v>19.214014838792519</v>
      </c>
      <c r="AX142" s="48">
        <v>1029.7993092266438</v>
      </c>
      <c r="AY142" s="48">
        <v>169.09257851592528</v>
      </c>
      <c r="AZ142" s="48">
        <v>26.604552718851775</v>
      </c>
      <c r="BA142" s="48">
        <v>48.066581634688212</v>
      </c>
      <c r="BB142" s="48">
        <v>1070.6355868437706</v>
      </c>
      <c r="BC142" s="48">
        <v>177.62736451823739</v>
      </c>
      <c r="BD142" s="48">
        <v>532.65345229475213</v>
      </c>
      <c r="BE142" s="48">
        <v>860.82905381099647</v>
      </c>
      <c r="BF142" s="48">
        <v>27.743002261564516</v>
      </c>
      <c r="BG142" s="48">
        <v>1.7414948158293984</v>
      </c>
      <c r="BH142" s="48">
        <v>173.44771211671724</v>
      </c>
      <c r="BI142" s="48">
        <v>20.922159672999292</v>
      </c>
      <c r="BJ142" s="48">
        <v>133.58201350950813</v>
      </c>
      <c r="BK142" s="48">
        <v>26.783669728784982</v>
      </c>
      <c r="BL142" s="48">
        <v>0</v>
      </c>
      <c r="BM142" s="48">
        <v>76.320883119352956</v>
      </c>
      <c r="BN142" s="48">
        <v>6.7203182685942124</v>
      </c>
      <c r="BO142" s="48">
        <v>0</v>
      </c>
      <c r="BP142" s="48">
        <v>858.31064834318488</v>
      </c>
      <c r="BQ142" s="48">
        <v>116.27086705947478</v>
      </c>
      <c r="BR142" s="48">
        <v>5.2408654279282008</v>
      </c>
      <c r="BS142" s="48">
        <v>7.8676588544107622</v>
      </c>
      <c r="BT142" s="48">
        <v>641.11276167783205</v>
      </c>
      <c r="BU142" s="48">
        <v>3654.2005311021271</v>
      </c>
      <c r="BV142" s="48">
        <v>4369.8140566778802</v>
      </c>
      <c r="BW142" s="48">
        <v>2234.8328151390092</v>
      </c>
      <c r="BX142" s="48">
        <v>202.68307793895144</v>
      </c>
      <c r="BY142" s="48">
        <v>182.22185924713082</v>
      </c>
      <c r="BZ142" s="48">
        <v>132.5301671787293</v>
      </c>
      <c r="CA142" s="48">
        <v>37197.641816524694</v>
      </c>
      <c r="CB142" s="48">
        <v>143.975467013903</v>
      </c>
      <c r="CC142" s="48">
        <v>1052.3579774738923</v>
      </c>
      <c r="CD142" s="48">
        <v>1276.9367589520555</v>
      </c>
      <c r="CE142" s="48">
        <v>92.96931518399154</v>
      </c>
      <c r="CF142" s="48">
        <v>14.498630055947654</v>
      </c>
      <c r="CG142" s="48">
        <v>0</v>
      </c>
      <c r="CH142" s="48">
        <v>0</v>
      </c>
      <c r="CI142" s="48">
        <v>108.1777899603365</v>
      </c>
      <c r="CJ142" s="48">
        <v>98.86334785449445</v>
      </c>
      <c r="CK142" s="48">
        <v>9.2311120079261411</v>
      </c>
      <c r="CL142" s="48">
        <v>8.1897256229872237</v>
      </c>
      <c r="CM142" s="48">
        <v>38.788949020839773</v>
      </c>
      <c r="CN142" s="48">
        <v>522.94180724446562</v>
      </c>
      <c r="CO142" s="48">
        <v>294.45190359702013</v>
      </c>
      <c r="CP142" s="48">
        <v>28.49604284525984</v>
      </c>
      <c r="CQ142" s="48">
        <v>111.95456975267211</v>
      </c>
      <c r="CR142" s="48">
        <v>830.10933849186006</v>
      </c>
      <c r="CS142" s="48">
        <v>0</v>
      </c>
      <c r="CT142" s="48">
        <v>0</v>
      </c>
      <c r="CU142" s="48">
        <v>0</v>
      </c>
      <c r="CV142" s="48">
        <v>0</v>
      </c>
      <c r="CW142" s="48">
        <v>371.02514101902358</v>
      </c>
      <c r="CX142" s="48">
        <v>436.66151795003015</v>
      </c>
      <c r="CY142" s="48">
        <v>421.91252935170553</v>
      </c>
      <c r="CZ142" s="48">
        <v>241.70596547428286</v>
      </c>
      <c r="DA142" s="48">
        <v>723.92709562860603</v>
      </c>
      <c r="DB142" s="48">
        <v>58.642318323751525</v>
      </c>
      <c r="DC142" s="48">
        <v>3.0032395656060649</v>
      </c>
      <c r="DD142" s="48">
        <v>410.44748287789923</v>
      </c>
      <c r="DE142" s="48">
        <v>150.25835161070557</v>
      </c>
      <c r="DF142" s="48">
        <v>391.43987367382834</v>
      </c>
      <c r="DG142" s="48">
        <v>0</v>
      </c>
      <c r="DH142" s="48">
        <v>0</v>
      </c>
      <c r="DI142" s="48">
        <v>0</v>
      </c>
      <c r="DJ142" s="48">
        <v>20.359396644981938</v>
      </c>
      <c r="DK142" s="48">
        <v>36.209521773066413</v>
      </c>
      <c r="DL142" s="48">
        <v>1304.5082200675281</v>
      </c>
      <c r="DM142" s="48">
        <v>86.301981167849632</v>
      </c>
      <c r="DN142" s="48">
        <v>93.319391150420785</v>
      </c>
      <c r="DO142" s="48">
        <v>0</v>
      </c>
      <c r="DP142" s="48">
        <v>179.92556661167325</v>
      </c>
      <c r="DQ142" s="48">
        <v>295.87440544729895</v>
      </c>
      <c r="DR142" s="48">
        <v>238.1099558612045</v>
      </c>
      <c r="DS142" s="48">
        <v>70.017948118342119</v>
      </c>
      <c r="DT142" s="48">
        <v>9.3283787572488777</v>
      </c>
      <c r="DU142" s="48">
        <v>4.3523438139156738</v>
      </c>
      <c r="DV142" s="48">
        <v>68.882237833270366</v>
      </c>
      <c r="DW142" s="48">
        <v>923.99274422048586</v>
      </c>
      <c r="DX142" s="48">
        <v>460.21204193217727</v>
      </c>
      <c r="DY142" s="48">
        <v>65.580597081738262</v>
      </c>
      <c r="DZ142" s="48">
        <v>57.756194478285344</v>
      </c>
      <c r="EA142" s="48">
        <v>1266.9303049879602</v>
      </c>
      <c r="EB142" s="48">
        <v>883.87193221572124</v>
      </c>
      <c r="EC142" s="48">
        <v>3514.5964177550354</v>
      </c>
      <c r="ED142" s="48">
        <v>5219.2758647943019</v>
      </c>
      <c r="EE142" s="48">
        <v>11318.4589788885</v>
      </c>
      <c r="EF142" s="48">
        <v>8048.7290413122628</v>
      </c>
      <c r="EG142" s="48">
        <v>4897.3772748167385</v>
      </c>
      <c r="EH142" s="48">
        <v>3999.7183868533039</v>
      </c>
      <c r="EI142" s="48">
        <v>6.7057439002229433</v>
      </c>
      <c r="EJ142" s="48">
        <v>24.756709752460438</v>
      </c>
      <c r="EK142" s="48">
        <v>11.049119679109054</v>
      </c>
      <c r="EL142" s="48">
        <v>293.76361717607818</v>
      </c>
      <c r="EM142" s="48">
        <v>573.78501945125129</v>
      </c>
      <c r="EN142" s="48">
        <v>572.67853352633006</v>
      </c>
      <c r="EO142" s="48">
        <v>73.692969088258451</v>
      </c>
      <c r="EP142" s="48">
        <v>180.05383322355166</v>
      </c>
      <c r="EQ142" s="48">
        <v>172.69963698877277</v>
      </c>
      <c r="ER142" s="48">
        <v>238.55548101725648</v>
      </c>
      <c r="ES142" s="48">
        <v>28.560014688056174</v>
      </c>
      <c r="ET142" s="48">
        <v>0</v>
      </c>
      <c r="EU142" s="48">
        <v>0</v>
      </c>
      <c r="EV142" s="48">
        <v>391.27663521991968</v>
      </c>
      <c r="EW142" s="48">
        <v>0</v>
      </c>
      <c r="EX142" s="48">
        <v>4215.5279392379907</v>
      </c>
      <c r="EY142" s="48">
        <v>318.73616254535</v>
      </c>
      <c r="EZ142" s="48">
        <v>301.31519010061322</v>
      </c>
      <c r="FA142" s="48">
        <v>876.51914781445737</v>
      </c>
      <c r="FB142" s="48">
        <v>0</v>
      </c>
      <c r="FC142" s="48">
        <v>0</v>
      </c>
      <c r="FD142" s="48">
        <v>823.09065203030968</v>
      </c>
      <c r="FE142" s="48">
        <v>96.650320228190907</v>
      </c>
      <c r="FF142" s="48">
        <v>4.19214744433215</v>
      </c>
      <c r="FG142" s="48">
        <v>491.31668257849753</v>
      </c>
      <c r="FH142" s="48">
        <v>690.9372198718462</v>
      </c>
      <c r="FI142" s="48">
        <v>330.98450218215777</v>
      </c>
      <c r="FJ142" s="48">
        <v>461.94533237760862</v>
      </c>
      <c r="FK142" s="48">
        <v>135.28253017014785</v>
      </c>
      <c r="FL142" s="48">
        <v>4.9352714624846037</v>
      </c>
      <c r="FM142" s="48">
        <v>433.0839220562973</v>
      </c>
      <c r="FN142" s="48">
        <v>104.78056357093277</v>
      </c>
      <c r="FO142" s="48">
        <v>60.40261715373353</v>
      </c>
      <c r="FP142" s="48">
        <v>725.92735209252987</v>
      </c>
      <c r="FQ142" s="48">
        <v>22.912521470453139</v>
      </c>
      <c r="FR142" s="48">
        <v>258.61856807279622</v>
      </c>
      <c r="FS142" s="48">
        <v>161.44549853738212</v>
      </c>
      <c r="FT142" s="48">
        <v>41.321977213229239</v>
      </c>
      <c r="FU142" s="48">
        <v>313.26019324926637</v>
      </c>
      <c r="FV142" s="48">
        <v>1160.2002941521491</v>
      </c>
      <c r="FW142" s="48">
        <v>46563.465116094172</v>
      </c>
      <c r="FX142" s="48">
        <v>0</v>
      </c>
      <c r="FY142" s="48">
        <v>452.94322354998127</v>
      </c>
      <c r="FZ142" s="48">
        <v>9.3461716426922603</v>
      </c>
      <c r="GA142" s="48">
        <v>86.888384775742665</v>
      </c>
      <c r="GB142" s="48">
        <v>10648.208584169308</v>
      </c>
      <c r="GC142" s="48">
        <v>7998.0002188433973</v>
      </c>
      <c r="GD142" s="48">
        <v>456.73108258019067</v>
      </c>
      <c r="GE142" s="48">
        <v>280.85793076182881</v>
      </c>
      <c r="GF142" s="48">
        <v>0</v>
      </c>
      <c r="GG142" s="48">
        <v>76606.142421506927</v>
      </c>
      <c r="GH142" s="48">
        <v>67765.730406492585</v>
      </c>
      <c r="GI142" s="48">
        <v>119.002271264005</v>
      </c>
      <c r="GJ142" s="48">
        <v>0</v>
      </c>
      <c r="GK142" s="48">
        <v>17965.556833996918</v>
      </c>
      <c r="GL142" s="48">
        <v>17981.302158169776</v>
      </c>
      <c r="GM142" s="48">
        <v>13360.62116446548</v>
      </c>
      <c r="GN142" s="48">
        <v>0</v>
      </c>
      <c r="GO142" s="48">
        <v>0</v>
      </c>
      <c r="GP142" s="48">
        <v>0</v>
      </c>
      <c r="GQ142" s="48">
        <v>0</v>
      </c>
      <c r="GR142" s="48">
        <v>216.92574792672622</v>
      </c>
      <c r="GS142" s="48">
        <v>5774.3629645019128</v>
      </c>
      <c r="GT142" s="48">
        <v>0.7507980010417783</v>
      </c>
      <c r="GU142" s="48">
        <v>85.487842202645467</v>
      </c>
      <c r="GV142" s="48">
        <v>0.85211198785682685</v>
      </c>
      <c r="GW142" s="48">
        <v>0</v>
      </c>
      <c r="GX142" s="48">
        <v>0</v>
      </c>
      <c r="GY142" s="48">
        <v>0</v>
      </c>
      <c r="GZ142" s="48">
        <v>0</v>
      </c>
      <c r="HA142" s="48">
        <v>0</v>
      </c>
      <c r="HB142" s="48">
        <v>366.34040453607207</v>
      </c>
      <c r="HC142" s="48">
        <v>826.26034219899304</v>
      </c>
      <c r="HD142" s="48">
        <v>279.03101491190938</v>
      </c>
      <c r="HE142" s="48">
        <v>206.67655251164953</v>
      </c>
      <c r="HF142" s="48">
        <v>1021.1446477759478</v>
      </c>
      <c r="HG142" s="48">
        <v>975.47252329825312</v>
      </c>
      <c r="HH142" s="48">
        <v>1836.7616407223659</v>
      </c>
      <c r="HI142" s="48">
        <v>2680.5934429576746</v>
      </c>
      <c r="HJ142" s="48">
        <v>3048.4712741408002</v>
      </c>
      <c r="HK142" s="48">
        <v>144.6708019352109</v>
      </c>
      <c r="HL142" s="48">
        <v>228.74315999226701</v>
      </c>
      <c r="HM142" s="48">
        <v>1051.7676082918715</v>
      </c>
      <c r="HN142" s="48">
        <v>307.95000361370023</v>
      </c>
      <c r="HO142" s="48">
        <v>1296.9682261355194</v>
      </c>
      <c r="HP142" s="48">
        <v>2222.5072271137583</v>
      </c>
      <c r="HQ142" s="48">
        <v>346.87421383552311</v>
      </c>
      <c r="HR142" s="48">
        <v>739.74729099592798</v>
      </c>
      <c r="HS142" s="48">
        <v>1207.8867108320671</v>
      </c>
      <c r="HT142" s="48">
        <v>760.57029815326678</v>
      </c>
      <c r="HU142" s="48">
        <v>1005.9255139741279</v>
      </c>
      <c r="HV142" s="48">
        <v>0</v>
      </c>
      <c r="HW142" s="48">
        <v>0</v>
      </c>
      <c r="HX142" s="48">
        <v>30.114477445576384</v>
      </c>
      <c r="HY142" s="48">
        <v>25.93773114212852</v>
      </c>
      <c r="HZ142" s="48">
        <v>38.474456000691788</v>
      </c>
      <c r="IA142" s="48">
        <v>10.867560854421239</v>
      </c>
      <c r="IB142" s="48">
        <v>0.84062094009638877</v>
      </c>
      <c r="IC142" s="48">
        <v>0</v>
      </c>
      <c r="ID142" s="48">
        <v>0</v>
      </c>
      <c r="IE142" s="48">
        <v>0</v>
      </c>
      <c r="IF142" s="48">
        <v>0</v>
      </c>
      <c r="IG142" s="48">
        <v>164.18642580773687</v>
      </c>
      <c r="IH142" s="48">
        <v>11.844732081925324</v>
      </c>
      <c r="II142" s="48">
        <v>3.9558950526422074</v>
      </c>
      <c r="IJ142" s="48">
        <v>0</v>
      </c>
      <c r="IK142" s="48">
        <v>377.11537671010944</v>
      </c>
      <c r="IL142" s="48">
        <v>678.60341021299962</v>
      </c>
      <c r="IM142" s="48">
        <v>816.33569437965673</v>
      </c>
      <c r="IN142" s="48">
        <v>432.76802035179963</v>
      </c>
      <c r="IO142" s="48">
        <v>0</v>
      </c>
      <c r="IP142" s="23">
        <v>446149.60000000551</v>
      </c>
      <c r="IQ142" s="72">
        <v>11431</v>
      </c>
      <c r="IR142" s="72">
        <v>0</v>
      </c>
      <c r="IS142" s="73">
        <v>0</v>
      </c>
      <c r="IT142" s="73">
        <v>0</v>
      </c>
      <c r="IU142" s="73">
        <v>31306</v>
      </c>
      <c r="IV142" s="9">
        <v>10656</v>
      </c>
      <c r="IW142" s="38">
        <f t="shared" si="13"/>
        <v>499542.60000000551</v>
      </c>
    </row>
    <row r="143" spans="1:257" s="74" customFormat="1" ht="30" customHeight="1" x14ac:dyDescent="0.25">
      <c r="A143" s="114" t="b">
        <v>1</v>
      </c>
      <c r="B143" s="113" t="str">
        <f>IFERROR(VLOOKUP(C143,'Bridge matrix'!$D$3:$E$727,2,FALSE)='symmetric IOT 245 2012'!D143,"FALSCH")</f>
        <v>FALSCH</v>
      </c>
      <c r="C143" s="109">
        <v>133</v>
      </c>
      <c r="D143" s="71" t="s">
        <v>1450</v>
      </c>
      <c r="E143" s="76">
        <f>E142/E257</f>
        <v>2.2110883706491103E-2</v>
      </c>
      <c r="F143" s="76">
        <f t="shared" ref="F143:BQ143" si="26">F142/F257</f>
        <v>6.9766236207403961E-3</v>
      </c>
      <c r="G143" s="76">
        <f t="shared" si="26"/>
        <v>2.212270612745024E-2</v>
      </c>
      <c r="H143" s="76">
        <f t="shared" si="26"/>
        <v>0.14368484425641476</v>
      </c>
      <c r="I143" s="76">
        <f t="shared" si="26"/>
        <v>0.1434263513044827</v>
      </c>
      <c r="J143" s="76">
        <f t="shared" si="26"/>
        <v>0.14314626688392817</v>
      </c>
      <c r="K143" s="76">
        <f t="shared" si="26"/>
        <v>0.14301071054684936</v>
      </c>
      <c r="L143" s="76">
        <f t="shared" si="26"/>
        <v>0.14376131393031535</v>
      </c>
      <c r="M143" s="76">
        <f t="shared" si="26"/>
        <v>0.14431510978754106</v>
      </c>
      <c r="N143" s="76">
        <f t="shared" si="26"/>
        <v>0.14362040025365078</v>
      </c>
      <c r="O143" s="76">
        <f t="shared" si="26"/>
        <v>3.9709283269392815E-3</v>
      </c>
      <c r="P143" s="76">
        <f t="shared" si="26"/>
        <v>4.0454546415108544E-3</v>
      </c>
      <c r="Q143" s="76">
        <f t="shared" si="26"/>
        <v>3.7741053351868317E-3</v>
      </c>
      <c r="R143" s="76">
        <f t="shared" si="26"/>
        <v>4.4703900232381704E-3</v>
      </c>
      <c r="S143" s="76">
        <f t="shared" si="26"/>
        <v>4.2453192834214226E-3</v>
      </c>
      <c r="T143" s="76">
        <f t="shared" si="26"/>
        <v>1.4162155316458963E-5</v>
      </c>
      <c r="U143" s="76">
        <f t="shared" si="26"/>
        <v>0</v>
      </c>
      <c r="V143" s="76">
        <f t="shared" si="26"/>
        <v>0</v>
      </c>
      <c r="W143" s="76">
        <f t="shared" si="26"/>
        <v>2.6202844060831056E-5</v>
      </c>
      <c r="X143" s="76">
        <f t="shared" si="26"/>
        <v>0</v>
      </c>
      <c r="Y143" s="76">
        <f t="shared" si="26"/>
        <v>1.1469942331401341E-4</v>
      </c>
      <c r="Z143" s="76">
        <f t="shared" si="26"/>
        <v>1.3790244550075392E-5</v>
      </c>
      <c r="AA143" s="76">
        <f t="shared" si="26"/>
        <v>0</v>
      </c>
      <c r="AB143" s="76">
        <f t="shared" si="26"/>
        <v>0</v>
      </c>
      <c r="AC143" s="76">
        <f t="shared" si="26"/>
        <v>0</v>
      </c>
      <c r="AD143" s="76">
        <f t="shared" si="26"/>
        <v>0</v>
      </c>
      <c r="AE143" s="76">
        <f t="shared" si="26"/>
        <v>0</v>
      </c>
      <c r="AF143" s="76">
        <f t="shared" si="26"/>
        <v>0</v>
      </c>
      <c r="AG143" s="76">
        <f t="shared" si="26"/>
        <v>0</v>
      </c>
      <c r="AH143" s="76">
        <f t="shared" si="26"/>
        <v>4.1969308281802861E-5</v>
      </c>
      <c r="AI143" s="76">
        <f t="shared" si="26"/>
        <v>5.7981649682287066E-5</v>
      </c>
      <c r="AJ143" s="76">
        <f t="shared" si="26"/>
        <v>0</v>
      </c>
      <c r="AK143" s="76">
        <f t="shared" si="26"/>
        <v>8.2021072889973516E-6</v>
      </c>
      <c r="AL143" s="76">
        <f t="shared" si="26"/>
        <v>0</v>
      </c>
      <c r="AM143" s="76">
        <f t="shared" si="26"/>
        <v>0</v>
      </c>
      <c r="AN143" s="76">
        <f t="shared" si="26"/>
        <v>1.0772889978257916E-4</v>
      </c>
      <c r="AO143" s="76">
        <f t="shared" si="26"/>
        <v>0</v>
      </c>
      <c r="AP143" s="76">
        <f t="shared" si="26"/>
        <v>1.7185126083404678E-5</v>
      </c>
      <c r="AQ143" s="76">
        <f t="shared" si="26"/>
        <v>0</v>
      </c>
      <c r="AR143" s="76">
        <f t="shared" si="26"/>
        <v>5.3728340398078598E-5</v>
      </c>
      <c r="AS143" s="76">
        <f t="shared" si="26"/>
        <v>0</v>
      </c>
      <c r="AT143" s="76">
        <f t="shared" si="26"/>
        <v>1.2027385228811461E-2</v>
      </c>
      <c r="AU143" s="76">
        <f t="shared" si="26"/>
        <v>1.259778337170555E-2</v>
      </c>
      <c r="AV143" s="76">
        <f t="shared" si="26"/>
        <v>1.2938602227762228E-2</v>
      </c>
      <c r="AW143" s="76">
        <f t="shared" si="26"/>
        <v>3.5948565890429607E-3</v>
      </c>
      <c r="AX143" s="76">
        <f t="shared" si="26"/>
        <v>1.2739860342186625E-2</v>
      </c>
      <c r="AY143" s="76">
        <f t="shared" si="26"/>
        <v>1.2857226523067127E-2</v>
      </c>
      <c r="AZ143" s="76">
        <f t="shared" si="26"/>
        <v>1.2967384000449379E-2</v>
      </c>
      <c r="BA143" s="76">
        <f t="shared" si="26"/>
        <v>1.2812084418138605E-2</v>
      </c>
      <c r="BB143" s="76">
        <f t="shared" si="26"/>
        <v>1.2738206570783528E-2</v>
      </c>
      <c r="BC143" s="76">
        <f t="shared" si="26"/>
        <v>1.2778882353071844E-2</v>
      </c>
      <c r="BD143" s="76">
        <f t="shared" si="26"/>
        <v>7.4420507813173628E-3</v>
      </c>
      <c r="BE143" s="76">
        <f t="shared" si="26"/>
        <v>8.2435899555415135E-4</v>
      </c>
      <c r="BF143" s="76">
        <f t="shared" si="26"/>
        <v>7.7279848505929058E-4</v>
      </c>
      <c r="BG143" s="76">
        <f t="shared" si="26"/>
        <v>8.4676363592627198E-4</v>
      </c>
      <c r="BH143" s="76">
        <f t="shared" si="26"/>
        <v>9.029848144781155E-4</v>
      </c>
      <c r="BI143" s="76">
        <f t="shared" si="26"/>
        <v>9.1671184038073263E-4</v>
      </c>
      <c r="BJ143" s="76">
        <f t="shared" si="26"/>
        <v>1.0404086255737892E-3</v>
      </c>
      <c r="BK143" s="76">
        <f t="shared" si="26"/>
        <v>1.3022851393128382E-3</v>
      </c>
      <c r="BL143" s="76">
        <f t="shared" si="26"/>
        <v>0</v>
      </c>
      <c r="BM143" s="76">
        <f t="shared" si="26"/>
        <v>2.7617921345541186E-3</v>
      </c>
      <c r="BN143" s="76">
        <f t="shared" si="26"/>
        <v>1.5268690909303901E-3</v>
      </c>
      <c r="BO143" s="76">
        <f t="shared" si="26"/>
        <v>0</v>
      </c>
      <c r="BP143" s="76">
        <f t="shared" si="26"/>
        <v>6.7383010609568259E-3</v>
      </c>
      <c r="BQ143" s="76">
        <f t="shared" si="26"/>
        <v>1.1561882459933644E-2</v>
      </c>
      <c r="BR143" s="76">
        <f t="shared" ref="BR143:EC143" si="27">BR142/BR257</f>
        <v>1.9077249666905555E-3</v>
      </c>
      <c r="BS143" s="76">
        <f t="shared" si="27"/>
        <v>2.6405144850205229E-3</v>
      </c>
      <c r="BT143" s="76">
        <f t="shared" si="27"/>
        <v>1.4850313224402738E-2</v>
      </c>
      <c r="BU143" s="76">
        <f t="shared" si="27"/>
        <v>8.6642856363724867E-3</v>
      </c>
      <c r="BV143" s="76">
        <f t="shared" si="27"/>
        <v>6.0592381237405679E-2</v>
      </c>
      <c r="BW143" s="76">
        <f t="shared" si="27"/>
        <v>2.3563780570267142E-2</v>
      </c>
      <c r="BX143" s="76">
        <f t="shared" si="27"/>
        <v>5.9401356258833173E-2</v>
      </c>
      <c r="BY143" s="76">
        <f t="shared" si="27"/>
        <v>5.1351986861361927E-3</v>
      </c>
      <c r="BZ143" s="76">
        <f t="shared" si="27"/>
        <v>5.2336448232716999E-3</v>
      </c>
      <c r="CA143" s="76">
        <f t="shared" si="27"/>
        <v>1.0293026266699245E-2</v>
      </c>
      <c r="CB143" s="76">
        <f t="shared" si="27"/>
        <v>1.1400601356866109E-2</v>
      </c>
      <c r="CC143" s="76">
        <f t="shared" si="27"/>
        <v>3.1730100799580727E-3</v>
      </c>
      <c r="CD143" s="76">
        <f t="shared" si="27"/>
        <v>2.4628930221136658E-2</v>
      </c>
      <c r="CE143" s="76">
        <f t="shared" si="27"/>
        <v>2.4911444567542095E-2</v>
      </c>
      <c r="CF143" s="76">
        <f t="shared" si="27"/>
        <v>2.4801252733830402E-2</v>
      </c>
      <c r="CG143" s="76">
        <f t="shared" si="27"/>
        <v>0</v>
      </c>
      <c r="CH143" s="76">
        <f t="shared" si="27"/>
        <v>0</v>
      </c>
      <c r="CI143" s="76">
        <f t="shared" si="27"/>
        <v>1.6692031498481049E-4</v>
      </c>
      <c r="CJ143" s="76">
        <f t="shared" si="27"/>
        <v>2.0797313802858115E-4</v>
      </c>
      <c r="CK143" s="76">
        <f t="shared" si="27"/>
        <v>2.3053876286633661E-4</v>
      </c>
      <c r="CL143" s="76">
        <f t="shared" si="27"/>
        <v>4.4742065122473806E-5</v>
      </c>
      <c r="CM143" s="76">
        <f t="shared" si="27"/>
        <v>3.6866103160363524E-4</v>
      </c>
      <c r="CN143" s="76">
        <f t="shared" si="27"/>
        <v>3.9033336126773988E-4</v>
      </c>
      <c r="CO143" s="76">
        <f t="shared" si="27"/>
        <v>9.2284053685653001E-4</v>
      </c>
      <c r="CP143" s="76">
        <f t="shared" si="27"/>
        <v>9.8634755210843107E-4</v>
      </c>
      <c r="CQ143" s="76">
        <f t="shared" si="27"/>
        <v>1.0002843781350397E-3</v>
      </c>
      <c r="CR143" s="76">
        <f t="shared" si="27"/>
        <v>1.8199748516898083E-3</v>
      </c>
      <c r="CS143" s="76">
        <f t="shared" si="27"/>
        <v>0</v>
      </c>
      <c r="CT143" s="76">
        <f t="shared" si="27"/>
        <v>0</v>
      </c>
      <c r="CU143" s="76">
        <f t="shared" si="27"/>
        <v>0</v>
      </c>
      <c r="CV143" s="76">
        <f t="shared" si="27"/>
        <v>0</v>
      </c>
      <c r="CW143" s="76">
        <f t="shared" si="27"/>
        <v>1.0257154421352081E-2</v>
      </c>
      <c r="CX143" s="76">
        <f t="shared" si="27"/>
        <v>1.2261603245153235E-3</v>
      </c>
      <c r="CY143" s="76">
        <f t="shared" si="27"/>
        <v>1.0689588867336727E-3</v>
      </c>
      <c r="CZ143" s="76">
        <f t="shared" si="27"/>
        <v>4.9205157915324345E-3</v>
      </c>
      <c r="DA143" s="76">
        <f t="shared" si="27"/>
        <v>9.6714054102294911E-4</v>
      </c>
      <c r="DB143" s="76">
        <f t="shared" si="27"/>
        <v>1.5260032519195082E-3</v>
      </c>
      <c r="DC143" s="76">
        <f t="shared" si="27"/>
        <v>9.5932058894754378E-4</v>
      </c>
      <c r="DD143" s="76">
        <f t="shared" si="27"/>
        <v>9.2775391841475095E-4</v>
      </c>
      <c r="DE143" s="76">
        <f t="shared" si="27"/>
        <v>2.4721479237379391E-3</v>
      </c>
      <c r="DF143" s="76">
        <f t="shared" si="27"/>
        <v>1.3137440049078128E-3</v>
      </c>
      <c r="DG143" s="76">
        <f t="shared" si="27"/>
        <v>0</v>
      </c>
      <c r="DH143" s="76">
        <f t="shared" si="27"/>
        <v>0</v>
      </c>
      <c r="DI143" s="76">
        <f t="shared" si="27"/>
        <v>0</v>
      </c>
      <c r="DJ143" s="76">
        <f t="shared" si="27"/>
        <v>8.7879906873353759E-5</v>
      </c>
      <c r="DK143" s="76">
        <f t="shared" si="27"/>
        <v>2.6101728866852891E-4</v>
      </c>
      <c r="DL143" s="76">
        <f t="shared" si="27"/>
        <v>2.4444999246224434E-3</v>
      </c>
      <c r="DM143" s="76">
        <f t="shared" si="27"/>
        <v>2.0539636618811967E-4</v>
      </c>
      <c r="DN143" s="76">
        <f t="shared" si="27"/>
        <v>3.2510783361071495E-4</v>
      </c>
      <c r="DO143" s="76">
        <f t="shared" si="27"/>
        <v>0</v>
      </c>
      <c r="DP143" s="76">
        <f t="shared" si="27"/>
        <v>2.0710924258135251E-3</v>
      </c>
      <c r="DQ143" s="76">
        <f t="shared" si="27"/>
        <v>2.0779770608525643E-3</v>
      </c>
      <c r="DR143" s="76">
        <f t="shared" si="27"/>
        <v>2.4160805786905258E-3</v>
      </c>
      <c r="DS143" s="76">
        <f t="shared" si="27"/>
        <v>1.9693761303464616E-4</v>
      </c>
      <c r="DT143" s="76">
        <f t="shared" si="27"/>
        <v>2.3921325741194506E-4</v>
      </c>
      <c r="DU143" s="76">
        <f t="shared" si="27"/>
        <v>3.0039375568309106E-4</v>
      </c>
      <c r="DV143" s="76">
        <f t="shared" si="27"/>
        <v>4.5061163266745576E-4</v>
      </c>
      <c r="DW143" s="76">
        <f t="shared" si="27"/>
        <v>1.8650173688370783E-3</v>
      </c>
      <c r="DX143" s="76">
        <f t="shared" si="27"/>
        <v>1.6892587751754385E-3</v>
      </c>
      <c r="DY143" s="76">
        <f t="shared" si="27"/>
        <v>2.4526609614644737E-3</v>
      </c>
      <c r="DZ143" s="76">
        <f t="shared" si="27"/>
        <v>1.6146616790503302E-3</v>
      </c>
      <c r="EA143" s="76">
        <f t="shared" si="27"/>
        <v>9.452827599639212E-3</v>
      </c>
      <c r="EB143" s="76">
        <f t="shared" si="27"/>
        <v>8.2617745614908481E-3</v>
      </c>
      <c r="EC143" s="76">
        <f t="shared" si="27"/>
        <v>1.162401263606608E-2</v>
      </c>
      <c r="ED143" s="76">
        <f t="shared" ref="ED143:GO143" si="28">ED142/ED257</f>
        <v>1.0981636599270848E-2</v>
      </c>
      <c r="EE143" s="76">
        <f t="shared" si="28"/>
        <v>2.871489978104259E-2</v>
      </c>
      <c r="EF143" s="76">
        <f t="shared" si="28"/>
        <v>3.296632922754264E-2</v>
      </c>
      <c r="EG143" s="76">
        <f t="shared" si="28"/>
        <v>3.3840663052564321E-2</v>
      </c>
      <c r="EH143" s="76">
        <f t="shared" si="28"/>
        <v>5.7763319357852054E-2</v>
      </c>
      <c r="EI143" s="76">
        <f t="shared" si="28"/>
        <v>2.0404537760420851E-4</v>
      </c>
      <c r="EJ143" s="76">
        <f t="shared" si="28"/>
        <v>4.1215229023885708E-4</v>
      </c>
      <c r="EK143" s="76">
        <f t="shared" si="28"/>
        <v>1.0463730667962532E-3</v>
      </c>
      <c r="EL143" s="76">
        <f t="shared" si="28"/>
        <v>4.7564853285645813E-3</v>
      </c>
      <c r="EM143" s="76">
        <f t="shared" si="28"/>
        <v>4.2600972882848439E-3</v>
      </c>
      <c r="EN143" s="76">
        <f t="shared" si="28"/>
        <v>6.3224272436395168E-3</v>
      </c>
      <c r="EO143" s="76">
        <f t="shared" si="28"/>
        <v>5.9226018586867176E-3</v>
      </c>
      <c r="EP143" s="76">
        <f t="shared" si="28"/>
        <v>7.8009794309795441E-3</v>
      </c>
      <c r="EQ143" s="76">
        <f t="shared" si="28"/>
        <v>4.1989305104756227E-3</v>
      </c>
      <c r="ER143" s="76">
        <f t="shared" si="28"/>
        <v>6.6922928467188902E-3</v>
      </c>
      <c r="ES143" s="76">
        <f t="shared" si="28"/>
        <v>3.3773667769515245E-3</v>
      </c>
      <c r="ET143" s="76">
        <f t="shared" si="28"/>
        <v>0</v>
      </c>
      <c r="EU143" s="76">
        <f t="shared" si="28"/>
        <v>0</v>
      </c>
      <c r="EV143" s="76">
        <f t="shared" si="28"/>
        <v>1.3582577809196267E-2</v>
      </c>
      <c r="EW143" s="76">
        <f t="shared" si="28"/>
        <v>0</v>
      </c>
      <c r="EX143" s="76">
        <f t="shared" si="28"/>
        <v>8.437496744894182E-3</v>
      </c>
      <c r="EY143" s="76">
        <f t="shared" si="28"/>
        <v>8.4134741197441718E-3</v>
      </c>
      <c r="EZ143" s="76">
        <f t="shared" si="28"/>
        <v>1.2291632152886388E-2</v>
      </c>
      <c r="FA143" s="76">
        <f t="shared" si="28"/>
        <v>6.7619388452185882E-3</v>
      </c>
      <c r="FB143" s="76">
        <f t="shared" si="28"/>
        <v>0</v>
      </c>
      <c r="FC143" s="76">
        <f t="shared" si="28"/>
        <v>0</v>
      </c>
      <c r="FD143" s="76">
        <f t="shared" si="28"/>
        <v>2.8843265172525173E-3</v>
      </c>
      <c r="FE143" s="76">
        <f t="shared" si="28"/>
        <v>2.5365229414050913E-3</v>
      </c>
      <c r="FF143" s="76">
        <f t="shared" si="28"/>
        <v>1.913286332977802E-3</v>
      </c>
      <c r="FG143" s="76">
        <f t="shared" si="28"/>
        <v>4.5774123396346861E-3</v>
      </c>
      <c r="FH143" s="76">
        <f t="shared" si="28"/>
        <v>4.6664111542239232E-3</v>
      </c>
      <c r="FI143" s="76">
        <f t="shared" si="28"/>
        <v>5.6945317603655059E-3</v>
      </c>
      <c r="FJ143" s="76">
        <f t="shared" si="28"/>
        <v>3.2860824105707337E-3</v>
      </c>
      <c r="FK143" s="76">
        <f t="shared" si="28"/>
        <v>6.3505191858319919E-3</v>
      </c>
      <c r="FL143" s="76">
        <f t="shared" si="28"/>
        <v>7.5135113184316028E-3</v>
      </c>
      <c r="FM143" s="76">
        <f t="shared" si="28"/>
        <v>4.7003100051120151E-3</v>
      </c>
      <c r="FN143" s="76">
        <f t="shared" si="28"/>
        <v>3.0458893335183097E-3</v>
      </c>
      <c r="FO143" s="76">
        <f t="shared" si="28"/>
        <v>4.5071007905099309E-3</v>
      </c>
      <c r="FP143" s="76">
        <f t="shared" si="28"/>
        <v>2.5420279062960197E-3</v>
      </c>
      <c r="FQ143" s="76">
        <f t="shared" si="28"/>
        <v>2.2949211450106746E-3</v>
      </c>
      <c r="FR143" s="76">
        <f t="shared" si="28"/>
        <v>3.7177710387380263E-4</v>
      </c>
      <c r="FS143" s="76">
        <f t="shared" si="28"/>
        <v>6.3409683888547104E-3</v>
      </c>
      <c r="FT143" s="76">
        <f t="shared" si="28"/>
        <v>8.4601196223380495E-3</v>
      </c>
      <c r="FU143" s="76">
        <f t="shared" si="28"/>
        <v>5.8370497742851E-3</v>
      </c>
      <c r="FV143" s="76">
        <f t="shared" si="28"/>
        <v>7.5237069748021104E-3</v>
      </c>
      <c r="FW143" s="76">
        <f t="shared" si="28"/>
        <v>6.5736914968604787E-2</v>
      </c>
      <c r="FX143" s="76">
        <f t="shared" si="28"/>
        <v>0</v>
      </c>
      <c r="FY143" s="76">
        <f t="shared" si="28"/>
        <v>6.1284450599357835E-3</v>
      </c>
      <c r="FZ143" s="76">
        <f t="shared" si="28"/>
        <v>4.1570629118479327E-3</v>
      </c>
      <c r="GA143" s="76">
        <f t="shared" si="28"/>
        <v>2.6170508799805326E-3</v>
      </c>
      <c r="GB143" s="76">
        <f t="shared" si="28"/>
        <v>2.0178721894133023E-3</v>
      </c>
      <c r="GC143" s="76">
        <f t="shared" si="28"/>
        <v>2.1197508699613175E-3</v>
      </c>
      <c r="GD143" s="76">
        <f t="shared" si="28"/>
        <v>4.8940510097034515E-3</v>
      </c>
      <c r="GE143" s="76">
        <f t="shared" si="28"/>
        <v>1.4909061956597666E-3</v>
      </c>
      <c r="GF143" s="76">
        <f t="shared" si="28"/>
        <v>0</v>
      </c>
      <c r="GG143" s="76">
        <f t="shared" si="28"/>
        <v>8.1607246146629397E-2</v>
      </c>
      <c r="GH143" s="76">
        <f t="shared" si="28"/>
        <v>6.329848535408969E-2</v>
      </c>
      <c r="GI143" s="76">
        <f t="shared" si="28"/>
        <v>8.1208345365479662E-2</v>
      </c>
      <c r="GJ143" s="76">
        <f t="shared" si="28"/>
        <v>0</v>
      </c>
      <c r="GK143" s="76">
        <f t="shared" si="28"/>
        <v>8.3024040231852253E-2</v>
      </c>
      <c r="GL143" s="76">
        <f t="shared" si="28"/>
        <v>8.4916273244342463E-2</v>
      </c>
      <c r="GM143" s="76">
        <f t="shared" si="28"/>
        <v>8.799477803364987E-2</v>
      </c>
      <c r="GN143" s="76">
        <f t="shared" si="28"/>
        <v>0</v>
      </c>
      <c r="GO143" s="76">
        <f t="shared" si="28"/>
        <v>0</v>
      </c>
      <c r="GP143" s="76">
        <f t="shared" ref="GP143:IO143" si="29">GP142/GP257</f>
        <v>0</v>
      </c>
      <c r="GQ143" s="76">
        <f t="shared" si="29"/>
        <v>0</v>
      </c>
      <c r="GR143" s="76">
        <f t="shared" si="29"/>
        <v>1.6546566597229588E-3</v>
      </c>
      <c r="GS143" s="76">
        <f t="shared" si="29"/>
        <v>4.3627260327930755E-3</v>
      </c>
      <c r="GT143" s="76">
        <f t="shared" si="29"/>
        <v>4.3513618426012482E-5</v>
      </c>
      <c r="GU143" s="76">
        <f t="shared" si="29"/>
        <v>7.2106962007475786E-5</v>
      </c>
      <c r="GV143" s="76">
        <f t="shared" si="29"/>
        <v>1.2941107646400634E-4</v>
      </c>
      <c r="GW143" s="76">
        <f t="shared" si="29"/>
        <v>0</v>
      </c>
      <c r="GX143" s="76">
        <f t="shared" si="29"/>
        <v>0</v>
      </c>
      <c r="GY143" s="76">
        <f t="shared" si="29"/>
        <v>0</v>
      </c>
      <c r="GZ143" s="76">
        <f t="shared" si="29"/>
        <v>0</v>
      </c>
      <c r="HA143" s="76">
        <f t="shared" si="29"/>
        <v>0</v>
      </c>
      <c r="HB143" s="76">
        <f t="shared" si="29"/>
        <v>6.1822358722358789E-4</v>
      </c>
      <c r="HC143" s="76">
        <f t="shared" si="29"/>
        <v>1.1320283791794229E-3</v>
      </c>
      <c r="HD143" s="76">
        <f t="shared" si="29"/>
        <v>9.0003623911504352E-4</v>
      </c>
      <c r="HE143" s="76">
        <f t="shared" si="29"/>
        <v>1.1921290493579449E-2</v>
      </c>
      <c r="HF143" s="76">
        <f t="shared" si="29"/>
        <v>1.179033757216926E-2</v>
      </c>
      <c r="HG143" s="76">
        <f t="shared" si="29"/>
        <v>1.1790782731697895E-2</v>
      </c>
      <c r="HH143" s="76">
        <f t="shared" si="29"/>
        <v>1.1788543110522685E-2</v>
      </c>
      <c r="HI143" s="76">
        <f t="shared" si="29"/>
        <v>1.1791365358893998E-2</v>
      </c>
      <c r="HJ143" s="76">
        <f t="shared" si="29"/>
        <v>1.1790688371257258E-2</v>
      </c>
      <c r="HK143" s="76">
        <f t="shared" si="29"/>
        <v>1.1797311742575015E-2</v>
      </c>
      <c r="HL143" s="76">
        <f t="shared" si="29"/>
        <v>1.1763423149749708E-2</v>
      </c>
      <c r="HM143" s="76">
        <f t="shared" si="29"/>
        <v>1.1791597251987052E-2</v>
      </c>
      <c r="HN143" s="76">
        <f t="shared" si="29"/>
        <v>1.1781374854834548E-2</v>
      </c>
      <c r="HO143" s="76">
        <f t="shared" si="29"/>
        <v>1.1794197818707709E-2</v>
      </c>
      <c r="HP143" s="76">
        <f t="shared" si="29"/>
        <v>1.1792059032050734E-2</v>
      </c>
      <c r="HQ143" s="76">
        <f t="shared" si="29"/>
        <v>1.1789434336954759E-2</v>
      </c>
      <c r="HR143" s="76">
        <f t="shared" si="29"/>
        <v>1.1789852658400293E-2</v>
      </c>
      <c r="HS143" s="76">
        <f t="shared" si="29"/>
        <v>1.1478884079185323E-2</v>
      </c>
      <c r="HT143" s="76">
        <f t="shared" si="29"/>
        <v>1.1791338427858362E-2</v>
      </c>
      <c r="HU143" s="76">
        <f t="shared" si="29"/>
        <v>1.1793035829390106E-2</v>
      </c>
      <c r="HV143" s="76">
        <f t="shared" si="29"/>
        <v>0</v>
      </c>
      <c r="HW143" s="76">
        <f t="shared" si="29"/>
        <v>0</v>
      </c>
      <c r="HX143" s="76">
        <f t="shared" si="29"/>
        <v>4.0204046130049497E-4</v>
      </c>
      <c r="HY143" s="76">
        <f t="shared" si="29"/>
        <v>4.2249515632107387E-4</v>
      </c>
      <c r="HZ143" s="76">
        <f t="shared" si="29"/>
        <v>3.7973012724716463E-4</v>
      </c>
      <c r="IA143" s="76">
        <f t="shared" si="29"/>
        <v>3.5969178196606827E-4</v>
      </c>
      <c r="IB143" s="76">
        <f t="shared" si="29"/>
        <v>4.2510081256432375E-4</v>
      </c>
      <c r="IC143" s="76">
        <f t="shared" si="29"/>
        <v>0</v>
      </c>
      <c r="ID143" s="76">
        <f t="shared" si="29"/>
        <v>0</v>
      </c>
      <c r="IE143" s="76">
        <f t="shared" si="29"/>
        <v>0</v>
      </c>
      <c r="IF143" s="76">
        <f t="shared" si="29"/>
        <v>0</v>
      </c>
      <c r="IG143" s="76">
        <f t="shared" si="29"/>
        <v>7.2387420305539379E-4</v>
      </c>
      <c r="IH143" s="76">
        <f t="shared" si="29"/>
        <v>9.9186147823287682E-4</v>
      </c>
      <c r="II143" s="76">
        <f t="shared" si="29"/>
        <v>7.9857603639181443E-4</v>
      </c>
      <c r="IJ143" s="76">
        <f t="shared" si="29"/>
        <v>0</v>
      </c>
      <c r="IK143" s="76">
        <f t="shared" si="29"/>
        <v>1.8833009307647119E-3</v>
      </c>
      <c r="IL143" s="76">
        <f t="shared" si="29"/>
        <v>2.3122053312107519E-3</v>
      </c>
      <c r="IM143" s="76">
        <f t="shared" si="29"/>
        <v>3.8418882183180714E-3</v>
      </c>
      <c r="IN143" s="76">
        <f t="shared" si="29"/>
        <v>2.4375827012530636E-3</v>
      </c>
      <c r="IO143" s="76" t="e">
        <f t="shared" si="29"/>
        <v>#DIV/0!</v>
      </c>
      <c r="IP143" s="23"/>
      <c r="IQ143" s="72"/>
      <c r="IR143" s="72"/>
      <c r="IS143" s="73"/>
      <c r="IT143" s="73"/>
      <c r="IU143" s="73"/>
      <c r="IV143" s="9"/>
      <c r="IW143" s="38">
        <f t="shared" si="13"/>
        <v>0</v>
      </c>
    </row>
    <row r="144" spans="1:257" s="74" customFormat="1" ht="30" customHeight="1" x14ac:dyDescent="0.25">
      <c r="A144" s="114" t="b">
        <v>1</v>
      </c>
      <c r="B144" s="113" t="b">
        <f>IFERROR(VLOOKUP(C144,'Bridge matrix'!$D$3:$E$727,2,FALSE)='symmetric IOT 245 2012'!D144,"FALSCH")</f>
        <v>1</v>
      </c>
      <c r="C144" s="109">
        <v>134</v>
      </c>
      <c r="D144" s="90" t="s">
        <v>1451</v>
      </c>
      <c r="E144" s="48">
        <v>0</v>
      </c>
      <c r="F144" s="48">
        <v>0</v>
      </c>
      <c r="G144" s="48">
        <v>0</v>
      </c>
      <c r="H144" s="48">
        <v>0</v>
      </c>
      <c r="I144" s="48">
        <v>0</v>
      </c>
      <c r="J144" s="48">
        <v>0</v>
      </c>
      <c r="K144" s="48">
        <v>0</v>
      </c>
      <c r="L144" s="48">
        <v>0</v>
      </c>
      <c r="M144" s="48">
        <v>0</v>
      </c>
      <c r="N144" s="48">
        <v>0</v>
      </c>
      <c r="O144" s="48">
        <v>0</v>
      </c>
      <c r="P144" s="48">
        <v>0</v>
      </c>
      <c r="Q144" s="48">
        <v>0</v>
      </c>
      <c r="R144" s="48">
        <v>0</v>
      </c>
      <c r="S144" s="48">
        <v>0</v>
      </c>
      <c r="T144" s="48">
        <v>0</v>
      </c>
      <c r="U144" s="48">
        <v>0</v>
      </c>
      <c r="V144" s="48">
        <v>0</v>
      </c>
      <c r="W144" s="48">
        <v>0</v>
      </c>
      <c r="X144" s="48">
        <v>0</v>
      </c>
      <c r="Y144" s="48">
        <v>0</v>
      </c>
      <c r="Z144" s="48">
        <v>0</v>
      </c>
      <c r="AA144" s="48">
        <v>0</v>
      </c>
      <c r="AB144" s="48">
        <v>0</v>
      </c>
      <c r="AC144" s="48">
        <v>0</v>
      </c>
      <c r="AD144" s="48">
        <v>0</v>
      </c>
      <c r="AE144" s="48">
        <v>0</v>
      </c>
      <c r="AF144" s="48">
        <v>0</v>
      </c>
      <c r="AG144" s="48">
        <v>0</v>
      </c>
      <c r="AH144" s="48">
        <v>0</v>
      </c>
      <c r="AI144" s="48">
        <v>0</v>
      </c>
      <c r="AJ144" s="48">
        <v>0</v>
      </c>
      <c r="AK144" s="48">
        <v>0</v>
      </c>
      <c r="AL144" s="48">
        <v>0</v>
      </c>
      <c r="AM144" s="48">
        <v>0</v>
      </c>
      <c r="AN144" s="48">
        <v>0</v>
      </c>
      <c r="AO144" s="48">
        <v>0</v>
      </c>
      <c r="AP144" s="48">
        <v>0</v>
      </c>
      <c r="AQ144" s="48">
        <v>0</v>
      </c>
      <c r="AR144" s="48">
        <v>0</v>
      </c>
      <c r="AS144" s="48">
        <v>0</v>
      </c>
      <c r="AT144" s="48">
        <v>0</v>
      </c>
      <c r="AU144" s="48">
        <v>0</v>
      </c>
      <c r="AV144" s="48">
        <v>0</v>
      </c>
      <c r="AW144" s="48">
        <v>0</v>
      </c>
      <c r="AX144" s="48">
        <v>0</v>
      </c>
      <c r="AY144" s="48">
        <v>0</v>
      </c>
      <c r="AZ144" s="48">
        <v>0</v>
      </c>
      <c r="BA144" s="48">
        <v>0</v>
      </c>
      <c r="BB144" s="48">
        <v>0</v>
      </c>
      <c r="BC144" s="48">
        <v>0</v>
      </c>
      <c r="BD144" s="48">
        <v>0</v>
      </c>
      <c r="BE144" s="48">
        <v>0</v>
      </c>
      <c r="BF144" s="48">
        <v>0</v>
      </c>
      <c r="BG144" s="48">
        <v>0</v>
      </c>
      <c r="BH144" s="48">
        <v>0</v>
      </c>
      <c r="BI144" s="48">
        <v>0</v>
      </c>
      <c r="BJ144" s="48">
        <v>0</v>
      </c>
      <c r="BK144" s="48">
        <v>0</v>
      </c>
      <c r="BL144" s="48">
        <v>0</v>
      </c>
      <c r="BM144" s="48">
        <v>0</v>
      </c>
      <c r="BN144" s="48">
        <v>0</v>
      </c>
      <c r="BO144" s="48">
        <v>0</v>
      </c>
      <c r="BP144" s="48">
        <v>0</v>
      </c>
      <c r="BQ144" s="48">
        <v>0</v>
      </c>
      <c r="BR144" s="48">
        <v>0</v>
      </c>
      <c r="BS144" s="48">
        <v>0</v>
      </c>
      <c r="BT144" s="48">
        <v>0</v>
      </c>
      <c r="BU144" s="48">
        <v>0</v>
      </c>
      <c r="BV144" s="48">
        <v>0</v>
      </c>
      <c r="BW144" s="48">
        <v>0</v>
      </c>
      <c r="BX144" s="48">
        <v>0</v>
      </c>
      <c r="BY144" s="48">
        <v>0</v>
      </c>
      <c r="BZ144" s="48">
        <v>0</v>
      </c>
      <c r="CA144" s="48">
        <v>0</v>
      </c>
      <c r="CB144" s="48">
        <v>0</v>
      </c>
      <c r="CC144" s="48">
        <v>0</v>
      </c>
      <c r="CD144" s="48">
        <v>0</v>
      </c>
      <c r="CE144" s="48">
        <v>0</v>
      </c>
      <c r="CF144" s="48">
        <v>0</v>
      </c>
      <c r="CG144" s="48">
        <v>0</v>
      </c>
      <c r="CH144" s="48">
        <v>0</v>
      </c>
      <c r="CI144" s="48">
        <v>24.716301515861186</v>
      </c>
      <c r="CJ144" s="48">
        <v>23.160028115276692</v>
      </c>
      <c r="CK144" s="48">
        <v>2.2877228154035985</v>
      </c>
      <c r="CL144" s="48">
        <v>0</v>
      </c>
      <c r="CM144" s="48">
        <v>9.197900204594303</v>
      </c>
      <c r="CN144" s="48">
        <v>16.081674434786123</v>
      </c>
      <c r="CO144" s="48">
        <v>0</v>
      </c>
      <c r="CP144" s="48">
        <v>0</v>
      </c>
      <c r="CQ144" s="48">
        <v>0</v>
      </c>
      <c r="CR144" s="48">
        <v>25.281717280736228</v>
      </c>
      <c r="CS144" s="48">
        <v>0</v>
      </c>
      <c r="CT144" s="48">
        <v>0</v>
      </c>
      <c r="CU144" s="48">
        <v>0</v>
      </c>
      <c r="CV144" s="48">
        <v>8.494370803986474E-3</v>
      </c>
      <c r="CW144" s="48">
        <v>0</v>
      </c>
      <c r="CX144" s="48">
        <v>452.40273345789006</v>
      </c>
      <c r="CY144" s="48">
        <v>475.78839746864372</v>
      </c>
      <c r="CZ144" s="48">
        <v>230.69829919788896</v>
      </c>
      <c r="DA144" s="48">
        <v>682.72882336212649</v>
      </c>
      <c r="DB144" s="48">
        <v>55.103218961974953</v>
      </c>
      <c r="DC144" s="48">
        <v>4.0413039841906624</v>
      </c>
      <c r="DD144" s="48">
        <v>0</v>
      </c>
      <c r="DE144" s="48">
        <v>270.93238218495446</v>
      </c>
      <c r="DF144" s="48">
        <v>0</v>
      </c>
      <c r="DG144" s="48">
        <v>9.9156541198288668</v>
      </c>
      <c r="DH144" s="48">
        <v>5.407984352011157</v>
      </c>
      <c r="DI144" s="48">
        <v>6.1131689914368925</v>
      </c>
      <c r="DJ144" s="48">
        <v>169.46162230808071</v>
      </c>
      <c r="DK144" s="48">
        <v>0.6657260539785379</v>
      </c>
      <c r="DL144" s="48">
        <v>0</v>
      </c>
      <c r="DM144" s="48">
        <v>32.613961465483143</v>
      </c>
      <c r="DN144" s="48">
        <v>0</v>
      </c>
      <c r="DO144" s="48">
        <v>0</v>
      </c>
      <c r="DP144" s="48">
        <v>277.19845342298555</v>
      </c>
      <c r="DQ144" s="48">
        <v>479.36121435409206</v>
      </c>
      <c r="DR144" s="48">
        <v>367.39277541530288</v>
      </c>
      <c r="DS144" s="48">
        <v>0</v>
      </c>
      <c r="DT144" s="48">
        <v>0</v>
      </c>
      <c r="DU144" s="48">
        <v>0</v>
      </c>
      <c r="DV144" s="48">
        <v>0</v>
      </c>
      <c r="DW144" s="48">
        <v>0</v>
      </c>
      <c r="DX144" s="48">
        <v>0</v>
      </c>
      <c r="DY144" s="48">
        <v>1.9863678873741204E-7</v>
      </c>
      <c r="DZ144" s="48">
        <v>0</v>
      </c>
      <c r="EA144" s="48">
        <v>5.0834235725198197E-6</v>
      </c>
      <c r="EB144" s="48">
        <v>0.57199258622354321</v>
      </c>
      <c r="EC144" s="48">
        <v>1.6543344363031117E-2</v>
      </c>
      <c r="ED144" s="48">
        <v>0</v>
      </c>
      <c r="EE144" s="48">
        <v>0</v>
      </c>
      <c r="EF144" s="48">
        <v>0</v>
      </c>
      <c r="EG144" s="48">
        <v>0</v>
      </c>
      <c r="EH144" s="48">
        <v>0</v>
      </c>
      <c r="EI144" s="48">
        <v>2.4486035432689506</v>
      </c>
      <c r="EJ144" s="48">
        <v>2.3784008610188496</v>
      </c>
      <c r="EK144" s="48">
        <v>0.98777954870094464</v>
      </c>
      <c r="EL144" s="48">
        <v>0</v>
      </c>
      <c r="EM144" s="48">
        <v>0</v>
      </c>
      <c r="EN144" s="48">
        <v>0</v>
      </c>
      <c r="EO144" s="48">
        <v>0</v>
      </c>
      <c r="EP144" s="48">
        <v>0</v>
      </c>
      <c r="EQ144" s="48">
        <v>0</v>
      </c>
      <c r="ER144" s="48">
        <v>1.4274956045752093E-2</v>
      </c>
      <c r="ES144" s="48">
        <v>0</v>
      </c>
      <c r="ET144" s="48">
        <v>0</v>
      </c>
      <c r="EU144" s="48">
        <v>0</v>
      </c>
      <c r="EV144" s="48">
        <v>0</v>
      </c>
      <c r="EW144" s="48">
        <v>0.13610257604422626</v>
      </c>
      <c r="EX144" s="48">
        <v>0</v>
      </c>
      <c r="EY144" s="48">
        <v>4.4144632477320384E-3</v>
      </c>
      <c r="EZ144" s="48">
        <v>0</v>
      </c>
      <c r="FA144" s="48">
        <v>3.5509168329731911E-6</v>
      </c>
      <c r="FB144" s="48">
        <v>9.7350693534657156E-8</v>
      </c>
      <c r="FC144" s="48">
        <v>0</v>
      </c>
      <c r="FD144" s="48">
        <v>0</v>
      </c>
      <c r="FE144" s="48">
        <v>0</v>
      </c>
      <c r="FF144" s="48">
        <v>0</v>
      </c>
      <c r="FG144" s="48">
        <v>0</v>
      </c>
      <c r="FH144" s="48">
        <v>2.5607709457464088E-4</v>
      </c>
      <c r="FI144" s="48">
        <v>2.0844604936658069E-4</v>
      </c>
      <c r="FJ144" s="48">
        <v>0</v>
      </c>
      <c r="FK144" s="48">
        <v>0</v>
      </c>
      <c r="FL144" s="48">
        <v>0</v>
      </c>
      <c r="FM144" s="48">
        <v>1.8914343688199553E-2</v>
      </c>
      <c r="FN144" s="48">
        <v>0</v>
      </c>
      <c r="FO144" s="48">
        <v>0</v>
      </c>
      <c r="FP144" s="48">
        <v>0.8063021406303299</v>
      </c>
      <c r="FQ144" s="48">
        <v>0</v>
      </c>
      <c r="FR144" s="48">
        <v>0</v>
      </c>
      <c r="FS144" s="48">
        <v>0</v>
      </c>
      <c r="FT144" s="48">
        <v>0</v>
      </c>
      <c r="FU144" s="48">
        <v>0</v>
      </c>
      <c r="FV144" s="48">
        <v>6.5114497856776777E-7</v>
      </c>
      <c r="FW144" s="48">
        <v>11519.709781934562</v>
      </c>
      <c r="FX144" s="48">
        <v>0</v>
      </c>
      <c r="FY144" s="48">
        <v>0</v>
      </c>
      <c r="FZ144" s="48">
        <v>0</v>
      </c>
      <c r="GA144" s="48">
        <v>0</v>
      </c>
      <c r="GB144" s="48">
        <v>0</v>
      </c>
      <c r="GC144" s="48">
        <v>0</v>
      </c>
      <c r="GD144" s="48">
        <v>0</v>
      </c>
      <c r="GE144" s="48">
        <v>0</v>
      </c>
      <c r="GF144" s="48">
        <v>0</v>
      </c>
      <c r="GG144" s="48">
        <v>54.453799275213065</v>
      </c>
      <c r="GH144" s="48">
        <v>48.210430142988727</v>
      </c>
      <c r="GI144" s="48">
        <v>0</v>
      </c>
      <c r="GJ144" s="48">
        <v>5.8930586206807973</v>
      </c>
      <c r="GK144" s="48">
        <v>13.039302336100633</v>
      </c>
      <c r="GL144" s="48">
        <v>13.038297432889893</v>
      </c>
      <c r="GM144" s="48">
        <v>9.1336358534412891</v>
      </c>
      <c r="GN144" s="48">
        <v>0.76767305683966003</v>
      </c>
      <c r="GO144" s="48">
        <v>3.0408188796539943</v>
      </c>
      <c r="GP144" s="48">
        <v>1.535495508533772</v>
      </c>
      <c r="GQ144" s="48">
        <v>9.980826926413533</v>
      </c>
      <c r="GR144" s="48">
        <v>0</v>
      </c>
      <c r="GS144" s="48">
        <v>0</v>
      </c>
      <c r="GT144" s="48">
        <v>0</v>
      </c>
      <c r="GU144" s="48">
        <v>0</v>
      </c>
      <c r="GV144" s="48">
        <v>0</v>
      </c>
      <c r="GW144" s="48">
        <v>0</v>
      </c>
      <c r="GX144" s="48">
        <v>0</v>
      </c>
      <c r="GY144" s="48">
        <v>0</v>
      </c>
      <c r="GZ144" s="48">
        <v>0</v>
      </c>
      <c r="HA144" s="48">
        <v>0</v>
      </c>
      <c r="HB144" s="48">
        <v>0</v>
      </c>
      <c r="HC144" s="48">
        <v>0</v>
      </c>
      <c r="HD144" s="48">
        <v>0</v>
      </c>
      <c r="HE144" s="48">
        <v>0</v>
      </c>
      <c r="HF144" s="48">
        <v>0</v>
      </c>
      <c r="HG144" s="48">
        <v>0</v>
      </c>
      <c r="HH144" s="48">
        <v>0</v>
      </c>
      <c r="HI144" s="48">
        <v>0</v>
      </c>
      <c r="HJ144" s="48">
        <v>0</v>
      </c>
      <c r="HK144" s="48">
        <v>0</v>
      </c>
      <c r="HL144" s="48">
        <v>0</v>
      </c>
      <c r="HM144" s="48">
        <v>0</v>
      </c>
      <c r="HN144" s="48">
        <v>0</v>
      </c>
      <c r="HO144" s="48">
        <v>0</v>
      </c>
      <c r="HP144" s="48">
        <v>0</v>
      </c>
      <c r="HQ144" s="48">
        <v>0</v>
      </c>
      <c r="HR144" s="48">
        <v>0</v>
      </c>
      <c r="HS144" s="48">
        <v>0</v>
      </c>
      <c r="HT144" s="48">
        <v>0</v>
      </c>
      <c r="HU144" s="48">
        <v>0</v>
      </c>
      <c r="HV144" s="48">
        <v>0</v>
      </c>
      <c r="HW144" s="48">
        <v>0</v>
      </c>
      <c r="HX144" s="48">
        <v>2.2861326682539787</v>
      </c>
      <c r="HY144" s="48">
        <v>1.5238928731329064</v>
      </c>
      <c r="HZ144" s="48">
        <v>2.2849434184005721</v>
      </c>
      <c r="IA144" s="48">
        <v>0.76127204615196031</v>
      </c>
      <c r="IB144" s="48">
        <v>0</v>
      </c>
      <c r="IC144" s="48">
        <v>0</v>
      </c>
      <c r="ID144" s="48">
        <v>0</v>
      </c>
      <c r="IE144" s="48">
        <v>0</v>
      </c>
      <c r="IF144" s="48">
        <v>0</v>
      </c>
      <c r="IG144" s="48">
        <v>35.396965884274202</v>
      </c>
      <c r="IH144" s="48">
        <v>2.429695339006086</v>
      </c>
      <c r="II144" s="48">
        <v>0.75331094158546585</v>
      </c>
      <c r="IJ144" s="48">
        <v>0</v>
      </c>
      <c r="IK144" s="48">
        <v>236.56115250874947</v>
      </c>
      <c r="IL144" s="48">
        <v>448.30825489265914</v>
      </c>
      <c r="IM144" s="48">
        <v>538.8370826789552</v>
      </c>
      <c r="IN144" s="48">
        <v>286.11081647528505</v>
      </c>
      <c r="IO144" s="48">
        <v>0</v>
      </c>
      <c r="IP144" s="23">
        <v>16861.999999999949</v>
      </c>
      <c r="IQ144" s="72">
        <v>14522</v>
      </c>
      <c r="IR144" s="72">
        <v>0</v>
      </c>
      <c r="IS144" s="73">
        <v>0</v>
      </c>
      <c r="IT144" s="73">
        <v>0</v>
      </c>
      <c r="IU144" s="73">
        <v>-7416</v>
      </c>
      <c r="IV144" s="9">
        <v>44701</v>
      </c>
      <c r="IW144" s="38">
        <f t="shared" si="13"/>
        <v>68668.999999999942</v>
      </c>
    </row>
    <row r="145" spans="1:257" s="74" customFormat="1" ht="30" customHeight="1" x14ac:dyDescent="0.25">
      <c r="A145" s="114" t="b">
        <v>1</v>
      </c>
      <c r="B145" s="113" t="b">
        <f>IFERROR(VLOOKUP(C145,'Bridge matrix'!$D$3:$E$727,2,FALSE)='symmetric IOT 245 2012'!D145,"FALSCH")</f>
        <v>0</v>
      </c>
      <c r="C145" s="109">
        <v>134</v>
      </c>
      <c r="D145" s="71" t="s">
        <v>1452</v>
      </c>
      <c r="E145" s="76">
        <f>E144/E257</f>
        <v>0</v>
      </c>
      <c r="F145" s="76">
        <f t="shared" ref="F145:BQ145" si="30">F144/F257</f>
        <v>0</v>
      </c>
      <c r="G145" s="76">
        <f t="shared" si="30"/>
        <v>0</v>
      </c>
      <c r="H145" s="76">
        <f t="shared" si="30"/>
        <v>0</v>
      </c>
      <c r="I145" s="76">
        <f t="shared" si="30"/>
        <v>0</v>
      </c>
      <c r="J145" s="76">
        <f t="shared" si="30"/>
        <v>0</v>
      </c>
      <c r="K145" s="76">
        <f t="shared" si="30"/>
        <v>0</v>
      </c>
      <c r="L145" s="76">
        <f t="shared" si="30"/>
        <v>0</v>
      </c>
      <c r="M145" s="76">
        <f t="shared" si="30"/>
        <v>0</v>
      </c>
      <c r="N145" s="76">
        <f t="shared" si="30"/>
        <v>0</v>
      </c>
      <c r="O145" s="76">
        <f t="shared" si="30"/>
        <v>0</v>
      </c>
      <c r="P145" s="76">
        <f t="shared" si="30"/>
        <v>0</v>
      </c>
      <c r="Q145" s="76">
        <f t="shared" si="30"/>
        <v>0</v>
      </c>
      <c r="R145" s="76">
        <f t="shared" si="30"/>
        <v>0</v>
      </c>
      <c r="S145" s="76">
        <f t="shared" si="30"/>
        <v>0</v>
      </c>
      <c r="T145" s="76">
        <f t="shared" si="30"/>
        <v>0</v>
      </c>
      <c r="U145" s="76">
        <f t="shared" si="30"/>
        <v>0</v>
      </c>
      <c r="V145" s="76">
        <f t="shared" si="30"/>
        <v>0</v>
      </c>
      <c r="W145" s="76">
        <f t="shared" si="30"/>
        <v>0</v>
      </c>
      <c r="X145" s="76">
        <f t="shared" si="30"/>
        <v>0</v>
      </c>
      <c r="Y145" s="76">
        <f t="shared" si="30"/>
        <v>0</v>
      </c>
      <c r="Z145" s="76">
        <f t="shared" si="30"/>
        <v>0</v>
      </c>
      <c r="AA145" s="76">
        <f t="shared" si="30"/>
        <v>0</v>
      </c>
      <c r="AB145" s="76">
        <f t="shared" si="30"/>
        <v>0</v>
      </c>
      <c r="AC145" s="76">
        <f t="shared" si="30"/>
        <v>0</v>
      </c>
      <c r="AD145" s="76">
        <f t="shared" si="30"/>
        <v>0</v>
      </c>
      <c r="AE145" s="76">
        <f t="shared" si="30"/>
        <v>0</v>
      </c>
      <c r="AF145" s="76">
        <f t="shared" si="30"/>
        <v>0</v>
      </c>
      <c r="AG145" s="76">
        <f t="shared" si="30"/>
        <v>0</v>
      </c>
      <c r="AH145" s="76">
        <f t="shared" si="30"/>
        <v>0</v>
      </c>
      <c r="AI145" s="76">
        <f t="shared" si="30"/>
        <v>0</v>
      </c>
      <c r="AJ145" s="76">
        <f t="shared" si="30"/>
        <v>0</v>
      </c>
      <c r="AK145" s="76">
        <f t="shared" si="30"/>
        <v>0</v>
      </c>
      <c r="AL145" s="76">
        <f t="shared" si="30"/>
        <v>0</v>
      </c>
      <c r="AM145" s="76">
        <f t="shared" si="30"/>
        <v>0</v>
      </c>
      <c r="AN145" s="76">
        <f t="shared" si="30"/>
        <v>0</v>
      </c>
      <c r="AO145" s="76">
        <f t="shared" si="30"/>
        <v>0</v>
      </c>
      <c r="AP145" s="76">
        <f t="shared" si="30"/>
        <v>0</v>
      </c>
      <c r="AQ145" s="76">
        <f t="shared" si="30"/>
        <v>0</v>
      </c>
      <c r="AR145" s="76">
        <f t="shared" si="30"/>
        <v>0</v>
      </c>
      <c r="AS145" s="76">
        <f t="shared" si="30"/>
        <v>0</v>
      </c>
      <c r="AT145" s="76">
        <f t="shared" si="30"/>
        <v>0</v>
      </c>
      <c r="AU145" s="76">
        <f t="shared" si="30"/>
        <v>0</v>
      </c>
      <c r="AV145" s="76">
        <f t="shared" si="30"/>
        <v>0</v>
      </c>
      <c r="AW145" s="76">
        <f t="shared" si="30"/>
        <v>0</v>
      </c>
      <c r="AX145" s="76">
        <f t="shared" si="30"/>
        <v>0</v>
      </c>
      <c r="AY145" s="76">
        <f t="shared" si="30"/>
        <v>0</v>
      </c>
      <c r="AZ145" s="76">
        <f t="shared" si="30"/>
        <v>0</v>
      </c>
      <c r="BA145" s="76">
        <f t="shared" si="30"/>
        <v>0</v>
      </c>
      <c r="BB145" s="76">
        <f t="shared" si="30"/>
        <v>0</v>
      </c>
      <c r="BC145" s="76">
        <f t="shared" si="30"/>
        <v>0</v>
      </c>
      <c r="BD145" s="76">
        <f t="shared" si="30"/>
        <v>0</v>
      </c>
      <c r="BE145" s="76">
        <f t="shared" si="30"/>
        <v>0</v>
      </c>
      <c r="BF145" s="76">
        <f t="shared" si="30"/>
        <v>0</v>
      </c>
      <c r="BG145" s="76">
        <f t="shared" si="30"/>
        <v>0</v>
      </c>
      <c r="BH145" s="76">
        <f t="shared" si="30"/>
        <v>0</v>
      </c>
      <c r="BI145" s="76">
        <f t="shared" si="30"/>
        <v>0</v>
      </c>
      <c r="BJ145" s="76">
        <f t="shared" si="30"/>
        <v>0</v>
      </c>
      <c r="BK145" s="76">
        <f t="shared" si="30"/>
        <v>0</v>
      </c>
      <c r="BL145" s="76">
        <f t="shared" si="30"/>
        <v>0</v>
      </c>
      <c r="BM145" s="76">
        <f t="shared" si="30"/>
        <v>0</v>
      </c>
      <c r="BN145" s="76">
        <f t="shared" si="30"/>
        <v>0</v>
      </c>
      <c r="BO145" s="76">
        <f t="shared" si="30"/>
        <v>0</v>
      </c>
      <c r="BP145" s="76">
        <f t="shared" si="30"/>
        <v>0</v>
      </c>
      <c r="BQ145" s="76">
        <f t="shared" si="30"/>
        <v>0</v>
      </c>
      <c r="BR145" s="76">
        <f t="shared" ref="BR145:EC145" si="31">BR144/BR257</f>
        <v>0</v>
      </c>
      <c r="BS145" s="76">
        <f t="shared" si="31"/>
        <v>0</v>
      </c>
      <c r="BT145" s="76">
        <f t="shared" si="31"/>
        <v>0</v>
      </c>
      <c r="BU145" s="76">
        <f t="shared" si="31"/>
        <v>0</v>
      </c>
      <c r="BV145" s="76">
        <f t="shared" si="31"/>
        <v>0</v>
      </c>
      <c r="BW145" s="76">
        <f t="shared" si="31"/>
        <v>0</v>
      </c>
      <c r="BX145" s="76">
        <f t="shared" si="31"/>
        <v>0</v>
      </c>
      <c r="BY145" s="76">
        <f t="shared" si="31"/>
        <v>0</v>
      </c>
      <c r="BZ145" s="76">
        <f t="shared" si="31"/>
        <v>0</v>
      </c>
      <c r="CA145" s="76">
        <f t="shared" si="31"/>
        <v>0</v>
      </c>
      <c r="CB145" s="76">
        <f t="shared" si="31"/>
        <v>0</v>
      </c>
      <c r="CC145" s="76">
        <f t="shared" si="31"/>
        <v>0</v>
      </c>
      <c r="CD145" s="76">
        <f t="shared" si="31"/>
        <v>0</v>
      </c>
      <c r="CE145" s="76">
        <f t="shared" si="31"/>
        <v>0</v>
      </c>
      <c r="CF145" s="76">
        <f t="shared" si="31"/>
        <v>0</v>
      </c>
      <c r="CG145" s="76">
        <f t="shared" si="31"/>
        <v>0</v>
      </c>
      <c r="CH145" s="76">
        <f t="shared" si="31"/>
        <v>0</v>
      </c>
      <c r="CI145" s="76">
        <f t="shared" si="31"/>
        <v>3.813770678620605E-5</v>
      </c>
      <c r="CJ145" s="76">
        <f t="shared" si="31"/>
        <v>4.8720418926671904E-5</v>
      </c>
      <c r="CK145" s="76">
        <f t="shared" si="31"/>
        <v>5.7133830376165659E-5</v>
      </c>
      <c r="CL145" s="76">
        <f t="shared" si="31"/>
        <v>0</v>
      </c>
      <c r="CM145" s="76">
        <f t="shared" si="31"/>
        <v>8.7419418767732592E-5</v>
      </c>
      <c r="CN145" s="76">
        <f t="shared" si="31"/>
        <v>1.2003656907869038E-5</v>
      </c>
      <c r="CO145" s="76">
        <f t="shared" si="31"/>
        <v>0</v>
      </c>
      <c r="CP145" s="76">
        <f t="shared" si="31"/>
        <v>0</v>
      </c>
      <c r="CQ145" s="76">
        <f t="shared" si="31"/>
        <v>0</v>
      </c>
      <c r="CR145" s="76">
        <f t="shared" si="31"/>
        <v>5.5428950771793739E-5</v>
      </c>
      <c r="CS145" s="76">
        <f t="shared" si="31"/>
        <v>0</v>
      </c>
      <c r="CT145" s="76">
        <f t="shared" si="31"/>
        <v>0</v>
      </c>
      <c r="CU145" s="76">
        <f t="shared" si="31"/>
        <v>0</v>
      </c>
      <c r="CV145" s="76">
        <f t="shared" si="31"/>
        <v>4.2135356484881311E-8</v>
      </c>
      <c r="CW145" s="76">
        <f t="shared" si="31"/>
        <v>0</v>
      </c>
      <c r="CX145" s="76">
        <f t="shared" si="31"/>
        <v>1.2703621905418873E-3</v>
      </c>
      <c r="CY145" s="76">
        <f t="shared" si="31"/>
        <v>1.2054589524998747E-3</v>
      </c>
      <c r="CZ145" s="76">
        <f t="shared" si="31"/>
        <v>4.6964278355954179E-3</v>
      </c>
      <c r="DA145" s="76">
        <f t="shared" si="31"/>
        <v>9.1210113226257428E-4</v>
      </c>
      <c r="DB145" s="76">
        <f t="shared" si="31"/>
        <v>1.433908033154088E-3</v>
      </c>
      <c r="DC145" s="76">
        <f t="shared" si="31"/>
        <v>1.2909080456415295E-3</v>
      </c>
      <c r="DD145" s="76">
        <f t="shared" si="31"/>
        <v>0</v>
      </c>
      <c r="DE145" s="76">
        <f t="shared" si="31"/>
        <v>4.4575553965027544E-3</v>
      </c>
      <c r="DF145" s="76">
        <f t="shared" si="31"/>
        <v>0</v>
      </c>
      <c r="DG145" s="76">
        <f t="shared" si="31"/>
        <v>4.3648709725103007E-5</v>
      </c>
      <c r="DH145" s="76">
        <f t="shared" si="31"/>
        <v>5.9766064241681897E-5</v>
      </c>
      <c r="DI145" s="76">
        <f t="shared" si="31"/>
        <v>7.0095099571724644E-5</v>
      </c>
      <c r="DJ145" s="76">
        <f t="shared" si="31"/>
        <v>7.3146920052329437E-4</v>
      </c>
      <c r="DK145" s="76">
        <f t="shared" si="31"/>
        <v>4.7989037440071455E-6</v>
      </c>
      <c r="DL145" s="76">
        <f t="shared" si="31"/>
        <v>0</v>
      </c>
      <c r="DM145" s="76">
        <f t="shared" si="31"/>
        <v>7.7620340591962232E-5</v>
      </c>
      <c r="DN145" s="76">
        <f t="shared" si="31"/>
        <v>0</v>
      </c>
      <c r="DO145" s="76">
        <f t="shared" si="31"/>
        <v>0</v>
      </c>
      <c r="DP145" s="76">
        <f t="shared" si="31"/>
        <v>3.1907839899742284E-3</v>
      </c>
      <c r="DQ145" s="76">
        <f t="shared" si="31"/>
        <v>3.3666366165885121E-3</v>
      </c>
      <c r="DR145" s="76">
        <f t="shared" si="31"/>
        <v>3.7279018687884657E-3</v>
      </c>
      <c r="DS145" s="76">
        <f t="shared" si="31"/>
        <v>0</v>
      </c>
      <c r="DT145" s="76">
        <f t="shared" si="31"/>
        <v>0</v>
      </c>
      <c r="DU145" s="76">
        <f t="shared" si="31"/>
        <v>0</v>
      </c>
      <c r="DV145" s="76">
        <f t="shared" si="31"/>
        <v>0</v>
      </c>
      <c r="DW145" s="76">
        <f t="shared" si="31"/>
        <v>0</v>
      </c>
      <c r="DX145" s="76">
        <f t="shared" si="31"/>
        <v>0</v>
      </c>
      <c r="DY145" s="76">
        <f t="shared" si="31"/>
        <v>7.4288542484554533E-12</v>
      </c>
      <c r="DZ145" s="76">
        <f t="shared" si="31"/>
        <v>0</v>
      </c>
      <c r="EA145" s="76">
        <f t="shared" si="31"/>
        <v>3.7928468880873888E-11</v>
      </c>
      <c r="EB145" s="76">
        <f t="shared" si="31"/>
        <v>5.3465594120367014E-6</v>
      </c>
      <c r="EC145" s="76">
        <f t="shared" si="31"/>
        <v>5.4714687281647772E-8</v>
      </c>
      <c r="ED145" s="76">
        <f t="shared" ref="ED145:GO145" si="32">ED144/ED257</f>
        <v>0</v>
      </c>
      <c r="EE145" s="76">
        <f t="shared" si="32"/>
        <v>0</v>
      </c>
      <c r="EF145" s="76">
        <f t="shared" si="32"/>
        <v>0</v>
      </c>
      <c r="EG145" s="76">
        <f t="shared" si="32"/>
        <v>0</v>
      </c>
      <c r="EH145" s="76">
        <f t="shared" si="32"/>
        <v>0</v>
      </c>
      <c r="EI145" s="76">
        <f t="shared" si="32"/>
        <v>7.4507204871439403E-5</v>
      </c>
      <c r="EJ145" s="76">
        <f t="shared" si="32"/>
        <v>3.9595866000633037E-5</v>
      </c>
      <c r="EK145" s="76">
        <f t="shared" si="32"/>
        <v>9.3544639365891066E-5</v>
      </c>
      <c r="EL145" s="76">
        <f t="shared" si="32"/>
        <v>0</v>
      </c>
      <c r="EM145" s="76">
        <f t="shared" si="32"/>
        <v>0</v>
      </c>
      <c r="EN145" s="76">
        <f t="shared" si="32"/>
        <v>0</v>
      </c>
      <c r="EO145" s="76">
        <f t="shared" si="32"/>
        <v>0</v>
      </c>
      <c r="EP145" s="76">
        <f t="shared" si="32"/>
        <v>0</v>
      </c>
      <c r="EQ145" s="76">
        <f t="shared" si="32"/>
        <v>0</v>
      </c>
      <c r="ER145" s="76">
        <f t="shared" si="32"/>
        <v>4.0046108278393639E-7</v>
      </c>
      <c r="ES145" s="76">
        <f t="shared" si="32"/>
        <v>0</v>
      </c>
      <c r="ET145" s="76">
        <f t="shared" si="32"/>
        <v>0</v>
      </c>
      <c r="EU145" s="76">
        <f t="shared" si="32"/>
        <v>0</v>
      </c>
      <c r="EV145" s="76">
        <f t="shared" si="32"/>
        <v>0</v>
      </c>
      <c r="EW145" s="76">
        <f t="shared" si="32"/>
        <v>1.5119795200924788E-6</v>
      </c>
      <c r="EX145" s="76">
        <f t="shared" si="32"/>
        <v>0</v>
      </c>
      <c r="EY145" s="76">
        <f t="shared" si="32"/>
        <v>1.1652575594421566E-7</v>
      </c>
      <c r="EZ145" s="76">
        <f t="shared" si="32"/>
        <v>0</v>
      </c>
      <c r="FA145" s="76">
        <f t="shared" si="32"/>
        <v>2.7393677056447695E-11</v>
      </c>
      <c r="FB145" s="76">
        <f t="shared" si="32"/>
        <v>3.3605314587186692E-13</v>
      </c>
      <c r="FC145" s="76">
        <f t="shared" si="32"/>
        <v>0</v>
      </c>
      <c r="FD145" s="76">
        <f t="shared" si="32"/>
        <v>0</v>
      </c>
      <c r="FE145" s="76">
        <f t="shared" si="32"/>
        <v>0</v>
      </c>
      <c r="FF145" s="76">
        <f t="shared" si="32"/>
        <v>0</v>
      </c>
      <c r="FG145" s="76">
        <f t="shared" si="32"/>
        <v>0</v>
      </c>
      <c r="FH145" s="76">
        <f t="shared" si="32"/>
        <v>1.7294784187281123E-9</v>
      </c>
      <c r="FI145" s="76">
        <f t="shared" si="32"/>
        <v>3.5862786342408306E-9</v>
      </c>
      <c r="FJ145" s="76">
        <f t="shared" si="32"/>
        <v>0</v>
      </c>
      <c r="FK145" s="76">
        <f t="shared" si="32"/>
        <v>0</v>
      </c>
      <c r="FL145" s="76">
        <f t="shared" si="32"/>
        <v>0</v>
      </c>
      <c r="FM145" s="76">
        <f t="shared" si="32"/>
        <v>2.0527956442173109E-7</v>
      </c>
      <c r="FN145" s="76">
        <f t="shared" si="32"/>
        <v>0</v>
      </c>
      <c r="FO145" s="76">
        <f t="shared" si="32"/>
        <v>0</v>
      </c>
      <c r="FP145" s="76">
        <f t="shared" si="32"/>
        <v>2.8234816286785403E-6</v>
      </c>
      <c r="FQ145" s="76">
        <f t="shared" si="32"/>
        <v>0</v>
      </c>
      <c r="FR145" s="76">
        <f t="shared" si="32"/>
        <v>0</v>
      </c>
      <c r="FS145" s="76">
        <f t="shared" si="32"/>
        <v>0</v>
      </c>
      <c r="FT145" s="76">
        <f t="shared" si="32"/>
        <v>0</v>
      </c>
      <c r="FU145" s="76">
        <f t="shared" si="32"/>
        <v>0</v>
      </c>
      <c r="FV145" s="76">
        <f t="shared" si="32"/>
        <v>4.2225674666267794E-12</v>
      </c>
      <c r="FW145" s="76">
        <f t="shared" si="32"/>
        <v>1.6263183603496354E-2</v>
      </c>
      <c r="FX145" s="76">
        <f t="shared" si="32"/>
        <v>0</v>
      </c>
      <c r="FY145" s="76">
        <f t="shared" si="32"/>
        <v>0</v>
      </c>
      <c r="FZ145" s="76">
        <f t="shared" si="32"/>
        <v>0</v>
      </c>
      <c r="GA145" s="76">
        <f t="shared" si="32"/>
        <v>0</v>
      </c>
      <c r="GB145" s="76">
        <f t="shared" si="32"/>
        <v>0</v>
      </c>
      <c r="GC145" s="76">
        <f t="shared" si="32"/>
        <v>0</v>
      </c>
      <c r="GD145" s="76">
        <f t="shared" si="32"/>
        <v>0</v>
      </c>
      <c r="GE145" s="76">
        <f t="shared" si="32"/>
        <v>0</v>
      </c>
      <c r="GF145" s="76">
        <f t="shared" si="32"/>
        <v>0</v>
      </c>
      <c r="GG145" s="76">
        <f t="shared" si="32"/>
        <v>5.8008724373828706E-5</v>
      </c>
      <c r="GH145" s="76">
        <f t="shared" si="32"/>
        <v>4.5032307451200436E-5</v>
      </c>
      <c r="GI145" s="76">
        <f t="shared" si="32"/>
        <v>0</v>
      </c>
      <c r="GJ145" s="76">
        <f t="shared" si="32"/>
        <v>5.9715472494246386E-5</v>
      </c>
      <c r="GK145" s="76">
        <f t="shared" si="32"/>
        <v>6.0258391752105586E-5</v>
      </c>
      <c r="GL145" s="76">
        <f t="shared" si="32"/>
        <v>6.1573050589623123E-5</v>
      </c>
      <c r="GM145" s="76">
        <f t="shared" si="32"/>
        <v>6.0155306379118238E-5</v>
      </c>
      <c r="GN145" s="76">
        <f t="shared" si="32"/>
        <v>1.4038659060738881E-4</v>
      </c>
      <c r="GO145" s="76">
        <f t="shared" si="32"/>
        <v>5.8018155276505228E-5</v>
      </c>
      <c r="GP145" s="76">
        <f t="shared" ref="GP145:IO145" si="33">GP144/GP257</f>
        <v>7.8067422894947247E-5</v>
      </c>
      <c r="GQ145" s="76">
        <f t="shared" si="33"/>
        <v>6.8570433253895016E-5</v>
      </c>
      <c r="GR145" s="76">
        <f t="shared" si="33"/>
        <v>0</v>
      </c>
      <c r="GS145" s="76">
        <f t="shared" si="33"/>
        <v>0</v>
      </c>
      <c r="GT145" s="76">
        <f t="shared" si="33"/>
        <v>0</v>
      </c>
      <c r="GU145" s="76">
        <f t="shared" si="33"/>
        <v>0</v>
      </c>
      <c r="GV145" s="76">
        <f t="shared" si="33"/>
        <v>0</v>
      </c>
      <c r="GW145" s="76">
        <f t="shared" si="33"/>
        <v>0</v>
      </c>
      <c r="GX145" s="76">
        <f t="shared" si="33"/>
        <v>0</v>
      </c>
      <c r="GY145" s="76">
        <f t="shared" si="33"/>
        <v>0</v>
      </c>
      <c r="GZ145" s="76">
        <f t="shared" si="33"/>
        <v>0</v>
      </c>
      <c r="HA145" s="76">
        <f t="shared" si="33"/>
        <v>0</v>
      </c>
      <c r="HB145" s="76">
        <f t="shared" si="33"/>
        <v>0</v>
      </c>
      <c r="HC145" s="76">
        <f t="shared" si="33"/>
        <v>0</v>
      </c>
      <c r="HD145" s="76">
        <f t="shared" si="33"/>
        <v>0</v>
      </c>
      <c r="HE145" s="76">
        <f t="shared" si="33"/>
        <v>0</v>
      </c>
      <c r="HF145" s="76">
        <f t="shared" si="33"/>
        <v>0</v>
      </c>
      <c r="HG145" s="76">
        <f t="shared" si="33"/>
        <v>0</v>
      </c>
      <c r="HH145" s="76">
        <f t="shared" si="33"/>
        <v>0</v>
      </c>
      <c r="HI145" s="76">
        <f t="shared" si="33"/>
        <v>0</v>
      </c>
      <c r="HJ145" s="76">
        <f t="shared" si="33"/>
        <v>0</v>
      </c>
      <c r="HK145" s="76">
        <f t="shared" si="33"/>
        <v>0</v>
      </c>
      <c r="HL145" s="76">
        <f t="shared" si="33"/>
        <v>0</v>
      </c>
      <c r="HM145" s="76">
        <f t="shared" si="33"/>
        <v>0</v>
      </c>
      <c r="HN145" s="76">
        <f t="shared" si="33"/>
        <v>0</v>
      </c>
      <c r="HO145" s="76">
        <f t="shared" si="33"/>
        <v>0</v>
      </c>
      <c r="HP145" s="76">
        <f t="shared" si="33"/>
        <v>0</v>
      </c>
      <c r="HQ145" s="76">
        <f t="shared" si="33"/>
        <v>0</v>
      </c>
      <c r="HR145" s="76">
        <f t="shared" si="33"/>
        <v>0</v>
      </c>
      <c r="HS145" s="76">
        <f t="shared" si="33"/>
        <v>0</v>
      </c>
      <c r="HT145" s="76">
        <f t="shared" si="33"/>
        <v>0</v>
      </c>
      <c r="HU145" s="76">
        <f t="shared" si="33"/>
        <v>0</v>
      </c>
      <c r="HV145" s="76">
        <f t="shared" si="33"/>
        <v>0</v>
      </c>
      <c r="HW145" s="76">
        <f t="shared" si="33"/>
        <v>0</v>
      </c>
      <c r="HX145" s="76">
        <f t="shared" si="33"/>
        <v>3.052079632462536E-5</v>
      </c>
      <c r="HY145" s="76">
        <f t="shared" si="33"/>
        <v>2.4822423909126182E-5</v>
      </c>
      <c r="HZ145" s="76">
        <f t="shared" si="33"/>
        <v>2.2551634128529839E-5</v>
      </c>
      <c r="IA145" s="76">
        <f t="shared" si="33"/>
        <v>2.5196389742777864E-5</v>
      </c>
      <c r="IB145" s="76">
        <f t="shared" si="33"/>
        <v>0</v>
      </c>
      <c r="IC145" s="76">
        <f t="shared" si="33"/>
        <v>0</v>
      </c>
      <c r="ID145" s="76">
        <f t="shared" si="33"/>
        <v>0</v>
      </c>
      <c r="IE145" s="76">
        <f t="shared" si="33"/>
        <v>0</v>
      </c>
      <c r="IF145" s="76">
        <f t="shared" si="33"/>
        <v>0</v>
      </c>
      <c r="IG145" s="76">
        <f t="shared" si="33"/>
        <v>1.5606010267902755E-4</v>
      </c>
      <c r="IH145" s="76">
        <f t="shared" si="33"/>
        <v>2.0345932638523488E-4</v>
      </c>
      <c r="II145" s="76">
        <f t="shared" si="33"/>
        <v>1.5207078496688237E-4</v>
      </c>
      <c r="IJ145" s="76">
        <f t="shared" si="33"/>
        <v>0</v>
      </c>
      <c r="IK145" s="76">
        <f t="shared" si="33"/>
        <v>1.1813780774178593E-3</v>
      </c>
      <c r="IL145" s="76">
        <f t="shared" si="33"/>
        <v>1.527520671703129E-3</v>
      </c>
      <c r="IM145" s="76">
        <f t="shared" si="33"/>
        <v>2.5359075363111392E-3</v>
      </c>
      <c r="IN145" s="76">
        <f t="shared" si="33"/>
        <v>1.6115302981828674E-3</v>
      </c>
      <c r="IO145" s="76" t="e">
        <f t="shared" si="33"/>
        <v>#DIV/0!</v>
      </c>
      <c r="IP145" s="23"/>
      <c r="IQ145" s="72"/>
      <c r="IR145" s="72"/>
      <c r="IS145" s="73"/>
      <c r="IT145" s="73"/>
      <c r="IU145" s="73"/>
      <c r="IV145" s="9"/>
      <c r="IW145" s="38">
        <f t="shared" si="13"/>
        <v>0</v>
      </c>
    </row>
    <row r="146" spans="1:257" ht="30" customHeight="1" x14ac:dyDescent="0.25">
      <c r="A146" s="112" t="b">
        <v>1</v>
      </c>
      <c r="B146" s="113" t="str">
        <f>IFERROR(VLOOKUP(C146,'Bridge matrix'!$D$3:$E$727,2,FALSE)='symmetric IOT 245 2012'!D146,"FALSCH")</f>
        <v>FALSCH</v>
      </c>
      <c r="C146" s="108">
        <v>135</v>
      </c>
      <c r="D146" s="49" t="s">
        <v>1453</v>
      </c>
      <c r="E146" s="48">
        <v>0</v>
      </c>
      <c r="F146" s="48">
        <v>0</v>
      </c>
      <c r="G146" s="48">
        <v>0</v>
      </c>
      <c r="H146" s="48">
        <v>0</v>
      </c>
      <c r="I146" s="48">
        <v>0</v>
      </c>
      <c r="J146" s="48">
        <v>0</v>
      </c>
      <c r="K146" s="48">
        <v>0</v>
      </c>
      <c r="L146" s="48">
        <v>0</v>
      </c>
      <c r="M146" s="48">
        <v>0</v>
      </c>
      <c r="N146" s="48">
        <v>0</v>
      </c>
      <c r="O146" s="48">
        <v>0</v>
      </c>
      <c r="P146" s="48">
        <v>0</v>
      </c>
      <c r="Q146" s="48">
        <v>0</v>
      </c>
      <c r="R146" s="48">
        <v>0</v>
      </c>
      <c r="S146" s="48">
        <v>0</v>
      </c>
      <c r="T146" s="48">
        <v>0</v>
      </c>
      <c r="U146" s="48">
        <v>0</v>
      </c>
      <c r="V146" s="48">
        <v>0</v>
      </c>
      <c r="W146" s="48">
        <v>0</v>
      </c>
      <c r="X146" s="48">
        <v>0</v>
      </c>
      <c r="Y146" s="48">
        <v>0</v>
      </c>
      <c r="Z146" s="48">
        <v>0</v>
      </c>
      <c r="AA146" s="48">
        <v>0</v>
      </c>
      <c r="AB146" s="48">
        <v>0</v>
      </c>
      <c r="AC146" s="48">
        <v>0</v>
      </c>
      <c r="AD146" s="48">
        <v>0</v>
      </c>
      <c r="AE146" s="48">
        <v>0</v>
      </c>
      <c r="AF146" s="48">
        <v>0</v>
      </c>
      <c r="AG146" s="48">
        <v>0</v>
      </c>
      <c r="AH146" s="48">
        <v>0</v>
      </c>
      <c r="AI146" s="48">
        <v>0</v>
      </c>
      <c r="AJ146" s="48">
        <v>0</v>
      </c>
      <c r="AK146" s="48">
        <v>0</v>
      </c>
      <c r="AL146" s="48">
        <v>0</v>
      </c>
      <c r="AM146" s="48">
        <v>0</v>
      </c>
      <c r="AN146" s="48">
        <v>0</v>
      </c>
      <c r="AO146" s="48">
        <v>0</v>
      </c>
      <c r="AP146" s="48">
        <v>0</v>
      </c>
      <c r="AQ146" s="48">
        <v>0</v>
      </c>
      <c r="AR146" s="48">
        <v>0</v>
      </c>
      <c r="AS146" s="48">
        <v>0</v>
      </c>
      <c r="AT146" s="48">
        <v>0</v>
      </c>
      <c r="AU146" s="48">
        <v>0</v>
      </c>
      <c r="AV146" s="48">
        <v>0</v>
      </c>
      <c r="AW146" s="48">
        <v>0</v>
      </c>
      <c r="AX146" s="48">
        <v>0</v>
      </c>
      <c r="AY146" s="48">
        <v>0</v>
      </c>
      <c r="AZ146" s="48">
        <v>0</v>
      </c>
      <c r="BA146" s="48">
        <v>0</v>
      </c>
      <c r="BB146" s="48">
        <v>0</v>
      </c>
      <c r="BC146" s="48">
        <v>0</v>
      </c>
      <c r="BD146" s="48">
        <v>0</v>
      </c>
      <c r="BE146" s="48">
        <v>84.358667225269997</v>
      </c>
      <c r="BF146" s="48">
        <v>3.0065195563104137</v>
      </c>
      <c r="BG146" s="48">
        <v>0</v>
      </c>
      <c r="BH146" s="48">
        <v>17.379950277954414</v>
      </c>
      <c r="BI146" s="48">
        <v>2.2673908937326552</v>
      </c>
      <c r="BJ146" s="48">
        <v>13.492692585096814</v>
      </c>
      <c r="BK146" s="48">
        <v>2.9961105207883261</v>
      </c>
      <c r="BL146" s="48">
        <v>0</v>
      </c>
      <c r="BM146" s="48">
        <v>7.9401380071537515</v>
      </c>
      <c r="BN146" s="48">
        <v>0.72823657676747144</v>
      </c>
      <c r="BO146" s="48">
        <v>0</v>
      </c>
      <c r="BP146" s="48">
        <v>0</v>
      </c>
      <c r="BQ146" s="48">
        <v>0</v>
      </c>
      <c r="BR146" s="48">
        <v>0</v>
      </c>
      <c r="BS146" s="48">
        <v>0</v>
      </c>
      <c r="BT146" s="48">
        <v>123.3936558775282</v>
      </c>
      <c r="BU146" s="48">
        <v>702.70991290561483</v>
      </c>
      <c r="BV146" s="48">
        <v>0</v>
      </c>
      <c r="BW146" s="48">
        <v>0</v>
      </c>
      <c r="BX146" s="48">
        <v>0</v>
      </c>
      <c r="BY146" s="48">
        <v>61.723267022123046</v>
      </c>
      <c r="BZ146" s="48">
        <v>44.96884935627439</v>
      </c>
      <c r="CA146" s="48">
        <v>0</v>
      </c>
      <c r="CB146" s="48">
        <v>0</v>
      </c>
      <c r="CC146" s="48">
        <v>0</v>
      </c>
      <c r="CD146" s="48">
        <v>2983.426147904278</v>
      </c>
      <c r="CE146" s="48">
        <v>216.71747630963563</v>
      </c>
      <c r="CF146" s="48">
        <v>33.905149444841882</v>
      </c>
      <c r="CG146" s="48">
        <v>0</v>
      </c>
      <c r="CH146" s="48">
        <v>0</v>
      </c>
      <c r="CI146" s="48">
        <v>0.19465012515724001</v>
      </c>
      <c r="CJ146" s="48">
        <v>0</v>
      </c>
      <c r="CK146" s="48">
        <v>0</v>
      </c>
      <c r="CL146" s="48">
        <v>106.79351013592995</v>
      </c>
      <c r="CM146" s="48">
        <v>58.129812797818133</v>
      </c>
      <c r="CN146" s="48">
        <v>234.89962894518874</v>
      </c>
      <c r="CO146" s="48">
        <v>10.942992259816858</v>
      </c>
      <c r="CP146" s="48">
        <v>1.0519180248353197</v>
      </c>
      <c r="CQ146" s="48">
        <v>4.2654619905713336</v>
      </c>
      <c r="CR146" s="48">
        <v>0</v>
      </c>
      <c r="CS146" s="48">
        <v>0</v>
      </c>
      <c r="CT146" s="48">
        <v>0</v>
      </c>
      <c r="CU146" s="48">
        <v>391.73709700515701</v>
      </c>
      <c r="CV146" s="48">
        <v>156.51101037877183</v>
      </c>
      <c r="CW146" s="48">
        <v>301.31409410101747</v>
      </c>
      <c r="CX146" s="48">
        <v>4163.6808378912383</v>
      </c>
      <c r="CY146" s="48">
        <v>1535.671946579416</v>
      </c>
      <c r="CZ146" s="48">
        <v>0</v>
      </c>
      <c r="DA146" s="48">
        <v>2.4804555524540945E-3</v>
      </c>
      <c r="DB146" s="48">
        <v>0</v>
      </c>
      <c r="DC146" s="48">
        <v>0</v>
      </c>
      <c r="DD146" s="48">
        <v>958.05207436099568</v>
      </c>
      <c r="DE146" s="48">
        <v>0</v>
      </c>
      <c r="DF146" s="48">
        <v>301.43309885463742</v>
      </c>
      <c r="DG146" s="48">
        <v>4.993992152617837</v>
      </c>
      <c r="DH146" s="48">
        <v>61.85834996562069</v>
      </c>
      <c r="DI146" s="48">
        <v>0</v>
      </c>
      <c r="DJ146" s="48">
        <v>299.54933794977291</v>
      </c>
      <c r="DK146" s="48">
        <v>0</v>
      </c>
      <c r="DL146" s="48">
        <v>2690.2537960291793</v>
      </c>
      <c r="DM146" s="48">
        <v>4272.4955112225207</v>
      </c>
      <c r="DN146" s="48">
        <v>6091.2990135591499</v>
      </c>
      <c r="DO146" s="48">
        <v>0</v>
      </c>
      <c r="DP146" s="48">
        <v>1928.3664162878886</v>
      </c>
      <c r="DQ146" s="48">
        <v>3585.4476877571592</v>
      </c>
      <c r="DR146" s="48">
        <v>655.95587563552203</v>
      </c>
      <c r="DS146" s="48">
        <v>2182.5514204586716</v>
      </c>
      <c r="DT146" s="48">
        <v>2829.9949964055404</v>
      </c>
      <c r="DU146" s="48">
        <v>0</v>
      </c>
      <c r="DV146" s="48">
        <v>79.360774335682791</v>
      </c>
      <c r="DW146" s="48">
        <v>61.310199751139578</v>
      </c>
      <c r="DX146" s="48">
        <v>0</v>
      </c>
      <c r="DY146" s="48">
        <v>0</v>
      </c>
      <c r="DZ146" s="48">
        <v>247.04285540113887</v>
      </c>
      <c r="EA146" s="48">
        <v>1301.3625853669105</v>
      </c>
      <c r="EB146" s="48">
        <v>543.27231642499726</v>
      </c>
      <c r="EC146" s="48">
        <v>93.603911459270265</v>
      </c>
      <c r="ED146" s="48">
        <v>0</v>
      </c>
      <c r="EE146" s="48">
        <v>0</v>
      </c>
      <c r="EF146" s="48">
        <v>0</v>
      </c>
      <c r="EG146" s="48">
        <v>0</v>
      </c>
      <c r="EH146" s="48">
        <v>0</v>
      </c>
      <c r="EI146" s="48">
        <v>0</v>
      </c>
      <c r="EJ146" s="48">
        <v>3.1481947441378271</v>
      </c>
      <c r="EK146" s="48">
        <v>0</v>
      </c>
      <c r="EL146" s="48">
        <v>852.4365257458918</v>
      </c>
      <c r="EM146" s="48">
        <v>169.49682931963676</v>
      </c>
      <c r="EN146" s="48">
        <v>988.9379798738214</v>
      </c>
      <c r="EO146" s="48">
        <v>9.2352832315843827</v>
      </c>
      <c r="EP146" s="48">
        <v>0</v>
      </c>
      <c r="EQ146" s="48">
        <v>433.34239531449367</v>
      </c>
      <c r="ER146" s="48">
        <v>7.304532335453244E-3</v>
      </c>
      <c r="ES146" s="48">
        <v>159.51053714902795</v>
      </c>
      <c r="ET146" s="48">
        <v>0</v>
      </c>
      <c r="EU146" s="48">
        <v>209.87182626396333</v>
      </c>
      <c r="EV146" s="48">
        <v>73.288355115311006</v>
      </c>
      <c r="EW146" s="48">
        <v>786.46719392033867</v>
      </c>
      <c r="EX146" s="48">
        <v>1527.4817044495744</v>
      </c>
      <c r="EY146" s="48">
        <v>132.13115307888134</v>
      </c>
      <c r="EZ146" s="48">
        <v>411.00815257656677</v>
      </c>
      <c r="FA146" s="48">
        <v>5.4397605251738481</v>
      </c>
      <c r="FB146" s="48">
        <v>358.94182456193056</v>
      </c>
      <c r="FC146" s="48">
        <v>535.03376244697131</v>
      </c>
      <c r="FD146" s="48">
        <v>721.04805155080589</v>
      </c>
      <c r="FE146" s="48">
        <v>0</v>
      </c>
      <c r="FF146" s="48">
        <v>0</v>
      </c>
      <c r="FG146" s="48">
        <v>786.1703241551287</v>
      </c>
      <c r="FH146" s="48">
        <v>379.95227096258526</v>
      </c>
      <c r="FI146" s="48">
        <v>0</v>
      </c>
      <c r="FJ146" s="48">
        <v>0</v>
      </c>
      <c r="FK146" s="48">
        <v>8.6333012847834123</v>
      </c>
      <c r="FL146" s="48">
        <v>0</v>
      </c>
      <c r="FM146" s="48">
        <v>2274.5564236287123</v>
      </c>
      <c r="FN146" s="48">
        <v>0</v>
      </c>
      <c r="FO146" s="48">
        <v>0</v>
      </c>
      <c r="FP146" s="48">
        <v>174.52686892822643</v>
      </c>
      <c r="FQ146" s="48">
        <v>9.3505875871910948</v>
      </c>
      <c r="FR146" s="48">
        <v>427.22211259233376</v>
      </c>
      <c r="FS146" s="48">
        <v>0</v>
      </c>
      <c r="FT146" s="48">
        <v>0</v>
      </c>
      <c r="FU146" s="48">
        <v>335.06380539689559</v>
      </c>
      <c r="FV146" s="48">
        <v>0</v>
      </c>
      <c r="FW146" s="48">
        <v>89.207508347298884</v>
      </c>
      <c r="FX146" s="48">
        <v>188.71609385759263</v>
      </c>
      <c r="FY146" s="48">
        <v>271.14657334457735</v>
      </c>
      <c r="FZ146" s="48">
        <v>5.8931986943082499</v>
      </c>
      <c r="GA146" s="48">
        <v>56.36069221401776</v>
      </c>
      <c r="GB146" s="48">
        <v>822.06196175205639</v>
      </c>
      <c r="GC146" s="48">
        <v>0</v>
      </c>
      <c r="GD146" s="48">
        <v>0</v>
      </c>
      <c r="GE146" s="48">
        <v>0</v>
      </c>
      <c r="GF146" s="48">
        <v>1.4921374651923913</v>
      </c>
      <c r="GG146" s="48">
        <v>1.4803235789462581</v>
      </c>
      <c r="GH146" s="48">
        <v>0.7385115307535125</v>
      </c>
      <c r="GI146" s="48">
        <v>0</v>
      </c>
      <c r="GJ146" s="48">
        <v>0</v>
      </c>
      <c r="GK146" s="48">
        <v>0</v>
      </c>
      <c r="GL146" s="48">
        <v>0</v>
      </c>
      <c r="GM146" s="48">
        <v>0</v>
      </c>
      <c r="GN146" s="48">
        <v>0</v>
      </c>
      <c r="GO146" s="48">
        <v>0</v>
      </c>
      <c r="GP146" s="48">
        <v>0</v>
      </c>
      <c r="GQ146" s="48">
        <v>0</v>
      </c>
      <c r="GR146" s="48">
        <v>0</v>
      </c>
      <c r="GS146" s="48">
        <v>0</v>
      </c>
      <c r="GT146" s="48">
        <v>0</v>
      </c>
      <c r="GU146" s="48">
        <v>0</v>
      </c>
      <c r="GV146" s="48">
        <v>0</v>
      </c>
      <c r="GW146" s="48">
        <v>0</v>
      </c>
      <c r="GX146" s="48">
        <v>0</v>
      </c>
      <c r="GY146" s="48">
        <v>0</v>
      </c>
      <c r="GZ146" s="48">
        <v>0</v>
      </c>
      <c r="HA146" s="48">
        <v>0</v>
      </c>
      <c r="HB146" s="48">
        <v>0.74160403394570229</v>
      </c>
      <c r="HC146" s="48">
        <v>1.4843625980429538</v>
      </c>
      <c r="HD146" s="48">
        <v>0</v>
      </c>
      <c r="HE146" s="48">
        <v>0</v>
      </c>
      <c r="HF146" s="48">
        <v>0</v>
      </c>
      <c r="HG146" s="48">
        <v>0</v>
      </c>
      <c r="HH146" s="48">
        <v>0</v>
      </c>
      <c r="HI146" s="48">
        <v>0</v>
      </c>
      <c r="HJ146" s="48">
        <v>2.20055339788171</v>
      </c>
      <c r="HK146" s="48">
        <v>0</v>
      </c>
      <c r="HL146" s="48">
        <v>0</v>
      </c>
      <c r="HM146" s="48">
        <v>0</v>
      </c>
      <c r="HN146" s="48">
        <v>0</v>
      </c>
      <c r="HO146" s="48">
        <v>0</v>
      </c>
      <c r="HP146" s="48">
        <v>0</v>
      </c>
      <c r="HQ146" s="48">
        <v>0</v>
      </c>
      <c r="HR146" s="48">
        <v>0</v>
      </c>
      <c r="HS146" s="48">
        <v>0</v>
      </c>
      <c r="HT146" s="48">
        <v>0</v>
      </c>
      <c r="HU146" s="48">
        <v>0</v>
      </c>
      <c r="HV146" s="48">
        <v>2275.9883771065292</v>
      </c>
      <c r="HW146" s="48">
        <v>4.4038503715669588</v>
      </c>
      <c r="HX146" s="48">
        <v>116.19677794523287</v>
      </c>
      <c r="HY146" s="48">
        <v>98.533988869076452</v>
      </c>
      <c r="HZ146" s="48">
        <v>146.27297536124763</v>
      </c>
      <c r="IA146" s="48">
        <v>41.141936873515213</v>
      </c>
      <c r="IB146" s="48">
        <v>2.20322300954538</v>
      </c>
      <c r="IC146" s="48">
        <v>41.282926516893554</v>
      </c>
      <c r="ID146" s="48">
        <v>25.766494793050402</v>
      </c>
      <c r="IE146" s="48">
        <v>17.654009091720113</v>
      </c>
      <c r="IF146" s="48">
        <v>2.2095156921202634</v>
      </c>
      <c r="IG146" s="48">
        <v>19.624055666959716</v>
      </c>
      <c r="IH146" s="48">
        <v>1.5632102179463903</v>
      </c>
      <c r="II146" s="48">
        <v>0</v>
      </c>
      <c r="IJ146" s="48">
        <v>4875.634092811546</v>
      </c>
      <c r="IK146" s="48">
        <v>81.85568505753578</v>
      </c>
      <c r="IL146" s="48">
        <v>204.55072789865588</v>
      </c>
      <c r="IM146" s="48">
        <v>246.55167435339749</v>
      </c>
      <c r="IN146" s="48">
        <v>130.32661007991695</v>
      </c>
      <c r="IO146" s="48">
        <v>0</v>
      </c>
      <c r="IP146" s="23">
        <v>60997.999999999593</v>
      </c>
      <c r="IQ146" s="25">
        <v>0</v>
      </c>
      <c r="IR146" s="25">
        <v>0</v>
      </c>
      <c r="IS146" s="26">
        <v>0</v>
      </c>
      <c r="IT146" s="26">
        <v>0</v>
      </c>
      <c r="IU146" s="26">
        <v>-6393</v>
      </c>
      <c r="IV146" s="9">
        <v>151802</v>
      </c>
      <c r="IW146" s="38">
        <f t="shared" si="13"/>
        <v>206406.99999999959</v>
      </c>
    </row>
    <row r="147" spans="1:257" ht="30" customHeight="1" x14ac:dyDescent="0.25">
      <c r="A147" s="112" t="b">
        <v>1</v>
      </c>
      <c r="B147" s="113" t="str">
        <f>IFERROR(VLOOKUP(C147,'Bridge matrix'!$D$3:$E$727,2,FALSE)='symmetric IOT 245 2012'!D147,"FALSCH")</f>
        <v>FALSCH</v>
      </c>
      <c r="C147" s="108">
        <v>136</v>
      </c>
      <c r="D147" s="49" t="s">
        <v>1454</v>
      </c>
      <c r="E147" s="48">
        <v>108862.90134189028</v>
      </c>
      <c r="F147" s="48">
        <v>13510.041130611242</v>
      </c>
      <c r="G147" s="48">
        <v>21682.884770292392</v>
      </c>
      <c r="H147" s="48">
        <v>36.876448160964458</v>
      </c>
      <c r="I147" s="48">
        <v>380.91832578431337</v>
      </c>
      <c r="J147" s="48">
        <v>1356.2912122529603</v>
      </c>
      <c r="K147" s="48">
        <v>3009.2199154312789</v>
      </c>
      <c r="L147" s="48">
        <v>101.2068455266199</v>
      </c>
      <c r="M147" s="48">
        <v>5.9985509367432659</v>
      </c>
      <c r="N147" s="48">
        <v>19.990013907807128</v>
      </c>
      <c r="O147" s="48">
        <v>134.11659660826922</v>
      </c>
      <c r="P147" s="48">
        <v>19.652318904960453</v>
      </c>
      <c r="Q147" s="48">
        <v>1.7081530670230147</v>
      </c>
      <c r="R147" s="48">
        <v>96.71191953231353</v>
      </c>
      <c r="S147" s="48">
        <v>0</v>
      </c>
      <c r="T147" s="48">
        <v>258.34601148927561</v>
      </c>
      <c r="U147" s="48">
        <v>31.756650063744001</v>
      </c>
      <c r="V147" s="48">
        <v>71.233738751762047</v>
      </c>
      <c r="W147" s="48">
        <v>108.95576356111171</v>
      </c>
      <c r="X147" s="48">
        <v>1.7123767375870429</v>
      </c>
      <c r="Y147" s="48">
        <v>49.790521416306184</v>
      </c>
      <c r="Z147" s="48">
        <v>132.1066123540526</v>
      </c>
      <c r="AA147" s="48">
        <v>9.4393556850678753</v>
      </c>
      <c r="AB147" s="48">
        <v>8.5777293381080923</v>
      </c>
      <c r="AC147" s="48">
        <v>2.5689397146176574</v>
      </c>
      <c r="AD147" s="48">
        <v>31.732046748138369</v>
      </c>
      <c r="AE147" s="48">
        <v>48.07767374869416</v>
      </c>
      <c r="AF147" s="48">
        <v>23.164151223902131</v>
      </c>
      <c r="AG147" s="48">
        <v>52.408101155615888</v>
      </c>
      <c r="AH147" s="48">
        <v>90.087933813034823</v>
      </c>
      <c r="AI147" s="48">
        <v>76.360580206024281</v>
      </c>
      <c r="AJ147" s="48">
        <v>48.916352791016529</v>
      </c>
      <c r="AK147" s="48">
        <v>144.9982471003639</v>
      </c>
      <c r="AL147" s="48">
        <v>47.186606489175084</v>
      </c>
      <c r="AM147" s="48">
        <v>4.2863932721206313</v>
      </c>
      <c r="AN147" s="48">
        <v>51.485461499391732</v>
      </c>
      <c r="AO147" s="48">
        <v>32.596201394655729</v>
      </c>
      <c r="AP147" s="48">
        <v>123.68356607614662</v>
      </c>
      <c r="AQ147" s="48">
        <v>48.91298788604103</v>
      </c>
      <c r="AR147" s="48">
        <v>79.792463005206969</v>
      </c>
      <c r="AS147" s="48">
        <v>69.781340980571414</v>
      </c>
      <c r="AT147" s="48">
        <v>666.93504222108538</v>
      </c>
      <c r="AU147" s="48">
        <v>85.099872582289834</v>
      </c>
      <c r="AV147" s="48">
        <v>40.432837684990623</v>
      </c>
      <c r="AW147" s="48">
        <v>25.118152528289844</v>
      </c>
      <c r="AX147" s="48">
        <v>1340.035064831595</v>
      </c>
      <c r="AY147" s="48">
        <v>221.09063783604603</v>
      </c>
      <c r="AZ147" s="48">
        <v>34.405502917525716</v>
      </c>
      <c r="BA147" s="48">
        <v>62.800117383161862</v>
      </c>
      <c r="BB147" s="48">
        <v>1392.2944893806978</v>
      </c>
      <c r="BC147" s="48">
        <v>231.87060503151702</v>
      </c>
      <c r="BD147" s="48">
        <v>0</v>
      </c>
      <c r="BE147" s="48">
        <v>0</v>
      </c>
      <c r="BF147" s="48">
        <v>0</v>
      </c>
      <c r="BG147" s="48">
        <v>0</v>
      </c>
      <c r="BH147" s="48">
        <v>0</v>
      </c>
      <c r="BI147" s="48">
        <v>0</v>
      </c>
      <c r="BJ147" s="48">
        <v>0</v>
      </c>
      <c r="BK147" s="48">
        <v>0</v>
      </c>
      <c r="BL147" s="48">
        <v>0</v>
      </c>
      <c r="BM147" s="48">
        <v>0</v>
      </c>
      <c r="BN147" s="48">
        <v>0</v>
      </c>
      <c r="BO147" s="48">
        <v>0</v>
      </c>
      <c r="BP147" s="48">
        <v>0</v>
      </c>
      <c r="BQ147" s="48">
        <v>19.563438123516381</v>
      </c>
      <c r="BR147" s="48">
        <v>0</v>
      </c>
      <c r="BS147" s="48">
        <v>0</v>
      </c>
      <c r="BT147" s="48">
        <v>0</v>
      </c>
      <c r="BU147" s="48">
        <v>5310.7673449445392</v>
      </c>
      <c r="BV147" s="48">
        <v>0</v>
      </c>
      <c r="BW147" s="48">
        <v>0</v>
      </c>
      <c r="BX147" s="48">
        <v>0</v>
      </c>
      <c r="BY147" s="48">
        <v>195.56146168690788</v>
      </c>
      <c r="BZ147" s="48">
        <v>141.76748429981504</v>
      </c>
      <c r="CA147" s="48">
        <v>0</v>
      </c>
      <c r="CB147" s="48">
        <v>0</v>
      </c>
      <c r="CC147" s="48">
        <v>0</v>
      </c>
      <c r="CD147" s="48">
        <v>0</v>
      </c>
      <c r="CE147" s="48">
        <v>0</v>
      </c>
      <c r="CF147" s="48">
        <v>0</v>
      </c>
      <c r="CG147" s="48">
        <v>0</v>
      </c>
      <c r="CH147" s="48">
        <v>0</v>
      </c>
      <c r="CI147" s="48">
        <v>9.9780452371433419E-4</v>
      </c>
      <c r="CJ147" s="48">
        <v>0</v>
      </c>
      <c r="CK147" s="48">
        <v>0</v>
      </c>
      <c r="CL147" s="48">
        <v>0</v>
      </c>
      <c r="CM147" s="48">
        <v>0</v>
      </c>
      <c r="CN147" s="48">
        <v>0</v>
      </c>
      <c r="CO147" s="48">
        <v>0</v>
      </c>
      <c r="CP147" s="48">
        <v>0</v>
      </c>
      <c r="CQ147" s="48">
        <v>0</v>
      </c>
      <c r="CR147" s="48">
        <v>1.0821848605815896E-4</v>
      </c>
      <c r="CS147" s="48">
        <v>0</v>
      </c>
      <c r="CT147" s="48">
        <v>0</v>
      </c>
      <c r="CU147" s="48">
        <v>0</v>
      </c>
      <c r="CV147" s="48">
        <v>0</v>
      </c>
      <c r="CW147" s="48">
        <v>0</v>
      </c>
      <c r="CX147" s="48">
        <v>0</v>
      </c>
      <c r="CY147" s="48">
        <v>0.11085919729143089</v>
      </c>
      <c r="CZ147" s="48">
        <v>8.2584707905035155E-3</v>
      </c>
      <c r="DA147" s="48">
        <v>0</v>
      </c>
      <c r="DB147" s="48">
        <v>0</v>
      </c>
      <c r="DC147" s="48">
        <v>0</v>
      </c>
      <c r="DD147" s="48">
        <v>3.5351000112981215E-2</v>
      </c>
      <c r="DE147" s="48">
        <v>0</v>
      </c>
      <c r="DF147" s="48">
        <v>0</v>
      </c>
      <c r="DG147" s="48">
        <v>0</v>
      </c>
      <c r="DH147" s="48">
        <v>0</v>
      </c>
      <c r="DI147" s="48">
        <v>0.22582090364639917</v>
      </c>
      <c r="DJ147" s="48">
        <v>2.2506027068579234E-2</v>
      </c>
      <c r="DK147" s="48">
        <v>0.15504067995200671</v>
      </c>
      <c r="DL147" s="48">
        <v>0</v>
      </c>
      <c r="DM147" s="48">
        <v>0</v>
      </c>
      <c r="DN147" s="48">
        <v>0</v>
      </c>
      <c r="DO147" s="48">
        <v>0</v>
      </c>
      <c r="DP147" s="48">
        <v>0</v>
      </c>
      <c r="DQ147" s="48">
        <v>0</v>
      </c>
      <c r="DR147" s="48">
        <v>6.4067409502130957E-5</v>
      </c>
      <c r="DS147" s="48">
        <v>0</v>
      </c>
      <c r="DT147" s="48">
        <v>0</v>
      </c>
      <c r="DU147" s="48">
        <v>0</v>
      </c>
      <c r="DV147" s="48">
        <v>0</v>
      </c>
      <c r="DW147" s="48">
        <v>0</v>
      </c>
      <c r="DX147" s="48">
        <v>0</v>
      </c>
      <c r="DY147" s="48">
        <v>2.4457903475280466E-10</v>
      </c>
      <c r="DZ147" s="48">
        <v>0</v>
      </c>
      <c r="EA147" s="48">
        <v>0</v>
      </c>
      <c r="EB147" s="48">
        <v>6.8081608791393459E-4</v>
      </c>
      <c r="EC147" s="48">
        <v>1.9690771005588461E-5</v>
      </c>
      <c r="ED147" s="48">
        <v>0</v>
      </c>
      <c r="EE147" s="48">
        <v>0</v>
      </c>
      <c r="EF147" s="48">
        <v>0</v>
      </c>
      <c r="EG147" s="48">
        <v>0</v>
      </c>
      <c r="EH147" s="48">
        <v>0</v>
      </c>
      <c r="EI147" s="48">
        <v>0</v>
      </c>
      <c r="EJ147" s="48">
        <v>0</v>
      </c>
      <c r="EK147" s="48">
        <v>0</v>
      </c>
      <c r="EL147" s="48">
        <v>0</v>
      </c>
      <c r="EM147" s="48">
        <v>3.7896270751537457E-4</v>
      </c>
      <c r="EN147" s="48">
        <v>2.210478022954166E-3</v>
      </c>
      <c r="EO147" s="48">
        <v>0</v>
      </c>
      <c r="EP147" s="48">
        <v>1.3485841590088619E-7</v>
      </c>
      <c r="EQ147" s="48">
        <v>0</v>
      </c>
      <c r="ER147" s="48">
        <v>1.6991351538480695E-5</v>
      </c>
      <c r="ES147" s="48">
        <v>2.9712016232772473E-7</v>
      </c>
      <c r="ET147" s="48">
        <v>0</v>
      </c>
      <c r="EU147" s="48">
        <v>0</v>
      </c>
      <c r="EV147" s="48">
        <v>0</v>
      </c>
      <c r="EW147" s="48">
        <v>0</v>
      </c>
      <c r="EX147" s="48">
        <v>1.7029728520833584E-4</v>
      </c>
      <c r="EY147" s="48">
        <v>1.1205960182495316E-8</v>
      </c>
      <c r="EZ147" s="48">
        <v>0</v>
      </c>
      <c r="FA147" s="48">
        <v>4.3054118344896357E-9</v>
      </c>
      <c r="FB147" s="48">
        <v>1.1803566452130718E-10</v>
      </c>
      <c r="FC147" s="48">
        <v>0</v>
      </c>
      <c r="FD147" s="48">
        <v>0</v>
      </c>
      <c r="FE147" s="48">
        <v>0</v>
      </c>
      <c r="FF147" s="48">
        <v>0</v>
      </c>
      <c r="FG147" s="48">
        <v>0</v>
      </c>
      <c r="FH147" s="48">
        <v>0</v>
      </c>
      <c r="FI147" s="48">
        <v>0</v>
      </c>
      <c r="FJ147" s="48">
        <v>0</v>
      </c>
      <c r="FK147" s="48">
        <v>0</v>
      </c>
      <c r="FL147" s="48">
        <v>0</v>
      </c>
      <c r="FM147" s="48">
        <v>2.251297080158755E-5</v>
      </c>
      <c r="FN147" s="48">
        <v>0</v>
      </c>
      <c r="FO147" s="48">
        <v>0</v>
      </c>
      <c r="FP147" s="48">
        <v>9.5812989039384703E-4</v>
      </c>
      <c r="FQ147" s="48">
        <v>1.7432880853424848E-9</v>
      </c>
      <c r="FR147" s="48">
        <v>0</v>
      </c>
      <c r="FS147" s="48">
        <v>0</v>
      </c>
      <c r="FT147" s="48">
        <v>0</v>
      </c>
      <c r="FU147" s="48">
        <v>0</v>
      </c>
      <c r="FV147" s="48">
        <v>7.9959622255808781E-10</v>
      </c>
      <c r="FW147" s="48">
        <v>0</v>
      </c>
      <c r="FX147" s="48">
        <v>0</v>
      </c>
      <c r="FY147" s="48">
        <v>0</v>
      </c>
      <c r="FZ147" s="48">
        <v>0</v>
      </c>
      <c r="GA147" s="48">
        <v>0</v>
      </c>
      <c r="GB147" s="48">
        <v>0</v>
      </c>
      <c r="GC147" s="48">
        <v>0</v>
      </c>
      <c r="GD147" s="48">
        <v>0</v>
      </c>
      <c r="GE147" s="48">
        <v>0</v>
      </c>
      <c r="GF147" s="48">
        <v>4.3215092625413858</v>
      </c>
      <c r="GG147" s="48">
        <v>0</v>
      </c>
      <c r="GH147" s="48">
        <v>0</v>
      </c>
      <c r="GI147" s="48">
        <v>0</v>
      </c>
      <c r="GJ147" s="48">
        <v>0</v>
      </c>
      <c r="GK147" s="48">
        <v>0</v>
      </c>
      <c r="GL147" s="48">
        <v>0</v>
      </c>
      <c r="GM147" s="48">
        <v>0</v>
      </c>
      <c r="GN147" s="48">
        <v>0</v>
      </c>
      <c r="GO147" s="48">
        <v>0</v>
      </c>
      <c r="GP147" s="48">
        <v>0</v>
      </c>
      <c r="GQ147" s="48">
        <v>0</v>
      </c>
      <c r="GR147" s="48">
        <v>0</v>
      </c>
      <c r="GS147" s="48">
        <v>0</v>
      </c>
      <c r="GT147" s="48">
        <v>0</v>
      </c>
      <c r="GU147" s="48">
        <v>0</v>
      </c>
      <c r="GV147" s="48">
        <v>0</v>
      </c>
      <c r="GW147" s="48">
        <v>0</v>
      </c>
      <c r="GX147" s="48">
        <v>0</v>
      </c>
      <c r="GY147" s="48">
        <v>0</v>
      </c>
      <c r="GZ147" s="48">
        <v>0</v>
      </c>
      <c r="HA147" s="48">
        <v>0</v>
      </c>
      <c r="HB147" s="48">
        <v>0</v>
      </c>
      <c r="HC147" s="48">
        <v>0</v>
      </c>
      <c r="HD147" s="48">
        <v>0</v>
      </c>
      <c r="HE147" s="48">
        <v>0</v>
      </c>
      <c r="HF147" s="48">
        <v>0</v>
      </c>
      <c r="HG147" s="48">
        <v>0</v>
      </c>
      <c r="HH147" s="48">
        <v>0</v>
      </c>
      <c r="HI147" s="48">
        <v>0</v>
      </c>
      <c r="HJ147" s="48">
        <v>0</v>
      </c>
      <c r="HK147" s="48">
        <v>0</v>
      </c>
      <c r="HL147" s="48">
        <v>0</v>
      </c>
      <c r="HM147" s="48">
        <v>0</v>
      </c>
      <c r="HN147" s="48">
        <v>0</v>
      </c>
      <c r="HO147" s="48">
        <v>0</v>
      </c>
      <c r="HP147" s="48">
        <v>0</v>
      </c>
      <c r="HQ147" s="48">
        <v>0</v>
      </c>
      <c r="HR147" s="48">
        <v>0</v>
      </c>
      <c r="HS147" s="48">
        <v>0</v>
      </c>
      <c r="HT147" s="48">
        <v>0</v>
      </c>
      <c r="HU147" s="48">
        <v>0</v>
      </c>
      <c r="HV147" s="48">
        <v>235.95218779970875</v>
      </c>
      <c r="HW147" s="48">
        <v>0</v>
      </c>
      <c r="HX147" s="48">
        <v>0</v>
      </c>
      <c r="HY147" s="48">
        <v>0</v>
      </c>
      <c r="HZ147" s="48">
        <v>0</v>
      </c>
      <c r="IA147" s="48">
        <v>0</v>
      </c>
      <c r="IB147" s="48">
        <v>0</v>
      </c>
      <c r="IC147" s="48">
        <v>0</v>
      </c>
      <c r="ID147" s="48">
        <v>0</v>
      </c>
      <c r="IE147" s="48">
        <v>0</v>
      </c>
      <c r="IF147" s="48">
        <v>0</v>
      </c>
      <c r="IG147" s="48">
        <v>0</v>
      </c>
      <c r="IH147" s="48">
        <v>0</v>
      </c>
      <c r="II147" s="48">
        <v>0</v>
      </c>
      <c r="IJ147" s="48">
        <v>0</v>
      </c>
      <c r="IK147" s="48">
        <v>79.468375313082674</v>
      </c>
      <c r="IL147" s="48">
        <v>138.94100705033696</v>
      </c>
      <c r="IM147" s="48">
        <v>166.82458487560783</v>
      </c>
      <c r="IN147" s="48">
        <v>88.711470138164415</v>
      </c>
      <c r="IO147" s="48">
        <v>0</v>
      </c>
      <c r="IP147" s="23">
        <v>161348.99999999916</v>
      </c>
      <c r="IQ147" s="25">
        <v>31762</v>
      </c>
      <c r="IR147" s="25">
        <v>0</v>
      </c>
      <c r="IS147" s="26">
        <v>0</v>
      </c>
      <c r="IT147" s="26">
        <v>0</v>
      </c>
      <c r="IU147" s="26">
        <v>-5609</v>
      </c>
      <c r="IV147" s="9">
        <v>18890</v>
      </c>
      <c r="IW147" s="38">
        <f t="shared" si="13"/>
        <v>206391.99999999916</v>
      </c>
    </row>
    <row r="148" spans="1:257" ht="30" customHeight="1" x14ac:dyDescent="0.25">
      <c r="A148" s="112" t="b">
        <v>1</v>
      </c>
      <c r="B148" s="113" t="str">
        <f>IFERROR(VLOOKUP(C148,'Bridge matrix'!$D$3:$E$727,2,FALSE)='symmetric IOT 245 2012'!D148,"FALSCH")</f>
        <v>FALSCH</v>
      </c>
      <c r="C148" s="108">
        <v>137</v>
      </c>
      <c r="D148" s="49" t="s">
        <v>1455</v>
      </c>
      <c r="E148" s="48">
        <v>0</v>
      </c>
      <c r="F148" s="48">
        <v>0</v>
      </c>
      <c r="G148" s="48">
        <v>0</v>
      </c>
      <c r="H148" s="48">
        <v>0</v>
      </c>
      <c r="I148" s="48">
        <v>0</v>
      </c>
      <c r="J148" s="48">
        <v>0</v>
      </c>
      <c r="K148" s="48">
        <v>0</v>
      </c>
      <c r="L148" s="48">
        <v>0</v>
      </c>
      <c r="M148" s="48">
        <v>0</v>
      </c>
      <c r="N148" s="48">
        <v>0</v>
      </c>
      <c r="O148" s="48">
        <v>0</v>
      </c>
      <c r="P148" s="48">
        <v>0</v>
      </c>
      <c r="Q148" s="48">
        <v>0</v>
      </c>
      <c r="R148" s="48">
        <v>0</v>
      </c>
      <c r="S148" s="48">
        <v>0</v>
      </c>
      <c r="T148" s="48">
        <v>0</v>
      </c>
      <c r="U148" s="48">
        <v>0</v>
      </c>
      <c r="V148" s="48">
        <v>0</v>
      </c>
      <c r="W148" s="48">
        <v>0</v>
      </c>
      <c r="X148" s="48">
        <v>0</v>
      </c>
      <c r="Y148" s="48">
        <v>0</v>
      </c>
      <c r="Z148" s="48">
        <v>0</v>
      </c>
      <c r="AA148" s="48">
        <v>0</v>
      </c>
      <c r="AB148" s="48">
        <v>0</v>
      </c>
      <c r="AC148" s="48">
        <v>0</v>
      </c>
      <c r="AD148" s="48">
        <v>0</v>
      </c>
      <c r="AE148" s="48">
        <v>0</v>
      </c>
      <c r="AF148" s="48">
        <v>0</v>
      </c>
      <c r="AG148" s="48">
        <v>0</v>
      </c>
      <c r="AH148" s="48">
        <v>0</v>
      </c>
      <c r="AI148" s="48">
        <v>0</v>
      </c>
      <c r="AJ148" s="48">
        <v>0</v>
      </c>
      <c r="AK148" s="48">
        <v>0</v>
      </c>
      <c r="AL148" s="48">
        <v>0</v>
      </c>
      <c r="AM148" s="48">
        <v>0</v>
      </c>
      <c r="AN148" s="48">
        <v>0</v>
      </c>
      <c r="AO148" s="48">
        <v>0</v>
      </c>
      <c r="AP148" s="48">
        <v>0</v>
      </c>
      <c r="AQ148" s="48">
        <v>0</v>
      </c>
      <c r="AR148" s="48">
        <v>0</v>
      </c>
      <c r="AS148" s="48">
        <v>0</v>
      </c>
      <c r="AT148" s="48">
        <v>0</v>
      </c>
      <c r="AU148" s="48">
        <v>0</v>
      </c>
      <c r="AV148" s="48">
        <v>0</v>
      </c>
      <c r="AW148" s="48">
        <v>0</v>
      </c>
      <c r="AX148" s="48">
        <v>0</v>
      </c>
      <c r="AY148" s="48">
        <v>0</v>
      </c>
      <c r="AZ148" s="48">
        <v>0</v>
      </c>
      <c r="BA148" s="48">
        <v>0</v>
      </c>
      <c r="BB148" s="48">
        <v>0</v>
      </c>
      <c r="BC148" s="48">
        <v>0</v>
      </c>
      <c r="BD148" s="48">
        <v>0</v>
      </c>
      <c r="BE148" s="48">
        <v>0</v>
      </c>
      <c r="BF148" s="48">
        <v>0</v>
      </c>
      <c r="BG148" s="48">
        <v>0</v>
      </c>
      <c r="BH148" s="48">
        <v>0</v>
      </c>
      <c r="BI148" s="48">
        <v>0</v>
      </c>
      <c r="BJ148" s="48">
        <v>0</v>
      </c>
      <c r="BK148" s="48">
        <v>0</v>
      </c>
      <c r="BL148" s="48">
        <v>0</v>
      </c>
      <c r="BM148" s="48">
        <v>0</v>
      </c>
      <c r="BN148" s="48">
        <v>0</v>
      </c>
      <c r="BO148" s="48">
        <v>0</v>
      </c>
      <c r="BP148" s="48">
        <v>0</v>
      </c>
      <c r="BQ148" s="48">
        <v>0</v>
      </c>
      <c r="BR148" s="48">
        <v>0</v>
      </c>
      <c r="BS148" s="48">
        <v>0</v>
      </c>
      <c r="BT148" s="48">
        <v>0</v>
      </c>
      <c r="BU148" s="48">
        <v>0</v>
      </c>
      <c r="BV148" s="48">
        <v>0</v>
      </c>
      <c r="BW148" s="48">
        <v>0</v>
      </c>
      <c r="BX148" s="48">
        <v>0</v>
      </c>
      <c r="BY148" s="48">
        <v>0</v>
      </c>
      <c r="BZ148" s="48">
        <v>0</v>
      </c>
      <c r="CA148" s="48">
        <v>3235.6567087026147</v>
      </c>
      <c r="CB148" s="48">
        <v>10.867299847083938</v>
      </c>
      <c r="CC148" s="48">
        <v>33358.609565301922</v>
      </c>
      <c r="CD148" s="48">
        <v>0</v>
      </c>
      <c r="CE148" s="48">
        <v>0</v>
      </c>
      <c r="CF148" s="48">
        <v>0</v>
      </c>
      <c r="CG148" s="48">
        <v>0</v>
      </c>
      <c r="CH148" s="48">
        <v>0</v>
      </c>
      <c r="CI148" s="48">
        <v>7.0296889345848461</v>
      </c>
      <c r="CJ148" s="48">
        <v>6.5991173040664473</v>
      </c>
      <c r="CK148" s="48">
        <v>0.77601637115454114</v>
      </c>
      <c r="CL148" s="48">
        <v>4.247646049075148</v>
      </c>
      <c r="CM148" s="48">
        <v>2.3414605783614735</v>
      </c>
      <c r="CN148" s="48">
        <v>0.57287986224885945</v>
      </c>
      <c r="CO148" s="48">
        <v>0</v>
      </c>
      <c r="CP148" s="48">
        <v>0</v>
      </c>
      <c r="CQ148" s="48">
        <v>0</v>
      </c>
      <c r="CR148" s="48">
        <v>0</v>
      </c>
      <c r="CS148" s="48">
        <v>0</v>
      </c>
      <c r="CT148" s="48">
        <v>7.6435596543551331E-4</v>
      </c>
      <c r="CU148" s="48">
        <v>0</v>
      </c>
      <c r="CV148" s="48">
        <v>22.49574048991547</v>
      </c>
      <c r="CW148" s="48">
        <v>0</v>
      </c>
      <c r="CX148" s="48">
        <v>888.35047568389427</v>
      </c>
      <c r="CY148" s="48">
        <v>0</v>
      </c>
      <c r="CZ148" s="48">
        <v>0</v>
      </c>
      <c r="DA148" s="48">
        <v>1.2778715290396438E-5</v>
      </c>
      <c r="DB148" s="48">
        <v>0</v>
      </c>
      <c r="DC148" s="48">
        <v>3.4231580107837604E-4</v>
      </c>
      <c r="DD148" s="48">
        <v>9.6404496056676585</v>
      </c>
      <c r="DE148" s="48">
        <v>0</v>
      </c>
      <c r="DF148" s="48">
        <v>0</v>
      </c>
      <c r="DG148" s="48">
        <v>0</v>
      </c>
      <c r="DH148" s="48">
        <v>0</v>
      </c>
      <c r="DI148" s="48">
        <v>0</v>
      </c>
      <c r="DJ148" s="48">
        <v>0</v>
      </c>
      <c r="DK148" s="48">
        <v>0</v>
      </c>
      <c r="DL148" s="48">
        <v>13.859545793655705</v>
      </c>
      <c r="DM148" s="48">
        <v>0</v>
      </c>
      <c r="DN148" s="48">
        <v>104.45302898285469</v>
      </c>
      <c r="DO148" s="48">
        <v>0</v>
      </c>
      <c r="DP148" s="48">
        <v>0</v>
      </c>
      <c r="DQ148" s="48">
        <v>0</v>
      </c>
      <c r="DR148" s="48">
        <v>0</v>
      </c>
      <c r="DS148" s="48">
        <v>341.82664570544</v>
      </c>
      <c r="DT148" s="48">
        <v>0</v>
      </c>
      <c r="DU148" s="48">
        <v>0</v>
      </c>
      <c r="DV148" s="48">
        <v>0</v>
      </c>
      <c r="DW148" s="48">
        <v>7791.4236374523316</v>
      </c>
      <c r="DX148" s="48">
        <v>5604.6003932797676</v>
      </c>
      <c r="DY148" s="48">
        <v>1.4142609124803677E-2</v>
      </c>
      <c r="DZ148" s="48">
        <v>0</v>
      </c>
      <c r="EA148" s="48">
        <v>96.175888744122048</v>
      </c>
      <c r="EB148" s="48">
        <v>4505.0535636325294</v>
      </c>
      <c r="EC148" s="48">
        <v>0</v>
      </c>
      <c r="ED148" s="48">
        <v>1.5597599527958068</v>
      </c>
      <c r="EE148" s="48">
        <v>0.77932895433174443</v>
      </c>
      <c r="EF148" s="48">
        <v>1.6110791491315919</v>
      </c>
      <c r="EG148" s="48">
        <v>0.78312833877167909</v>
      </c>
      <c r="EH148" s="48">
        <v>0</v>
      </c>
      <c r="EI148" s="48">
        <v>1028.0325027564709</v>
      </c>
      <c r="EJ148" s="48">
        <v>19575.473189713022</v>
      </c>
      <c r="EK148" s="48">
        <v>0</v>
      </c>
      <c r="EL148" s="48">
        <v>0</v>
      </c>
      <c r="EM148" s="48">
        <v>0</v>
      </c>
      <c r="EN148" s="48">
        <v>0</v>
      </c>
      <c r="EO148" s="48">
        <v>0</v>
      </c>
      <c r="EP148" s="48">
        <v>0</v>
      </c>
      <c r="EQ148" s="48">
        <v>8.9120306575125152</v>
      </c>
      <c r="ER148" s="48">
        <v>3383.133724916036</v>
      </c>
      <c r="ES148" s="48">
        <v>375.16911409108388</v>
      </c>
      <c r="ET148" s="48">
        <v>8042.4260144374693</v>
      </c>
      <c r="EU148" s="48">
        <v>27.177483271054552</v>
      </c>
      <c r="EV148" s="48">
        <v>72.689070774670611</v>
      </c>
      <c r="EW148" s="48">
        <v>0</v>
      </c>
      <c r="EX148" s="48">
        <v>7108.6609993130696</v>
      </c>
      <c r="EY148" s="48">
        <v>5.334390601449317</v>
      </c>
      <c r="EZ148" s="48">
        <v>136.6291228099299</v>
      </c>
      <c r="FA148" s="48">
        <v>0.27246520678393282</v>
      </c>
      <c r="FB148" s="48">
        <v>0</v>
      </c>
      <c r="FC148" s="48">
        <v>389.38153042295528</v>
      </c>
      <c r="FD148" s="48">
        <v>0</v>
      </c>
      <c r="FE148" s="48">
        <v>428.63045834707464</v>
      </c>
      <c r="FF148" s="48">
        <v>8.4821943478985684</v>
      </c>
      <c r="FG148" s="48">
        <v>30.77514919112825</v>
      </c>
      <c r="FH148" s="48">
        <v>1207.5824875185947</v>
      </c>
      <c r="FI148" s="48">
        <v>118.64506992430583</v>
      </c>
      <c r="FJ148" s="48">
        <v>0</v>
      </c>
      <c r="FK148" s="48">
        <v>44.642205780502607</v>
      </c>
      <c r="FL148" s="48">
        <v>0</v>
      </c>
      <c r="FM148" s="48">
        <v>835.85641960679413</v>
      </c>
      <c r="FN148" s="48">
        <v>0</v>
      </c>
      <c r="FO148" s="48">
        <v>0</v>
      </c>
      <c r="FP148" s="48">
        <v>4257.9932773788541</v>
      </c>
      <c r="FQ148" s="48">
        <v>140.06818806190367</v>
      </c>
      <c r="FR148" s="48">
        <v>6026.1745502127105</v>
      </c>
      <c r="FS148" s="48">
        <v>1413.4504179249097</v>
      </c>
      <c r="FT148" s="48">
        <v>0</v>
      </c>
      <c r="FU148" s="48">
        <v>2507.5397792697695</v>
      </c>
      <c r="FV148" s="48">
        <v>0</v>
      </c>
      <c r="FW148" s="48">
        <v>0</v>
      </c>
      <c r="FX148" s="48">
        <v>0</v>
      </c>
      <c r="FY148" s="48">
        <v>0</v>
      </c>
      <c r="FZ148" s="48">
        <v>0</v>
      </c>
      <c r="GA148" s="48">
        <v>0</v>
      </c>
      <c r="GB148" s="48">
        <v>170.68037475268463</v>
      </c>
      <c r="GC148" s="48">
        <v>0</v>
      </c>
      <c r="GD148" s="48">
        <v>0</v>
      </c>
      <c r="GE148" s="48">
        <v>0</v>
      </c>
      <c r="GF148" s="48">
        <v>1.5734057972809783</v>
      </c>
      <c r="GG148" s="48">
        <v>0</v>
      </c>
      <c r="GH148" s="48">
        <v>0</v>
      </c>
      <c r="GI148" s="48">
        <v>0</v>
      </c>
      <c r="GJ148" s="48">
        <v>0</v>
      </c>
      <c r="GK148" s="48">
        <v>0</v>
      </c>
      <c r="GL148" s="48">
        <v>0</v>
      </c>
      <c r="GM148" s="48">
        <v>0</v>
      </c>
      <c r="GN148" s="48">
        <v>0</v>
      </c>
      <c r="GO148" s="48">
        <v>0</v>
      </c>
      <c r="GP148" s="48">
        <v>0</v>
      </c>
      <c r="GQ148" s="48">
        <v>0</v>
      </c>
      <c r="GR148" s="48">
        <v>0</v>
      </c>
      <c r="GS148" s="48">
        <v>0</v>
      </c>
      <c r="GT148" s="48">
        <v>4.4622618362629975E-6</v>
      </c>
      <c r="GU148" s="48">
        <v>0</v>
      </c>
      <c r="GV148" s="48">
        <v>0</v>
      </c>
      <c r="GW148" s="48">
        <v>0</v>
      </c>
      <c r="GX148" s="48">
        <v>6.5239367033338193E-4</v>
      </c>
      <c r="GY148" s="48">
        <v>0</v>
      </c>
      <c r="GZ148" s="48">
        <v>0</v>
      </c>
      <c r="HA148" s="48">
        <v>0</v>
      </c>
      <c r="HB148" s="48">
        <v>0</v>
      </c>
      <c r="HC148" s="48">
        <v>0</v>
      </c>
      <c r="HD148" s="48">
        <v>0</v>
      </c>
      <c r="HE148" s="48">
        <v>0</v>
      </c>
      <c r="HF148" s="48">
        <v>0</v>
      </c>
      <c r="HG148" s="48">
        <v>0</v>
      </c>
      <c r="HH148" s="48">
        <v>0</v>
      </c>
      <c r="HI148" s="48">
        <v>0</v>
      </c>
      <c r="HJ148" s="48">
        <v>0</v>
      </c>
      <c r="HK148" s="48">
        <v>0</v>
      </c>
      <c r="HL148" s="48">
        <v>0</v>
      </c>
      <c r="HM148" s="48">
        <v>0</v>
      </c>
      <c r="HN148" s="48">
        <v>0</v>
      </c>
      <c r="HO148" s="48">
        <v>0</v>
      </c>
      <c r="HP148" s="48">
        <v>0</v>
      </c>
      <c r="HQ148" s="48">
        <v>0</v>
      </c>
      <c r="HR148" s="48">
        <v>0</v>
      </c>
      <c r="HS148" s="48">
        <v>0</v>
      </c>
      <c r="HT148" s="48">
        <v>0</v>
      </c>
      <c r="HU148" s="48">
        <v>0</v>
      </c>
      <c r="HV148" s="48">
        <v>0</v>
      </c>
      <c r="HW148" s="48">
        <v>0</v>
      </c>
      <c r="HX148" s="48">
        <v>0</v>
      </c>
      <c r="HY148" s="48">
        <v>0</v>
      </c>
      <c r="HZ148" s="48">
        <v>0</v>
      </c>
      <c r="IA148" s="48">
        <v>0</v>
      </c>
      <c r="IB148" s="48">
        <v>0</v>
      </c>
      <c r="IC148" s="48">
        <v>0</v>
      </c>
      <c r="ID148" s="48">
        <v>0</v>
      </c>
      <c r="IE148" s="48">
        <v>0</v>
      </c>
      <c r="IF148" s="48">
        <v>0</v>
      </c>
      <c r="IG148" s="48">
        <v>0</v>
      </c>
      <c r="IH148" s="48">
        <v>0</v>
      </c>
      <c r="II148" s="48">
        <v>0</v>
      </c>
      <c r="IJ148" s="48">
        <v>0</v>
      </c>
      <c r="IK148" s="48">
        <v>0.28541528184285925</v>
      </c>
      <c r="IL148" s="48">
        <v>0</v>
      </c>
      <c r="IM148" s="48">
        <v>0</v>
      </c>
      <c r="IN148" s="48">
        <v>0</v>
      </c>
      <c r="IO148" s="48">
        <v>0</v>
      </c>
      <c r="IP148" s="23">
        <v>113354.99999999964</v>
      </c>
      <c r="IQ148" s="25">
        <v>0</v>
      </c>
      <c r="IR148" s="25">
        <v>0</v>
      </c>
      <c r="IS148" s="26">
        <v>0</v>
      </c>
      <c r="IT148" s="26">
        <v>0</v>
      </c>
      <c r="IU148" s="26">
        <v>-48542</v>
      </c>
      <c r="IV148" s="9">
        <v>18168</v>
      </c>
      <c r="IW148" s="38">
        <f t="shared" si="13"/>
        <v>82980.999999999636</v>
      </c>
    </row>
    <row r="149" spans="1:257" ht="30" customHeight="1" x14ac:dyDescent="0.25">
      <c r="A149" s="112" t="b">
        <v>0</v>
      </c>
      <c r="B149" s="113" t="str">
        <f>IFERROR(VLOOKUP(C149,'Bridge matrix'!$D$3:$E$727,2,FALSE)='symmetric IOT 245 2012'!D149,"FALSCH")</f>
        <v>FALSCH</v>
      </c>
      <c r="C149" s="108">
        <v>138</v>
      </c>
      <c r="D149" s="49" t="s">
        <v>1456</v>
      </c>
      <c r="E149" s="48">
        <v>0</v>
      </c>
      <c r="F149" s="48">
        <v>0</v>
      </c>
      <c r="G149" s="48">
        <v>0</v>
      </c>
      <c r="H149" s="48">
        <v>0</v>
      </c>
      <c r="I149" s="48">
        <v>0</v>
      </c>
      <c r="J149" s="48">
        <v>0</v>
      </c>
      <c r="K149" s="48">
        <v>0</v>
      </c>
      <c r="L149" s="48">
        <v>0</v>
      </c>
      <c r="M149" s="48">
        <v>0</v>
      </c>
      <c r="N149" s="48">
        <v>0</v>
      </c>
      <c r="O149" s="48">
        <v>0</v>
      </c>
      <c r="P149" s="48">
        <v>0</v>
      </c>
      <c r="Q149" s="48">
        <v>0</v>
      </c>
      <c r="R149" s="48">
        <v>0</v>
      </c>
      <c r="S149" s="48">
        <v>0</v>
      </c>
      <c r="T149" s="48">
        <v>0</v>
      </c>
      <c r="U149" s="48">
        <v>0</v>
      </c>
      <c r="V149" s="48">
        <v>0</v>
      </c>
      <c r="W149" s="48">
        <v>0</v>
      </c>
      <c r="X149" s="48">
        <v>0</v>
      </c>
      <c r="Y149" s="48">
        <v>0</v>
      </c>
      <c r="Z149" s="48">
        <v>0</v>
      </c>
      <c r="AA149" s="48">
        <v>0</v>
      </c>
      <c r="AB149" s="48">
        <v>0</v>
      </c>
      <c r="AC149" s="48">
        <v>0</v>
      </c>
      <c r="AD149" s="48">
        <v>0</v>
      </c>
      <c r="AE149" s="48">
        <v>0</v>
      </c>
      <c r="AF149" s="48">
        <v>0</v>
      </c>
      <c r="AG149" s="48">
        <v>0</v>
      </c>
      <c r="AH149" s="48">
        <v>0</v>
      </c>
      <c r="AI149" s="48">
        <v>0</v>
      </c>
      <c r="AJ149" s="48">
        <v>0</v>
      </c>
      <c r="AK149" s="48">
        <v>0</v>
      </c>
      <c r="AL149" s="48">
        <v>0</v>
      </c>
      <c r="AM149" s="48">
        <v>0</v>
      </c>
      <c r="AN149" s="48">
        <v>0</v>
      </c>
      <c r="AO149" s="48">
        <v>0</v>
      </c>
      <c r="AP149" s="48">
        <v>0</v>
      </c>
      <c r="AQ149" s="48">
        <v>0</v>
      </c>
      <c r="AR149" s="48">
        <v>0</v>
      </c>
      <c r="AS149" s="48">
        <v>0</v>
      </c>
      <c r="AT149" s="48">
        <v>0</v>
      </c>
      <c r="AU149" s="48">
        <v>0</v>
      </c>
      <c r="AV149" s="48">
        <v>0</v>
      </c>
      <c r="AW149" s="48">
        <v>0</v>
      </c>
      <c r="AX149" s="48">
        <v>0</v>
      </c>
      <c r="AY149" s="48">
        <v>0</v>
      </c>
      <c r="AZ149" s="48">
        <v>0</v>
      </c>
      <c r="BA149" s="48">
        <v>0</v>
      </c>
      <c r="BB149" s="48">
        <v>0</v>
      </c>
      <c r="BC149" s="48">
        <v>0</v>
      </c>
      <c r="BD149" s="48">
        <v>0</v>
      </c>
      <c r="BE149" s="48">
        <v>0</v>
      </c>
      <c r="BF149" s="48">
        <v>0</v>
      </c>
      <c r="BG149" s="48">
        <v>0</v>
      </c>
      <c r="BH149" s="48">
        <v>0</v>
      </c>
      <c r="BI149" s="48">
        <v>0</v>
      </c>
      <c r="BJ149" s="48">
        <v>0</v>
      </c>
      <c r="BK149" s="48">
        <v>0</v>
      </c>
      <c r="BL149" s="48">
        <v>0</v>
      </c>
      <c r="BM149" s="48">
        <v>0</v>
      </c>
      <c r="BN149" s="48">
        <v>0</v>
      </c>
      <c r="BO149" s="48">
        <v>0</v>
      </c>
      <c r="BP149" s="48">
        <v>0</v>
      </c>
      <c r="BQ149" s="48">
        <v>0</v>
      </c>
      <c r="BR149" s="48">
        <v>0</v>
      </c>
      <c r="BS149" s="48">
        <v>0</v>
      </c>
      <c r="BT149" s="48">
        <v>0</v>
      </c>
      <c r="BU149" s="48">
        <v>0</v>
      </c>
      <c r="BV149" s="48">
        <v>0</v>
      </c>
      <c r="BW149" s="48">
        <v>0</v>
      </c>
      <c r="BX149" s="48">
        <v>0</v>
      </c>
      <c r="BY149" s="48">
        <v>0</v>
      </c>
      <c r="BZ149" s="48">
        <v>0</v>
      </c>
      <c r="CA149" s="48">
        <v>1987.4326858861755</v>
      </c>
      <c r="CB149" s="48">
        <v>6.9124190122920002</v>
      </c>
      <c r="CC149" s="48">
        <v>0</v>
      </c>
      <c r="CD149" s="48">
        <v>0</v>
      </c>
      <c r="CE149" s="48">
        <v>0</v>
      </c>
      <c r="CF149" s="48">
        <v>0</v>
      </c>
      <c r="CG149" s="48">
        <v>0</v>
      </c>
      <c r="CH149" s="48">
        <v>0</v>
      </c>
      <c r="CI149" s="48">
        <v>4.9192602323911219</v>
      </c>
      <c r="CJ149" s="48">
        <v>3.889383704940395</v>
      </c>
      <c r="CK149" s="48">
        <v>0.35478080406515761</v>
      </c>
      <c r="CL149" s="48">
        <v>0</v>
      </c>
      <c r="CM149" s="48">
        <v>1.3393493108955972</v>
      </c>
      <c r="CN149" s="48">
        <v>0</v>
      </c>
      <c r="CO149" s="48">
        <v>0</v>
      </c>
      <c r="CP149" s="48">
        <v>0</v>
      </c>
      <c r="CQ149" s="48">
        <v>0</v>
      </c>
      <c r="CR149" s="48">
        <v>0</v>
      </c>
      <c r="CS149" s="48">
        <v>0</v>
      </c>
      <c r="CT149" s="48">
        <v>0</v>
      </c>
      <c r="CU149" s="48">
        <v>0</v>
      </c>
      <c r="CV149" s="48">
        <v>0</v>
      </c>
      <c r="CW149" s="48">
        <v>0</v>
      </c>
      <c r="CX149" s="48">
        <v>0</v>
      </c>
      <c r="CY149" s="48">
        <v>0</v>
      </c>
      <c r="CZ149" s="48">
        <v>0</v>
      </c>
      <c r="DA149" s="48">
        <v>0</v>
      </c>
      <c r="DB149" s="48">
        <v>0</v>
      </c>
      <c r="DC149" s="48">
        <v>0</v>
      </c>
      <c r="DD149" s="48">
        <v>0.24983696366446886</v>
      </c>
      <c r="DE149" s="48">
        <v>0</v>
      </c>
      <c r="DF149" s="48">
        <v>0</v>
      </c>
      <c r="DG149" s="48">
        <v>0</v>
      </c>
      <c r="DH149" s="48">
        <v>0</v>
      </c>
      <c r="DI149" s="48">
        <v>0</v>
      </c>
      <c r="DJ149" s="48">
        <v>42.456008047591624</v>
      </c>
      <c r="DK149" s="48">
        <v>1.1830945528658523</v>
      </c>
      <c r="DL149" s="48">
        <v>0</v>
      </c>
      <c r="DM149" s="48">
        <v>0</v>
      </c>
      <c r="DN149" s="48">
        <v>11.706109822443221</v>
      </c>
      <c r="DO149" s="48">
        <v>0</v>
      </c>
      <c r="DP149" s="48">
        <v>0</v>
      </c>
      <c r="DQ149" s="48">
        <v>0</v>
      </c>
      <c r="DR149" s="48">
        <v>25.584889891772647</v>
      </c>
      <c r="DS149" s="48">
        <v>72.242014859860149</v>
      </c>
      <c r="DT149" s="48">
        <v>370.87752496332183</v>
      </c>
      <c r="DU149" s="48">
        <v>0</v>
      </c>
      <c r="DV149" s="48">
        <v>31.590102056737383</v>
      </c>
      <c r="DW149" s="48">
        <v>34.389308011785069</v>
      </c>
      <c r="DX149" s="48">
        <v>5.4171924794618995</v>
      </c>
      <c r="DY149" s="48">
        <v>19.624854223405332</v>
      </c>
      <c r="DZ149" s="48">
        <v>297.57239630291969</v>
      </c>
      <c r="EA149" s="48">
        <v>11235.492850248515</v>
      </c>
      <c r="EB149" s="48">
        <v>5721.948018488084</v>
      </c>
      <c r="EC149" s="48">
        <v>4079.7232051735105</v>
      </c>
      <c r="ED149" s="48">
        <v>40.977560883363424</v>
      </c>
      <c r="EE149" s="48">
        <v>11.797939772160611</v>
      </c>
      <c r="EF149" s="48">
        <v>39.453543240042066</v>
      </c>
      <c r="EG149" s="48">
        <v>13.947596572886681</v>
      </c>
      <c r="EH149" s="48">
        <v>2.0803340662172962</v>
      </c>
      <c r="EI149" s="48">
        <v>638.61540699311252</v>
      </c>
      <c r="EJ149" s="48">
        <v>6276.6440560703759</v>
      </c>
      <c r="EK149" s="48">
        <v>0</v>
      </c>
      <c r="EL149" s="48">
        <v>4648.9229821753943</v>
      </c>
      <c r="EM149" s="48">
        <v>0</v>
      </c>
      <c r="EN149" s="48">
        <v>0</v>
      </c>
      <c r="EO149" s="48">
        <v>0</v>
      </c>
      <c r="EP149" s="48">
        <v>0</v>
      </c>
      <c r="EQ149" s="48">
        <v>43.753859926003578</v>
      </c>
      <c r="ER149" s="48">
        <v>0</v>
      </c>
      <c r="ES149" s="48">
        <v>0</v>
      </c>
      <c r="ET149" s="48">
        <v>0</v>
      </c>
      <c r="EU149" s="48">
        <v>0</v>
      </c>
      <c r="EV149" s="48">
        <v>262.19332347921409</v>
      </c>
      <c r="EW149" s="48">
        <v>4118.4359105258973</v>
      </c>
      <c r="EX149" s="48">
        <v>509.81355200638808</v>
      </c>
      <c r="EY149" s="48">
        <v>0</v>
      </c>
      <c r="EZ149" s="48">
        <v>0</v>
      </c>
      <c r="FA149" s="48">
        <v>924.10091585641828</v>
      </c>
      <c r="FB149" s="48">
        <v>0</v>
      </c>
      <c r="FC149" s="48">
        <v>271.95670227225361</v>
      </c>
      <c r="FD149" s="48">
        <v>844.06250123553843</v>
      </c>
      <c r="FE149" s="48">
        <v>10.397032727107737</v>
      </c>
      <c r="FF149" s="48">
        <v>0</v>
      </c>
      <c r="FG149" s="48">
        <v>2324.4801364615373</v>
      </c>
      <c r="FH149" s="48">
        <v>2763.3898221640306</v>
      </c>
      <c r="FI149" s="48">
        <v>1557.6204508465053</v>
      </c>
      <c r="FJ149" s="48">
        <v>1842.3492453208805</v>
      </c>
      <c r="FK149" s="48">
        <v>540.07955463363317</v>
      </c>
      <c r="FL149" s="48">
        <v>19.447074573281832</v>
      </c>
      <c r="FM149" s="48">
        <v>1732.643408041517</v>
      </c>
      <c r="FN149" s="48">
        <v>419.34489591359232</v>
      </c>
      <c r="FO149" s="48">
        <v>242.2116014557445</v>
      </c>
      <c r="FP149" s="48">
        <v>3683.1650710129693</v>
      </c>
      <c r="FQ149" s="48">
        <v>403.4031509262208</v>
      </c>
      <c r="FR149" s="48">
        <v>4626.3880887378064</v>
      </c>
      <c r="FS149" s="48">
        <v>137.58738057268323</v>
      </c>
      <c r="FT149" s="48">
        <v>34.872294317870434</v>
      </c>
      <c r="FU149" s="48">
        <v>267.25713082935499</v>
      </c>
      <c r="FV149" s="48">
        <v>977.31204772606043</v>
      </c>
      <c r="FW149" s="48">
        <v>16.595226772075538</v>
      </c>
      <c r="FX149" s="48">
        <v>35.994874996524423</v>
      </c>
      <c r="FY149" s="48">
        <v>0</v>
      </c>
      <c r="FZ149" s="48">
        <v>0</v>
      </c>
      <c r="GA149" s="48">
        <v>0</v>
      </c>
      <c r="GB149" s="48">
        <v>84940.094383556265</v>
      </c>
      <c r="GC149" s="48">
        <v>19570.434729701246</v>
      </c>
      <c r="GD149" s="48">
        <v>0</v>
      </c>
      <c r="GE149" s="48">
        <v>0</v>
      </c>
      <c r="GF149" s="48">
        <v>0</v>
      </c>
      <c r="GG149" s="48">
        <v>0</v>
      </c>
      <c r="GH149" s="48">
        <v>0</v>
      </c>
      <c r="GI149" s="48">
        <v>0</v>
      </c>
      <c r="GJ149" s="48">
        <v>0</v>
      </c>
      <c r="GK149" s="48">
        <v>0</v>
      </c>
      <c r="GL149" s="48">
        <v>0</v>
      </c>
      <c r="GM149" s="48">
        <v>0</v>
      </c>
      <c r="GN149" s="48">
        <v>0</v>
      </c>
      <c r="GO149" s="48">
        <v>0</v>
      </c>
      <c r="GP149" s="48">
        <v>0</v>
      </c>
      <c r="GQ149" s="48">
        <v>0</v>
      </c>
      <c r="GR149" s="48">
        <v>422.13383579777195</v>
      </c>
      <c r="GS149" s="48">
        <v>0</v>
      </c>
      <c r="GT149" s="48">
        <v>0</v>
      </c>
      <c r="GU149" s="48">
        <v>0</v>
      </c>
      <c r="GV149" s="48">
        <v>0</v>
      </c>
      <c r="GW149" s="48">
        <v>0</v>
      </c>
      <c r="GX149" s="48">
        <v>0</v>
      </c>
      <c r="GY149" s="48">
        <v>8.5630696144991889E-3</v>
      </c>
      <c r="GZ149" s="48">
        <v>0</v>
      </c>
      <c r="HA149" s="48">
        <v>6.9752648161245906E-2</v>
      </c>
      <c r="HB149" s="48">
        <v>0</v>
      </c>
      <c r="HC149" s="48">
        <v>0</v>
      </c>
      <c r="HD149" s="48">
        <v>0</v>
      </c>
      <c r="HE149" s="48">
        <v>0</v>
      </c>
      <c r="HF149" s="48">
        <v>0</v>
      </c>
      <c r="HG149" s="48">
        <v>0</v>
      </c>
      <c r="HH149" s="48">
        <v>0</v>
      </c>
      <c r="HI149" s="48">
        <v>0</v>
      </c>
      <c r="HJ149" s="48">
        <v>0</v>
      </c>
      <c r="HK149" s="48">
        <v>0</v>
      </c>
      <c r="HL149" s="48">
        <v>0</v>
      </c>
      <c r="HM149" s="48">
        <v>0</v>
      </c>
      <c r="HN149" s="48">
        <v>0</v>
      </c>
      <c r="HO149" s="48">
        <v>0</v>
      </c>
      <c r="HP149" s="48">
        <v>0</v>
      </c>
      <c r="HQ149" s="48">
        <v>0</v>
      </c>
      <c r="HR149" s="48">
        <v>0</v>
      </c>
      <c r="HS149" s="48">
        <v>0</v>
      </c>
      <c r="HT149" s="48">
        <v>0</v>
      </c>
      <c r="HU149" s="48">
        <v>0</v>
      </c>
      <c r="HV149" s="48">
        <v>0</v>
      </c>
      <c r="HW149" s="48">
        <v>1.792253778336417E-3</v>
      </c>
      <c r="HX149" s="48">
        <v>288.75350040891442</v>
      </c>
      <c r="HY149" s="48">
        <v>244.72661755776866</v>
      </c>
      <c r="HZ149" s="48">
        <v>362.82544559311026</v>
      </c>
      <c r="IA149" s="48">
        <v>102.33635666098503</v>
      </c>
      <c r="IB149" s="48">
        <v>5.4941550890745834</v>
      </c>
      <c r="IC149" s="48">
        <v>0</v>
      </c>
      <c r="ID149" s="48">
        <v>0</v>
      </c>
      <c r="IE149" s="48">
        <v>0</v>
      </c>
      <c r="IF149" s="48">
        <v>0</v>
      </c>
      <c r="IG149" s="48">
        <v>618.58612682687362</v>
      </c>
      <c r="IH149" s="48">
        <v>44.234125535845287</v>
      </c>
      <c r="II149" s="48">
        <v>13.722004458721099</v>
      </c>
      <c r="IJ149" s="48">
        <v>3.1495694449511544E-2</v>
      </c>
      <c r="IK149" s="48">
        <v>3416.5255093420756</v>
      </c>
      <c r="IL149" s="48">
        <v>5979.3790006330246</v>
      </c>
      <c r="IM149" s="48">
        <v>7188.7492787201973</v>
      </c>
      <c r="IN149" s="48">
        <v>3816.6933683102229</v>
      </c>
      <c r="IO149" s="48">
        <v>0</v>
      </c>
      <c r="IP149" s="23">
        <v>191250.99999999953</v>
      </c>
      <c r="IQ149" s="25">
        <v>56641</v>
      </c>
      <c r="IR149" s="25">
        <v>0</v>
      </c>
      <c r="IS149" s="26">
        <v>0</v>
      </c>
      <c r="IT149" s="26">
        <v>0</v>
      </c>
      <c r="IU149" s="26">
        <v>2277</v>
      </c>
      <c r="IV149" s="9">
        <v>12098</v>
      </c>
      <c r="IW149" s="38">
        <f t="shared" si="13"/>
        <v>262266.99999999953</v>
      </c>
    </row>
    <row r="150" spans="1:257" ht="30" customHeight="1" x14ac:dyDescent="0.25">
      <c r="A150" s="112" t="b">
        <v>0</v>
      </c>
      <c r="B150" s="113" t="b">
        <f>IFERROR(VLOOKUP(C150,'Bridge matrix'!$D$3:$E$727,2,FALSE)='symmetric IOT 245 2012'!D150,"FALSCH")</f>
        <v>1</v>
      </c>
      <c r="C150" s="108">
        <v>139</v>
      </c>
      <c r="D150" s="49" t="s">
        <v>1457</v>
      </c>
      <c r="E150" s="48">
        <v>0</v>
      </c>
      <c r="F150" s="48">
        <v>0</v>
      </c>
      <c r="G150" s="48">
        <v>0</v>
      </c>
      <c r="H150" s="48">
        <v>0</v>
      </c>
      <c r="I150" s="48">
        <v>0</v>
      </c>
      <c r="J150" s="48">
        <v>0</v>
      </c>
      <c r="K150" s="48">
        <v>0</v>
      </c>
      <c r="L150" s="48">
        <v>0</v>
      </c>
      <c r="M150" s="48">
        <v>0</v>
      </c>
      <c r="N150" s="48">
        <v>0</v>
      </c>
      <c r="O150" s="48">
        <v>0</v>
      </c>
      <c r="P150" s="48">
        <v>0</v>
      </c>
      <c r="Q150" s="48">
        <v>0</v>
      </c>
      <c r="R150" s="48">
        <v>0</v>
      </c>
      <c r="S150" s="48">
        <v>0</v>
      </c>
      <c r="T150" s="48">
        <v>0</v>
      </c>
      <c r="U150" s="48">
        <v>0</v>
      </c>
      <c r="V150" s="48">
        <v>0</v>
      </c>
      <c r="W150" s="48">
        <v>0</v>
      </c>
      <c r="X150" s="48">
        <v>0</v>
      </c>
      <c r="Y150" s="48">
        <v>0</v>
      </c>
      <c r="Z150" s="48">
        <v>0</v>
      </c>
      <c r="AA150" s="48">
        <v>0</v>
      </c>
      <c r="AB150" s="48">
        <v>0</v>
      </c>
      <c r="AC150" s="48">
        <v>0</v>
      </c>
      <c r="AD150" s="48">
        <v>0</v>
      </c>
      <c r="AE150" s="48">
        <v>0</v>
      </c>
      <c r="AF150" s="48">
        <v>0</v>
      </c>
      <c r="AG150" s="48">
        <v>0</v>
      </c>
      <c r="AH150" s="48">
        <v>0</v>
      </c>
      <c r="AI150" s="48">
        <v>0</v>
      </c>
      <c r="AJ150" s="48">
        <v>0</v>
      </c>
      <c r="AK150" s="48">
        <v>0</v>
      </c>
      <c r="AL150" s="48">
        <v>0</v>
      </c>
      <c r="AM150" s="48">
        <v>0</v>
      </c>
      <c r="AN150" s="48">
        <v>0</v>
      </c>
      <c r="AO150" s="48">
        <v>0</v>
      </c>
      <c r="AP150" s="48">
        <v>0</v>
      </c>
      <c r="AQ150" s="48">
        <v>0</v>
      </c>
      <c r="AR150" s="48">
        <v>0</v>
      </c>
      <c r="AS150" s="48">
        <v>0</v>
      </c>
      <c r="AT150" s="48">
        <v>0</v>
      </c>
      <c r="AU150" s="48">
        <v>0</v>
      </c>
      <c r="AV150" s="48">
        <v>0</v>
      </c>
      <c r="AW150" s="48">
        <v>0</v>
      </c>
      <c r="AX150" s="48">
        <v>0</v>
      </c>
      <c r="AY150" s="48">
        <v>0</v>
      </c>
      <c r="AZ150" s="48">
        <v>0</v>
      </c>
      <c r="BA150" s="48">
        <v>0</v>
      </c>
      <c r="BB150" s="48">
        <v>0</v>
      </c>
      <c r="BC150" s="48">
        <v>0</v>
      </c>
      <c r="BD150" s="48">
        <v>0</v>
      </c>
      <c r="BE150" s="48">
        <v>377.22122668242736</v>
      </c>
      <c r="BF150" s="48">
        <v>12.272127261293905</v>
      </c>
      <c r="BG150" s="48">
        <v>0.8217956816046893</v>
      </c>
      <c r="BH150" s="48">
        <v>76.494144442618747</v>
      </c>
      <c r="BI150" s="48">
        <v>9.0494540238997114</v>
      </c>
      <c r="BJ150" s="48">
        <v>58.74665812985112</v>
      </c>
      <c r="BK150" s="48">
        <v>11.414329975442534</v>
      </c>
      <c r="BL150" s="48">
        <v>0</v>
      </c>
      <c r="BM150" s="48">
        <v>0</v>
      </c>
      <c r="BN150" s="48">
        <v>0</v>
      </c>
      <c r="BO150" s="48">
        <v>0</v>
      </c>
      <c r="BP150" s="48">
        <v>0</v>
      </c>
      <c r="BQ150" s="48">
        <v>0</v>
      </c>
      <c r="BR150" s="48">
        <v>0</v>
      </c>
      <c r="BS150" s="48">
        <v>0</v>
      </c>
      <c r="BT150" s="48">
        <v>53.184260406784382</v>
      </c>
      <c r="BU150" s="48">
        <v>304.66756168506697</v>
      </c>
      <c r="BV150" s="48">
        <v>0</v>
      </c>
      <c r="BW150" s="48">
        <v>0</v>
      </c>
      <c r="BX150" s="48">
        <v>0.80130379579580124</v>
      </c>
      <c r="BY150" s="48">
        <v>86.612213941231616</v>
      </c>
      <c r="BZ150" s="48">
        <v>62.589443803040446</v>
      </c>
      <c r="CA150" s="48">
        <v>0</v>
      </c>
      <c r="CB150" s="48">
        <v>0</v>
      </c>
      <c r="CC150" s="48">
        <v>0</v>
      </c>
      <c r="CD150" s="48">
        <v>0</v>
      </c>
      <c r="CE150" s="48">
        <v>0</v>
      </c>
      <c r="CF150" s="48">
        <v>0</v>
      </c>
      <c r="CG150" s="48">
        <v>0</v>
      </c>
      <c r="CH150" s="48">
        <v>0</v>
      </c>
      <c r="CI150" s="48">
        <v>11.086737002008681</v>
      </c>
      <c r="CJ150" s="48">
        <v>0</v>
      </c>
      <c r="CK150" s="48">
        <v>5517.8046129851264</v>
      </c>
      <c r="CL150" s="48">
        <v>0</v>
      </c>
      <c r="CM150" s="48">
        <v>0</v>
      </c>
      <c r="CN150" s="48">
        <v>1231.7408198088847</v>
      </c>
      <c r="CO150" s="48">
        <v>0</v>
      </c>
      <c r="CP150" s="48">
        <v>0</v>
      </c>
      <c r="CQ150" s="48">
        <v>0</v>
      </c>
      <c r="CR150" s="48">
        <v>0</v>
      </c>
      <c r="CS150" s="48">
        <v>0</v>
      </c>
      <c r="CT150" s="48">
        <v>0</v>
      </c>
      <c r="CU150" s="48">
        <v>1.1019087304496347E-2</v>
      </c>
      <c r="CV150" s="48">
        <v>0.18989536608245969</v>
      </c>
      <c r="CW150" s="48">
        <v>0</v>
      </c>
      <c r="CX150" s="48">
        <v>142.70802854037379</v>
      </c>
      <c r="CY150" s="48">
        <v>0</v>
      </c>
      <c r="CZ150" s="48">
        <v>150.27381787771023</v>
      </c>
      <c r="DA150" s="48">
        <v>445.42725861211375</v>
      </c>
      <c r="DB150" s="48">
        <v>36.177484001628343</v>
      </c>
      <c r="DC150" s="48">
        <v>2.3689659435386718</v>
      </c>
      <c r="DD150" s="48">
        <v>3127.4569028051928</v>
      </c>
      <c r="DE150" s="48">
        <v>0</v>
      </c>
      <c r="DF150" s="48">
        <v>0</v>
      </c>
      <c r="DG150" s="48">
        <v>0</v>
      </c>
      <c r="DH150" s="48">
        <v>239.9753733577659</v>
      </c>
      <c r="DI150" s="48">
        <v>0</v>
      </c>
      <c r="DJ150" s="48">
        <v>3394.0958275288249</v>
      </c>
      <c r="DK150" s="48">
        <v>0</v>
      </c>
      <c r="DL150" s="48">
        <v>324.73677268019901</v>
      </c>
      <c r="DM150" s="48">
        <v>0</v>
      </c>
      <c r="DN150" s="48">
        <v>1.6588240379526318</v>
      </c>
      <c r="DO150" s="48">
        <v>0</v>
      </c>
      <c r="DP150" s="48">
        <v>0</v>
      </c>
      <c r="DQ150" s="48">
        <v>0</v>
      </c>
      <c r="DR150" s="48">
        <v>6.8179889045600532E-4</v>
      </c>
      <c r="DS150" s="48">
        <v>0</v>
      </c>
      <c r="DT150" s="48">
        <v>0</v>
      </c>
      <c r="DU150" s="48">
        <v>0</v>
      </c>
      <c r="DV150" s="48">
        <v>0</v>
      </c>
      <c r="DW150" s="48">
        <v>0</v>
      </c>
      <c r="DX150" s="48">
        <v>0</v>
      </c>
      <c r="DY150" s="48">
        <v>0</v>
      </c>
      <c r="DZ150" s="48">
        <v>0</v>
      </c>
      <c r="EA150" s="48">
        <v>0</v>
      </c>
      <c r="EB150" s="48">
        <v>7.1997487985061507E-3</v>
      </c>
      <c r="EC150" s="48">
        <v>2.2548415568115349E-4</v>
      </c>
      <c r="ED150" s="48">
        <v>0</v>
      </c>
      <c r="EE150" s="48">
        <v>0</v>
      </c>
      <c r="EF150" s="48">
        <v>0</v>
      </c>
      <c r="EG150" s="48">
        <v>0</v>
      </c>
      <c r="EH150" s="48">
        <v>0</v>
      </c>
      <c r="EI150" s="48">
        <v>6.8953201752374742</v>
      </c>
      <c r="EJ150" s="48">
        <v>144.06953295460926</v>
      </c>
      <c r="EK150" s="48">
        <v>0</v>
      </c>
      <c r="EL150" s="48">
        <v>0</v>
      </c>
      <c r="EM150" s="48">
        <v>0</v>
      </c>
      <c r="EN150" s="48">
        <v>0</v>
      </c>
      <c r="EO150" s="48">
        <v>0</v>
      </c>
      <c r="EP150" s="48">
        <v>0</v>
      </c>
      <c r="EQ150" s="48">
        <v>0</v>
      </c>
      <c r="ER150" s="48">
        <v>1.8093853159587204E-4</v>
      </c>
      <c r="ES150" s="48">
        <v>3.130392250969174E-6</v>
      </c>
      <c r="ET150" s="48">
        <v>0</v>
      </c>
      <c r="EU150" s="48">
        <v>0</v>
      </c>
      <c r="EV150" s="48">
        <v>0</v>
      </c>
      <c r="EW150" s="48">
        <v>0</v>
      </c>
      <c r="EX150" s="48">
        <v>0</v>
      </c>
      <c r="EY150" s="48">
        <v>4.9256551675851759E-2</v>
      </c>
      <c r="EZ150" s="48">
        <v>0</v>
      </c>
      <c r="FA150" s="48">
        <v>3.5514821961728869</v>
      </c>
      <c r="FB150" s="48">
        <v>3.1349206721625729</v>
      </c>
      <c r="FC150" s="48">
        <v>2.4165105479918099</v>
      </c>
      <c r="FD150" s="48">
        <v>7.0828695067820323E-5</v>
      </c>
      <c r="FE150" s="48">
        <v>0</v>
      </c>
      <c r="FF150" s="48">
        <v>0</v>
      </c>
      <c r="FG150" s="48">
        <v>0</v>
      </c>
      <c r="FH150" s="48">
        <v>0</v>
      </c>
      <c r="FI150" s="48">
        <v>0</v>
      </c>
      <c r="FJ150" s="48">
        <v>0</v>
      </c>
      <c r="FK150" s="48">
        <v>0</v>
      </c>
      <c r="FL150" s="48">
        <v>0</v>
      </c>
      <c r="FM150" s="48">
        <v>2.948029682005893E-4</v>
      </c>
      <c r="FN150" s="48">
        <v>0</v>
      </c>
      <c r="FO150" s="48">
        <v>0</v>
      </c>
      <c r="FP150" s="48">
        <v>6.4069120379059629E-3</v>
      </c>
      <c r="FQ150" s="48">
        <v>9.6623347552764638E-4</v>
      </c>
      <c r="FR150" s="48">
        <v>1.6481471155930951E-5</v>
      </c>
      <c r="FS150" s="48">
        <v>0</v>
      </c>
      <c r="FT150" s="48">
        <v>0</v>
      </c>
      <c r="FU150" s="48">
        <v>0</v>
      </c>
      <c r="FV150" s="48">
        <v>5.9732913101410068E-4</v>
      </c>
      <c r="FW150" s="48">
        <v>48.55075221682489</v>
      </c>
      <c r="FX150" s="48">
        <v>103.50340571765331</v>
      </c>
      <c r="FY150" s="48">
        <v>1.6962092274316107</v>
      </c>
      <c r="FZ150" s="48">
        <v>0</v>
      </c>
      <c r="GA150" s="48">
        <v>0.84038444964773562</v>
      </c>
      <c r="GB150" s="48">
        <v>0</v>
      </c>
      <c r="GC150" s="48">
        <v>0</v>
      </c>
      <c r="GD150" s="48">
        <v>0</v>
      </c>
      <c r="GE150" s="48">
        <v>0</v>
      </c>
      <c r="GF150" s="48">
        <v>0</v>
      </c>
      <c r="GG150" s="48">
        <v>186.10720650934732</v>
      </c>
      <c r="GH150" s="48">
        <v>164.7918354776767</v>
      </c>
      <c r="GI150" s="48">
        <v>0</v>
      </c>
      <c r="GJ150" s="48">
        <v>21.224395801918</v>
      </c>
      <c r="GK150" s="48">
        <v>43.509146770816187</v>
      </c>
      <c r="GL150" s="48">
        <v>43.505793640398608</v>
      </c>
      <c r="GM150" s="48">
        <v>32.78141354535942</v>
      </c>
      <c r="GN150" s="48">
        <v>1.6128265610885844</v>
      </c>
      <c r="GO150" s="48">
        <v>11.179952810018172</v>
      </c>
      <c r="GP150" s="48">
        <v>4.8389504852312566</v>
      </c>
      <c r="GQ150" s="48">
        <v>35.48601419603694</v>
      </c>
      <c r="GR150" s="48">
        <v>0</v>
      </c>
      <c r="GS150" s="48">
        <v>0.82016147267046979</v>
      </c>
      <c r="GT150" s="48">
        <v>0</v>
      </c>
      <c r="GU150" s="48">
        <v>0</v>
      </c>
      <c r="GV150" s="48">
        <v>0</v>
      </c>
      <c r="GW150" s="48">
        <v>0</v>
      </c>
      <c r="GX150" s="48">
        <v>0</v>
      </c>
      <c r="GY150" s="48">
        <v>0</v>
      </c>
      <c r="GZ150" s="48">
        <v>0</v>
      </c>
      <c r="HA150" s="48">
        <v>0</v>
      </c>
      <c r="HB150" s="48">
        <v>0</v>
      </c>
      <c r="HC150" s="48">
        <v>0</v>
      </c>
      <c r="HD150" s="48">
        <v>0</v>
      </c>
      <c r="HE150" s="48">
        <v>0</v>
      </c>
      <c r="HF150" s="48">
        <v>0</v>
      </c>
      <c r="HG150" s="48">
        <v>0</v>
      </c>
      <c r="HH150" s="48">
        <v>0</v>
      </c>
      <c r="HI150" s="48">
        <v>0</v>
      </c>
      <c r="HJ150" s="48">
        <v>0</v>
      </c>
      <c r="HK150" s="48">
        <v>0</v>
      </c>
      <c r="HL150" s="48">
        <v>0</v>
      </c>
      <c r="HM150" s="48">
        <v>0</v>
      </c>
      <c r="HN150" s="48">
        <v>0</v>
      </c>
      <c r="HO150" s="48">
        <v>0</v>
      </c>
      <c r="HP150" s="48">
        <v>0</v>
      </c>
      <c r="HQ150" s="48">
        <v>0</v>
      </c>
      <c r="HR150" s="48">
        <v>0</v>
      </c>
      <c r="HS150" s="48">
        <v>0</v>
      </c>
      <c r="HT150" s="48">
        <v>0</v>
      </c>
      <c r="HU150" s="48">
        <v>0</v>
      </c>
      <c r="HV150" s="48">
        <v>8626.0945910689461</v>
      </c>
      <c r="HW150" s="48">
        <v>20.77204245818859</v>
      </c>
      <c r="HX150" s="48">
        <v>1271.9951201158701</v>
      </c>
      <c r="HY150" s="48">
        <v>1078.1356606027514</v>
      </c>
      <c r="HZ150" s="48">
        <v>1597.767685450101</v>
      </c>
      <c r="IA150" s="48">
        <v>451.02473483616239</v>
      </c>
      <c r="IB150" s="48">
        <v>23.182472383779221</v>
      </c>
      <c r="IC150" s="48">
        <v>223.87788848958058</v>
      </c>
      <c r="ID150" s="48">
        <v>138.63023213114579</v>
      </c>
      <c r="IE150" s="48">
        <v>93.679058075030284</v>
      </c>
      <c r="IF150" s="48">
        <v>12.02518161023893</v>
      </c>
      <c r="IG150" s="48">
        <v>39320.897079404713</v>
      </c>
      <c r="IH150" s="48">
        <v>1462.4728607099714</v>
      </c>
      <c r="II150" s="48">
        <v>838.80597188754848</v>
      </c>
      <c r="IJ150" s="48">
        <v>196111.72953368715</v>
      </c>
      <c r="IK150" s="48">
        <v>0</v>
      </c>
      <c r="IL150" s="48">
        <v>25.628946888213093</v>
      </c>
      <c r="IM150" s="48">
        <v>30.08267168983452</v>
      </c>
      <c r="IN150" s="48">
        <v>16.029293377426654</v>
      </c>
      <c r="IO150" s="48">
        <v>0</v>
      </c>
      <c r="IP150" s="23">
        <v>267882.99999999895</v>
      </c>
      <c r="IQ150" s="25">
        <v>209943</v>
      </c>
      <c r="IR150" s="25">
        <v>0</v>
      </c>
      <c r="IS150" s="26">
        <v>0</v>
      </c>
      <c r="IT150" s="26">
        <v>0</v>
      </c>
      <c r="IU150" s="26">
        <v>4653</v>
      </c>
      <c r="IV150" s="9">
        <v>44542</v>
      </c>
      <c r="IW150" s="38">
        <f t="shared" si="13"/>
        <v>527020.99999999895</v>
      </c>
    </row>
    <row r="151" spans="1:257" ht="30" customHeight="1" x14ac:dyDescent="0.25">
      <c r="A151" s="112" t="b">
        <v>0</v>
      </c>
      <c r="B151" s="113" t="b">
        <f>IFERROR(VLOOKUP(C151,'Bridge matrix'!$D$3:$E$727,2,FALSE)='symmetric IOT 245 2012'!D151,"FALSCH")</f>
        <v>1</v>
      </c>
      <c r="C151" s="108">
        <v>140</v>
      </c>
      <c r="D151" s="49" t="s">
        <v>1458</v>
      </c>
      <c r="E151" s="48">
        <v>0</v>
      </c>
      <c r="F151" s="48">
        <v>0</v>
      </c>
      <c r="G151" s="48">
        <v>0</v>
      </c>
      <c r="H151" s="48">
        <v>0</v>
      </c>
      <c r="I151" s="48">
        <v>0</v>
      </c>
      <c r="J151" s="48">
        <v>0</v>
      </c>
      <c r="K151" s="48">
        <v>0</v>
      </c>
      <c r="L151" s="48">
        <v>0</v>
      </c>
      <c r="M151" s="48">
        <v>0</v>
      </c>
      <c r="N151" s="48">
        <v>0</v>
      </c>
      <c r="O151" s="48">
        <v>0</v>
      </c>
      <c r="P151" s="48">
        <v>0</v>
      </c>
      <c r="Q151" s="48">
        <v>0</v>
      </c>
      <c r="R151" s="48">
        <v>0</v>
      </c>
      <c r="S151" s="48">
        <v>0</v>
      </c>
      <c r="T151" s="48">
        <v>0</v>
      </c>
      <c r="U151" s="48">
        <v>0</v>
      </c>
      <c r="V151" s="48">
        <v>0</v>
      </c>
      <c r="W151" s="48">
        <v>0</v>
      </c>
      <c r="X151" s="48">
        <v>0</v>
      </c>
      <c r="Y151" s="48">
        <v>0</v>
      </c>
      <c r="Z151" s="48">
        <v>0</v>
      </c>
      <c r="AA151" s="48">
        <v>0</v>
      </c>
      <c r="AB151" s="48">
        <v>0</v>
      </c>
      <c r="AC151" s="48">
        <v>0</v>
      </c>
      <c r="AD151" s="48">
        <v>0</v>
      </c>
      <c r="AE151" s="48">
        <v>0</v>
      </c>
      <c r="AF151" s="48">
        <v>0</v>
      </c>
      <c r="AG151" s="48">
        <v>0</v>
      </c>
      <c r="AH151" s="48">
        <v>0</v>
      </c>
      <c r="AI151" s="48">
        <v>0</v>
      </c>
      <c r="AJ151" s="48">
        <v>0</v>
      </c>
      <c r="AK151" s="48">
        <v>0</v>
      </c>
      <c r="AL151" s="48">
        <v>0</v>
      </c>
      <c r="AM151" s="48">
        <v>0</v>
      </c>
      <c r="AN151" s="48">
        <v>0</v>
      </c>
      <c r="AO151" s="48">
        <v>0</v>
      </c>
      <c r="AP151" s="48">
        <v>0</v>
      </c>
      <c r="AQ151" s="48">
        <v>0</v>
      </c>
      <c r="AR151" s="48">
        <v>0</v>
      </c>
      <c r="AS151" s="48">
        <v>0</v>
      </c>
      <c r="AT151" s="48">
        <v>0</v>
      </c>
      <c r="AU151" s="48">
        <v>0</v>
      </c>
      <c r="AV151" s="48">
        <v>0</v>
      </c>
      <c r="AW151" s="48">
        <v>0</v>
      </c>
      <c r="AX151" s="48">
        <v>0</v>
      </c>
      <c r="AY151" s="48">
        <v>0</v>
      </c>
      <c r="AZ151" s="48">
        <v>0</v>
      </c>
      <c r="BA151" s="48">
        <v>0</v>
      </c>
      <c r="BB151" s="48">
        <v>0</v>
      </c>
      <c r="BC151" s="48">
        <v>0</v>
      </c>
      <c r="BD151" s="48">
        <v>0</v>
      </c>
      <c r="BE151" s="48">
        <v>0</v>
      </c>
      <c r="BF151" s="48">
        <v>0</v>
      </c>
      <c r="BG151" s="48">
        <v>0</v>
      </c>
      <c r="BH151" s="48">
        <v>0</v>
      </c>
      <c r="BI151" s="48">
        <v>0</v>
      </c>
      <c r="BJ151" s="48">
        <v>0</v>
      </c>
      <c r="BK151" s="48">
        <v>0</v>
      </c>
      <c r="BL151" s="48">
        <v>0</v>
      </c>
      <c r="BM151" s="48">
        <v>0</v>
      </c>
      <c r="BN151" s="48">
        <v>0</v>
      </c>
      <c r="BO151" s="48">
        <v>0</v>
      </c>
      <c r="BP151" s="48">
        <v>0</v>
      </c>
      <c r="BQ151" s="48">
        <v>0</v>
      </c>
      <c r="BR151" s="48">
        <v>0</v>
      </c>
      <c r="BS151" s="48">
        <v>0</v>
      </c>
      <c r="BT151" s="48">
        <v>0</v>
      </c>
      <c r="BU151" s="48">
        <v>0</v>
      </c>
      <c r="BV151" s="48">
        <v>0</v>
      </c>
      <c r="BW151" s="48">
        <v>0</v>
      </c>
      <c r="BX151" s="48">
        <v>0</v>
      </c>
      <c r="BY151" s="48">
        <v>0</v>
      </c>
      <c r="BZ151" s="48">
        <v>0</v>
      </c>
      <c r="CA151" s="48">
        <v>1453.7759257490538</v>
      </c>
      <c r="CB151" s="48">
        <v>4.9028382063625395</v>
      </c>
      <c r="CC151" s="48">
        <v>0</v>
      </c>
      <c r="CD151" s="48">
        <v>0</v>
      </c>
      <c r="CE151" s="48">
        <v>0</v>
      </c>
      <c r="CF151" s="48">
        <v>0</v>
      </c>
      <c r="CG151" s="48">
        <v>0</v>
      </c>
      <c r="CH151" s="48">
        <v>0</v>
      </c>
      <c r="CI151" s="48">
        <v>3.3882236519020088</v>
      </c>
      <c r="CJ151" s="48">
        <v>3.9607322871108188</v>
      </c>
      <c r="CK151" s="48">
        <v>0.51734149701737231</v>
      </c>
      <c r="CL151" s="48">
        <v>3.2674807446368068</v>
      </c>
      <c r="CM151" s="48">
        <v>1.3293929473112485</v>
      </c>
      <c r="CN151" s="48">
        <v>0</v>
      </c>
      <c r="CO151" s="48">
        <v>0</v>
      </c>
      <c r="CP151" s="48">
        <v>0</v>
      </c>
      <c r="CQ151" s="48">
        <v>0</v>
      </c>
      <c r="CR151" s="48">
        <v>0</v>
      </c>
      <c r="CS151" s="48">
        <v>0</v>
      </c>
      <c r="CT151" s="48">
        <v>0</v>
      </c>
      <c r="CU151" s="48">
        <v>0</v>
      </c>
      <c r="CV151" s="48">
        <v>0</v>
      </c>
      <c r="CW151" s="48">
        <v>0</v>
      </c>
      <c r="CX151" s="48">
        <v>0</v>
      </c>
      <c r="CY151" s="48">
        <v>0</v>
      </c>
      <c r="CZ151" s="48">
        <v>0</v>
      </c>
      <c r="DA151" s="48">
        <v>0</v>
      </c>
      <c r="DB151" s="48">
        <v>0</v>
      </c>
      <c r="DC151" s="48">
        <v>0</v>
      </c>
      <c r="DD151" s="48">
        <v>2.3903018415655463E-2</v>
      </c>
      <c r="DE151" s="48">
        <v>0</v>
      </c>
      <c r="DF151" s="48">
        <v>0</v>
      </c>
      <c r="DG151" s="48">
        <v>0</v>
      </c>
      <c r="DH151" s="48">
        <v>0</v>
      </c>
      <c r="DI151" s="48">
        <v>0</v>
      </c>
      <c r="DJ151" s="48">
        <v>0</v>
      </c>
      <c r="DK151" s="48">
        <v>0.39536627893494852</v>
      </c>
      <c r="DL151" s="48">
        <v>0</v>
      </c>
      <c r="DM151" s="48">
        <v>0</v>
      </c>
      <c r="DN151" s="48">
        <v>227.9276322529617</v>
      </c>
      <c r="DO151" s="48">
        <v>0</v>
      </c>
      <c r="DP151" s="48">
        <v>4.2254437791109742</v>
      </c>
      <c r="DQ151" s="48">
        <v>99.305337376438686</v>
      </c>
      <c r="DR151" s="48">
        <v>0</v>
      </c>
      <c r="DS151" s="48">
        <v>0</v>
      </c>
      <c r="DT151" s="48">
        <v>0</v>
      </c>
      <c r="DU151" s="48">
        <v>0</v>
      </c>
      <c r="DV151" s="48">
        <v>0</v>
      </c>
      <c r="DW151" s="48">
        <v>71.373923531427181</v>
      </c>
      <c r="DX151" s="48">
        <v>35.367797376013314</v>
      </c>
      <c r="DY151" s="48">
        <v>4.8520137021531058</v>
      </c>
      <c r="DZ151" s="48">
        <v>4.818394077839848</v>
      </c>
      <c r="EA151" s="48">
        <v>0</v>
      </c>
      <c r="EB151" s="48">
        <v>524.26833966986635</v>
      </c>
      <c r="EC151" s="48">
        <v>0</v>
      </c>
      <c r="ED151" s="48">
        <v>14.074411256853857</v>
      </c>
      <c r="EE151" s="48">
        <v>4.219179181272918</v>
      </c>
      <c r="EF151" s="48">
        <v>13.810086205651473</v>
      </c>
      <c r="EG151" s="48">
        <v>4.9463732770596263</v>
      </c>
      <c r="EH151" s="48">
        <v>0.70263744716026311</v>
      </c>
      <c r="EI151" s="48">
        <v>0</v>
      </c>
      <c r="EJ151" s="48">
        <v>0</v>
      </c>
      <c r="EK151" s="48">
        <v>0</v>
      </c>
      <c r="EL151" s="48">
        <v>0</v>
      </c>
      <c r="EM151" s="48">
        <v>561.86377008611043</v>
      </c>
      <c r="EN151" s="48">
        <v>5666.1120544203022</v>
      </c>
      <c r="EO151" s="48">
        <v>0</v>
      </c>
      <c r="EP151" s="48">
        <v>0</v>
      </c>
      <c r="EQ151" s="48">
        <v>0</v>
      </c>
      <c r="ER151" s="48">
        <v>0</v>
      </c>
      <c r="ES151" s="48">
        <v>1.5886856903168591</v>
      </c>
      <c r="ET151" s="48">
        <v>0</v>
      </c>
      <c r="EU151" s="48">
        <v>0</v>
      </c>
      <c r="EV151" s="48">
        <v>0</v>
      </c>
      <c r="EW151" s="48">
        <v>0</v>
      </c>
      <c r="EX151" s="48">
        <v>96.923159145921474</v>
      </c>
      <c r="EY151" s="48">
        <v>7.5083325812595501</v>
      </c>
      <c r="EZ151" s="48">
        <v>6.361075162412666</v>
      </c>
      <c r="FA151" s="48">
        <v>0</v>
      </c>
      <c r="FB151" s="48">
        <v>0</v>
      </c>
      <c r="FC151" s="48">
        <v>0</v>
      </c>
      <c r="FD151" s="48">
        <v>0</v>
      </c>
      <c r="FE151" s="48">
        <v>0</v>
      </c>
      <c r="FF151" s="48">
        <v>0</v>
      </c>
      <c r="FG151" s="48">
        <v>0</v>
      </c>
      <c r="FH151" s="48">
        <v>0</v>
      </c>
      <c r="FI151" s="48">
        <v>0</v>
      </c>
      <c r="FJ151" s="48">
        <v>0</v>
      </c>
      <c r="FK151" s="48">
        <v>0</v>
      </c>
      <c r="FL151" s="48">
        <v>0</v>
      </c>
      <c r="FM151" s="48">
        <v>0</v>
      </c>
      <c r="FN151" s="48">
        <v>0</v>
      </c>
      <c r="FO151" s="48">
        <v>0</v>
      </c>
      <c r="FP151" s="48">
        <v>0</v>
      </c>
      <c r="FQ151" s="48">
        <v>0</v>
      </c>
      <c r="FR151" s="48">
        <v>0</v>
      </c>
      <c r="FS151" s="48">
        <v>0</v>
      </c>
      <c r="FT151" s="48">
        <v>0</v>
      </c>
      <c r="FU151" s="48">
        <v>0</v>
      </c>
      <c r="FV151" s="48">
        <v>2.0585489854928951E-3</v>
      </c>
      <c r="FW151" s="48">
        <v>577.32269073690213</v>
      </c>
      <c r="FX151" s="48">
        <v>1215.5010951581203</v>
      </c>
      <c r="FY151" s="48">
        <v>160.33359112004263</v>
      </c>
      <c r="FZ151" s="48">
        <v>3.4625594247511833</v>
      </c>
      <c r="GA151" s="48">
        <v>33.359927443638533</v>
      </c>
      <c r="GB151" s="48">
        <v>1745.1776851626489</v>
      </c>
      <c r="GC151" s="48">
        <v>10642.677326859526</v>
      </c>
      <c r="GD151" s="48">
        <v>347.27244153782198</v>
      </c>
      <c r="GE151" s="48">
        <v>0</v>
      </c>
      <c r="GF151" s="48">
        <v>0</v>
      </c>
      <c r="GG151" s="48">
        <v>144.44812142113696</v>
      </c>
      <c r="GH151" s="48">
        <v>127.65347277853941</v>
      </c>
      <c r="GI151" s="48">
        <v>0</v>
      </c>
      <c r="GJ151" s="48">
        <v>15.872015307862743</v>
      </c>
      <c r="GK151" s="48">
        <v>33.555616775893903</v>
      </c>
      <c r="GL151" s="48">
        <v>33.550692803144223</v>
      </c>
      <c r="GM151" s="48">
        <v>24.851181340073669</v>
      </c>
      <c r="GN151" s="48">
        <v>1.3387952985383409</v>
      </c>
      <c r="GO151" s="48">
        <v>8.5019452350949969</v>
      </c>
      <c r="GP151" s="48">
        <v>3.9738704913353469</v>
      </c>
      <c r="GQ151" s="48">
        <v>27.007887537501386</v>
      </c>
      <c r="GR151" s="48">
        <v>0</v>
      </c>
      <c r="GS151" s="48">
        <v>0</v>
      </c>
      <c r="GT151" s="48">
        <v>0</v>
      </c>
      <c r="GU151" s="48">
        <v>0</v>
      </c>
      <c r="GV151" s="48">
        <v>0</v>
      </c>
      <c r="GW151" s="48">
        <v>0</v>
      </c>
      <c r="GX151" s="48">
        <v>0</v>
      </c>
      <c r="GY151" s="48">
        <v>7.0635036755879645E-4</v>
      </c>
      <c r="GZ151" s="48">
        <v>0</v>
      </c>
      <c r="HA151" s="48">
        <v>0</v>
      </c>
      <c r="HB151" s="48">
        <v>0</v>
      </c>
      <c r="HC151" s="48">
        <v>0</v>
      </c>
      <c r="HD151" s="48">
        <v>0</v>
      </c>
      <c r="HE151" s="48">
        <v>7.6577175791881086E-3</v>
      </c>
      <c r="HF151" s="48">
        <v>4.5906523280427463</v>
      </c>
      <c r="HG151" s="48">
        <v>4.0936448435320543</v>
      </c>
      <c r="HH151" s="48">
        <v>7.7433999173915211</v>
      </c>
      <c r="HI151" s="48">
        <v>11.328040240311978</v>
      </c>
      <c r="HJ151" s="48">
        <v>12.446245745344397</v>
      </c>
      <c r="HK151" s="48">
        <v>0.76168216420534884</v>
      </c>
      <c r="HL151" s="48">
        <v>1.1505544997422799</v>
      </c>
      <c r="HM151" s="48">
        <v>4.4410722661719815</v>
      </c>
      <c r="HN151" s="48">
        <v>1.4391791258848265</v>
      </c>
      <c r="HO151" s="48">
        <v>5.4764810109690751</v>
      </c>
      <c r="HP151" s="48">
        <v>9.0907490258669821</v>
      </c>
      <c r="HQ151" s="48">
        <v>1.2685410180435557</v>
      </c>
      <c r="HR151" s="48">
        <v>3.1184871343605169</v>
      </c>
      <c r="HS151" s="48">
        <v>4.9225963868896701</v>
      </c>
      <c r="HT151" s="48">
        <v>2.9437346484755178</v>
      </c>
      <c r="HU151" s="48">
        <v>3.9607994035694638</v>
      </c>
      <c r="HV151" s="48">
        <v>4455.7162115196734</v>
      </c>
      <c r="HW151" s="48">
        <v>74.723100459688624</v>
      </c>
      <c r="HX151" s="48">
        <v>1809.4794124237003</v>
      </c>
      <c r="HY151" s="48">
        <v>1533.701743880405</v>
      </c>
      <c r="HZ151" s="48">
        <v>2273.4362975416002</v>
      </c>
      <c r="IA151" s="48">
        <v>642.14511338137072</v>
      </c>
      <c r="IB151" s="48">
        <v>32.82912009712247</v>
      </c>
      <c r="IC151" s="48">
        <v>829.06340249825871</v>
      </c>
      <c r="ID151" s="48">
        <v>514.82835145025479</v>
      </c>
      <c r="IE151" s="48">
        <v>348.53730222351294</v>
      </c>
      <c r="IF151" s="48">
        <v>44.848056538057293</v>
      </c>
      <c r="IG151" s="48">
        <v>1059.8838297825646</v>
      </c>
      <c r="IH151" s="48">
        <v>76.251203978861312</v>
      </c>
      <c r="II151" s="48">
        <v>23.184128401449247</v>
      </c>
      <c r="IJ151" s="48">
        <v>5242.0239178522252</v>
      </c>
      <c r="IK151" s="48">
        <v>1464.2428940147342</v>
      </c>
      <c r="IL151" s="48">
        <v>2557.9236708401068</v>
      </c>
      <c r="IM151" s="48">
        <v>3075.8777494828382</v>
      </c>
      <c r="IN151" s="48">
        <v>1632.8474442242969</v>
      </c>
      <c r="IO151" s="48">
        <v>0</v>
      </c>
      <c r="IP151" s="23">
        <v>51737.999999999905</v>
      </c>
      <c r="IQ151" s="25">
        <v>453571</v>
      </c>
      <c r="IR151" s="25">
        <v>0</v>
      </c>
      <c r="IS151" s="26">
        <v>0</v>
      </c>
      <c r="IT151" s="26">
        <v>0</v>
      </c>
      <c r="IU151" s="26">
        <v>16831</v>
      </c>
      <c r="IV151" s="9">
        <v>20012</v>
      </c>
      <c r="IW151" s="38">
        <f t="shared" si="13"/>
        <v>542151.99999999988</v>
      </c>
    </row>
    <row r="152" spans="1:257" ht="30" customHeight="1" x14ac:dyDescent="0.25">
      <c r="A152" s="112" t="b">
        <v>1</v>
      </c>
      <c r="B152" s="113" t="b">
        <f>IFERROR(VLOOKUP(C152,'Bridge matrix'!$D$3:$E$727,2,FALSE)='symmetric IOT 245 2012'!D152,"FALSCH")</f>
        <v>1</v>
      </c>
      <c r="C152" s="108">
        <v>141</v>
      </c>
      <c r="D152" s="49" t="s">
        <v>1459</v>
      </c>
      <c r="E152" s="48">
        <v>0</v>
      </c>
      <c r="F152" s="48">
        <v>0</v>
      </c>
      <c r="G152" s="48">
        <v>0</v>
      </c>
      <c r="H152" s="48">
        <v>0</v>
      </c>
      <c r="I152" s="48">
        <v>0</v>
      </c>
      <c r="J152" s="48">
        <v>0</v>
      </c>
      <c r="K152" s="48">
        <v>0</v>
      </c>
      <c r="L152" s="48">
        <v>0</v>
      </c>
      <c r="M152" s="48">
        <v>0</v>
      </c>
      <c r="N152" s="48">
        <v>0</v>
      </c>
      <c r="O152" s="48">
        <v>0</v>
      </c>
      <c r="P152" s="48">
        <v>0</v>
      </c>
      <c r="Q152" s="48">
        <v>0</v>
      </c>
      <c r="R152" s="48">
        <v>0</v>
      </c>
      <c r="S152" s="48">
        <v>0</v>
      </c>
      <c r="T152" s="48">
        <v>0</v>
      </c>
      <c r="U152" s="48">
        <v>0</v>
      </c>
      <c r="V152" s="48">
        <v>0</v>
      </c>
      <c r="W152" s="48">
        <v>0</v>
      </c>
      <c r="X152" s="48">
        <v>0</v>
      </c>
      <c r="Y152" s="48">
        <v>0</v>
      </c>
      <c r="Z152" s="48">
        <v>0</v>
      </c>
      <c r="AA152" s="48">
        <v>0</v>
      </c>
      <c r="AB152" s="48">
        <v>0</v>
      </c>
      <c r="AC152" s="48">
        <v>0</v>
      </c>
      <c r="AD152" s="48">
        <v>0</v>
      </c>
      <c r="AE152" s="48">
        <v>0</v>
      </c>
      <c r="AF152" s="48">
        <v>0</v>
      </c>
      <c r="AG152" s="48">
        <v>0</v>
      </c>
      <c r="AH152" s="48">
        <v>0</v>
      </c>
      <c r="AI152" s="48">
        <v>0</v>
      </c>
      <c r="AJ152" s="48">
        <v>0</v>
      </c>
      <c r="AK152" s="48">
        <v>0</v>
      </c>
      <c r="AL152" s="48">
        <v>0</v>
      </c>
      <c r="AM152" s="48">
        <v>0</v>
      </c>
      <c r="AN152" s="48">
        <v>0</v>
      </c>
      <c r="AO152" s="48">
        <v>0</v>
      </c>
      <c r="AP152" s="48">
        <v>0</v>
      </c>
      <c r="AQ152" s="48">
        <v>0</v>
      </c>
      <c r="AR152" s="48">
        <v>0</v>
      </c>
      <c r="AS152" s="48">
        <v>0</v>
      </c>
      <c r="AT152" s="48">
        <v>0</v>
      </c>
      <c r="AU152" s="48">
        <v>0</v>
      </c>
      <c r="AV152" s="48">
        <v>0</v>
      </c>
      <c r="AW152" s="48">
        <v>0</v>
      </c>
      <c r="AX152" s="48">
        <v>0</v>
      </c>
      <c r="AY152" s="48">
        <v>0</v>
      </c>
      <c r="AZ152" s="48">
        <v>0</v>
      </c>
      <c r="BA152" s="48">
        <v>0</v>
      </c>
      <c r="BB152" s="48">
        <v>0</v>
      </c>
      <c r="BC152" s="48">
        <v>0</v>
      </c>
      <c r="BD152" s="48">
        <v>0</v>
      </c>
      <c r="BE152" s="48">
        <v>0</v>
      </c>
      <c r="BF152" s="48">
        <v>0</v>
      </c>
      <c r="BG152" s="48">
        <v>0</v>
      </c>
      <c r="BH152" s="48">
        <v>0</v>
      </c>
      <c r="BI152" s="48">
        <v>0</v>
      </c>
      <c r="BJ152" s="48">
        <v>0</v>
      </c>
      <c r="BK152" s="48">
        <v>0</v>
      </c>
      <c r="BL152" s="48">
        <v>0</v>
      </c>
      <c r="BM152" s="48">
        <v>0</v>
      </c>
      <c r="BN152" s="48">
        <v>0</v>
      </c>
      <c r="BO152" s="48">
        <v>0</v>
      </c>
      <c r="BP152" s="48">
        <v>0</v>
      </c>
      <c r="BQ152" s="48">
        <v>0</v>
      </c>
      <c r="BR152" s="48">
        <v>0</v>
      </c>
      <c r="BS152" s="48">
        <v>0</v>
      </c>
      <c r="BT152" s="48">
        <v>0</v>
      </c>
      <c r="BU152" s="48">
        <v>0</v>
      </c>
      <c r="BV152" s="48">
        <v>0</v>
      </c>
      <c r="BW152" s="48">
        <v>0</v>
      </c>
      <c r="BX152" s="48">
        <v>0</v>
      </c>
      <c r="BY152" s="48">
        <v>0</v>
      </c>
      <c r="BZ152" s="48">
        <v>0</v>
      </c>
      <c r="CA152" s="48">
        <v>0</v>
      </c>
      <c r="CB152" s="48">
        <v>0</v>
      </c>
      <c r="CC152" s="48">
        <v>0</v>
      </c>
      <c r="CD152" s="48">
        <v>0</v>
      </c>
      <c r="CE152" s="48">
        <v>0</v>
      </c>
      <c r="CF152" s="48">
        <v>0</v>
      </c>
      <c r="CG152" s="48">
        <v>0</v>
      </c>
      <c r="CH152" s="48">
        <v>0</v>
      </c>
      <c r="CI152" s="48">
        <v>0</v>
      </c>
      <c r="CJ152" s="48">
        <v>0</v>
      </c>
      <c r="CK152" s="48">
        <v>0</v>
      </c>
      <c r="CL152" s="48">
        <v>0</v>
      </c>
      <c r="CM152" s="48">
        <v>0</v>
      </c>
      <c r="CN152" s="48">
        <v>0</v>
      </c>
      <c r="CO152" s="48">
        <v>0</v>
      </c>
      <c r="CP152" s="48">
        <v>0</v>
      </c>
      <c r="CQ152" s="48">
        <v>0</v>
      </c>
      <c r="CR152" s="48">
        <v>0</v>
      </c>
      <c r="CS152" s="48">
        <v>0</v>
      </c>
      <c r="CT152" s="48">
        <v>0</v>
      </c>
      <c r="CU152" s="48">
        <v>0</v>
      </c>
      <c r="CV152" s="48">
        <v>0</v>
      </c>
      <c r="CW152" s="48">
        <v>0</v>
      </c>
      <c r="CX152" s="48">
        <v>0</v>
      </c>
      <c r="CY152" s="48">
        <v>0</v>
      </c>
      <c r="CZ152" s="48">
        <v>0</v>
      </c>
      <c r="DA152" s="48">
        <v>0</v>
      </c>
      <c r="DB152" s="48">
        <v>0</v>
      </c>
      <c r="DC152" s="48">
        <v>0</v>
      </c>
      <c r="DD152" s="48">
        <v>0</v>
      </c>
      <c r="DE152" s="48">
        <v>0</v>
      </c>
      <c r="DF152" s="48">
        <v>0</v>
      </c>
      <c r="DG152" s="48">
        <v>0</v>
      </c>
      <c r="DH152" s="48">
        <v>0</v>
      </c>
      <c r="DI152" s="48">
        <v>0</v>
      </c>
      <c r="DJ152" s="48">
        <v>0</v>
      </c>
      <c r="DK152" s="48">
        <v>0</v>
      </c>
      <c r="DL152" s="48">
        <v>0</v>
      </c>
      <c r="DM152" s="48">
        <v>0</v>
      </c>
      <c r="DN152" s="48">
        <v>0</v>
      </c>
      <c r="DO152" s="48">
        <v>0</v>
      </c>
      <c r="DP152" s="48">
        <v>0</v>
      </c>
      <c r="DQ152" s="48">
        <v>0</v>
      </c>
      <c r="DR152" s="48">
        <v>0</v>
      </c>
      <c r="DS152" s="48">
        <v>0</v>
      </c>
      <c r="DT152" s="48">
        <v>0</v>
      </c>
      <c r="DU152" s="48">
        <v>0</v>
      </c>
      <c r="DV152" s="48">
        <v>0</v>
      </c>
      <c r="DW152" s="48">
        <v>0</v>
      </c>
      <c r="DX152" s="48">
        <v>0</v>
      </c>
      <c r="DY152" s="48">
        <v>0</v>
      </c>
      <c r="DZ152" s="48">
        <v>0</v>
      </c>
      <c r="EA152" s="48">
        <v>0</v>
      </c>
      <c r="EB152" s="48">
        <v>0</v>
      </c>
      <c r="EC152" s="48">
        <v>0</v>
      </c>
      <c r="ED152" s="48">
        <v>0</v>
      </c>
      <c r="EE152" s="48">
        <v>0</v>
      </c>
      <c r="EF152" s="48">
        <v>0</v>
      </c>
      <c r="EG152" s="48">
        <v>0</v>
      </c>
      <c r="EH152" s="48">
        <v>0</v>
      </c>
      <c r="EI152" s="48">
        <v>0</v>
      </c>
      <c r="EJ152" s="48">
        <v>0</v>
      </c>
      <c r="EK152" s="48">
        <v>0</v>
      </c>
      <c r="EL152" s="48">
        <v>0</v>
      </c>
      <c r="EM152" s="48">
        <v>0</v>
      </c>
      <c r="EN152" s="48">
        <v>0</v>
      </c>
      <c r="EO152" s="48">
        <v>0</v>
      </c>
      <c r="EP152" s="48">
        <v>0</v>
      </c>
      <c r="EQ152" s="48">
        <v>0</v>
      </c>
      <c r="ER152" s="48">
        <v>0</v>
      </c>
      <c r="ES152" s="48">
        <v>0</v>
      </c>
      <c r="ET152" s="48">
        <v>0</v>
      </c>
      <c r="EU152" s="48">
        <v>0</v>
      </c>
      <c r="EV152" s="48">
        <v>0</v>
      </c>
      <c r="EW152" s="48">
        <v>0</v>
      </c>
      <c r="EX152" s="48">
        <v>0</v>
      </c>
      <c r="EY152" s="48">
        <v>0</v>
      </c>
      <c r="EZ152" s="48">
        <v>0</v>
      </c>
      <c r="FA152" s="48">
        <v>0</v>
      </c>
      <c r="FB152" s="48">
        <v>0</v>
      </c>
      <c r="FC152" s="48">
        <v>0</v>
      </c>
      <c r="FD152" s="48">
        <v>0</v>
      </c>
      <c r="FE152" s="48">
        <v>0</v>
      </c>
      <c r="FF152" s="48">
        <v>0</v>
      </c>
      <c r="FG152" s="48">
        <v>0</v>
      </c>
      <c r="FH152" s="48">
        <v>0</v>
      </c>
      <c r="FI152" s="48">
        <v>0</v>
      </c>
      <c r="FJ152" s="48">
        <v>0</v>
      </c>
      <c r="FK152" s="48">
        <v>0</v>
      </c>
      <c r="FL152" s="48">
        <v>0</v>
      </c>
      <c r="FM152" s="48">
        <v>0</v>
      </c>
      <c r="FN152" s="48">
        <v>0</v>
      </c>
      <c r="FO152" s="48">
        <v>0</v>
      </c>
      <c r="FP152" s="48">
        <v>0</v>
      </c>
      <c r="FQ152" s="48">
        <v>0</v>
      </c>
      <c r="FR152" s="48">
        <v>0</v>
      </c>
      <c r="FS152" s="48">
        <v>0</v>
      </c>
      <c r="FT152" s="48">
        <v>0</v>
      </c>
      <c r="FU152" s="48">
        <v>0</v>
      </c>
      <c r="FV152" s="48">
        <v>0</v>
      </c>
      <c r="FW152" s="48">
        <v>0</v>
      </c>
      <c r="FX152" s="48">
        <v>0</v>
      </c>
      <c r="FY152" s="48">
        <v>0</v>
      </c>
      <c r="FZ152" s="48">
        <v>0</v>
      </c>
      <c r="GA152" s="48">
        <v>0</v>
      </c>
      <c r="GB152" s="48">
        <v>0</v>
      </c>
      <c r="GC152" s="48">
        <v>0</v>
      </c>
      <c r="GD152" s="48">
        <v>0</v>
      </c>
      <c r="GE152" s="48">
        <v>0</v>
      </c>
      <c r="GF152" s="48">
        <v>0</v>
      </c>
      <c r="GG152" s="48">
        <v>0</v>
      </c>
      <c r="GH152" s="48">
        <v>0</v>
      </c>
      <c r="GI152" s="48">
        <v>0</v>
      </c>
      <c r="GJ152" s="48">
        <v>0</v>
      </c>
      <c r="GK152" s="48">
        <v>0</v>
      </c>
      <c r="GL152" s="48">
        <v>0</v>
      </c>
      <c r="GM152" s="48">
        <v>0</v>
      </c>
      <c r="GN152" s="48">
        <v>0</v>
      </c>
      <c r="GO152" s="48">
        <v>0</v>
      </c>
      <c r="GP152" s="48">
        <v>0</v>
      </c>
      <c r="GQ152" s="48">
        <v>0</v>
      </c>
      <c r="GR152" s="48">
        <v>0</v>
      </c>
      <c r="GS152" s="48">
        <v>0</v>
      </c>
      <c r="GT152" s="48">
        <v>0</v>
      </c>
      <c r="GU152" s="48">
        <v>0</v>
      </c>
      <c r="GV152" s="48">
        <v>0</v>
      </c>
      <c r="GW152" s="48">
        <v>0</v>
      </c>
      <c r="GX152" s="48">
        <v>0</v>
      </c>
      <c r="GY152" s="48">
        <v>0</v>
      </c>
      <c r="GZ152" s="48">
        <v>0</v>
      </c>
      <c r="HA152" s="48">
        <v>0</v>
      </c>
      <c r="HB152" s="48">
        <v>0</v>
      </c>
      <c r="HC152" s="48">
        <v>0</v>
      </c>
      <c r="HD152" s="48">
        <v>0</v>
      </c>
      <c r="HE152" s="48">
        <v>0</v>
      </c>
      <c r="HF152" s="48">
        <v>0</v>
      </c>
      <c r="HG152" s="48">
        <v>0</v>
      </c>
      <c r="HH152" s="48">
        <v>0</v>
      </c>
      <c r="HI152" s="48">
        <v>0</v>
      </c>
      <c r="HJ152" s="48">
        <v>0</v>
      </c>
      <c r="HK152" s="48">
        <v>0</v>
      </c>
      <c r="HL152" s="48">
        <v>0</v>
      </c>
      <c r="HM152" s="48">
        <v>0</v>
      </c>
      <c r="HN152" s="48">
        <v>0</v>
      </c>
      <c r="HO152" s="48">
        <v>0</v>
      </c>
      <c r="HP152" s="48">
        <v>0</v>
      </c>
      <c r="HQ152" s="48">
        <v>0</v>
      </c>
      <c r="HR152" s="48">
        <v>0</v>
      </c>
      <c r="HS152" s="48">
        <v>0</v>
      </c>
      <c r="HT152" s="48">
        <v>0</v>
      </c>
      <c r="HU152" s="48">
        <v>0</v>
      </c>
      <c r="HV152" s="48">
        <v>0</v>
      </c>
      <c r="HW152" s="48">
        <v>0</v>
      </c>
      <c r="HX152" s="48">
        <v>1364.1447217651476</v>
      </c>
      <c r="HY152" s="48">
        <v>1156.7663181876883</v>
      </c>
      <c r="HZ152" s="48">
        <v>1714.114310959771</v>
      </c>
      <c r="IA152" s="48">
        <v>484.71225565642425</v>
      </c>
      <c r="IB152" s="48">
        <v>24.262393430945625</v>
      </c>
      <c r="IC152" s="48">
        <v>0</v>
      </c>
      <c r="ID152" s="48">
        <v>0</v>
      </c>
      <c r="IE152" s="48">
        <v>0</v>
      </c>
      <c r="IF152" s="48">
        <v>0</v>
      </c>
      <c r="IG152" s="48">
        <v>0</v>
      </c>
      <c r="IH152" s="48">
        <v>0</v>
      </c>
      <c r="II152" s="48">
        <v>0</v>
      </c>
      <c r="IJ152" s="48">
        <v>0</v>
      </c>
      <c r="IK152" s="48">
        <v>0</v>
      </c>
      <c r="IL152" s="48">
        <v>0</v>
      </c>
      <c r="IM152" s="48">
        <v>0</v>
      </c>
      <c r="IN152" s="48">
        <v>0</v>
      </c>
      <c r="IO152" s="48">
        <v>0</v>
      </c>
      <c r="IP152" s="23">
        <v>4743.9999999999773</v>
      </c>
      <c r="IQ152" s="25">
        <v>46089</v>
      </c>
      <c r="IR152" s="25">
        <v>0</v>
      </c>
      <c r="IS152" s="26">
        <v>0</v>
      </c>
      <c r="IT152" s="26">
        <v>0</v>
      </c>
      <c r="IU152" s="26">
        <v>-256</v>
      </c>
      <c r="IV152" s="9">
        <v>19702</v>
      </c>
      <c r="IW152" s="38">
        <f t="shared" si="13"/>
        <v>70278.999999999971</v>
      </c>
    </row>
    <row r="153" spans="1:257" ht="30" customHeight="1" x14ac:dyDescent="0.25">
      <c r="A153" s="112" t="b">
        <v>1</v>
      </c>
      <c r="B153" s="113" t="b">
        <f>IFERROR(VLOOKUP(C153,'Bridge matrix'!$D$3:$E$727,2,FALSE)='symmetric IOT 245 2012'!D153,"FALSCH")</f>
        <v>1</v>
      </c>
      <c r="C153" s="108">
        <v>142</v>
      </c>
      <c r="D153" s="49" t="s">
        <v>1460</v>
      </c>
      <c r="E153" s="48">
        <v>0</v>
      </c>
      <c r="F153" s="48">
        <v>0</v>
      </c>
      <c r="G153" s="48">
        <v>0</v>
      </c>
      <c r="H153" s="48">
        <v>0</v>
      </c>
      <c r="I153" s="48">
        <v>0</v>
      </c>
      <c r="J153" s="48">
        <v>0</v>
      </c>
      <c r="K153" s="48">
        <v>0</v>
      </c>
      <c r="L153" s="48">
        <v>0</v>
      </c>
      <c r="M153" s="48">
        <v>0</v>
      </c>
      <c r="N153" s="48">
        <v>0</v>
      </c>
      <c r="O153" s="48">
        <v>0</v>
      </c>
      <c r="P153" s="48">
        <v>0</v>
      </c>
      <c r="Q153" s="48">
        <v>0</v>
      </c>
      <c r="R153" s="48">
        <v>0</v>
      </c>
      <c r="S153" s="48">
        <v>0</v>
      </c>
      <c r="T153" s="48">
        <v>0</v>
      </c>
      <c r="U153" s="48">
        <v>0</v>
      </c>
      <c r="V153" s="48">
        <v>0</v>
      </c>
      <c r="W153" s="48">
        <v>0</v>
      </c>
      <c r="X153" s="48">
        <v>0</v>
      </c>
      <c r="Y153" s="48">
        <v>0</v>
      </c>
      <c r="Z153" s="48">
        <v>0</v>
      </c>
      <c r="AA153" s="48">
        <v>0</v>
      </c>
      <c r="AB153" s="48">
        <v>0</v>
      </c>
      <c r="AC153" s="48">
        <v>0</v>
      </c>
      <c r="AD153" s="48">
        <v>0</v>
      </c>
      <c r="AE153" s="48">
        <v>0</v>
      </c>
      <c r="AF153" s="48">
        <v>0</v>
      </c>
      <c r="AG153" s="48">
        <v>0</v>
      </c>
      <c r="AH153" s="48">
        <v>0</v>
      </c>
      <c r="AI153" s="48">
        <v>0</v>
      </c>
      <c r="AJ153" s="48">
        <v>0</v>
      </c>
      <c r="AK153" s="48">
        <v>0</v>
      </c>
      <c r="AL153" s="48">
        <v>0</v>
      </c>
      <c r="AM153" s="48">
        <v>0</v>
      </c>
      <c r="AN153" s="48">
        <v>0</v>
      </c>
      <c r="AO153" s="48">
        <v>0</v>
      </c>
      <c r="AP153" s="48">
        <v>0</v>
      </c>
      <c r="AQ153" s="48">
        <v>0</v>
      </c>
      <c r="AR153" s="48">
        <v>0</v>
      </c>
      <c r="AS153" s="48">
        <v>0</v>
      </c>
      <c r="AT153" s="48">
        <v>0</v>
      </c>
      <c r="AU153" s="48">
        <v>0</v>
      </c>
      <c r="AV153" s="48">
        <v>0</v>
      </c>
      <c r="AW153" s="48">
        <v>0</v>
      </c>
      <c r="AX153" s="48">
        <v>0</v>
      </c>
      <c r="AY153" s="48">
        <v>0</v>
      </c>
      <c r="AZ153" s="48">
        <v>0</v>
      </c>
      <c r="BA153" s="48">
        <v>0</v>
      </c>
      <c r="BB153" s="48">
        <v>0</v>
      </c>
      <c r="BC153" s="48">
        <v>0</v>
      </c>
      <c r="BD153" s="48">
        <v>0</v>
      </c>
      <c r="BE153" s="48">
        <v>0</v>
      </c>
      <c r="BF153" s="48">
        <v>0</v>
      </c>
      <c r="BG153" s="48">
        <v>0</v>
      </c>
      <c r="BH153" s="48">
        <v>0</v>
      </c>
      <c r="BI153" s="48">
        <v>0</v>
      </c>
      <c r="BJ153" s="48">
        <v>0</v>
      </c>
      <c r="BK153" s="48">
        <v>0</v>
      </c>
      <c r="BL153" s="48">
        <v>0</v>
      </c>
      <c r="BM153" s="48">
        <v>0</v>
      </c>
      <c r="BN153" s="48">
        <v>0</v>
      </c>
      <c r="BO153" s="48">
        <v>0</v>
      </c>
      <c r="BP153" s="48">
        <v>0</v>
      </c>
      <c r="BQ153" s="48">
        <v>0</v>
      </c>
      <c r="BR153" s="48">
        <v>0</v>
      </c>
      <c r="BS153" s="48">
        <v>0</v>
      </c>
      <c r="BT153" s="48">
        <v>0</v>
      </c>
      <c r="BU153" s="48">
        <v>0</v>
      </c>
      <c r="BV153" s="48">
        <v>0</v>
      </c>
      <c r="BW153" s="48">
        <v>0</v>
      </c>
      <c r="BX153" s="48">
        <v>0</v>
      </c>
      <c r="BY153" s="48">
        <v>0</v>
      </c>
      <c r="BZ153" s="48">
        <v>0</v>
      </c>
      <c r="CA153" s="48">
        <v>0</v>
      </c>
      <c r="CB153" s="48">
        <v>0</v>
      </c>
      <c r="CC153" s="48">
        <v>0</v>
      </c>
      <c r="CD153" s="48">
        <v>0</v>
      </c>
      <c r="CE153" s="48">
        <v>0</v>
      </c>
      <c r="CF153" s="48">
        <v>0</v>
      </c>
      <c r="CG153" s="48">
        <v>0</v>
      </c>
      <c r="CH153" s="48">
        <v>0</v>
      </c>
      <c r="CI153" s="48">
        <v>6.1081980083812235E-7</v>
      </c>
      <c r="CJ153" s="48">
        <v>0</v>
      </c>
      <c r="CK153" s="48">
        <v>0</v>
      </c>
      <c r="CL153" s="48">
        <v>0</v>
      </c>
      <c r="CM153" s="48">
        <v>0</v>
      </c>
      <c r="CN153" s="48">
        <v>0</v>
      </c>
      <c r="CO153" s="48">
        <v>0</v>
      </c>
      <c r="CP153" s="48">
        <v>0</v>
      </c>
      <c r="CQ153" s="48">
        <v>0</v>
      </c>
      <c r="CR153" s="48">
        <v>1.1150364696343888E-7</v>
      </c>
      <c r="CS153" s="48">
        <v>0</v>
      </c>
      <c r="CT153" s="48">
        <v>0</v>
      </c>
      <c r="CU153" s="48">
        <v>0</v>
      </c>
      <c r="CV153" s="48">
        <v>0</v>
      </c>
      <c r="CW153" s="48">
        <v>0</v>
      </c>
      <c r="CX153" s="48">
        <v>0</v>
      </c>
      <c r="CY153" s="48">
        <v>5.6790402750085452E-3</v>
      </c>
      <c r="CZ153" s="48">
        <v>0</v>
      </c>
      <c r="DA153" s="48">
        <v>1.0911508114508276E-8</v>
      </c>
      <c r="DB153" s="48">
        <v>0</v>
      </c>
      <c r="DC153" s="48">
        <v>0</v>
      </c>
      <c r="DD153" s="48">
        <v>0</v>
      </c>
      <c r="DE153" s="48">
        <v>0</v>
      </c>
      <c r="DF153" s="48">
        <v>0</v>
      </c>
      <c r="DG153" s="48">
        <v>0</v>
      </c>
      <c r="DH153" s="48">
        <v>0</v>
      </c>
      <c r="DI153" s="48">
        <v>0</v>
      </c>
      <c r="DJ153" s="48">
        <v>2.3189236776568812E-5</v>
      </c>
      <c r="DK153" s="48">
        <v>0</v>
      </c>
      <c r="DL153" s="48">
        <v>1.1834409246485548E-2</v>
      </c>
      <c r="DM153" s="48">
        <v>0</v>
      </c>
      <c r="DN153" s="48">
        <v>0</v>
      </c>
      <c r="DO153" s="48">
        <v>0</v>
      </c>
      <c r="DP153" s="48">
        <v>0</v>
      </c>
      <c r="DQ153" s="48">
        <v>0</v>
      </c>
      <c r="DR153" s="48">
        <v>6.7176923580257852E-3</v>
      </c>
      <c r="DS153" s="48">
        <v>0</v>
      </c>
      <c r="DT153" s="48">
        <v>0</v>
      </c>
      <c r="DU153" s="48">
        <v>0</v>
      </c>
      <c r="DV153" s="48">
        <v>0</v>
      </c>
      <c r="DW153" s="48">
        <v>0</v>
      </c>
      <c r="DX153" s="48">
        <v>0</v>
      </c>
      <c r="DY153" s="48">
        <v>0</v>
      </c>
      <c r="DZ153" s="48">
        <v>0</v>
      </c>
      <c r="EA153" s="48">
        <v>0</v>
      </c>
      <c r="EB153" s="48">
        <v>7.0849612565857617E-2</v>
      </c>
      <c r="EC153" s="48">
        <v>0</v>
      </c>
      <c r="ED153" s="48">
        <v>0</v>
      </c>
      <c r="EE153" s="48">
        <v>0</v>
      </c>
      <c r="EF153" s="48">
        <v>0</v>
      </c>
      <c r="EG153" s="48">
        <v>0</v>
      </c>
      <c r="EH153" s="48">
        <v>0</v>
      </c>
      <c r="EI153" s="48">
        <v>1.2748142868678744E-2</v>
      </c>
      <c r="EJ153" s="48">
        <v>0</v>
      </c>
      <c r="EK153" s="48">
        <v>0</v>
      </c>
      <c r="EL153" s="48">
        <v>1.8660207359147598E-3</v>
      </c>
      <c r="EM153" s="48">
        <v>3.3157519292190451E-3</v>
      </c>
      <c r="EN153" s="48">
        <v>111.08843627097757</v>
      </c>
      <c r="EO153" s="48">
        <v>0</v>
      </c>
      <c r="EP153" s="48">
        <v>6.7773623554913832E-3</v>
      </c>
      <c r="EQ153" s="48">
        <v>0</v>
      </c>
      <c r="ER153" s="48">
        <v>0</v>
      </c>
      <c r="ES153" s="48">
        <v>3.0781822792436047E-5</v>
      </c>
      <c r="ET153" s="48">
        <v>0</v>
      </c>
      <c r="EU153" s="48">
        <v>0</v>
      </c>
      <c r="EV153" s="48">
        <v>0</v>
      </c>
      <c r="EW153" s="48">
        <v>0</v>
      </c>
      <c r="EX153" s="48">
        <v>0</v>
      </c>
      <c r="EY153" s="48">
        <v>0</v>
      </c>
      <c r="EZ153" s="48">
        <v>0</v>
      </c>
      <c r="FA153" s="48">
        <v>31.411420845899809</v>
      </c>
      <c r="FB153" s="48">
        <v>23.766730962944774</v>
      </c>
      <c r="FC153" s="48">
        <v>21.37305651531684</v>
      </c>
      <c r="FD153" s="48">
        <v>6.2267210065997157E-4</v>
      </c>
      <c r="FE153" s="48">
        <v>0</v>
      </c>
      <c r="FF153" s="48">
        <v>0</v>
      </c>
      <c r="FG153" s="48">
        <v>0</v>
      </c>
      <c r="FH153" s="48">
        <v>0</v>
      </c>
      <c r="FI153" s="48">
        <v>0</v>
      </c>
      <c r="FJ153" s="48">
        <v>0</v>
      </c>
      <c r="FK153" s="48">
        <v>0</v>
      </c>
      <c r="FL153" s="48">
        <v>0</v>
      </c>
      <c r="FM153" s="48">
        <v>2.8445325247920044E-3</v>
      </c>
      <c r="FN153" s="48">
        <v>0</v>
      </c>
      <c r="FO153" s="48">
        <v>0</v>
      </c>
      <c r="FP153" s="48">
        <v>6.6758123464871824E-2</v>
      </c>
      <c r="FQ153" s="48">
        <v>8.5645943249042789E-3</v>
      </c>
      <c r="FR153" s="48">
        <v>1.4558293121017549E-4</v>
      </c>
      <c r="FS153" s="48">
        <v>0</v>
      </c>
      <c r="FT153" s="48">
        <v>0</v>
      </c>
      <c r="FU153" s="48">
        <v>0</v>
      </c>
      <c r="FV153" s="48">
        <v>5.2831425202836783E-3</v>
      </c>
      <c r="FW153" s="48">
        <v>26.621212269732421</v>
      </c>
      <c r="FX153" s="48">
        <v>57.780801864397418</v>
      </c>
      <c r="FY153" s="48">
        <v>1.0715916595943682</v>
      </c>
      <c r="FZ153" s="48">
        <v>0</v>
      </c>
      <c r="GA153" s="48">
        <v>0</v>
      </c>
      <c r="GB153" s="48">
        <v>1551.0966997819987</v>
      </c>
      <c r="GC153" s="48">
        <v>0</v>
      </c>
      <c r="GD153" s="48">
        <v>0</v>
      </c>
      <c r="GE153" s="48">
        <v>1580.3062684314591</v>
      </c>
      <c r="GF153" s="48">
        <v>5439.2202303890836</v>
      </c>
      <c r="GG153" s="48">
        <v>427.54359021831294</v>
      </c>
      <c r="GH153" s="48">
        <v>373.83305049828192</v>
      </c>
      <c r="GI153" s="48">
        <v>1.0175307361762564</v>
      </c>
      <c r="GJ153" s="48">
        <v>48.04768291543359</v>
      </c>
      <c r="GK153" s="48">
        <v>100.78639247608035</v>
      </c>
      <c r="GL153" s="48">
        <v>100.77862514568284</v>
      </c>
      <c r="GM153" s="48">
        <v>73.735707515755422</v>
      </c>
      <c r="GN153" s="48">
        <v>3.056742287362336</v>
      </c>
      <c r="GO153" s="48">
        <v>25.216973301305892</v>
      </c>
      <c r="GP153" s="48">
        <v>11.209145638865097</v>
      </c>
      <c r="GQ153" s="48">
        <v>80.502901897354562</v>
      </c>
      <c r="GR153" s="48">
        <v>113.38726676958485</v>
      </c>
      <c r="GS153" s="48">
        <v>1.0362851226379668</v>
      </c>
      <c r="GT153" s="48">
        <v>0</v>
      </c>
      <c r="GU153" s="48">
        <v>373.19605234577625</v>
      </c>
      <c r="GV153" s="48">
        <v>2.0253077812888307</v>
      </c>
      <c r="GW153" s="48">
        <v>0.99287773541475788</v>
      </c>
      <c r="GX153" s="48">
        <v>31.599363399307169</v>
      </c>
      <c r="GY153" s="48">
        <v>0</v>
      </c>
      <c r="GZ153" s="48">
        <v>0</v>
      </c>
      <c r="HA153" s="48">
        <v>0</v>
      </c>
      <c r="HB153" s="48">
        <v>3.0598334397289464</v>
      </c>
      <c r="HC153" s="48">
        <v>7.1451688376223936</v>
      </c>
      <c r="HD153" s="48">
        <v>2.5498158746668511</v>
      </c>
      <c r="HE153" s="48">
        <v>3.0056547014200219</v>
      </c>
      <c r="HF153" s="48">
        <v>14.122199049686817</v>
      </c>
      <c r="HG153" s="48">
        <v>13.113640854176536</v>
      </c>
      <c r="HH153" s="48">
        <v>24.921938125690289</v>
      </c>
      <c r="HI153" s="48">
        <v>36.411663023812302</v>
      </c>
      <c r="HJ153" s="48">
        <v>38.33508239193614</v>
      </c>
      <c r="HK153" s="48">
        <v>2.017470067586955</v>
      </c>
      <c r="HL153" s="48">
        <v>3.1170024804758856</v>
      </c>
      <c r="HM153" s="48">
        <v>14.39928731560167</v>
      </c>
      <c r="HN153" s="48">
        <v>4.0349105259970743</v>
      </c>
      <c r="HO153" s="48">
        <v>17.148642704952969</v>
      </c>
      <c r="HP153" s="48">
        <v>30.26204790794549</v>
      </c>
      <c r="HQ153" s="48">
        <v>5.0437441421708833</v>
      </c>
      <c r="HR153" s="48">
        <v>10.349624751314778</v>
      </c>
      <c r="HS153" s="48">
        <v>16.926345163540066</v>
      </c>
      <c r="HT153" s="48">
        <v>10.087268223831536</v>
      </c>
      <c r="HU153" s="48">
        <v>13.113579487562392</v>
      </c>
      <c r="HV153" s="48">
        <v>0</v>
      </c>
      <c r="HW153" s="48">
        <v>0</v>
      </c>
      <c r="HX153" s="48">
        <v>4095.3330263407447</v>
      </c>
      <c r="HY153" s="48">
        <v>3473.8611497883894</v>
      </c>
      <c r="HZ153" s="48">
        <v>5146.5780629820856</v>
      </c>
      <c r="IA153" s="48">
        <v>1452.9813533789847</v>
      </c>
      <c r="IB153" s="48">
        <v>73.733442732548966</v>
      </c>
      <c r="IC153" s="48">
        <v>0</v>
      </c>
      <c r="ID153" s="48">
        <v>0</v>
      </c>
      <c r="IE153" s="48">
        <v>0</v>
      </c>
      <c r="IF153" s="48">
        <v>0</v>
      </c>
      <c r="IG153" s="48">
        <v>1649.3521676033208</v>
      </c>
      <c r="IH153" s="48">
        <v>118.24547303733138</v>
      </c>
      <c r="II153" s="48">
        <v>35.994657728225611</v>
      </c>
      <c r="IJ153" s="48">
        <v>4.7801602338824701E-3</v>
      </c>
      <c r="IK153" s="48">
        <v>5331.7800498660481</v>
      </c>
      <c r="IL153" s="48">
        <v>14373.854962566065</v>
      </c>
      <c r="IM153" s="48">
        <v>6195.4674124172634</v>
      </c>
      <c r="IN153" s="48">
        <v>5945.7425361683408</v>
      </c>
      <c r="IO153" s="48">
        <v>0</v>
      </c>
      <c r="IP153" s="23">
        <v>58773.999999999825</v>
      </c>
      <c r="IQ153" s="25">
        <v>76646</v>
      </c>
      <c r="IR153" s="25">
        <v>0</v>
      </c>
      <c r="IS153" s="26">
        <v>0</v>
      </c>
      <c r="IT153" s="26">
        <v>0</v>
      </c>
      <c r="IU153" s="26">
        <v>39104</v>
      </c>
      <c r="IV153" s="9">
        <v>96</v>
      </c>
      <c r="IW153" s="38">
        <f t="shared" si="13"/>
        <v>174619.99999999983</v>
      </c>
    </row>
    <row r="154" spans="1:257" ht="30" customHeight="1" x14ac:dyDescent="0.25">
      <c r="A154" s="112" t="b">
        <v>1</v>
      </c>
      <c r="B154" s="113" t="b">
        <f>IFERROR(VLOOKUP(C154,'Bridge matrix'!$D$3:$E$727,2,FALSE)='symmetric IOT 245 2012'!D154,"FALSCH")</f>
        <v>1</v>
      </c>
      <c r="C154" s="108">
        <v>143</v>
      </c>
      <c r="D154" s="49" t="s">
        <v>1461</v>
      </c>
      <c r="E154" s="48">
        <v>0</v>
      </c>
      <c r="F154" s="48">
        <v>0</v>
      </c>
      <c r="G154" s="48">
        <v>0</v>
      </c>
      <c r="H154" s="48">
        <v>0</v>
      </c>
      <c r="I154" s="48">
        <v>0</v>
      </c>
      <c r="J154" s="48">
        <v>0</v>
      </c>
      <c r="K154" s="48">
        <v>0</v>
      </c>
      <c r="L154" s="48">
        <v>0</v>
      </c>
      <c r="M154" s="48">
        <v>0</v>
      </c>
      <c r="N154" s="48">
        <v>0</v>
      </c>
      <c r="O154" s="48">
        <v>0</v>
      </c>
      <c r="P154" s="48">
        <v>0</v>
      </c>
      <c r="Q154" s="48">
        <v>0</v>
      </c>
      <c r="R154" s="48">
        <v>0</v>
      </c>
      <c r="S154" s="48">
        <v>0</v>
      </c>
      <c r="T154" s="48">
        <v>0</v>
      </c>
      <c r="U154" s="48">
        <v>0</v>
      </c>
      <c r="V154" s="48">
        <v>0</v>
      </c>
      <c r="W154" s="48">
        <v>0</v>
      </c>
      <c r="X154" s="48">
        <v>0</v>
      </c>
      <c r="Y154" s="48">
        <v>0</v>
      </c>
      <c r="Z154" s="48">
        <v>0</v>
      </c>
      <c r="AA154" s="48">
        <v>0</v>
      </c>
      <c r="AB154" s="48">
        <v>0</v>
      </c>
      <c r="AC154" s="48">
        <v>0</v>
      </c>
      <c r="AD154" s="48">
        <v>0</v>
      </c>
      <c r="AE154" s="48">
        <v>0</v>
      </c>
      <c r="AF154" s="48">
        <v>0</v>
      </c>
      <c r="AG154" s="48">
        <v>0</v>
      </c>
      <c r="AH154" s="48">
        <v>0</v>
      </c>
      <c r="AI154" s="48">
        <v>0</v>
      </c>
      <c r="AJ154" s="48">
        <v>0</v>
      </c>
      <c r="AK154" s="48">
        <v>0</v>
      </c>
      <c r="AL154" s="48">
        <v>0</v>
      </c>
      <c r="AM154" s="48">
        <v>0</v>
      </c>
      <c r="AN154" s="48">
        <v>0</v>
      </c>
      <c r="AO154" s="48">
        <v>0</v>
      </c>
      <c r="AP154" s="48">
        <v>0</v>
      </c>
      <c r="AQ154" s="48">
        <v>0</v>
      </c>
      <c r="AR154" s="48">
        <v>0</v>
      </c>
      <c r="AS154" s="48">
        <v>0</v>
      </c>
      <c r="AT154" s="48">
        <v>0</v>
      </c>
      <c r="AU154" s="48">
        <v>0</v>
      </c>
      <c r="AV154" s="48">
        <v>0</v>
      </c>
      <c r="AW154" s="48">
        <v>0</v>
      </c>
      <c r="AX154" s="48">
        <v>0</v>
      </c>
      <c r="AY154" s="48">
        <v>0</v>
      </c>
      <c r="AZ154" s="48">
        <v>0</v>
      </c>
      <c r="BA154" s="48">
        <v>0</v>
      </c>
      <c r="BB154" s="48">
        <v>0</v>
      </c>
      <c r="BC154" s="48">
        <v>0</v>
      </c>
      <c r="BD154" s="48">
        <v>0</v>
      </c>
      <c r="BE154" s="48">
        <v>0</v>
      </c>
      <c r="BF154" s="48">
        <v>0</v>
      </c>
      <c r="BG154" s="48">
        <v>0</v>
      </c>
      <c r="BH154" s="48">
        <v>0</v>
      </c>
      <c r="BI154" s="48">
        <v>0</v>
      </c>
      <c r="BJ154" s="48">
        <v>0</v>
      </c>
      <c r="BK154" s="48">
        <v>0</v>
      </c>
      <c r="BL154" s="48">
        <v>0</v>
      </c>
      <c r="BM154" s="48">
        <v>0</v>
      </c>
      <c r="BN154" s="48">
        <v>0</v>
      </c>
      <c r="BO154" s="48">
        <v>0</v>
      </c>
      <c r="BP154" s="48">
        <v>0</v>
      </c>
      <c r="BQ154" s="48">
        <v>0</v>
      </c>
      <c r="BR154" s="48">
        <v>0</v>
      </c>
      <c r="BS154" s="48">
        <v>0</v>
      </c>
      <c r="BT154" s="48">
        <v>0</v>
      </c>
      <c r="BU154" s="48">
        <v>0</v>
      </c>
      <c r="BV154" s="48">
        <v>0</v>
      </c>
      <c r="BW154" s="48">
        <v>0</v>
      </c>
      <c r="BX154" s="48">
        <v>0</v>
      </c>
      <c r="BY154" s="48">
        <v>0</v>
      </c>
      <c r="BZ154" s="48">
        <v>0</v>
      </c>
      <c r="CA154" s="48">
        <v>3128.8611044871127</v>
      </c>
      <c r="CB154" s="48">
        <v>11.065339739138746</v>
      </c>
      <c r="CC154" s="48">
        <v>4334.8231762918858</v>
      </c>
      <c r="CD154" s="48">
        <v>3594.8579329781833</v>
      </c>
      <c r="CE154" s="48">
        <v>261.36360075997493</v>
      </c>
      <c r="CF154" s="48">
        <v>40.406724692622916</v>
      </c>
      <c r="CG154" s="48">
        <v>150.59886642771883</v>
      </c>
      <c r="CH154" s="48">
        <v>0</v>
      </c>
      <c r="CI154" s="48">
        <v>59.120957805508716</v>
      </c>
      <c r="CJ154" s="48">
        <v>54.545523697962018</v>
      </c>
      <c r="CK154" s="48">
        <v>5.2057473554396623</v>
      </c>
      <c r="CL154" s="48">
        <v>0</v>
      </c>
      <c r="CM154" s="48">
        <v>21.56618994175113</v>
      </c>
      <c r="CN154" s="48">
        <v>0</v>
      </c>
      <c r="CO154" s="48">
        <v>216.87359020913459</v>
      </c>
      <c r="CP154" s="48">
        <v>21.392614283463519</v>
      </c>
      <c r="CQ154" s="48">
        <v>82.974163919191426</v>
      </c>
      <c r="CR154" s="48">
        <v>0</v>
      </c>
      <c r="CS154" s="48">
        <v>0</v>
      </c>
      <c r="CT154" s="48">
        <v>0</v>
      </c>
      <c r="CU154" s="48">
        <v>0</v>
      </c>
      <c r="CV154" s="48">
        <v>0</v>
      </c>
      <c r="CW154" s="48">
        <v>0</v>
      </c>
      <c r="CX154" s="48">
        <v>306.09044692546564</v>
      </c>
      <c r="CY154" s="48">
        <v>1692.9873937844143</v>
      </c>
      <c r="CZ154" s="48">
        <v>20.749795790139661</v>
      </c>
      <c r="DA154" s="48">
        <v>4.6102415349282504E-4</v>
      </c>
      <c r="DB154" s="48">
        <v>45.306536575450302</v>
      </c>
      <c r="DC154" s="48">
        <v>0</v>
      </c>
      <c r="DD154" s="48">
        <v>95.691565058290095</v>
      </c>
      <c r="DE154" s="48">
        <v>0</v>
      </c>
      <c r="DF154" s="48">
        <v>15.96158223039801</v>
      </c>
      <c r="DG154" s="48">
        <v>0</v>
      </c>
      <c r="DH154" s="48">
        <v>890.72678276472448</v>
      </c>
      <c r="DI154" s="48">
        <v>0</v>
      </c>
      <c r="DJ154" s="48">
        <v>377.89889966098281</v>
      </c>
      <c r="DK154" s="48">
        <v>0</v>
      </c>
      <c r="DL154" s="48">
        <v>500.01782042339738</v>
      </c>
      <c r="DM154" s="48">
        <v>314.54466166554676</v>
      </c>
      <c r="DN154" s="48">
        <v>380.66973579384836</v>
      </c>
      <c r="DO154" s="48">
        <v>81.624289124729472</v>
      </c>
      <c r="DP154" s="48">
        <v>1631.1158758610593</v>
      </c>
      <c r="DQ154" s="48">
        <v>489.48391177728541</v>
      </c>
      <c r="DR154" s="48">
        <v>1.2078111424399312</v>
      </c>
      <c r="DS154" s="48">
        <v>537.60438884210146</v>
      </c>
      <c r="DT154" s="48">
        <v>0</v>
      </c>
      <c r="DU154" s="48">
        <v>0</v>
      </c>
      <c r="DV154" s="48">
        <v>257.04081999681682</v>
      </c>
      <c r="DW154" s="48">
        <v>214.88428936635322</v>
      </c>
      <c r="DX154" s="48">
        <v>106.54316250268494</v>
      </c>
      <c r="DY154" s="48">
        <v>15.254532401975084</v>
      </c>
      <c r="DZ154" s="48">
        <v>13.198617046140988</v>
      </c>
      <c r="EA154" s="48">
        <v>4828.3895507849556</v>
      </c>
      <c r="EB154" s="48">
        <v>3633.3319507186002</v>
      </c>
      <c r="EC154" s="48">
        <v>5681.5882440925552</v>
      </c>
      <c r="ED154" s="48">
        <v>2686.4602662036682</v>
      </c>
      <c r="EE154" s="48">
        <v>756.74853348119518</v>
      </c>
      <c r="EF154" s="48">
        <v>2599.2267112974255</v>
      </c>
      <c r="EG154" s="48">
        <v>912.13139138645954</v>
      </c>
      <c r="EH154" s="48">
        <v>125.37150232582538</v>
      </c>
      <c r="EI154" s="48">
        <v>0</v>
      </c>
      <c r="EJ154" s="48">
        <v>866.55351266172545</v>
      </c>
      <c r="EK154" s="48">
        <v>0</v>
      </c>
      <c r="EL154" s="48">
        <v>3834.0723281154465</v>
      </c>
      <c r="EM154" s="48">
        <v>314.27937927163583</v>
      </c>
      <c r="EN154" s="48">
        <v>3332.4218629663246</v>
      </c>
      <c r="EO154" s="48">
        <v>0</v>
      </c>
      <c r="EP154" s="48">
        <v>0</v>
      </c>
      <c r="EQ154" s="48">
        <v>4136.6823896524675</v>
      </c>
      <c r="ER154" s="48">
        <v>460.2360615004655</v>
      </c>
      <c r="ES154" s="48">
        <v>58.788197551623888</v>
      </c>
      <c r="ET154" s="48">
        <v>0</v>
      </c>
      <c r="EU154" s="48">
        <v>165.38538406296914</v>
      </c>
      <c r="EV154" s="48">
        <v>0</v>
      </c>
      <c r="EW154" s="48">
        <v>0</v>
      </c>
      <c r="EX154" s="48">
        <v>7.3976517517230916E-2</v>
      </c>
      <c r="EY154" s="48">
        <v>1242.5431703420923</v>
      </c>
      <c r="EZ154" s="48">
        <v>1.2319201200420598</v>
      </c>
      <c r="FA154" s="48">
        <v>3.1294737277856421E-2</v>
      </c>
      <c r="FB154" s="48">
        <v>22.916296188634416</v>
      </c>
      <c r="FC154" s="48">
        <v>0</v>
      </c>
      <c r="FD154" s="48">
        <v>101.07409264213354</v>
      </c>
      <c r="FE154" s="48">
        <v>2.6139817264672938</v>
      </c>
      <c r="FF154" s="48">
        <v>0.64660305264043705</v>
      </c>
      <c r="FG154" s="48">
        <v>0</v>
      </c>
      <c r="FH154" s="48">
        <v>385.17129267776772</v>
      </c>
      <c r="FI154" s="48">
        <v>0</v>
      </c>
      <c r="FJ154" s="48">
        <v>305.85865685732023</v>
      </c>
      <c r="FK154" s="48">
        <v>0</v>
      </c>
      <c r="FL154" s="48">
        <v>0</v>
      </c>
      <c r="FM154" s="48">
        <v>54.990239333070505</v>
      </c>
      <c r="FN154" s="48">
        <v>0</v>
      </c>
      <c r="FO154" s="48">
        <v>14.725990333508785</v>
      </c>
      <c r="FP154" s="48">
        <v>555.37844225252149</v>
      </c>
      <c r="FQ154" s="48">
        <v>1.5788214996710497E-2</v>
      </c>
      <c r="FR154" s="48">
        <v>7931.3160712884082</v>
      </c>
      <c r="FS154" s="48">
        <v>0</v>
      </c>
      <c r="FT154" s="48">
        <v>0</v>
      </c>
      <c r="FU154" s="48">
        <v>42.519640807710019</v>
      </c>
      <c r="FV154" s="48">
        <v>0</v>
      </c>
      <c r="FW154" s="48">
        <v>239.61033345209674</v>
      </c>
      <c r="FX154" s="48">
        <v>503.77818296920901</v>
      </c>
      <c r="FY154" s="48">
        <v>62.004257853384445</v>
      </c>
      <c r="FZ154" s="48">
        <v>1.3027024216165557</v>
      </c>
      <c r="GA154" s="48">
        <v>12.970633471855054</v>
      </c>
      <c r="GB154" s="48">
        <v>406.17438155417602</v>
      </c>
      <c r="GC154" s="48">
        <v>0</v>
      </c>
      <c r="GD154" s="48">
        <v>0</v>
      </c>
      <c r="GE154" s="48">
        <v>0</v>
      </c>
      <c r="GF154" s="48">
        <v>0</v>
      </c>
      <c r="GG154" s="48">
        <v>370.42238196361649</v>
      </c>
      <c r="GH154" s="48">
        <v>327.8046618300034</v>
      </c>
      <c r="GI154" s="48">
        <v>0.65417993022846799</v>
      </c>
      <c r="GJ154" s="48">
        <v>41.665986255362832</v>
      </c>
      <c r="GK154" s="48">
        <v>87.0498498395078</v>
      </c>
      <c r="GL154" s="48">
        <v>87.04314114671547</v>
      </c>
      <c r="GM154" s="48">
        <v>64.299647620335207</v>
      </c>
      <c r="GN154" s="48">
        <v>2.6202772197166162</v>
      </c>
      <c r="GO154" s="48">
        <v>21.406982452157518</v>
      </c>
      <c r="GP154" s="48">
        <v>9.1718626383288573</v>
      </c>
      <c r="GQ154" s="48">
        <v>69.444841203956017</v>
      </c>
      <c r="GR154" s="48">
        <v>0</v>
      </c>
      <c r="GS154" s="48">
        <v>87.277086156711917</v>
      </c>
      <c r="GT154" s="48">
        <v>0</v>
      </c>
      <c r="GU154" s="48">
        <v>0</v>
      </c>
      <c r="GV154" s="48">
        <v>0</v>
      </c>
      <c r="GW154" s="48">
        <v>0</v>
      </c>
      <c r="GX154" s="48">
        <v>0</v>
      </c>
      <c r="GY154" s="48">
        <v>0</v>
      </c>
      <c r="GZ154" s="48">
        <v>0</v>
      </c>
      <c r="HA154" s="48">
        <v>0</v>
      </c>
      <c r="HB154" s="48">
        <v>0</v>
      </c>
      <c r="HC154" s="48">
        <v>0</v>
      </c>
      <c r="HD154" s="48">
        <v>0</v>
      </c>
      <c r="HE154" s="48">
        <v>0</v>
      </c>
      <c r="HF154" s="48">
        <v>0</v>
      </c>
      <c r="HG154" s="48">
        <v>0</v>
      </c>
      <c r="HH154" s="48">
        <v>0</v>
      </c>
      <c r="HI154" s="48">
        <v>0</v>
      </c>
      <c r="HJ154" s="48">
        <v>0</v>
      </c>
      <c r="HK154" s="48">
        <v>0</v>
      </c>
      <c r="HL154" s="48">
        <v>0</v>
      </c>
      <c r="HM154" s="48">
        <v>0</v>
      </c>
      <c r="HN154" s="48">
        <v>0</v>
      </c>
      <c r="HO154" s="48">
        <v>0</v>
      </c>
      <c r="HP154" s="48">
        <v>0</v>
      </c>
      <c r="HQ154" s="48">
        <v>0</v>
      </c>
      <c r="HR154" s="48">
        <v>0</v>
      </c>
      <c r="HS154" s="48">
        <v>0</v>
      </c>
      <c r="HT154" s="48">
        <v>0</v>
      </c>
      <c r="HU154" s="48">
        <v>0</v>
      </c>
      <c r="HV154" s="48">
        <v>32801.205420359838</v>
      </c>
      <c r="HW154" s="48">
        <v>65.547601672961633</v>
      </c>
      <c r="HX154" s="48">
        <v>413.5692516765418</v>
      </c>
      <c r="HY154" s="48">
        <v>350.44846250844165</v>
      </c>
      <c r="HZ154" s="48">
        <v>519.29235176487339</v>
      </c>
      <c r="IA154" s="48">
        <v>147.46083592749315</v>
      </c>
      <c r="IB154" s="48">
        <v>7.1430553731596582</v>
      </c>
      <c r="IC154" s="48">
        <v>4210.1916143202661</v>
      </c>
      <c r="ID154" s="48">
        <v>2612.2250240022763</v>
      </c>
      <c r="IE154" s="48">
        <v>1767.8103996405289</v>
      </c>
      <c r="IF154" s="48">
        <v>227.92817216603328</v>
      </c>
      <c r="IG154" s="48">
        <v>0</v>
      </c>
      <c r="IH154" s="48">
        <v>0</v>
      </c>
      <c r="II154" s="48">
        <v>0</v>
      </c>
      <c r="IJ154" s="48">
        <v>1769.4427850965355</v>
      </c>
      <c r="IK154" s="48">
        <v>0</v>
      </c>
      <c r="IL154" s="48">
        <v>0</v>
      </c>
      <c r="IM154" s="48">
        <v>0</v>
      </c>
      <c r="IN154" s="48">
        <v>0</v>
      </c>
      <c r="IO154" s="48">
        <v>0</v>
      </c>
      <c r="IP154" s="23">
        <v>112312.0000000008</v>
      </c>
      <c r="IQ154" s="25">
        <v>1327</v>
      </c>
      <c r="IR154" s="25">
        <v>0</v>
      </c>
      <c r="IS154" s="26">
        <v>0</v>
      </c>
      <c r="IT154" s="26">
        <v>0</v>
      </c>
      <c r="IU154" s="26">
        <v>-201</v>
      </c>
      <c r="IV154" s="9">
        <v>48698</v>
      </c>
      <c r="IW154" s="38">
        <f t="shared" si="13"/>
        <v>162136.00000000081</v>
      </c>
    </row>
    <row r="155" spans="1:257" ht="30" customHeight="1" x14ac:dyDescent="0.25">
      <c r="A155" s="112" t="b">
        <v>1</v>
      </c>
      <c r="B155" s="113" t="str">
        <f>IFERROR(VLOOKUP(C155,'Bridge matrix'!$D$3:$E$727,2,FALSE)='symmetric IOT 245 2012'!D155,"FALSCH")</f>
        <v>FALSCH</v>
      </c>
      <c r="C155" s="108">
        <v>144</v>
      </c>
      <c r="D155" s="49" t="s">
        <v>1462</v>
      </c>
      <c r="E155" s="48">
        <v>0</v>
      </c>
      <c r="F155" s="48">
        <v>0</v>
      </c>
      <c r="G155" s="48">
        <v>0</v>
      </c>
      <c r="H155" s="48">
        <v>0</v>
      </c>
      <c r="I155" s="48">
        <v>0</v>
      </c>
      <c r="J155" s="48">
        <v>0</v>
      </c>
      <c r="K155" s="48">
        <v>0</v>
      </c>
      <c r="L155" s="48">
        <v>0</v>
      </c>
      <c r="M155" s="48">
        <v>0</v>
      </c>
      <c r="N155" s="48">
        <v>0</v>
      </c>
      <c r="O155" s="48">
        <v>0</v>
      </c>
      <c r="P155" s="48">
        <v>0</v>
      </c>
      <c r="Q155" s="48">
        <v>0</v>
      </c>
      <c r="R155" s="48">
        <v>0</v>
      </c>
      <c r="S155" s="48">
        <v>0</v>
      </c>
      <c r="T155" s="48">
        <v>0</v>
      </c>
      <c r="U155" s="48">
        <v>0</v>
      </c>
      <c r="V155" s="48">
        <v>0</v>
      </c>
      <c r="W155" s="48">
        <v>0</v>
      </c>
      <c r="X155" s="48">
        <v>0</v>
      </c>
      <c r="Y155" s="48">
        <v>0</v>
      </c>
      <c r="Z155" s="48">
        <v>0</v>
      </c>
      <c r="AA155" s="48">
        <v>0</v>
      </c>
      <c r="AB155" s="48">
        <v>0</v>
      </c>
      <c r="AC155" s="48">
        <v>0</v>
      </c>
      <c r="AD155" s="48">
        <v>0</v>
      </c>
      <c r="AE155" s="48">
        <v>0</v>
      </c>
      <c r="AF155" s="48">
        <v>0</v>
      </c>
      <c r="AG155" s="48">
        <v>0</v>
      </c>
      <c r="AH155" s="48">
        <v>0</v>
      </c>
      <c r="AI155" s="48">
        <v>0</v>
      </c>
      <c r="AJ155" s="48">
        <v>0</v>
      </c>
      <c r="AK155" s="48">
        <v>0</v>
      </c>
      <c r="AL155" s="48">
        <v>0</v>
      </c>
      <c r="AM155" s="48">
        <v>0</v>
      </c>
      <c r="AN155" s="48">
        <v>0</v>
      </c>
      <c r="AO155" s="48">
        <v>0</v>
      </c>
      <c r="AP155" s="48">
        <v>0</v>
      </c>
      <c r="AQ155" s="48">
        <v>0</v>
      </c>
      <c r="AR155" s="48">
        <v>0</v>
      </c>
      <c r="AS155" s="48">
        <v>0</v>
      </c>
      <c r="AT155" s="48">
        <v>0</v>
      </c>
      <c r="AU155" s="48">
        <v>0</v>
      </c>
      <c r="AV155" s="48">
        <v>0</v>
      </c>
      <c r="AW155" s="48">
        <v>0</v>
      </c>
      <c r="AX155" s="48">
        <v>0</v>
      </c>
      <c r="AY155" s="48">
        <v>0</v>
      </c>
      <c r="AZ155" s="48">
        <v>0</v>
      </c>
      <c r="BA155" s="48">
        <v>0</v>
      </c>
      <c r="BB155" s="48">
        <v>0</v>
      </c>
      <c r="BC155" s="48">
        <v>0</v>
      </c>
      <c r="BD155" s="48">
        <v>0</v>
      </c>
      <c r="BE155" s="48">
        <v>0</v>
      </c>
      <c r="BF155" s="48">
        <v>0</v>
      </c>
      <c r="BG155" s="48">
        <v>0</v>
      </c>
      <c r="BH155" s="48">
        <v>0</v>
      </c>
      <c r="BI155" s="48">
        <v>0</v>
      </c>
      <c r="BJ155" s="48">
        <v>0</v>
      </c>
      <c r="BK155" s="48">
        <v>0</v>
      </c>
      <c r="BL155" s="48">
        <v>0</v>
      </c>
      <c r="BM155" s="48">
        <v>0</v>
      </c>
      <c r="BN155" s="48">
        <v>0</v>
      </c>
      <c r="BO155" s="48">
        <v>0</v>
      </c>
      <c r="BP155" s="48">
        <v>0</v>
      </c>
      <c r="BQ155" s="48">
        <v>0</v>
      </c>
      <c r="BR155" s="48">
        <v>0</v>
      </c>
      <c r="BS155" s="48">
        <v>0</v>
      </c>
      <c r="BT155" s="48">
        <v>0</v>
      </c>
      <c r="BU155" s="48">
        <v>0</v>
      </c>
      <c r="BV155" s="48">
        <v>0</v>
      </c>
      <c r="BW155" s="48">
        <v>0</v>
      </c>
      <c r="BX155" s="48">
        <v>0</v>
      </c>
      <c r="BY155" s="48">
        <v>0</v>
      </c>
      <c r="BZ155" s="48">
        <v>0</v>
      </c>
      <c r="CA155" s="48">
        <v>0</v>
      </c>
      <c r="CB155" s="48">
        <v>0</v>
      </c>
      <c r="CC155" s="48">
        <v>0</v>
      </c>
      <c r="CD155" s="48">
        <v>0</v>
      </c>
      <c r="CE155" s="48">
        <v>0</v>
      </c>
      <c r="CF155" s="48">
        <v>0</v>
      </c>
      <c r="CG155" s="48">
        <v>0</v>
      </c>
      <c r="CH155" s="48">
        <v>0</v>
      </c>
      <c r="CI155" s="48">
        <v>0</v>
      </c>
      <c r="CJ155" s="48">
        <v>0</v>
      </c>
      <c r="CK155" s="48">
        <v>0</v>
      </c>
      <c r="CL155" s="48">
        <v>0</v>
      </c>
      <c r="CM155" s="48">
        <v>3.7759898318866151E-9</v>
      </c>
      <c r="CN155" s="48">
        <v>0</v>
      </c>
      <c r="CO155" s="48">
        <v>0</v>
      </c>
      <c r="CP155" s="48">
        <v>0</v>
      </c>
      <c r="CQ155" s="48">
        <v>0</v>
      </c>
      <c r="CR155" s="48">
        <v>4.7516822612684663E-8</v>
      </c>
      <c r="CS155" s="48">
        <v>0</v>
      </c>
      <c r="CT155" s="48">
        <v>0</v>
      </c>
      <c r="CU155" s="48">
        <v>1.3258680276154219E-3</v>
      </c>
      <c r="CV155" s="48">
        <v>0</v>
      </c>
      <c r="CW155" s="48">
        <v>0</v>
      </c>
      <c r="CX155" s="48">
        <v>0</v>
      </c>
      <c r="CY155" s="48">
        <v>0</v>
      </c>
      <c r="CZ155" s="48">
        <v>0</v>
      </c>
      <c r="DA155" s="48">
        <v>3.1378075928975704E-9</v>
      </c>
      <c r="DB155" s="48">
        <v>0</v>
      </c>
      <c r="DC155" s="48">
        <v>0</v>
      </c>
      <c r="DD155" s="48">
        <v>0</v>
      </c>
      <c r="DE155" s="48">
        <v>2.2542126939063025E-6</v>
      </c>
      <c r="DF155" s="48">
        <v>0</v>
      </c>
      <c r="DG155" s="48">
        <v>0</v>
      </c>
      <c r="DH155" s="48">
        <v>0</v>
      </c>
      <c r="DI155" s="48">
        <v>0</v>
      </c>
      <c r="DJ155" s="48">
        <v>9.8819983062711886E-6</v>
      </c>
      <c r="DK155" s="48">
        <v>0</v>
      </c>
      <c r="DL155" s="48">
        <v>3.4032050200012978E-3</v>
      </c>
      <c r="DM155" s="48">
        <v>0</v>
      </c>
      <c r="DN155" s="48">
        <v>0</v>
      </c>
      <c r="DO155" s="48">
        <v>0</v>
      </c>
      <c r="DP155" s="48">
        <v>0</v>
      </c>
      <c r="DQ155" s="48">
        <v>0</v>
      </c>
      <c r="DR155" s="48">
        <v>0</v>
      </c>
      <c r="DS155" s="48">
        <v>0</v>
      </c>
      <c r="DT155" s="48">
        <v>0</v>
      </c>
      <c r="DU155" s="48">
        <v>0</v>
      </c>
      <c r="DV155" s="48">
        <v>0</v>
      </c>
      <c r="DW155" s="48">
        <v>21.215975631520624</v>
      </c>
      <c r="DX155" s="48">
        <v>10.222845772447611</v>
      </c>
      <c r="DY155" s="48">
        <v>1.6108139040269429</v>
      </c>
      <c r="DZ155" s="48">
        <v>1.5878844850920031</v>
      </c>
      <c r="EA155" s="48">
        <v>0</v>
      </c>
      <c r="EB155" s="48">
        <v>1.5269388569490066E-4</v>
      </c>
      <c r="EC155" s="48">
        <v>0</v>
      </c>
      <c r="ED155" s="48">
        <v>0</v>
      </c>
      <c r="EE155" s="48">
        <v>0</v>
      </c>
      <c r="EF155" s="48">
        <v>0</v>
      </c>
      <c r="EG155" s="48">
        <v>0</v>
      </c>
      <c r="EH155" s="48">
        <v>0</v>
      </c>
      <c r="EI155" s="48">
        <v>0</v>
      </c>
      <c r="EJ155" s="48">
        <v>0</v>
      </c>
      <c r="EK155" s="48">
        <v>0</v>
      </c>
      <c r="EL155" s="48">
        <v>0</v>
      </c>
      <c r="EM155" s="48">
        <v>2.419164922100973E-3</v>
      </c>
      <c r="EN155" s="48">
        <v>3.8682843020538473E-3</v>
      </c>
      <c r="EO155" s="48">
        <v>0</v>
      </c>
      <c r="EP155" s="48">
        <v>2.3599904084640814E-7</v>
      </c>
      <c r="EQ155" s="48">
        <v>0</v>
      </c>
      <c r="ER155" s="48">
        <v>235.55392518659445</v>
      </c>
      <c r="ES155" s="48">
        <v>1.5387265825396766E-5</v>
      </c>
      <c r="ET155" s="48">
        <v>0</v>
      </c>
      <c r="EU155" s="48">
        <v>0</v>
      </c>
      <c r="EV155" s="48">
        <v>0</v>
      </c>
      <c r="EW155" s="48">
        <v>2.5570628623233019E-3</v>
      </c>
      <c r="EX155" s="48">
        <v>0</v>
      </c>
      <c r="EY155" s="48">
        <v>1.206428608136572E-3</v>
      </c>
      <c r="EZ155" s="48">
        <v>0</v>
      </c>
      <c r="FA155" s="48">
        <v>0</v>
      </c>
      <c r="FB155" s="48">
        <v>0</v>
      </c>
      <c r="FC155" s="48">
        <v>0</v>
      </c>
      <c r="FD155" s="48">
        <v>0</v>
      </c>
      <c r="FE155" s="48">
        <v>0</v>
      </c>
      <c r="FF155" s="48">
        <v>0</v>
      </c>
      <c r="FG155" s="48">
        <v>16.198931006959093</v>
      </c>
      <c r="FH155" s="48">
        <v>0</v>
      </c>
      <c r="FI155" s="48">
        <v>0</v>
      </c>
      <c r="FJ155" s="48">
        <v>0</v>
      </c>
      <c r="FK155" s="48">
        <v>0</v>
      </c>
      <c r="FL155" s="48">
        <v>0</v>
      </c>
      <c r="FM155" s="48">
        <v>0</v>
      </c>
      <c r="FN155" s="48">
        <v>0</v>
      </c>
      <c r="FO155" s="48">
        <v>0</v>
      </c>
      <c r="FP155" s="48">
        <v>30359.442043176568</v>
      </c>
      <c r="FQ155" s="48">
        <v>936.14096584845936</v>
      </c>
      <c r="FR155" s="48">
        <v>0</v>
      </c>
      <c r="FS155" s="48">
        <v>0</v>
      </c>
      <c r="FT155" s="48">
        <v>4.5145934957528563E-4</v>
      </c>
      <c r="FU155" s="48">
        <v>0</v>
      </c>
      <c r="FV155" s="48">
        <v>0</v>
      </c>
      <c r="FW155" s="48">
        <v>93.105103739574361</v>
      </c>
      <c r="FX155" s="48">
        <v>196.82819051333772</v>
      </c>
      <c r="FY155" s="48">
        <v>26.522805455441667</v>
      </c>
      <c r="FZ155" s="48">
        <v>0.78362034323191254</v>
      </c>
      <c r="GA155" s="48">
        <v>5.4395040915742499</v>
      </c>
      <c r="GB155" s="48">
        <v>89.281309858550046</v>
      </c>
      <c r="GC155" s="48">
        <v>0</v>
      </c>
      <c r="GD155" s="48">
        <v>0</v>
      </c>
      <c r="GE155" s="48">
        <v>0</v>
      </c>
      <c r="GF155" s="48">
        <v>0</v>
      </c>
      <c r="GG155" s="48">
        <v>3110.0570934332472</v>
      </c>
      <c r="GH155" s="48">
        <v>2753.0841029294452</v>
      </c>
      <c r="GI155" s="48">
        <v>0</v>
      </c>
      <c r="GJ155" s="48">
        <v>0</v>
      </c>
      <c r="GK155" s="48">
        <v>0</v>
      </c>
      <c r="GL155" s="48">
        <v>729.88279339499888</v>
      </c>
      <c r="GM155" s="48">
        <v>542.18975462306889</v>
      </c>
      <c r="GN155" s="48">
        <v>22.066617059180313</v>
      </c>
      <c r="GO155" s="48">
        <v>181.81129464373214</v>
      </c>
      <c r="GP155" s="48">
        <v>78.817015080788096</v>
      </c>
      <c r="GQ155" s="48">
        <v>584.8284700765405</v>
      </c>
      <c r="GR155" s="48">
        <v>0</v>
      </c>
      <c r="GS155" s="48">
        <v>0</v>
      </c>
      <c r="GT155" s="48">
        <v>0</v>
      </c>
      <c r="GU155" s="48">
        <v>0</v>
      </c>
      <c r="GV155" s="48">
        <v>0</v>
      </c>
      <c r="GW155" s="48">
        <v>0</v>
      </c>
      <c r="GX155" s="48">
        <v>0</v>
      </c>
      <c r="GY155" s="48">
        <v>0</v>
      </c>
      <c r="GZ155" s="48">
        <v>0</v>
      </c>
      <c r="HA155" s="48">
        <v>0</v>
      </c>
      <c r="HB155" s="48">
        <v>12.62224690430828</v>
      </c>
      <c r="HC155" s="48">
        <v>27.632657652548261</v>
      </c>
      <c r="HD155" s="48">
        <v>8.8748595965484363</v>
      </c>
      <c r="HE155" s="48">
        <v>8.5241419483026242</v>
      </c>
      <c r="HF155" s="48">
        <v>42.131624933289679</v>
      </c>
      <c r="HG155" s="48">
        <v>39.791495879414967</v>
      </c>
      <c r="HH155" s="48">
        <v>75.498544998306542</v>
      </c>
      <c r="HI155" s="48">
        <v>110.30552942560651</v>
      </c>
      <c r="HJ155" s="48">
        <v>125.62575770609823</v>
      </c>
      <c r="HK155" s="48">
        <v>6.2417626196158142</v>
      </c>
      <c r="HL155" s="48">
        <v>9.6435579791051822</v>
      </c>
      <c r="HM155" s="48">
        <v>43.536842083278835</v>
      </c>
      <c r="HN155" s="48">
        <v>12.483433632691256</v>
      </c>
      <c r="HO155" s="48">
        <v>53.055437467257086</v>
      </c>
      <c r="HP155" s="48">
        <v>91.285768943026895</v>
      </c>
      <c r="HQ155" s="48">
        <v>14.044157948002072</v>
      </c>
      <c r="HR155" s="48">
        <v>30.241349547980235</v>
      </c>
      <c r="HS155" s="48">
        <v>49.943885289601035</v>
      </c>
      <c r="HT155" s="48">
        <v>31.20855904883765</v>
      </c>
      <c r="HU155" s="48">
        <v>41.351753187581707</v>
      </c>
      <c r="HV155" s="48">
        <v>0</v>
      </c>
      <c r="HW155" s="48">
        <v>0</v>
      </c>
      <c r="HX155" s="48">
        <v>0</v>
      </c>
      <c r="HY155" s="48">
        <v>0</v>
      </c>
      <c r="HZ155" s="48">
        <v>0</v>
      </c>
      <c r="IA155" s="48">
        <v>0</v>
      </c>
      <c r="IB155" s="48">
        <v>0</v>
      </c>
      <c r="IC155" s="48">
        <v>0</v>
      </c>
      <c r="ID155" s="48">
        <v>0</v>
      </c>
      <c r="IE155" s="48">
        <v>0</v>
      </c>
      <c r="IF155" s="48">
        <v>0</v>
      </c>
      <c r="IG155" s="48">
        <v>0</v>
      </c>
      <c r="IH155" s="48">
        <v>0</v>
      </c>
      <c r="II155" s="48">
        <v>0</v>
      </c>
      <c r="IJ155" s="48">
        <v>0</v>
      </c>
      <c r="IK155" s="48">
        <v>15.18140429693841</v>
      </c>
      <c r="IL155" s="48">
        <v>27.65504624873731</v>
      </c>
      <c r="IM155" s="48">
        <v>33.684695446191213</v>
      </c>
      <c r="IN155" s="48">
        <v>17.749014981320162</v>
      </c>
      <c r="IO155" s="48">
        <v>0</v>
      </c>
      <c r="IP155" s="23">
        <v>40924.99999999984</v>
      </c>
      <c r="IQ155" s="25">
        <v>74177</v>
      </c>
      <c r="IR155" s="25">
        <v>0</v>
      </c>
      <c r="IS155" s="26">
        <v>0</v>
      </c>
      <c r="IT155" s="26">
        <v>0</v>
      </c>
      <c r="IU155" s="26">
        <v>1008</v>
      </c>
      <c r="IV155" s="9">
        <v>69776</v>
      </c>
      <c r="IW155" s="38">
        <f t="shared" si="13"/>
        <v>185885.99999999983</v>
      </c>
    </row>
    <row r="156" spans="1:257" ht="30" customHeight="1" x14ac:dyDescent="0.25">
      <c r="A156" s="112" t="b">
        <v>1</v>
      </c>
      <c r="B156" s="113" t="str">
        <f>IFERROR(VLOOKUP(C156,'Bridge matrix'!$D$3:$E$727,2,FALSE)='symmetric IOT 245 2012'!D156,"FALSCH")</f>
        <v>FALSCH</v>
      </c>
      <c r="C156" s="108">
        <v>145</v>
      </c>
      <c r="D156" s="49" t="s">
        <v>1463</v>
      </c>
      <c r="E156" s="48">
        <v>8.9006693431832513</v>
      </c>
      <c r="F156" s="48">
        <v>1.3264692474724711</v>
      </c>
      <c r="G156" s="48">
        <v>2.2489589843379765</v>
      </c>
      <c r="H156" s="48">
        <v>0</v>
      </c>
      <c r="I156" s="48">
        <v>0</v>
      </c>
      <c r="J156" s="48">
        <v>0</v>
      </c>
      <c r="K156" s="48">
        <v>0</v>
      </c>
      <c r="L156" s="48">
        <v>0</v>
      </c>
      <c r="M156" s="48">
        <v>0</v>
      </c>
      <c r="N156" s="48">
        <v>0</v>
      </c>
      <c r="O156" s="48">
        <v>29.475486573151457</v>
      </c>
      <c r="P156" s="48">
        <v>4.5357668401818891</v>
      </c>
      <c r="Q156" s="48">
        <v>0</v>
      </c>
      <c r="R156" s="48">
        <v>21.201817672554888</v>
      </c>
      <c r="S156" s="48">
        <v>0</v>
      </c>
      <c r="T156" s="48">
        <v>3.0374473662429637</v>
      </c>
      <c r="U156" s="48">
        <v>0</v>
      </c>
      <c r="V156" s="48">
        <v>0</v>
      </c>
      <c r="W156" s="48">
        <v>0</v>
      </c>
      <c r="X156" s="48">
        <v>0</v>
      </c>
      <c r="Y156" s="48">
        <v>0</v>
      </c>
      <c r="Z156" s="48">
        <v>0</v>
      </c>
      <c r="AA156" s="48">
        <v>0</v>
      </c>
      <c r="AB156" s="48">
        <v>0</v>
      </c>
      <c r="AC156" s="48">
        <v>0</v>
      </c>
      <c r="AD156" s="48">
        <v>0</v>
      </c>
      <c r="AE156" s="48">
        <v>0</v>
      </c>
      <c r="AF156" s="48">
        <v>0</v>
      </c>
      <c r="AG156" s="48">
        <v>0</v>
      </c>
      <c r="AH156" s="48">
        <v>0</v>
      </c>
      <c r="AI156" s="48">
        <v>0</v>
      </c>
      <c r="AJ156" s="48">
        <v>0</v>
      </c>
      <c r="AK156" s="48">
        <v>0</v>
      </c>
      <c r="AL156" s="48">
        <v>0</v>
      </c>
      <c r="AM156" s="48">
        <v>0</v>
      </c>
      <c r="AN156" s="48">
        <v>0</v>
      </c>
      <c r="AO156" s="48">
        <v>0</v>
      </c>
      <c r="AP156" s="48">
        <v>0</v>
      </c>
      <c r="AQ156" s="48">
        <v>0</v>
      </c>
      <c r="AR156" s="48">
        <v>0</v>
      </c>
      <c r="AS156" s="48">
        <v>0</v>
      </c>
      <c r="AT156" s="48">
        <v>1.5527925707262888</v>
      </c>
      <c r="AU156" s="48">
        <v>0</v>
      </c>
      <c r="AV156" s="48">
        <v>0</v>
      </c>
      <c r="AW156" s="48">
        <v>0</v>
      </c>
      <c r="AX156" s="48">
        <v>3.8048033741833884</v>
      </c>
      <c r="AY156" s="48">
        <v>0.7611157931057515</v>
      </c>
      <c r="AZ156" s="48">
        <v>0</v>
      </c>
      <c r="BA156" s="48">
        <v>0</v>
      </c>
      <c r="BB156" s="48">
        <v>4.5679079291606044</v>
      </c>
      <c r="BC156" s="48">
        <v>0.76833026070172461</v>
      </c>
      <c r="BD156" s="48">
        <v>0</v>
      </c>
      <c r="BE156" s="48">
        <v>0</v>
      </c>
      <c r="BF156" s="48">
        <v>0</v>
      </c>
      <c r="BG156" s="48">
        <v>0</v>
      </c>
      <c r="BH156" s="48">
        <v>0</v>
      </c>
      <c r="BI156" s="48">
        <v>0</v>
      </c>
      <c r="BJ156" s="48">
        <v>0</v>
      </c>
      <c r="BK156" s="48">
        <v>0</v>
      </c>
      <c r="BL156" s="48">
        <v>0</v>
      </c>
      <c r="BM156" s="48">
        <v>0</v>
      </c>
      <c r="BN156" s="48">
        <v>0</v>
      </c>
      <c r="BO156" s="48">
        <v>0</v>
      </c>
      <c r="BP156" s="48">
        <v>0</v>
      </c>
      <c r="BQ156" s="48">
        <v>0</v>
      </c>
      <c r="BR156" s="48">
        <v>0</v>
      </c>
      <c r="BS156" s="48">
        <v>0</v>
      </c>
      <c r="BT156" s="48">
        <v>0</v>
      </c>
      <c r="BU156" s="48">
        <v>0</v>
      </c>
      <c r="BV156" s="48">
        <v>0</v>
      </c>
      <c r="BW156" s="48">
        <v>0</v>
      </c>
      <c r="BX156" s="48">
        <v>0</v>
      </c>
      <c r="BY156" s="48">
        <v>0</v>
      </c>
      <c r="BZ156" s="48">
        <v>0</v>
      </c>
      <c r="CA156" s="48">
        <v>1964.5072791217074</v>
      </c>
      <c r="CB156" s="48">
        <v>6.7905401556225762</v>
      </c>
      <c r="CC156" s="48">
        <v>0</v>
      </c>
      <c r="CD156" s="48">
        <v>0</v>
      </c>
      <c r="CE156" s="48">
        <v>0</v>
      </c>
      <c r="CF156" s="48">
        <v>0</v>
      </c>
      <c r="CG156" s="48">
        <v>0</v>
      </c>
      <c r="CH156" s="48">
        <v>0</v>
      </c>
      <c r="CI156" s="48">
        <v>1.0519105790395299E-7</v>
      </c>
      <c r="CJ156" s="48">
        <v>0</v>
      </c>
      <c r="CK156" s="48">
        <v>0</v>
      </c>
      <c r="CL156" s="48">
        <v>0</v>
      </c>
      <c r="CM156" s="48">
        <v>2.088991661749785E-9</v>
      </c>
      <c r="CN156" s="48">
        <v>0</v>
      </c>
      <c r="CO156" s="48">
        <v>0</v>
      </c>
      <c r="CP156" s="48">
        <v>0</v>
      </c>
      <c r="CQ156" s="48">
        <v>0</v>
      </c>
      <c r="CR156" s="48">
        <v>2.0614708387992425E-6</v>
      </c>
      <c r="CS156" s="48">
        <v>0</v>
      </c>
      <c r="CT156" s="48">
        <v>0</v>
      </c>
      <c r="CU156" s="48">
        <v>4.4220875548497227E-2</v>
      </c>
      <c r="CV156" s="48">
        <v>0</v>
      </c>
      <c r="CW156" s="48">
        <v>0</v>
      </c>
      <c r="CX156" s="48">
        <v>0</v>
      </c>
      <c r="CY156" s="48">
        <v>0</v>
      </c>
      <c r="CZ156" s="48">
        <v>0</v>
      </c>
      <c r="DA156" s="48">
        <v>1.8518518800268698E-9</v>
      </c>
      <c r="DB156" s="48">
        <v>0</v>
      </c>
      <c r="DC156" s="48">
        <v>0</v>
      </c>
      <c r="DD156" s="48">
        <v>0</v>
      </c>
      <c r="DE156" s="48">
        <v>0</v>
      </c>
      <c r="DF156" s="48">
        <v>0</v>
      </c>
      <c r="DG156" s="48">
        <v>0</v>
      </c>
      <c r="DH156" s="48">
        <v>0</v>
      </c>
      <c r="DI156" s="48">
        <v>0</v>
      </c>
      <c r="DJ156" s="48">
        <v>4.2872082385414891E-4</v>
      </c>
      <c r="DK156" s="48">
        <v>0</v>
      </c>
      <c r="DL156" s="48">
        <v>2.0084824922571324E-3</v>
      </c>
      <c r="DM156" s="48">
        <v>0</v>
      </c>
      <c r="DN156" s="48">
        <v>0</v>
      </c>
      <c r="DO156" s="48">
        <v>0</v>
      </c>
      <c r="DP156" s="48">
        <v>0</v>
      </c>
      <c r="DQ156" s="48">
        <v>0</v>
      </c>
      <c r="DR156" s="48">
        <v>4.1132219158100704E-2</v>
      </c>
      <c r="DS156" s="48">
        <v>0</v>
      </c>
      <c r="DT156" s="48">
        <v>0</v>
      </c>
      <c r="DU156" s="48">
        <v>0</v>
      </c>
      <c r="DV156" s="48">
        <v>499.53580916462681</v>
      </c>
      <c r="DW156" s="48">
        <v>253.62937683452449</v>
      </c>
      <c r="DX156" s="48">
        <v>126.53201715206355</v>
      </c>
      <c r="DY156" s="48">
        <v>18.501545088397926</v>
      </c>
      <c r="DZ156" s="48">
        <v>16.064370364947894</v>
      </c>
      <c r="EA156" s="48">
        <v>0</v>
      </c>
      <c r="EB156" s="48">
        <v>114.29594479694319</v>
      </c>
      <c r="EC156" s="48">
        <v>474.93783957499937</v>
      </c>
      <c r="ED156" s="48">
        <v>68.982250691089291</v>
      </c>
      <c r="EE156" s="48">
        <v>19.695288991534341</v>
      </c>
      <c r="EF156" s="48">
        <v>65.770987910548826</v>
      </c>
      <c r="EG156" s="48">
        <v>23.597328128304564</v>
      </c>
      <c r="EH156" s="48">
        <v>3.0276353947310346</v>
      </c>
      <c r="EI156" s="48">
        <v>0</v>
      </c>
      <c r="EJ156" s="48">
        <v>0</v>
      </c>
      <c r="EK156" s="48">
        <v>0</v>
      </c>
      <c r="EL156" s="48">
        <v>131.65104568664185</v>
      </c>
      <c r="EM156" s="48">
        <v>9.3364530665948867E-2</v>
      </c>
      <c r="EN156" s="48">
        <v>0.14936132605914484</v>
      </c>
      <c r="EO156" s="48">
        <v>0</v>
      </c>
      <c r="EP156" s="48">
        <v>9.1123420454878181E-6</v>
      </c>
      <c r="EQ156" s="48">
        <v>0</v>
      </c>
      <c r="ER156" s="48">
        <v>0</v>
      </c>
      <c r="ES156" s="48">
        <v>798.57245787364855</v>
      </c>
      <c r="ET156" s="48">
        <v>0</v>
      </c>
      <c r="EU156" s="48">
        <v>0</v>
      </c>
      <c r="EV156" s="48">
        <v>0</v>
      </c>
      <c r="EW156" s="48">
        <v>0</v>
      </c>
      <c r="EX156" s="48">
        <v>0.25897311263597023</v>
      </c>
      <c r="EY156" s="48">
        <v>0</v>
      </c>
      <c r="EZ156" s="48">
        <v>0</v>
      </c>
      <c r="FA156" s="48">
        <v>6.4542846712177145E-3</v>
      </c>
      <c r="FB156" s="48">
        <v>1.7694841038759214E-4</v>
      </c>
      <c r="FC156" s="48">
        <v>0</v>
      </c>
      <c r="FD156" s="48">
        <v>48.629393205264059</v>
      </c>
      <c r="FE156" s="48">
        <v>813.56605206153006</v>
      </c>
      <c r="FF156" s="48">
        <v>0</v>
      </c>
      <c r="FG156" s="48">
        <v>0</v>
      </c>
      <c r="FH156" s="48">
        <v>13.192893158151474</v>
      </c>
      <c r="FI156" s="48">
        <v>69.395647221442943</v>
      </c>
      <c r="FJ156" s="48">
        <v>0</v>
      </c>
      <c r="FK156" s="48">
        <v>24.674119552997542</v>
      </c>
      <c r="FL156" s="48">
        <v>0</v>
      </c>
      <c r="FM156" s="48">
        <v>14.632444924410999</v>
      </c>
      <c r="FN156" s="48">
        <v>0</v>
      </c>
      <c r="FO156" s="48">
        <v>0</v>
      </c>
      <c r="FP156" s="48">
        <v>344.86796781496167</v>
      </c>
      <c r="FQ156" s="48">
        <v>0</v>
      </c>
      <c r="FR156" s="48">
        <v>0</v>
      </c>
      <c r="FS156" s="48">
        <v>0</v>
      </c>
      <c r="FT156" s="48">
        <v>0</v>
      </c>
      <c r="FU156" s="48">
        <v>0</v>
      </c>
      <c r="FV156" s="48">
        <v>0</v>
      </c>
      <c r="FW156" s="48">
        <v>3.4502903558097344</v>
      </c>
      <c r="FX156" s="48">
        <v>6.0444817311271493</v>
      </c>
      <c r="FY156" s="48">
        <v>0</v>
      </c>
      <c r="FZ156" s="48">
        <v>0</v>
      </c>
      <c r="GA156" s="48">
        <v>0</v>
      </c>
      <c r="GB156" s="48">
        <v>5102.2564912408361</v>
      </c>
      <c r="GC156" s="48">
        <v>0</v>
      </c>
      <c r="GD156" s="48">
        <v>0</v>
      </c>
      <c r="GE156" s="48">
        <v>0</v>
      </c>
      <c r="GF156" s="48">
        <v>0</v>
      </c>
      <c r="GG156" s="48">
        <v>0</v>
      </c>
      <c r="GH156" s="48">
        <v>0</v>
      </c>
      <c r="GI156" s="48">
        <v>0</v>
      </c>
      <c r="GJ156" s="48">
        <v>0</v>
      </c>
      <c r="GK156" s="48">
        <v>0</v>
      </c>
      <c r="GL156" s="48">
        <v>0</v>
      </c>
      <c r="GM156" s="48">
        <v>0</v>
      </c>
      <c r="GN156" s="48">
        <v>0</v>
      </c>
      <c r="GO156" s="48">
        <v>0</v>
      </c>
      <c r="GP156" s="48">
        <v>0</v>
      </c>
      <c r="GQ156" s="48">
        <v>0</v>
      </c>
      <c r="GR156" s="48">
        <v>0</v>
      </c>
      <c r="GS156" s="48">
        <v>0</v>
      </c>
      <c r="GT156" s="48">
        <v>0</v>
      </c>
      <c r="GU156" s="48">
        <v>0</v>
      </c>
      <c r="GV156" s="48">
        <v>0</v>
      </c>
      <c r="GW156" s="48">
        <v>0</v>
      </c>
      <c r="GX156" s="48">
        <v>0</v>
      </c>
      <c r="GY156" s="48">
        <v>0</v>
      </c>
      <c r="GZ156" s="48">
        <v>0</v>
      </c>
      <c r="HA156" s="48">
        <v>0</v>
      </c>
      <c r="HB156" s="48">
        <v>0</v>
      </c>
      <c r="HC156" s="48">
        <v>0</v>
      </c>
      <c r="HD156" s="48">
        <v>0</v>
      </c>
      <c r="HE156" s="48">
        <v>0</v>
      </c>
      <c r="HF156" s="48">
        <v>0</v>
      </c>
      <c r="HG156" s="48">
        <v>0</v>
      </c>
      <c r="HH156" s="48">
        <v>0</v>
      </c>
      <c r="HI156" s="48">
        <v>0</v>
      </c>
      <c r="HJ156" s="48">
        <v>0</v>
      </c>
      <c r="HK156" s="48">
        <v>0</v>
      </c>
      <c r="HL156" s="48">
        <v>0</v>
      </c>
      <c r="HM156" s="48">
        <v>0</v>
      </c>
      <c r="HN156" s="48">
        <v>0</v>
      </c>
      <c r="HO156" s="48">
        <v>0</v>
      </c>
      <c r="HP156" s="48">
        <v>0</v>
      </c>
      <c r="HQ156" s="48">
        <v>0</v>
      </c>
      <c r="HR156" s="48">
        <v>0</v>
      </c>
      <c r="HS156" s="48">
        <v>0</v>
      </c>
      <c r="HT156" s="48">
        <v>0</v>
      </c>
      <c r="HU156" s="48">
        <v>0</v>
      </c>
      <c r="HV156" s="48">
        <v>0</v>
      </c>
      <c r="HW156" s="48">
        <v>0</v>
      </c>
      <c r="HX156" s="48">
        <v>0</v>
      </c>
      <c r="HY156" s="48">
        <v>0</v>
      </c>
      <c r="HZ156" s="48">
        <v>0</v>
      </c>
      <c r="IA156" s="48">
        <v>0</v>
      </c>
      <c r="IB156" s="48">
        <v>0</v>
      </c>
      <c r="IC156" s="48">
        <v>0</v>
      </c>
      <c r="ID156" s="48">
        <v>0</v>
      </c>
      <c r="IE156" s="48">
        <v>0</v>
      </c>
      <c r="IF156" s="48">
        <v>0</v>
      </c>
      <c r="IG156" s="48">
        <v>0</v>
      </c>
      <c r="IH156" s="48">
        <v>0</v>
      </c>
      <c r="II156" s="48">
        <v>0</v>
      </c>
      <c r="IJ156" s="48">
        <v>0</v>
      </c>
      <c r="IK156" s="48">
        <v>137.17501720735831</v>
      </c>
      <c r="IL156" s="48">
        <v>239.81893071735496</v>
      </c>
      <c r="IM156" s="48">
        <v>289.22783886256582</v>
      </c>
      <c r="IN156" s="48">
        <v>153.19901727745136</v>
      </c>
      <c r="IO156" s="48">
        <v>0</v>
      </c>
      <c r="IP156" s="23">
        <v>11929.000000000007</v>
      </c>
      <c r="IQ156" s="25">
        <v>7881</v>
      </c>
      <c r="IR156" s="25">
        <v>0</v>
      </c>
      <c r="IS156" s="26">
        <v>0</v>
      </c>
      <c r="IT156" s="26">
        <v>0</v>
      </c>
      <c r="IU156" s="26">
        <v>-1241</v>
      </c>
      <c r="IV156" s="9">
        <v>2189</v>
      </c>
      <c r="IW156" s="38">
        <f t="shared" si="13"/>
        <v>20758.000000000007</v>
      </c>
    </row>
    <row r="157" spans="1:257" ht="30" customHeight="1" x14ac:dyDescent="0.25">
      <c r="A157" s="112" t="b">
        <v>1</v>
      </c>
      <c r="B157" s="113" t="b">
        <f>IFERROR(VLOOKUP(C157,'Bridge matrix'!$D$3:$E$727,2,FALSE)='symmetric IOT 245 2012'!D157,"FALSCH")</f>
        <v>1</v>
      </c>
      <c r="C157" s="108">
        <v>146</v>
      </c>
      <c r="D157" s="49" t="s">
        <v>1464</v>
      </c>
      <c r="E157" s="48">
        <v>119295.14774586908</v>
      </c>
      <c r="F157" s="48">
        <v>14805.37965611284</v>
      </c>
      <c r="G157" s="48">
        <v>23760.361847393262</v>
      </c>
      <c r="H157" s="48">
        <v>48.428756956913574</v>
      </c>
      <c r="I157" s="48">
        <v>493.37519876071758</v>
      </c>
      <c r="J157" s="48">
        <v>1755.0198602357736</v>
      </c>
      <c r="K157" s="48">
        <v>3894.7057839247768</v>
      </c>
      <c r="L157" s="48">
        <v>130.38885139600995</v>
      </c>
      <c r="M157" s="48">
        <v>7.4468679163763358</v>
      </c>
      <c r="N157" s="48">
        <v>26.428403457073742</v>
      </c>
      <c r="O157" s="48">
        <v>65.612877668188347</v>
      </c>
      <c r="P157" s="48">
        <v>9.4972295534204232</v>
      </c>
      <c r="Q157" s="48">
        <v>1.0514886673784205</v>
      </c>
      <c r="R157" s="48">
        <v>47.700024008928466</v>
      </c>
      <c r="S157" s="48">
        <v>0.6679288530230546</v>
      </c>
      <c r="T157" s="48">
        <v>57.272272067943696</v>
      </c>
      <c r="U157" s="48">
        <v>7.1816548489445617</v>
      </c>
      <c r="V157" s="48">
        <v>16.225754237131547</v>
      </c>
      <c r="W157" s="48">
        <v>24.564536022643651</v>
      </c>
      <c r="X157" s="48">
        <v>0.6691230060503468</v>
      </c>
      <c r="Y157" s="48">
        <v>11.451980180701653</v>
      </c>
      <c r="Z157" s="48">
        <v>30.261733679271504</v>
      </c>
      <c r="AA157" s="48">
        <v>2.4624681817778167</v>
      </c>
      <c r="AB157" s="48">
        <v>1.7652212692854756</v>
      </c>
      <c r="AC157" s="48">
        <v>0.62400714456064665</v>
      </c>
      <c r="AD157" s="48">
        <v>7.1825598381501967</v>
      </c>
      <c r="AE157" s="48">
        <v>10.78847182750917</v>
      </c>
      <c r="AF157" s="48">
        <v>5.4519534146365025</v>
      </c>
      <c r="AG157" s="48">
        <v>12.041921262748291</v>
      </c>
      <c r="AH157" s="48">
        <v>21.157945461058908</v>
      </c>
      <c r="AI157" s="48">
        <v>17.432575877538614</v>
      </c>
      <c r="AJ157" s="48">
        <v>10.738783411588981</v>
      </c>
      <c r="AK157" s="48">
        <v>32.325187393614911</v>
      </c>
      <c r="AL157" s="48">
        <v>10.819865728319051</v>
      </c>
      <c r="AM157" s="48">
        <v>1.2558876591797978</v>
      </c>
      <c r="AN157" s="48">
        <v>11.337062406741669</v>
      </c>
      <c r="AO157" s="48">
        <v>7.1387077237024679</v>
      </c>
      <c r="AP157" s="48">
        <v>28.244757974415137</v>
      </c>
      <c r="AQ157" s="48">
        <v>11.460461026683637</v>
      </c>
      <c r="AR157" s="48">
        <v>17.99307185615282</v>
      </c>
      <c r="AS157" s="48">
        <v>15.86193072409468</v>
      </c>
      <c r="AT157" s="48">
        <v>0</v>
      </c>
      <c r="AU157" s="48">
        <v>0</v>
      </c>
      <c r="AV157" s="48">
        <v>0.33489078863119726</v>
      </c>
      <c r="AW157" s="48">
        <v>0</v>
      </c>
      <c r="AX157" s="48">
        <v>1.0911572714712887</v>
      </c>
      <c r="AY157" s="48">
        <v>0</v>
      </c>
      <c r="AZ157" s="48">
        <v>0</v>
      </c>
      <c r="BA157" s="48">
        <v>9.4800530541543332E-2</v>
      </c>
      <c r="BB157" s="48">
        <v>0</v>
      </c>
      <c r="BC157" s="48">
        <v>0</v>
      </c>
      <c r="BD157" s="48">
        <v>0</v>
      </c>
      <c r="BE157" s="48">
        <v>1363.410573224</v>
      </c>
      <c r="BF157" s="48">
        <v>44.540793065716073</v>
      </c>
      <c r="BG157" s="48">
        <v>2.9848467214609635</v>
      </c>
      <c r="BH157" s="48">
        <v>276.06356406447435</v>
      </c>
      <c r="BI157" s="48">
        <v>33.58584392116073</v>
      </c>
      <c r="BJ157" s="48">
        <v>213.16759576448038</v>
      </c>
      <c r="BK157" s="48">
        <v>42.155802596956974</v>
      </c>
      <c r="BL157" s="48">
        <v>0.75670552866463869</v>
      </c>
      <c r="BM157" s="48">
        <v>121.07850803336467</v>
      </c>
      <c r="BN157" s="48">
        <v>10.793405148595774</v>
      </c>
      <c r="BO157" s="48">
        <v>0</v>
      </c>
      <c r="BP157" s="48">
        <v>0</v>
      </c>
      <c r="BQ157" s="48">
        <v>0</v>
      </c>
      <c r="BR157" s="48">
        <v>0</v>
      </c>
      <c r="BS157" s="48">
        <v>0</v>
      </c>
      <c r="BT157" s="48">
        <v>0</v>
      </c>
      <c r="BU157" s="48">
        <v>194.92115809043244</v>
      </c>
      <c r="BV157" s="48">
        <v>0</v>
      </c>
      <c r="BW157" s="48">
        <v>0</v>
      </c>
      <c r="BX157" s="48">
        <v>0</v>
      </c>
      <c r="BY157" s="48">
        <v>2577.0531139344735</v>
      </c>
      <c r="BZ157" s="48">
        <v>1867.8149071294661</v>
      </c>
      <c r="CA157" s="48">
        <v>5541.0579587463872</v>
      </c>
      <c r="CB157" s="48">
        <v>20.822693660530032</v>
      </c>
      <c r="CC157" s="48">
        <v>1215.9642376643576</v>
      </c>
      <c r="CD157" s="48">
        <v>0</v>
      </c>
      <c r="CE157" s="48">
        <v>0</v>
      </c>
      <c r="CF157" s="48">
        <v>0</v>
      </c>
      <c r="CG157" s="48">
        <v>0</v>
      </c>
      <c r="CH157" s="48">
        <v>0</v>
      </c>
      <c r="CI157" s="48">
        <v>1697.2849917500143</v>
      </c>
      <c r="CJ157" s="48">
        <v>0</v>
      </c>
      <c r="CK157" s="48">
        <v>266.45371213951455</v>
      </c>
      <c r="CL157" s="48">
        <v>2401.5642164396068</v>
      </c>
      <c r="CM157" s="48">
        <v>0</v>
      </c>
      <c r="CN157" s="48">
        <v>12470.094305774617</v>
      </c>
      <c r="CO157" s="48">
        <v>6459.4137095977339</v>
      </c>
      <c r="CP157" s="48">
        <v>627.51742563891253</v>
      </c>
      <c r="CQ157" s="48">
        <v>2450.9279573051526</v>
      </c>
      <c r="CR157" s="48">
        <v>451.77642196696439</v>
      </c>
      <c r="CS157" s="48">
        <v>3181.7266669258288</v>
      </c>
      <c r="CT157" s="48">
        <v>8271.831168522096</v>
      </c>
      <c r="CU157" s="48">
        <v>4161.0310186498818</v>
      </c>
      <c r="CV157" s="48">
        <v>8783.8692339902354</v>
      </c>
      <c r="CW157" s="48">
        <v>2542.558140303805</v>
      </c>
      <c r="CX157" s="48">
        <v>1921.5505493454407</v>
      </c>
      <c r="CY157" s="48">
        <v>8167.3290119829217</v>
      </c>
      <c r="CZ157" s="48">
        <v>0</v>
      </c>
      <c r="DA157" s="48">
        <v>0</v>
      </c>
      <c r="DB157" s="48">
        <v>2701.4112547942414</v>
      </c>
      <c r="DC157" s="48">
        <v>0</v>
      </c>
      <c r="DD157" s="48">
        <v>11904.726280048215</v>
      </c>
      <c r="DE157" s="48">
        <v>1787.3084922321164</v>
      </c>
      <c r="DF157" s="48">
        <v>4246.4232232366221</v>
      </c>
      <c r="DG157" s="48">
        <v>3595.5140161247491</v>
      </c>
      <c r="DH157" s="48">
        <v>0</v>
      </c>
      <c r="DI157" s="48">
        <v>3144.544773100411</v>
      </c>
      <c r="DJ157" s="48">
        <v>2997.4554184370822</v>
      </c>
      <c r="DK157" s="48">
        <v>0</v>
      </c>
      <c r="DL157" s="48">
        <v>9986.8992443547031</v>
      </c>
      <c r="DM157" s="48">
        <v>3586.9828004323381</v>
      </c>
      <c r="DN157" s="48">
        <v>33814.00964378981</v>
      </c>
      <c r="DO157" s="48">
        <v>639.37149197706105</v>
      </c>
      <c r="DP157" s="48">
        <v>31.478497903833592</v>
      </c>
      <c r="DQ157" s="48">
        <v>0</v>
      </c>
      <c r="DR157" s="48">
        <v>158.96058333429227</v>
      </c>
      <c r="DS157" s="48">
        <v>1086.5855870266105</v>
      </c>
      <c r="DT157" s="48">
        <v>0</v>
      </c>
      <c r="DU157" s="48">
        <v>18.996355428186341</v>
      </c>
      <c r="DV157" s="48">
        <v>54.029000563556018</v>
      </c>
      <c r="DW157" s="48">
        <v>0</v>
      </c>
      <c r="DX157" s="48">
        <v>0</v>
      </c>
      <c r="DY157" s="48">
        <v>0</v>
      </c>
      <c r="DZ157" s="48">
        <v>292.78808950033755</v>
      </c>
      <c r="EA157" s="48">
        <v>0</v>
      </c>
      <c r="EB157" s="48">
        <v>3929.9920349543281</v>
      </c>
      <c r="EC157" s="48">
        <v>3855.2652124296037</v>
      </c>
      <c r="ED157" s="48">
        <v>1138.3561435473291</v>
      </c>
      <c r="EE157" s="48">
        <v>321.05137298248832</v>
      </c>
      <c r="EF157" s="48">
        <v>1102.0475993530586</v>
      </c>
      <c r="EG157" s="48">
        <v>386.38960404877218</v>
      </c>
      <c r="EH157" s="48">
        <v>52.968661352776721</v>
      </c>
      <c r="EI157" s="48">
        <v>0</v>
      </c>
      <c r="EJ157" s="48">
        <v>0</v>
      </c>
      <c r="EK157" s="48">
        <v>0</v>
      </c>
      <c r="EL157" s="48">
        <v>1932.2848054915096</v>
      </c>
      <c r="EM157" s="48">
        <v>2621.779712919631</v>
      </c>
      <c r="EN157" s="48">
        <v>1139.9668313187037</v>
      </c>
      <c r="EO157" s="48">
        <v>370.45217867523002</v>
      </c>
      <c r="EP157" s="48">
        <v>1442.6348124829683</v>
      </c>
      <c r="EQ157" s="48">
        <v>2105.184082626532</v>
      </c>
      <c r="ER157" s="48">
        <v>0</v>
      </c>
      <c r="ES157" s="48">
        <v>170.99101377393922</v>
      </c>
      <c r="ET157" s="48">
        <v>9879.2580284075793</v>
      </c>
      <c r="EU157" s="48">
        <v>0</v>
      </c>
      <c r="EV157" s="48">
        <v>0</v>
      </c>
      <c r="EW157" s="48">
        <v>0</v>
      </c>
      <c r="EX157" s="48">
        <v>2900.1352997797158</v>
      </c>
      <c r="EY157" s="48">
        <v>2.5024761754265965</v>
      </c>
      <c r="EZ157" s="48">
        <v>0</v>
      </c>
      <c r="FA157" s="48">
        <v>0</v>
      </c>
      <c r="FB157" s="48">
        <v>0</v>
      </c>
      <c r="FC157" s="48">
        <v>0</v>
      </c>
      <c r="FD157" s="48">
        <v>0</v>
      </c>
      <c r="FE157" s="48">
        <v>97.313315869609667</v>
      </c>
      <c r="FF157" s="48">
        <v>0</v>
      </c>
      <c r="FG157" s="48">
        <v>277.42604936002277</v>
      </c>
      <c r="FH157" s="48">
        <v>2895.7497310221138</v>
      </c>
      <c r="FI157" s="48">
        <v>1709.9999027561591</v>
      </c>
      <c r="FJ157" s="48">
        <v>1975.38389575165</v>
      </c>
      <c r="FK157" s="48">
        <v>577.50918047751532</v>
      </c>
      <c r="FL157" s="48">
        <v>21.122196102882139</v>
      </c>
      <c r="FM157" s="48">
        <v>1845.2425081479607</v>
      </c>
      <c r="FN157" s="48">
        <v>448.41183921724945</v>
      </c>
      <c r="FO157" s="48">
        <v>259.21562792725405</v>
      </c>
      <c r="FP157" s="48">
        <v>18285.262238138741</v>
      </c>
      <c r="FQ157" s="48">
        <v>581.00149147160232</v>
      </c>
      <c r="FR157" s="48">
        <v>24353.724090462463</v>
      </c>
      <c r="FS157" s="48">
        <v>5.0348146252029631</v>
      </c>
      <c r="FT157" s="48">
        <v>0.61364067683791768</v>
      </c>
      <c r="FU157" s="48">
        <v>9.9165307359375188</v>
      </c>
      <c r="FV157" s="48">
        <v>83.471045167222925</v>
      </c>
      <c r="FW157" s="48">
        <v>3755.2609264673738</v>
      </c>
      <c r="FX157" s="48">
        <v>7910.2195624880287</v>
      </c>
      <c r="FY157" s="48">
        <v>387.04479312282342</v>
      </c>
      <c r="FZ157" s="48">
        <v>7.838386337817675</v>
      </c>
      <c r="GA157" s="48">
        <v>61.911523526359758</v>
      </c>
      <c r="GB157" s="48">
        <v>108985.50934310707</v>
      </c>
      <c r="GC157" s="48">
        <v>88326.762921065776</v>
      </c>
      <c r="GD157" s="48">
        <v>365.07449137390881</v>
      </c>
      <c r="GE157" s="48">
        <v>375.60259211511487</v>
      </c>
      <c r="GF157" s="48">
        <v>1838.2030962697224</v>
      </c>
      <c r="GG157" s="48">
        <v>0</v>
      </c>
      <c r="GH157" s="48">
        <v>0</v>
      </c>
      <c r="GI157" s="48">
        <v>0</v>
      </c>
      <c r="GJ157" s="48">
        <v>0</v>
      </c>
      <c r="GK157" s="48">
        <v>0</v>
      </c>
      <c r="GL157" s="48">
        <v>0</v>
      </c>
      <c r="GM157" s="48">
        <v>0</v>
      </c>
      <c r="GN157" s="48">
        <v>0</v>
      </c>
      <c r="GO157" s="48">
        <v>0</v>
      </c>
      <c r="GP157" s="48">
        <v>0</v>
      </c>
      <c r="GQ157" s="48">
        <v>0</v>
      </c>
      <c r="GR157" s="48">
        <v>249.07515566168385</v>
      </c>
      <c r="GS157" s="48">
        <v>98.193264888725338</v>
      </c>
      <c r="GT157" s="48">
        <v>45.028364734058499</v>
      </c>
      <c r="GU157" s="48">
        <v>2510.9556452477468</v>
      </c>
      <c r="GV157" s="48">
        <v>15.620432596250156</v>
      </c>
      <c r="GW157" s="48">
        <v>3.5715945014249284</v>
      </c>
      <c r="GX157" s="48">
        <v>129.44554014654389</v>
      </c>
      <c r="GY157" s="48">
        <v>0</v>
      </c>
      <c r="GZ157" s="48">
        <v>0</v>
      </c>
      <c r="HA157" s="48">
        <v>0</v>
      </c>
      <c r="HB157" s="48">
        <v>728.29484475888569</v>
      </c>
      <c r="HC157" s="48">
        <v>1643.6497787108381</v>
      </c>
      <c r="HD157" s="48">
        <v>556.20860277198051</v>
      </c>
      <c r="HE157" s="48">
        <v>494.27095410976148</v>
      </c>
      <c r="HF157" s="48">
        <v>2475.3588640656212</v>
      </c>
      <c r="HG157" s="48">
        <v>2364.4320113464983</v>
      </c>
      <c r="HH157" s="48">
        <v>4452.4047806372755</v>
      </c>
      <c r="HI157" s="48">
        <v>6496.6688305890348</v>
      </c>
      <c r="HJ157" s="48">
        <v>7388.7677859394425</v>
      </c>
      <c r="HK157" s="48">
        <v>350.39489980942642</v>
      </c>
      <c r="HL157" s="48">
        <v>556.02629045867366</v>
      </c>
      <c r="HM157" s="48">
        <v>2549.1666602463019</v>
      </c>
      <c r="HN157" s="48">
        <v>746.76567896408369</v>
      </c>
      <c r="HO157" s="48">
        <v>3142.6077871184411</v>
      </c>
      <c r="HP157" s="48">
        <v>5385.8126911575873</v>
      </c>
      <c r="HQ157" s="48">
        <v>840.94900498076265</v>
      </c>
      <c r="HR157" s="48">
        <v>1793.3577822998279</v>
      </c>
      <c r="HS157" s="48">
        <v>3018.4770621282541</v>
      </c>
      <c r="HT157" s="48">
        <v>1843.1940799492274</v>
      </c>
      <c r="HU157" s="48">
        <v>2437.413876022526</v>
      </c>
      <c r="HV157" s="48">
        <v>21420.25052127217</v>
      </c>
      <c r="HW157" s="48">
        <v>166.63290656790514</v>
      </c>
      <c r="HX157" s="48">
        <v>0</v>
      </c>
      <c r="HY157" s="48">
        <v>0</v>
      </c>
      <c r="HZ157" s="48">
        <v>0</v>
      </c>
      <c r="IA157" s="48">
        <v>0</v>
      </c>
      <c r="IB157" s="48">
        <v>0</v>
      </c>
      <c r="IC157" s="48">
        <v>783.45735951090501</v>
      </c>
      <c r="ID157" s="48">
        <v>485.64358273885074</v>
      </c>
      <c r="IE157" s="48">
        <v>328.45172623397957</v>
      </c>
      <c r="IF157" s="48">
        <v>42.409960349090703</v>
      </c>
      <c r="IG157" s="48">
        <v>15.69017349634052</v>
      </c>
      <c r="IH157" s="48">
        <v>1.2220226430047687</v>
      </c>
      <c r="II157" s="48">
        <v>0.16795200437373295</v>
      </c>
      <c r="IJ157" s="48">
        <v>952.39336991770267</v>
      </c>
      <c r="IK157" s="48">
        <v>84.375806719194983</v>
      </c>
      <c r="IL157" s="48">
        <v>810.79945591944704</v>
      </c>
      <c r="IM157" s="48">
        <v>974.72752748282994</v>
      </c>
      <c r="IN157" s="48">
        <v>517.55151369435168</v>
      </c>
      <c r="IO157" s="48">
        <v>0</v>
      </c>
      <c r="IP157" s="23">
        <v>699835.99999999488</v>
      </c>
      <c r="IQ157" s="25">
        <v>19167</v>
      </c>
      <c r="IR157" s="25">
        <v>0</v>
      </c>
      <c r="IS157" s="26">
        <v>0</v>
      </c>
      <c r="IT157" s="26">
        <v>0</v>
      </c>
      <c r="IU157" s="26">
        <v>-167</v>
      </c>
      <c r="IV157" s="9">
        <v>127730</v>
      </c>
      <c r="IW157" s="38">
        <f t="shared" si="13"/>
        <v>846565.99999999488</v>
      </c>
    </row>
    <row r="158" spans="1:257" ht="30" customHeight="1" x14ac:dyDescent="0.25">
      <c r="A158" s="112" t="b">
        <v>0</v>
      </c>
      <c r="B158" s="113" t="str">
        <f>IFERROR(VLOOKUP(C158,'Bridge matrix'!$D$3:$E$727,2,FALSE)='symmetric IOT 245 2012'!D158,"FALSCH")</f>
        <v>FALSCH</v>
      </c>
      <c r="C158" s="108">
        <v>147</v>
      </c>
      <c r="D158" s="49" t="s">
        <v>1465</v>
      </c>
      <c r="E158" s="48">
        <v>0</v>
      </c>
      <c r="F158" s="48">
        <v>0</v>
      </c>
      <c r="G158" s="48">
        <v>0</v>
      </c>
      <c r="H158" s="48">
        <v>0</v>
      </c>
      <c r="I158" s="48">
        <v>0</v>
      </c>
      <c r="J158" s="48">
        <v>0</v>
      </c>
      <c r="K158" s="48">
        <v>0</v>
      </c>
      <c r="L158" s="48">
        <v>0</v>
      </c>
      <c r="M158" s="48">
        <v>0</v>
      </c>
      <c r="N158" s="48">
        <v>0</v>
      </c>
      <c r="O158" s="48">
        <v>0</v>
      </c>
      <c r="P158" s="48">
        <v>0</v>
      </c>
      <c r="Q158" s="48">
        <v>0</v>
      </c>
      <c r="R158" s="48">
        <v>0</v>
      </c>
      <c r="S158" s="48">
        <v>0</v>
      </c>
      <c r="T158" s="48">
        <v>0</v>
      </c>
      <c r="U158" s="48">
        <v>0</v>
      </c>
      <c r="V158" s="48">
        <v>0</v>
      </c>
      <c r="W158" s="48">
        <v>0</v>
      </c>
      <c r="X158" s="48">
        <v>0</v>
      </c>
      <c r="Y158" s="48">
        <v>0</v>
      </c>
      <c r="Z158" s="48">
        <v>0</v>
      </c>
      <c r="AA158" s="48">
        <v>0</v>
      </c>
      <c r="AB158" s="48">
        <v>0</v>
      </c>
      <c r="AC158" s="48">
        <v>0</v>
      </c>
      <c r="AD158" s="48">
        <v>0</v>
      </c>
      <c r="AE158" s="48">
        <v>0</v>
      </c>
      <c r="AF158" s="48">
        <v>0</v>
      </c>
      <c r="AG158" s="48">
        <v>0</v>
      </c>
      <c r="AH158" s="48">
        <v>0</v>
      </c>
      <c r="AI158" s="48">
        <v>0</v>
      </c>
      <c r="AJ158" s="48">
        <v>0</v>
      </c>
      <c r="AK158" s="48">
        <v>0</v>
      </c>
      <c r="AL158" s="48">
        <v>0</v>
      </c>
      <c r="AM158" s="48">
        <v>0</v>
      </c>
      <c r="AN158" s="48">
        <v>0</v>
      </c>
      <c r="AO158" s="48">
        <v>0</v>
      </c>
      <c r="AP158" s="48">
        <v>0</v>
      </c>
      <c r="AQ158" s="48">
        <v>0</v>
      </c>
      <c r="AR158" s="48">
        <v>0</v>
      </c>
      <c r="AS158" s="48">
        <v>0</v>
      </c>
      <c r="AT158" s="48">
        <v>0</v>
      </c>
      <c r="AU158" s="48">
        <v>0</v>
      </c>
      <c r="AV158" s="48">
        <v>0</v>
      </c>
      <c r="AW158" s="48">
        <v>0</v>
      </c>
      <c r="AX158" s="48">
        <v>0</v>
      </c>
      <c r="AY158" s="48">
        <v>0</v>
      </c>
      <c r="AZ158" s="48">
        <v>0</v>
      </c>
      <c r="BA158" s="48">
        <v>0</v>
      </c>
      <c r="BB158" s="48">
        <v>0</v>
      </c>
      <c r="BC158" s="48">
        <v>0</v>
      </c>
      <c r="BD158" s="48">
        <v>0</v>
      </c>
      <c r="BE158" s="48">
        <v>0</v>
      </c>
      <c r="BF158" s="48">
        <v>0</v>
      </c>
      <c r="BG158" s="48">
        <v>0</v>
      </c>
      <c r="BH158" s="48">
        <v>0</v>
      </c>
      <c r="BI158" s="48">
        <v>0</v>
      </c>
      <c r="BJ158" s="48">
        <v>0</v>
      </c>
      <c r="BK158" s="48">
        <v>0</v>
      </c>
      <c r="BL158" s="48">
        <v>0</v>
      </c>
      <c r="BM158" s="48">
        <v>0</v>
      </c>
      <c r="BN158" s="48">
        <v>0</v>
      </c>
      <c r="BO158" s="48">
        <v>0</v>
      </c>
      <c r="BP158" s="48">
        <v>0</v>
      </c>
      <c r="BQ158" s="48">
        <v>0</v>
      </c>
      <c r="BR158" s="48">
        <v>0</v>
      </c>
      <c r="BS158" s="48">
        <v>0</v>
      </c>
      <c r="BT158" s="48">
        <v>0</v>
      </c>
      <c r="BU158" s="48">
        <v>0</v>
      </c>
      <c r="BV158" s="48">
        <v>0</v>
      </c>
      <c r="BW158" s="48">
        <v>0</v>
      </c>
      <c r="BX158" s="48">
        <v>0</v>
      </c>
      <c r="BY158" s="48">
        <v>0</v>
      </c>
      <c r="BZ158" s="48">
        <v>0</v>
      </c>
      <c r="CA158" s="48">
        <v>0</v>
      </c>
      <c r="CB158" s="48">
        <v>0</v>
      </c>
      <c r="CC158" s="48">
        <v>0</v>
      </c>
      <c r="CD158" s="48">
        <v>0</v>
      </c>
      <c r="CE158" s="48">
        <v>0</v>
      </c>
      <c r="CF158" s="48">
        <v>0</v>
      </c>
      <c r="CG158" s="48">
        <v>742.82225962978725</v>
      </c>
      <c r="CH158" s="48">
        <v>0</v>
      </c>
      <c r="CI158" s="48">
        <v>0.12510977360884021</v>
      </c>
      <c r="CJ158" s="48">
        <v>0</v>
      </c>
      <c r="CK158" s="48">
        <v>0</v>
      </c>
      <c r="CL158" s="48">
        <v>2.3783387105667894E-2</v>
      </c>
      <c r="CM158" s="48">
        <v>0</v>
      </c>
      <c r="CN158" s="48">
        <v>0</v>
      </c>
      <c r="CO158" s="48">
        <v>0</v>
      </c>
      <c r="CP158" s="48">
        <v>0</v>
      </c>
      <c r="CQ158" s="48">
        <v>0</v>
      </c>
      <c r="CR158" s="48">
        <v>20.784785161821176</v>
      </c>
      <c r="CS158" s="48">
        <v>0</v>
      </c>
      <c r="CT158" s="48">
        <v>0</v>
      </c>
      <c r="CU158" s="48">
        <v>0</v>
      </c>
      <c r="CV158" s="48">
        <v>0</v>
      </c>
      <c r="CW158" s="48">
        <v>0</v>
      </c>
      <c r="CX158" s="48">
        <v>0</v>
      </c>
      <c r="CY158" s="48">
        <v>0</v>
      </c>
      <c r="CZ158" s="48">
        <v>0</v>
      </c>
      <c r="DA158" s="48">
        <v>0</v>
      </c>
      <c r="DB158" s="48">
        <v>0</v>
      </c>
      <c r="DC158" s="48">
        <v>0</v>
      </c>
      <c r="DD158" s="48">
        <v>0</v>
      </c>
      <c r="DE158" s="48">
        <v>0</v>
      </c>
      <c r="DF158" s="48">
        <v>0</v>
      </c>
      <c r="DG158" s="48">
        <v>0</v>
      </c>
      <c r="DH158" s="48">
        <v>0</v>
      </c>
      <c r="DI158" s="48">
        <v>0</v>
      </c>
      <c r="DJ158" s="48">
        <v>0</v>
      </c>
      <c r="DK158" s="48">
        <v>0</v>
      </c>
      <c r="DL158" s="48">
        <v>1279.8095500033635</v>
      </c>
      <c r="DM158" s="48">
        <v>3301.9360662959393</v>
      </c>
      <c r="DN158" s="48">
        <v>13095.042520063515</v>
      </c>
      <c r="DO158" s="48">
        <v>0</v>
      </c>
      <c r="DP158" s="48">
        <v>0</v>
      </c>
      <c r="DQ158" s="48">
        <v>0</v>
      </c>
      <c r="DR158" s="48">
        <v>0</v>
      </c>
      <c r="DS158" s="48">
        <v>0</v>
      </c>
      <c r="DT158" s="48">
        <v>0</v>
      </c>
      <c r="DU158" s="48">
        <v>0</v>
      </c>
      <c r="DV158" s="48">
        <v>0</v>
      </c>
      <c r="DW158" s="48">
        <v>24.042302398219434</v>
      </c>
      <c r="DX158" s="48">
        <v>0</v>
      </c>
      <c r="DY158" s="48">
        <v>599.96058647205291</v>
      </c>
      <c r="DZ158" s="48">
        <v>130.20926593082066</v>
      </c>
      <c r="EA158" s="48">
        <v>0</v>
      </c>
      <c r="EB158" s="48">
        <v>7.8683896310854179E-2</v>
      </c>
      <c r="EC158" s="48">
        <v>0</v>
      </c>
      <c r="ED158" s="48">
        <v>9.9256250937301509</v>
      </c>
      <c r="EE158" s="48">
        <v>2.8338832783865833</v>
      </c>
      <c r="EF158" s="48">
        <v>9.5198781370747572</v>
      </c>
      <c r="EG158" s="48">
        <v>3.5596237823261587</v>
      </c>
      <c r="EH158" s="48">
        <v>0.70790754317109905</v>
      </c>
      <c r="EI158" s="48">
        <v>260.05231787692856</v>
      </c>
      <c r="EJ158" s="48">
        <v>243.3910582119953</v>
      </c>
      <c r="EK158" s="48">
        <v>97.756798604509285</v>
      </c>
      <c r="EL158" s="48">
        <v>0</v>
      </c>
      <c r="EM158" s="48">
        <v>1870.9874339139042</v>
      </c>
      <c r="EN158" s="48">
        <v>674.77707144861995</v>
      </c>
      <c r="EO158" s="48">
        <v>0</v>
      </c>
      <c r="EP158" s="48">
        <v>0</v>
      </c>
      <c r="EQ158" s="48">
        <v>0</v>
      </c>
      <c r="ER158" s="48">
        <v>0</v>
      </c>
      <c r="ES158" s="48">
        <v>1.9738456535850898E-3</v>
      </c>
      <c r="ET158" s="48">
        <v>0</v>
      </c>
      <c r="EU158" s="48">
        <v>3087.582668801263</v>
      </c>
      <c r="EV158" s="48">
        <v>4.8530586810861607</v>
      </c>
      <c r="EW158" s="48">
        <v>0</v>
      </c>
      <c r="EX158" s="48">
        <v>0</v>
      </c>
      <c r="EY158" s="48">
        <v>9.2922979508048106E-2</v>
      </c>
      <c r="EZ158" s="48">
        <v>0</v>
      </c>
      <c r="FA158" s="48">
        <v>0</v>
      </c>
      <c r="FB158" s="48">
        <v>0</v>
      </c>
      <c r="FC158" s="48">
        <v>190.00723091229372</v>
      </c>
      <c r="FD158" s="48">
        <v>372.48127933817614</v>
      </c>
      <c r="FE158" s="48">
        <v>0</v>
      </c>
      <c r="FF158" s="48">
        <v>0</v>
      </c>
      <c r="FG158" s="48">
        <v>4.2120059712740252</v>
      </c>
      <c r="FH158" s="48">
        <v>61.881777096043763</v>
      </c>
      <c r="FI158" s="48">
        <v>0</v>
      </c>
      <c r="FJ158" s="48">
        <v>539.52520021259079</v>
      </c>
      <c r="FK158" s="48">
        <v>0</v>
      </c>
      <c r="FL158" s="48">
        <v>0</v>
      </c>
      <c r="FM158" s="48">
        <v>672.4377168655185</v>
      </c>
      <c r="FN158" s="48">
        <v>126.54706044406097</v>
      </c>
      <c r="FO158" s="48">
        <v>0</v>
      </c>
      <c r="FP158" s="48">
        <v>509.89927851309187</v>
      </c>
      <c r="FQ158" s="48">
        <v>16.940352285073441</v>
      </c>
      <c r="FR158" s="48">
        <v>408.9280800860613</v>
      </c>
      <c r="FS158" s="48">
        <v>79.990144391742547</v>
      </c>
      <c r="FT158" s="48">
        <v>0</v>
      </c>
      <c r="FU158" s="48">
        <v>0</v>
      </c>
      <c r="FV158" s="48">
        <v>0</v>
      </c>
      <c r="FW158" s="48">
        <v>0</v>
      </c>
      <c r="FX158" s="48">
        <v>0</v>
      </c>
      <c r="FY158" s="48">
        <v>0</v>
      </c>
      <c r="FZ158" s="48">
        <v>0</v>
      </c>
      <c r="GA158" s="48">
        <v>0</v>
      </c>
      <c r="GB158" s="48">
        <v>14100.020732627654</v>
      </c>
      <c r="GC158" s="48">
        <v>143.76452408881681</v>
      </c>
      <c r="GD158" s="48">
        <v>0</v>
      </c>
      <c r="GE158" s="48">
        <v>78.117940346121088</v>
      </c>
      <c r="GF158" s="48">
        <v>674.10610693186425</v>
      </c>
      <c r="GG158" s="48">
        <v>0</v>
      </c>
      <c r="GH158" s="48">
        <v>0</v>
      </c>
      <c r="GI158" s="48">
        <v>0</v>
      </c>
      <c r="GJ158" s="48">
        <v>0</v>
      </c>
      <c r="GK158" s="48">
        <v>0</v>
      </c>
      <c r="GL158" s="48">
        <v>0</v>
      </c>
      <c r="GM158" s="48">
        <v>0</v>
      </c>
      <c r="GN158" s="48">
        <v>0</v>
      </c>
      <c r="GO158" s="48">
        <v>0</v>
      </c>
      <c r="GP158" s="48">
        <v>0</v>
      </c>
      <c r="GQ158" s="48">
        <v>0</v>
      </c>
      <c r="GR158" s="48">
        <v>0</v>
      </c>
      <c r="GS158" s="48">
        <v>0</v>
      </c>
      <c r="GT158" s="48">
        <v>0</v>
      </c>
      <c r="GU158" s="48">
        <v>0</v>
      </c>
      <c r="GV158" s="48">
        <v>0</v>
      </c>
      <c r="GW158" s="48">
        <v>0</v>
      </c>
      <c r="GX158" s="48">
        <v>2.5801828442500738E-3</v>
      </c>
      <c r="GY158" s="48">
        <v>6.2904357765724374E-5</v>
      </c>
      <c r="GZ158" s="48">
        <v>0</v>
      </c>
      <c r="HA158" s="48">
        <v>5.1240334746459153E-4</v>
      </c>
      <c r="HB158" s="48">
        <v>0</v>
      </c>
      <c r="HC158" s="48">
        <v>0</v>
      </c>
      <c r="HD158" s="48">
        <v>0</v>
      </c>
      <c r="HE158" s="48">
        <v>0</v>
      </c>
      <c r="HF158" s="48">
        <v>0</v>
      </c>
      <c r="HG158" s="48">
        <v>0</v>
      </c>
      <c r="HH158" s="48">
        <v>0</v>
      </c>
      <c r="HI158" s="48">
        <v>0</v>
      </c>
      <c r="HJ158" s="48">
        <v>0</v>
      </c>
      <c r="HK158" s="48">
        <v>0</v>
      </c>
      <c r="HL158" s="48">
        <v>0</v>
      </c>
      <c r="HM158" s="48">
        <v>0</v>
      </c>
      <c r="HN158" s="48">
        <v>0</v>
      </c>
      <c r="HO158" s="48">
        <v>0</v>
      </c>
      <c r="HP158" s="48">
        <v>0</v>
      </c>
      <c r="HQ158" s="48">
        <v>0</v>
      </c>
      <c r="HR158" s="48">
        <v>0</v>
      </c>
      <c r="HS158" s="48">
        <v>0</v>
      </c>
      <c r="HT158" s="48">
        <v>0</v>
      </c>
      <c r="HU158" s="48">
        <v>0</v>
      </c>
      <c r="HV158" s="48">
        <v>0</v>
      </c>
      <c r="HW158" s="48">
        <v>1.316590638111247E-5</v>
      </c>
      <c r="HX158" s="48">
        <v>0</v>
      </c>
      <c r="HY158" s="48">
        <v>0</v>
      </c>
      <c r="HZ158" s="48">
        <v>0</v>
      </c>
      <c r="IA158" s="48">
        <v>0</v>
      </c>
      <c r="IB158" s="48">
        <v>0</v>
      </c>
      <c r="IC158" s="48">
        <v>0</v>
      </c>
      <c r="ID158" s="48">
        <v>0</v>
      </c>
      <c r="IE158" s="48">
        <v>0</v>
      </c>
      <c r="IF158" s="48">
        <v>0</v>
      </c>
      <c r="IG158" s="48">
        <v>167.70073941282814</v>
      </c>
      <c r="IH158" s="48">
        <v>11.973107897903411</v>
      </c>
      <c r="II158" s="48">
        <v>3.4799412893473907</v>
      </c>
      <c r="IJ158" s="48">
        <v>2.3136754936306717E-4</v>
      </c>
      <c r="IK158" s="48">
        <v>156.63694166892088</v>
      </c>
      <c r="IL158" s="48">
        <v>272.89120965904829</v>
      </c>
      <c r="IM158" s="48">
        <v>328.28540021807248</v>
      </c>
      <c r="IN158" s="48">
        <v>174.29269450853116</v>
      </c>
      <c r="IO158" s="48">
        <v>0</v>
      </c>
      <c r="IP158" s="23">
        <v>44554.999999999767</v>
      </c>
      <c r="IQ158" s="25">
        <v>10516</v>
      </c>
      <c r="IR158" s="25">
        <v>0</v>
      </c>
      <c r="IS158" s="26">
        <v>0</v>
      </c>
      <c r="IT158" s="26">
        <v>0</v>
      </c>
      <c r="IU158" s="26">
        <v>531</v>
      </c>
      <c r="IV158" s="9">
        <v>5548</v>
      </c>
      <c r="IW158" s="38">
        <f t="shared" si="13"/>
        <v>61149.999999999767</v>
      </c>
    </row>
    <row r="159" spans="1:257" ht="30" customHeight="1" x14ac:dyDescent="0.25">
      <c r="A159" s="112" t="b">
        <v>0</v>
      </c>
      <c r="B159" s="113" t="b">
        <f>IFERROR(VLOOKUP(C159,'Bridge matrix'!$D$3:$E$727,2,FALSE)='symmetric IOT 245 2012'!D159,"FALSCH")</f>
        <v>1</v>
      </c>
      <c r="C159" s="108">
        <v>148</v>
      </c>
      <c r="D159" s="49" t="s">
        <v>1466</v>
      </c>
      <c r="E159" s="48">
        <v>0</v>
      </c>
      <c r="F159" s="48">
        <v>0</v>
      </c>
      <c r="G159" s="48">
        <v>0</v>
      </c>
      <c r="H159" s="48">
        <v>0</v>
      </c>
      <c r="I159" s="48">
        <v>0</v>
      </c>
      <c r="J159" s="48">
        <v>0</v>
      </c>
      <c r="K159" s="48">
        <v>0</v>
      </c>
      <c r="L159" s="48">
        <v>0</v>
      </c>
      <c r="M159" s="48">
        <v>0</v>
      </c>
      <c r="N159" s="48">
        <v>0</v>
      </c>
      <c r="O159" s="48">
        <v>0</v>
      </c>
      <c r="P159" s="48">
        <v>0</v>
      </c>
      <c r="Q159" s="48">
        <v>0</v>
      </c>
      <c r="R159" s="48">
        <v>0</v>
      </c>
      <c r="S159" s="48">
        <v>0</v>
      </c>
      <c r="T159" s="48">
        <v>0</v>
      </c>
      <c r="U159" s="48">
        <v>0</v>
      </c>
      <c r="V159" s="48">
        <v>0</v>
      </c>
      <c r="W159" s="48">
        <v>0</v>
      </c>
      <c r="X159" s="48">
        <v>0</v>
      </c>
      <c r="Y159" s="48">
        <v>0</v>
      </c>
      <c r="Z159" s="48">
        <v>0</v>
      </c>
      <c r="AA159" s="48">
        <v>0</v>
      </c>
      <c r="AB159" s="48">
        <v>0</v>
      </c>
      <c r="AC159" s="48">
        <v>0</v>
      </c>
      <c r="AD159" s="48">
        <v>0</v>
      </c>
      <c r="AE159" s="48">
        <v>0</v>
      </c>
      <c r="AF159" s="48">
        <v>0</v>
      </c>
      <c r="AG159" s="48">
        <v>0</v>
      </c>
      <c r="AH159" s="48">
        <v>0</v>
      </c>
      <c r="AI159" s="48">
        <v>0</v>
      </c>
      <c r="AJ159" s="48">
        <v>0</v>
      </c>
      <c r="AK159" s="48">
        <v>0</v>
      </c>
      <c r="AL159" s="48">
        <v>0</v>
      </c>
      <c r="AM159" s="48">
        <v>0</v>
      </c>
      <c r="AN159" s="48">
        <v>0</v>
      </c>
      <c r="AO159" s="48">
        <v>0</v>
      </c>
      <c r="AP159" s="48">
        <v>0</v>
      </c>
      <c r="AQ159" s="48">
        <v>0</v>
      </c>
      <c r="AR159" s="48">
        <v>0</v>
      </c>
      <c r="AS159" s="48">
        <v>0</v>
      </c>
      <c r="AT159" s="48">
        <v>0</v>
      </c>
      <c r="AU159" s="48">
        <v>0</v>
      </c>
      <c r="AV159" s="48">
        <v>0</v>
      </c>
      <c r="AW159" s="48">
        <v>0</v>
      </c>
      <c r="AX159" s="48">
        <v>0</v>
      </c>
      <c r="AY159" s="48">
        <v>0</v>
      </c>
      <c r="AZ159" s="48">
        <v>0</v>
      </c>
      <c r="BA159" s="48">
        <v>0</v>
      </c>
      <c r="BB159" s="48">
        <v>0</v>
      </c>
      <c r="BC159" s="48">
        <v>0</v>
      </c>
      <c r="BD159" s="48">
        <v>0</v>
      </c>
      <c r="BE159" s="48">
        <v>0</v>
      </c>
      <c r="BF159" s="48">
        <v>0</v>
      </c>
      <c r="BG159" s="48">
        <v>0</v>
      </c>
      <c r="BH159" s="48">
        <v>0</v>
      </c>
      <c r="BI159" s="48">
        <v>0</v>
      </c>
      <c r="BJ159" s="48">
        <v>0</v>
      </c>
      <c r="BK159" s="48">
        <v>0</v>
      </c>
      <c r="BL159" s="48">
        <v>0</v>
      </c>
      <c r="BM159" s="48">
        <v>0</v>
      </c>
      <c r="BN159" s="48">
        <v>0</v>
      </c>
      <c r="BO159" s="48">
        <v>0</v>
      </c>
      <c r="BP159" s="48">
        <v>0</v>
      </c>
      <c r="BQ159" s="48">
        <v>0</v>
      </c>
      <c r="BR159" s="48">
        <v>0</v>
      </c>
      <c r="BS159" s="48">
        <v>0</v>
      </c>
      <c r="BT159" s="48">
        <v>0</v>
      </c>
      <c r="BU159" s="48">
        <v>0</v>
      </c>
      <c r="BV159" s="48">
        <v>0</v>
      </c>
      <c r="BW159" s="48">
        <v>0</v>
      </c>
      <c r="BX159" s="48">
        <v>0</v>
      </c>
      <c r="BY159" s="48">
        <v>0</v>
      </c>
      <c r="BZ159" s="48">
        <v>0</v>
      </c>
      <c r="CA159" s="48">
        <v>0</v>
      </c>
      <c r="CB159" s="48">
        <v>0</v>
      </c>
      <c r="CC159" s="48">
        <v>0</v>
      </c>
      <c r="CD159" s="48">
        <v>0</v>
      </c>
      <c r="CE159" s="48">
        <v>0</v>
      </c>
      <c r="CF159" s="48">
        <v>0</v>
      </c>
      <c r="CG159" s="48">
        <v>0</v>
      </c>
      <c r="CH159" s="48">
        <v>0</v>
      </c>
      <c r="CI159" s="48">
        <v>0</v>
      </c>
      <c r="CJ159" s="48">
        <v>0</v>
      </c>
      <c r="CK159" s="48">
        <v>0</v>
      </c>
      <c r="CL159" s="48">
        <v>1.3945325439904857E-7</v>
      </c>
      <c r="CM159" s="48">
        <v>2.6160681147161045E-10</v>
      </c>
      <c r="CN159" s="48">
        <v>2.0748546339817565E-7</v>
      </c>
      <c r="CO159" s="48">
        <v>0</v>
      </c>
      <c r="CP159" s="48">
        <v>0</v>
      </c>
      <c r="CQ159" s="48">
        <v>0</v>
      </c>
      <c r="CR159" s="48">
        <v>0</v>
      </c>
      <c r="CS159" s="48">
        <v>0</v>
      </c>
      <c r="CT159" s="48">
        <v>2.7774735882028786E-10</v>
      </c>
      <c r="CU159" s="48">
        <v>0</v>
      </c>
      <c r="CV159" s="48">
        <v>6.8229113497807005E-5</v>
      </c>
      <c r="CW159" s="48">
        <v>0</v>
      </c>
      <c r="CX159" s="48">
        <v>2.5852235978290666E-11</v>
      </c>
      <c r="CY159" s="48">
        <v>0</v>
      </c>
      <c r="CZ159" s="48">
        <v>0</v>
      </c>
      <c r="DA159" s="48">
        <v>2.1671107336875333E-10</v>
      </c>
      <c r="DB159" s="48">
        <v>0</v>
      </c>
      <c r="DC159" s="48">
        <v>1.2438878471733653E-10</v>
      </c>
      <c r="DD159" s="48">
        <v>0</v>
      </c>
      <c r="DE159" s="48">
        <v>1.0775559391049347E-6</v>
      </c>
      <c r="DF159" s="48">
        <v>0</v>
      </c>
      <c r="DG159" s="48">
        <v>0</v>
      </c>
      <c r="DH159" s="48">
        <v>0</v>
      </c>
      <c r="DI159" s="48">
        <v>0</v>
      </c>
      <c r="DJ159" s="48">
        <v>0</v>
      </c>
      <c r="DK159" s="48">
        <v>0</v>
      </c>
      <c r="DL159" s="48">
        <v>2.3504061066324453E-4</v>
      </c>
      <c r="DM159" s="48">
        <v>81.724854304075166</v>
      </c>
      <c r="DN159" s="48">
        <v>0</v>
      </c>
      <c r="DO159" s="48">
        <v>0</v>
      </c>
      <c r="DP159" s="48">
        <v>0</v>
      </c>
      <c r="DQ159" s="48">
        <v>0</v>
      </c>
      <c r="DR159" s="48">
        <v>1.8010275707178186E-5</v>
      </c>
      <c r="DS159" s="48">
        <v>0</v>
      </c>
      <c r="DT159" s="48">
        <v>0</v>
      </c>
      <c r="DU159" s="48">
        <v>0</v>
      </c>
      <c r="DV159" s="48">
        <v>0</v>
      </c>
      <c r="DW159" s="48">
        <v>0</v>
      </c>
      <c r="DX159" s="48">
        <v>0</v>
      </c>
      <c r="DY159" s="48">
        <v>2.6236980823301315E-6</v>
      </c>
      <c r="DZ159" s="48">
        <v>0</v>
      </c>
      <c r="EA159" s="48">
        <v>0</v>
      </c>
      <c r="EB159" s="48">
        <v>4.8429682970725599E-6</v>
      </c>
      <c r="EC159" s="48">
        <v>7.1018458424042938E-5</v>
      </c>
      <c r="ED159" s="48">
        <v>0</v>
      </c>
      <c r="EE159" s="48">
        <v>0</v>
      </c>
      <c r="EF159" s="48">
        <v>0</v>
      </c>
      <c r="EG159" s="48">
        <v>0</v>
      </c>
      <c r="EH159" s="48">
        <v>0</v>
      </c>
      <c r="EI159" s="48">
        <v>2.3023543471979872E-2</v>
      </c>
      <c r="EJ159" s="48">
        <v>1.3334219515732672E-6</v>
      </c>
      <c r="EK159" s="48">
        <v>0</v>
      </c>
      <c r="EL159" s="48">
        <v>0</v>
      </c>
      <c r="EM159" s="48">
        <v>0</v>
      </c>
      <c r="EN159" s="48">
        <v>0</v>
      </c>
      <c r="EO159" s="48">
        <v>0</v>
      </c>
      <c r="EP159" s="48">
        <v>0</v>
      </c>
      <c r="EQ159" s="48">
        <v>0</v>
      </c>
      <c r="ER159" s="48">
        <v>0</v>
      </c>
      <c r="ES159" s="48">
        <v>0</v>
      </c>
      <c r="ET159" s="48">
        <v>0</v>
      </c>
      <c r="EU159" s="48">
        <v>0</v>
      </c>
      <c r="EV159" s="48">
        <v>0</v>
      </c>
      <c r="EW159" s="48">
        <v>0.74982348500366303</v>
      </c>
      <c r="EX159" s="48">
        <v>0</v>
      </c>
      <c r="EY159" s="48">
        <v>0</v>
      </c>
      <c r="EZ159" s="48">
        <v>0</v>
      </c>
      <c r="FA159" s="48">
        <v>7.6235423445205716E-2</v>
      </c>
      <c r="FB159" s="48">
        <v>2.0900436967105597E-3</v>
      </c>
      <c r="FC159" s="48">
        <v>0</v>
      </c>
      <c r="FD159" s="48">
        <v>0</v>
      </c>
      <c r="FE159" s="48">
        <v>0</v>
      </c>
      <c r="FF159" s="48">
        <v>0</v>
      </c>
      <c r="FG159" s="48">
        <v>0</v>
      </c>
      <c r="FH159" s="48">
        <v>0</v>
      </c>
      <c r="FI159" s="48">
        <v>0</v>
      </c>
      <c r="FJ159" s="48">
        <v>0</v>
      </c>
      <c r="FK159" s="48">
        <v>0</v>
      </c>
      <c r="FL159" s="48">
        <v>0</v>
      </c>
      <c r="FM159" s="48">
        <v>397.96622748141732</v>
      </c>
      <c r="FN159" s="48">
        <v>0</v>
      </c>
      <c r="FO159" s="48">
        <v>0</v>
      </c>
      <c r="FP159" s="48">
        <v>10.275094857766742</v>
      </c>
      <c r="FQ159" s="48">
        <v>1.783099466701058E-3</v>
      </c>
      <c r="FR159" s="48">
        <v>4.2270708908814545E-6</v>
      </c>
      <c r="FS159" s="48">
        <v>0</v>
      </c>
      <c r="FT159" s="48">
        <v>0</v>
      </c>
      <c r="FU159" s="48">
        <v>0</v>
      </c>
      <c r="FV159" s="48">
        <v>2.4618647500648716E-3</v>
      </c>
      <c r="FW159" s="48">
        <v>0</v>
      </c>
      <c r="FX159" s="48">
        <v>0</v>
      </c>
      <c r="FY159" s="48">
        <v>0</v>
      </c>
      <c r="FZ159" s="48">
        <v>0</v>
      </c>
      <c r="GA159" s="48">
        <v>0</v>
      </c>
      <c r="GB159" s="48">
        <v>10900.764494908128</v>
      </c>
      <c r="GC159" s="48">
        <v>0</v>
      </c>
      <c r="GD159" s="48">
        <v>0</v>
      </c>
      <c r="GE159" s="48">
        <v>0</v>
      </c>
      <c r="GF159" s="48">
        <v>0</v>
      </c>
      <c r="GG159" s="48">
        <v>0</v>
      </c>
      <c r="GH159" s="48">
        <v>0</v>
      </c>
      <c r="GI159" s="48">
        <v>0</v>
      </c>
      <c r="GJ159" s="48">
        <v>0</v>
      </c>
      <c r="GK159" s="48">
        <v>0</v>
      </c>
      <c r="GL159" s="48">
        <v>0</v>
      </c>
      <c r="GM159" s="48">
        <v>0</v>
      </c>
      <c r="GN159" s="48">
        <v>0</v>
      </c>
      <c r="GO159" s="48">
        <v>0</v>
      </c>
      <c r="GP159" s="48">
        <v>0</v>
      </c>
      <c r="GQ159" s="48">
        <v>0</v>
      </c>
      <c r="GR159" s="48">
        <v>0</v>
      </c>
      <c r="GS159" s="48">
        <v>0</v>
      </c>
      <c r="GT159" s="48">
        <v>0</v>
      </c>
      <c r="GU159" s="48">
        <v>0</v>
      </c>
      <c r="GV159" s="48">
        <v>0</v>
      </c>
      <c r="GW159" s="48">
        <v>0</v>
      </c>
      <c r="GX159" s="48">
        <v>0</v>
      </c>
      <c r="GY159" s="48">
        <v>0</v>
      </c>
      <c r="GZ159" s="48">
        <v>0</v>
      </c>
      <c r="HA159" s="48">
        <v>0</v>
      </c>
      <c r="HB159" s="48">
        <v>0</v>
      </c>
      <c r="HC159" s="48">
        <v>0</v>
      </c>
      <c r="HD159" s="48">
        <v>0</v>
      </c>
      <c r="HE159" s="48">
        <v>0</v>
      </c>
      <c r="HF159" s="48">
        <v>0</v>
      </c>
      <c r="HG159" s="48">
        <v>0</v>
      </c>
      <c r="HH159" s="48">
        <v>0</v>
      </c>
      <c r="HI159" s="48">
        <v>0</v>
      </c>
      <c r="HJ159" s="48">
        <v>0</v>
      </c>
      <c r="HK159" s="48">
        <v>0</v>
      </c>
      <c r="HL159" s="48">
        <v>0</v>
      </c>
      <c r="HM159" s="48">
        <v>0</v>
      </c>
      <c r="HN159" s="48">
        <v>0</v>
      </c>
      <c r="HO159" s="48">
        <v>0</v>
      </c>
      <c r="HP159" s="48">
        <v>0</v>
      </c>
      <c r="HQ159" s="48">
        <v>0</v>
      </c>
      <c r="HR159" s="48">
        <v>0</v>
      </c>
      <c r="HS159" s="48">
        <v>0</v>
      </c>
      <c r="HT159" s="48">
        <v>0</v>
      </c>
      <c r="HU159" s="48">
        <v>0</v>
      </c>
      <c r="HV159" s="48">
        <v>0</v>
      </c>
      <c r="HW159" s="48">
        <v>0</v>
      </c>
      <c r="HX159" s="48">
        <v>0</v>
      </c>
      <c r="HY159" s="48">
        <v>0</v>
      </c>
      <c r="HZ159" s="48">
        <v>0</v>
      </c>
      <c r="IA159" s="48">
        <v>0</v>
      </c>
      <c r="IB159" s="48">
        <v>0</v>
      </c>
      <c r="IC159" s="48">
        <v>0</v>
      </c>
      <c r="ID159" s="48">
        <v>0</v>
      </c>
      <c r="IE159" s="48">
        <v>0</v>
      </c>
      <c r="IF159" s="48">
        <v>0</v>
      </c>
      <c r="IG159" s="48">
        <v>250.69479224030732</v>
      </c>
      <c r="IH159" s="48">
        <v>17.92088430313153</v>
      </c>
      <c r="II159" s="48">
        <v>5.7978275905625765</v>
      </c>
      <c r="IJ159" s="48">
        <v>0</v>
      </c>
      <c r="IK159" s="48">
        <v>1.0371259502584574E-7</v>
      </c>
      <c r="IL159" s="48">
        <v>0</v>
      </c>
      <c r="IM159" s="48">
        <v>0</v>
      </c>
      <c r="IN159" s="48">
        <v>0</v>
      </c>
      <c r="IO159" s="48">
        <v>0</v>
      </c>
      <c r="IP159" s="23">
        <v>11665.999999999955</v>
      </c>
      <c r="IQ159" s="25">
        <v>18438</v>
      </c>
      <c r="IR159" s="25">
        <v>0</v>
      </c>
      <c r="IS159" s="26">
        <v>0</v>
      </c>
      <c r="IT159" s="26">
        <v>0</v>
      </c>
      <c r="IU159" s="26">
        <v>-49</v>
      </c>
      <c r="IV159" s="9">
        <v>25100</v>
      </c>
      <c r="IW159" s="38">
        <f t="shared" si="13"/>
        <v>55154.999999999956</v>
      </c>
    </row>
    <row r="160" spans="1:257" ht="30" customHeight="1" x14ac:dyDescent="0.25">
      <c r="A160" s="112" t="b">
        <v>0</v>
      </c>
      <c r="B160" s="113" t="str">
        <f>IFERROR(VLOOKUP(C160,'Bridge matrix'!$D$3:$E$727,2,FALSE)='symmetric IOT 245 2012'!D160,"FALSCH")</f>
        <v>FALSCH</v>
      </c>
      <c r="C160" s="108">
        <v>149</v>
      </c>
      <c r="D160" s="49" t="s">
        <v>1467</v>
      </c>
      <c r="E160" s="48">
        <v>0</v>
      </c>
      <c r="F160" s="48">
        <v>0</v>
      </c>
      <c r="G160" s="48">
        <v>0</v>
      </c>
      <c r="H160" s="48">
        <v>0</v>
      </c>
      <c r="I160" s="48">
        <v>0</v>
      </c>
      <c r="J160" s="48">
        <v>0</v>
      </c>
      <c r="K160" s="48">
        <v>0</v>
      </c>
      <c r="L160" s="48">
        <v>0</v>
      </c>
      <c r="M160" s="48">
        <v>0</v>
      </c>
      <c r="N160" s="48">
        <v>0</v>
      </c>
      <c r="O160" s="48">
        <v>0</v>
      </c>
      <c r="P160" s="48">
        <v>0</v>
      </c>
      <c r="Q160" s="48">
        <v>0</v>
      </c>
      <c r="R160" s="48">
        <v>0</v>
      </c>
      <c r="S160" s="48">
        <v>0</v>
      </c>
      <c r="T160" s="48">
        <v>0</v>
      </c>
      <c r="U160" s="48">
        <v>0</v>
      </c>
      <c r="V160" s="48">
        <v>0</v>
      </c>
      <c r="W160" s="48">
        <v>0</v>
      </c>
      <c r="X160" s="48">
        <v>0</v>
      </c>
      <c r="Y160" s="48">
        <v>0</v>
      </c>
      <c r="Z160" s="48">
        <v>0</v>
      </c>
      <c r="AA160" s="48">
        <v>0</v>
      </c>
      <c r="AB160" s="48">
        <v>0</v>
      </c>
      <c r="AC160" s="48">
        <v>0</v>
      </c>
      <c r="AD160" s="48">
        <v>0</v>
      </c>
      <c r="AE160" s="48">
        <v>0</v>
      </c>
      <c r="AF160" s="48">
        <v>0</v>
      </c>
      <c r="AG160" s="48">
        <v>0</v>
      </c>
      <c r="AH160" s="48">
        <v>0</v>
      </c>
      <c r="AI160" s="48">
        <v>0</v>
      </c>
      <c r="AJ160" s="48">
        <v>0</v>
      </c>
      <c r="AK160" s="48">
        <v>0</v>
      </c>
      <c r="AL160" s="48">
        <v>0</v>
      </c>
      <c r="AM160" s="48">
        <v>0</v>
      </c>
      <c r="AN160" s="48">
        <v>0</v>
      </c>
      <c r="AO160" s="48">
        <v>0</v>
      </c>
      <c r="AP160" s="48">
        <v>0</v>
      </c>
      <c r="AQ160" s="48">
        <v>0</v>
      </c>
      <c r="AR160" s="48">
        <v>0</v>
      </c>
      <c r="AS160" s="48">
        <v>0</v>
      </c>
      <c r="AT160" s="48">
        <v>0</v>
      </c>
      <c r="AU160" s="48">
        <v>0</v>
      </c>
      <c r="AV160" s="48">
        <v>0</v>
      </c>
      <c r="AW160" s="48">
        <v>0</v>
      </c>
      <c r="AX160" s="48">
        <v>0</v>
      </c>
      <c r="AY160" s="48">
        <v>0</v>
      </c>
      <c r="AZ160" s="48">
        <v>0</v>
      </c>
      <c r="BA160" s="48">
        <v>0</v>
      </c>
      <c r="BB160" s="48">
        <v>0</v>
      </c>
      <c r="BC160" s="48">
        <v>0</v>
      </c>
      <c r="BD160" s="48">
        <v>0</v>
      </c>
      <c r="BE160" s="48">
        <v>0</v>
      </c>
      <c r="BF160" s="48">
        <v>0</v>
      </c>
      <c r="BG160" s="48">
        <v>0</v>
      </c>
      <c r="BH160" s="48">
        <v>0</v>
      </c>
      <c r="BI160" s="48">
        <v>0</v>
      </c>
      <c r="BJ160" s="48">
        <v>0</v>
      </c>
      <c r="BK160" s="48">
        <v>0</v>
      </c>
      <c r="BL160" s="48">
        <v>0</v>
      </c>
      <c r="BM160" s="48">
        <v>0</v>
      </c>
      <c r="BN160" s="48">
        <v>0</v>
      </c>
      <c r="BO160" s="48">
        <v>0</v>
      </c>
      <c r="BP160" s="48">
        <v>0</v>
      </c>
      <c r="BQ160" s="48">
        <v>0</v>
      </c>
      <c r="BR160" s="48">
        <v>0</v>
      </c>
      <c r="BS160" s="48">
        <v>0</v>
      </c>
      <c r="BT160" s="48">
        <v>0</v>
      </c>
      <c r="BU160" s="48">
        <v>0</v>
      </c>
      <c r="BV160" s="48">
        <v>0</v>
      </c>
      <c r="BW160" s="48">
        <v>0</v>
      </c>
      <c r="BX160" s="48">
        <v>0</v>
      </c>
      <c r="BY160" s="48">
        <v>0</v>
      </c>
      <c r="BZ160" s="48">
        <v>0</v>
      </c>
      <c r="CA160" s="48">
        <v>0</v>
      </c>
      <c r="CB160" s="48">
        <v>0</v>
      </c>
      <c r="CC160" s="48">
        <v>0</v>
      </c>
      <c r="CD160" s="48">
        <v>0</v>
      </c>
      <c r="CE160" s="48">
        <v>0</v>
      </c>
      <c r="CF160" s="48">
        <v>0</v>
      </c>
      <c r="CG160" s="48">
        <v>0</v>
      </c>
      <c r="CH160" s="48">
        <v>0</v>
      </c>
      <c r="CI160" s="48">
        <v>9.252970844598006E-8</v>
      </c>
      <c r="CJ160" s="48">
        <v>0</v>
      </c>
      <c r="CK160" s="48">
        <v>0</v>
      </c>
      <c r="CL160" s="48">
        <v>0</v>
      </c>
      <c r="CM160" s="48">
        <v>1.8107924751140761E-9</v>
      </c>
      <c r="CN160" s="48">
        <v>0</v>
      </c>
      <c r="CO160" s="48">
        <v>0</v>
      </c>
      <c r="CP160" s="48">
        <v>0</v>
      </c>
      <c r="CQ160" s="48">
        <v>0</v>
      </c>
      <c r="CR160" s="48">
        <v>2.8532466435541481E-7</v>
      </c>
      <c r="CS160" s="48">
        <v>0</v>
      </c>
      <c r="CT160" s="48">
        <v>0</v>
      </c>
      <c r="CU160" s="48">
        <v>7.9609597273603977E-3</v>
      </c>
      <c r="CV160" s="48">
        <v>0</v>
      </c>
      <c r="CW160" s="48">
        <v>0</v>
      </c>
      <c r="CX160" s="48">
        <v>0</v>
      </c>
      <c r="CY160" s="48">
        <v>0</v>
      </c>
      <c r="CZ160" s="48">
        <v>0</v>
      </c>
      <c r="DA160" s="48">
        <v>1.52158561345329E-9</v>
      </c>
      <c r="DB160" s="48">
        <v>0</v>
      </c>
      <c r="DC160" s="48">
        <v>0</v>
      </c>
      <c r="DD160" s="48">
        <v>0</v>
      </c>
      <c r="DE160" s="48">
        <v>0</v>
      </c>
      <c r="DF160" s="48">
        <v>0</v>
      </c>
      <c r="DG160" s="48">
        <v>0</v>
      </c>
      <c r="DH160" s="48">
        <v>0</v>
      </c>
      <c r="DI160" s="48">
        <v>0</v>
      </c>
      <c r="DJ160" s="48">
        <v>5.9338518336554817E-5</v>
      </c>
      <c r="DK160" s="48">
        <v>0</v>
      </c>
      <c r="DL160" s="48">
        <v>1.6502821300410538E-3</v>
      </c>
      <c r="DM160" s="48">
        <v>0</v>
      </c>
      <c r="DN160" s="48">
        <v>0</v>
      </c>
      <c r="DO160" s="48">
        <v>0</v>
      </c>
      <c r="DP160" s="48">
        <v>0</v>
      </c>
      <c r="DQ160" s="48">
        <v>0</v>
      </c>
      <c r="DR160" s="48">
        <v>0</v>
      </c>
      <c r="DS160" s="48">
        <v>0</v>
      </c>
      <c r="DT160" s="48">
        <v>0</v>
      </c>
      <c r="DU160" s="48">
        <v>0</v>
      </c>
      <c r="DV160" s="48">
        <v>0</v>
      </c>
      <c r="DW160" s="48">
        <v>0</v>
      </c>
      <c r="DX160" s="48">
        <v>0</v>
      </c>
      <c r="DY160" s="48">
        <v>1.4072647116215214E-5</v>
      </c>
      <c r="DZ160" s="48">
        <v>0</v>
      </c>
      <c r="EA160" s="48">
        <v>0</v>
      </c>
      <c r="EB160" s="48">
        <v>0</v>
      </c>
      <c r="EC160" s="48">
        <v>0</v>
      </c>
      <c r="ED160" s="48">
        <v>0</v>
      </c>
      <c r="EE160" s="48">
        <v>0</v>
      </c>
      <c r="EF160" s="48">
        <v>0</v>
      </c>
      <c r="EG160" s="48">
        <v>0</v>
      </c>
      <c r="EH160" s="48">
        <v>0</v>
      </c>
      <c r="EI160" s="48">
        <v>0</v>
      </c>
      <c r="EJ160" s="48">
        <v>0</v>
      </c>
      <c r="EK160" s="48">
        <v>0</v>
      </c>
      <c r="EL160" s="48">
        <v>2.0247851011114846E-2</v>
      </c>
      <c r="EM160" s="48">
        <v>1.4526405092408545E-2</v>
      </c>
      <c r="EN160" s="48">
        <v>2.3238319003959243E-2</v>
      </c>
      <c r="EO160" s="48">
        <v>0</v>
      </c>
      <c r="EP160" s="48">
        <v>1.4177398990310552E-6</v>
      </c>
      <c r="EQ160" s="48">
        <v>0</v>
      </c>
      <c r="ER160" s="48">
        <v>2.2980428306826251E-6</v>
      </c>
      <c r="ES160" s="48">
        <v>1.796808953180236E-6</v>
      </c>
      <c r="ET160" s="48">
        <v>1.1224623089682062E-2</v>
      </c>
      <c r="EU160" s="48">
        <v>0</v>
      </c>
      <c r="EV160" s="48">
        <v>0</v>
      </c>
      <c r="EW160" s="48">
        <v>234.67793164121429</v>
      </c>
      <c r="EX160" s="48">
        <v>8.6861964387489211E-3</v>
      </c>
      <c r="EY160" s="48">
        <v>0</v>
      </c>
      <c r="EZ160" s="48">
        <v>0</v>
      </c>
      <c r="FA160" s="48">
        <v>0</v>
      </c>
      <c r="FB160" s="48">
        <v>0</v>
      </c>
      <c r="FC160" s="48">
        <v>0</v>
      </c>
      <c r="FD160" s="48">
        <v>0</v>
      </c>
      <c r="FE160" s="48">
        <v>0</v>
      </c>
      <c r="FF160" s="48">
        <v>0</v>
      </c>
      <c r="FG160" s="48">
        <v>63.515910781455936</v>
      </c>
      <c r="FH160" s="48">
        <v>1.365658377547964</v>
      </c>
      <c r="FI160" s="48">
        <v>1.342119854493928E-3</v>
      </c>
      <c r="FJ160" s="48">
        <v>0</v>
      </c>
      <c r="FK160" s="48">
        <v>0</v>
      </c>
      <c r="FL160" s="48">
        <v>0</v>
      </c>
      <c r="FM160" s="48">
        <v>0</v>
      </c>
      <c r="FN160" s="48">
        <v>0</v>
      </c>
      <c r="FO160" s="48">
        <v>0</v>
      </c>
      <c r="FP160" s="48">
        <v>0</v>
      </c>
      <c r="FQ160" s="48">
        <v>0</v>
      </c>
      <c r="FR160" s="48">
        <v>0</v>
      </c>
      <c r="FS160" s="48">
        <v>0</v>
      </c>
      <c r="FT160" s="48">
        <v>1.9259880065842962E-6</v>
      </c>
      <c r="FU160" s="48">
        <v>0</v>
      </c>
      <c r="FV160" s="48">
        <v>0</v>
      </c>
      <c r="FW160" s="48">
        <v>0</v>
      </c>
      <c r="FX160" s="48">
        <v>0</v>
      </c>
      <c r="FY160" s="48">
        <v>0</v>
      </c>
      <c r="FZ160" s="48">
        <v>0</v>
      </c>
      <c r="GA160" s="48">
        <v>0</v>
      </c>
      <c r="GB160" s="48">
        <v>233647.35154030644</v>
      </c>
      <c r="GC160" s="48">
        <v>0</v>
      </c>
      <c r="GD160" s="48">
        <v>0</v>
      </c>
      <c r="GE160" s="48">
        <v>0</v>
      </c>
      <c r="GF160" s="48">
        <v>0</v>
      </c>
      <c r="GG160" s="48">
        <v>0</v>
      </c>
      <c r="GH160" s="48">
        <v>0</v>
      </c>
      <c r="GI160" s="48">
        <v>0</v>
      </c>
      <c r="GJ160" s="48">
        <v>0</v>
      </c>
      <c r="GK160" s="48">
        <v>0</v>
      </c>
      <c r="GL160" s="48">
        <v>0</v>
      </c>
      <c r="GM160" s="48">
        <v>0</v>
      </c>
      <c r="GN160" s="48">
        <v>0</v>
      </c>
      <c r="GO160" s="48">
        <v>0</v>
      </c>
      <c r="GP160" s="48">
        <v>0</v>
      </c>
      <c r="GQ160" s="48">
        <v>0</v>
      </c>
      <c r="GR160" s="48">
        <v>0</v>
      </c>
      <c r="GS160" s="48">
        <v>0</v>
      </c>
      <c r="GT160" s="48">
        <v>6.1497538657228379E-9</v>
      </c>
      <c r="GU160" s="48">
        <v>0</v>
      </c>
      <c r="GV160" s="48">
        <v>0</v>
      </c>
      <c r="GW160" s="48">
        <v>0</v>
      </c>
      <c r="GX160" s="48">
        <v>8.9910916107643465E-7</v>
      </c>
      <c r="GY160" s="48">
        <v>0</v>
      </c>
      <c r="GZ160" s="48">
        <v>0</v>
      </c>
      <c r="HA160" s="48">
        <v>0</v>
      </c>
      <c r="HB160" s="48">
        <v>0</v>
      </c>
      <c r="HC160" s="48">
        <v>0</v>
      </c>
      <c r="HD160" s="48">
        <v>0</v>
      </c>
      <c r="HE160" s="48">
        <v>0</v>
      </c>
      <c r="HF160" s="48">
        <v>0</v>
      </c>
      <c r="HG160" s="48">
        <v>0</v>
      </c>
      <c r="HH160" s="48">
        <v>0</v>
      </c>
      <c r="HI160" s="48">
        <v>0</v>
      </c>
      <c r="HJ160" s="48">
        <v>0</v>
      </c>
      <c r="HK160" s="48">
        <v>0</v>
      </c>
      <c r="HL160" s="48">
        <v>0</v>
      </c>
      <c r="HM160" s="48">
        <v>0</v>
      </c>
      <c r="HN160" s="48">
        <v>0</v>
      </c>
      <c r="HO160" s="48">
        <v>0</v>
      </c>
      <c r="HP160" s="48">
        <v>0</v>
      </c>
      <c r="HQ160" s="48">
        <v>0</v>
      </c>
      <c r="HR160" s="48">
        <v>0</v>
      </c>
      <c r="HS160" s="48">
        <v>0</v>
      </c>
      <c r="HT160" s="48">
        <v>0</v>
      </c>
      <c r="HU160" s="48">
        <v>0</v>
      </c>
      <c r="HV160" s="48">
        <v>0</v>
      </c>
      <c r="HW160" s="48">
        <v>0</v>
      </c>
      <c r="HX160" s="48">
        <v>0</v>
      </c>
      <c r="HY160" s="48">
        <v>0</v>
      </c>
      <c r="HZ160" s="48">
        <v>0</v>
      </c>
      <c r="IA160" s="48">
        <v>0</v>
      </c>
      <c r="IB160" s="48">
        <v>0</v>
      </c>
      <c r="IC160" s="48">
        <v>0</v>
      </c>
      <c r="ID160" s="48">
        <v>0</v>
      </c>
      <c r="IE160" s="48">
        <v>0</v>
      </c>
      <c r="IF160" s="48">
        <v>0</v>
      </c>
      <c r="IG160" s="48">
        <v>0</v>
      </c>
      <c r="IH160" s="48">
        <v>0</v>
      </c>
      <c r="II160" s="48">
        <v>0</v>
      </c>
      <c r="IJ160" s="48">
        <v>0</v>
      </c>
      <c r="IK160" s="48">
        <v>0</v>
      </c>
      <c r="IL160" s="48">
        <v>0</v>
      </c>
      <c r="IM160" s="48">
        <v>0</v>
      </c>
      <c r="IN160" s="48">
        <v>0</v>
      </c>
      <c r="IO160" s="48">
        <v>0</v>
      </c>
      <c r="IP160" s="23">
        <v>233946.99999999919</v>
      </c>
      <c r="IQ160" s="25">
        <v>0</v>
      </c>
      <c r="IR160" s="25">
        <v>0</v>
      </c>
      <c r="IS160" s="26">
        <v>0</v>
      </c>
      <c r="IT160" s="26">
        <v>0</v>
      </c>
      <c r="IU160" s="26">
        <v>-11124</v>
      </c>
      <c r="IV160" s="9">
        <v>10385</v>
      </c>
      <c r="IW160" s="38">
        <f t="shared" si="13"/>
        <v>233207.99999999919</v>
      </c>
    </row>
    <row r="161" spans="1:257" ht="30" customHeight="1" x14ac:dyDescent="0.25">
      <c r="A161" s="112" t="b">
        <v>0</v>
      </c>
      <c r="B161" s="113" t="str">
        <f>IFERROR(VLOOKUP(C161,'Bridge matrix'!$D$3:$E$727,2,FALSE)='symmetric IOT 245 2012'!D161,"FALSCH")</f>
        <v>FALSCH</v>
      </c>
      <c r="C161" s="108">
        <v>150</v>
      </c>
      <c r="D161" s="49" t="s">
        <v>1468</v>
      </c>
      <c r="E161" s="48">
        <v>0</v>
      </c>
      <c r="F161" s="48">
        <v>0</v>
      </c>
      <c r="G161" s="48">
        <v>0</v>
      </c>
      <c r="H161" s="48">
        <v>0</v>
      </c>
      <c r="I161" s="48">
        <v>0</v>
      </c>
      <c r="J161" s="48">
        <v>0</v>
      </c>
      <c r="K161" s="48">
        <v>0</v>
      </c>
      <c r="L161" s="48">
        <v>0</v>
      </c>
      <c r="M161" s="48">
        <v>0</v>
      </c>
      <c r="N161" s="48">
        <v>0</v>
      </c>
      <c r="O161" s="48">
        <v>0</v>
      </c>
      <c r="P161" s="48">
        <v>0</v>
      </c>
      <c r="Q161" s="48">
        <v>0</v>
      </c>
      <c r="R161" s="48">
        <v>0</v>
      </c>
      <c r="S161" s="48">
        <v>0</v>
      </c>
      <c r="T161" s="48">
        <v>0</v>
      </c>
      <c r="U161" s="48">
        <v>0</v>
      </c>
      <c r="V161" s="48">
        <v>0</v>
      </c>
      <c r="W161" s="48">
        <v>0</v>
      </c>
      <c r="X161" s="48">
        <v>0</v>
      </c>
      <c r="Y161" s="48">
        <v>0</v>
      </c>
      <c r="Z161" s="48">
        <v>0</v>
      </c>
      <c r="AA161" s="48">
        <v>0</v>
      </c>
      <c r="AB161" s="48">
        <v>0</v>
      </c>
      <c r="AC161" s="48">
        <v>0</v>
      </c>
      <c r="AD161" s="48">
        <v>0</v>
      </c>
      <c r="AE161" s="48">
        <v>0</v>
      </c>
      <c r="AF161" s="48">
        <v>0</v>
      </c>
      <c r="AG161" s="48">
        <v>0</v>
      </c>
      <c r="AH161" s="48">
        <v>0</v>
      </c>
      <c r="AI161" s="48">
        <v>0</v>
      </c>
      <c r="AJ161" s="48">
        <v>0</v>
      </c>
      <c r="AK161" s="48">
        <v>0</v>
      </c>
      <c r="AL161" s="48">
        <v>0</v>
      </c>
      <c r="AM161" s="48">
        <v>0</v>
      </c>
      <c r="AN161" s="48">
        <v>0</v>
      </c>
      <c r="AO161" s="48">
        <v>0</v>
      </c>
      <c r="AP161" s="48">
        <v>0</v>
      </c>
      <c r="AQ161" s="48">
        <v>0</v>
      </c>
      <c r="AR161" s="48">
        <v>0</v>
      </c>
      <c r="AS161" s="48">
        <v>0</v>
      </c>
      <c r="AT161" s="48">
        <v>0</v>
      </c>
      <c r="AU161" s="48">
        <v>0</v>
      </c>
      <c r="AV161" s="48">
        <v>0</v>
      </c>
      <c r="AW161" s="48">
        <v>0</v>
      </c>
      <c r="AX161" s="48">
        <v>0</v>
      </c>
      <c r="AY161" s="48">
        <v>0</v>
      </c>
      <c r="AZ161" s="48">
        <v>0</v>
      </c>
      <c r="BA161" s="48">
        <v>0</v>
      </c>
      <c r="BB161" s="48">
        <v>0</v>
      </c>
      <c r="BC161" s="48">
        <v>0</v>
      </c>
      <c r="BD161" s="48">
        <v>0</v>
      </c>
      <c r="BE161" s="48">
        <v>0</v>
      </c>
      <c r="BF161" s="48">
        <v>0</v>
      </c>
      <c r="BG161" s="48">
        <v>0</v>
      </c>
      <c r="BH161" s="48">
        <v>0</v>
      </c>
      <c r="BI161" s="48">
        <v>0</v>
      </c>
      <c r="BJ161" s="48">
        <v>0</v>
      </c>
      <c r="BK161" s="48">
        <v>0</v>
      </c>
      <c r="BL161" s="48">
        <v>0</v>
      </c>
      <c r="BM161" s="48">
        <v>0</v>
      </c>
      <c r="BN161" s="48">
        <v>0</v>
      </c>
      <c r="BO161" s="48">
        <v>0</v>
      </c>
      <c r="BP161" s="48">
        <v>0</v>
      </c>
      <c r="BQ161" s="48">
        <v>0</v>
      </c>
      <c r="BR161" s="48">
        <v>0</v>
      </c>
      <c r="BS161" s="48">
        <v>0</v>
      </c>
      <c r="BT161" s="48">
        <v>283.79924285485168</v>
      </c>
      <c r="BU161" s="48">
        <v>0</v>
      </c>
      <c r="BV161" s="48">
        <v>0</v>
      </c>
      <c r="BW161" s="48">
        <v>0</v>
      </c>
      <c r="BX161" s="48">
        <v>0.65526442517030836</v>
      </c>
      <c r="BY161" s="48">
        <v>57.588266439206066</v>
      </c>
      <c r="BZ161" s="48">
        <v>41.339615163183034</v>
      </c>
      <c r="CA161" s="48">
        <v>576.08081740601597</v>
      </c>
      <c r="CB161" s="48">
        <v>1.965743724584839</v>
      </c>
      <c r="CC161" s="48">
        <v>2947.6257472087154</v>
      </c>
      <c r="CD161" s="48">
        <v>0</v>
      </c>
      <c r="CE161" s="48">
        <v>0</v>
      </c>
      <c r="CF161" s="48">
        <v>0</v>
      </c>
      <c r="CG161" s="48">
        <v>0</v>
      </c>
      <c r="CH161" s="48">
        <v>0</v>
      </c>
      <c r="CI161" s="48">
        <v>0</v>
      </c>
      <c r="CJ161" s="48">
        <v>0</v>
      </c>
      <c r="CK161" s="48">
        <v>0</v>
      </c>
      <c r="CL161" s="48">
        <v>1.7937144807515489E-3</v>
      </c>
      <c r="CM161" s="48">
        <v>0</v>
      </c>
      <c r="CN161" s="48">
        <v>0</v>
      </c>
      <c r="CO161" s="48">
        <v>0</v>
      </c>
      <c r="CP161" s="48">
        <v>0</v>
      </c>
      <c r="CQ161" s="48">
        <v>0</v>
      </c>
      <c r="CR161" s="48">
        <v>0.57988198797376533</v>
      </c>
      <c r="CS161" s="48">
        <v>0</v>
      </c>
      <c r="CT161" s="48">
        <v>3.5723035814982183E-6</v>
      </c>
      <c r="CU161" s="48">
        <v>0</v>
      </c>
      <c r="CV161" s="48">
        <v>0.14062371860987169</v>
      </c>
      <c r="CW161" s="48">
        <v>0</v>
      </c>
      <c r="CX161" s="48">
        <v>3.3250373853145986E-7</v>
      </c>
      <c r="CY161" s="48">
        <v>8.2929238841745842E-2</v>
      </c>
      <c r="CZ161" s="48">
        <v>6.182791232997518E-3</v>
      </c>
      <c r="DA161" s="48">
        <v>0</v>
      </c>
      <c r="DB161" s="48">
        <v>0</v>
      </c>
      <c r="DC161" s="48">
        <v>1.5998514010405611E-6</v>
      </c>
      <c r="DD161" s="48">
        <v>2.6466630223201528E-2</v>
      </c>
      <c r="DE161" s="48">
        <v>1.9819958039861842E-2</v>
      </c>
      <c r="DF161" s="48">
        <v>298.96888821118483</v>
      </c>
      <c r="DG161" s="48">
        <v>0</v>
      </c>
      <c r="DH161" s="48">
        <v>0</v>
      </c>
      <c r="DI161" s="48">
        <v>0.16906319928825894</v>
      </c>
      <c r="DJ161" s="48">
        <v>0</v>
      </c>
      <c r="DK161" s="48">
        <v>0.11607283976441801</v>
      </c>
      <c r="DL161" s="48">
        <v>0</v>
      </c>
      <c r="DM161" s="48">
        <v>0</v>
      </c>
      <c r="DN161" s="48">
        <v>0</v>
      </c>
      <c r="DO161" s="48">
        <v>0</v>
      </c>
      <c r="DP161" s="48">
        <v>0</v>
      </c>
      <c r="DQ161" s="48">
        <v>0</v>
      </c>
      <c r="DR161" s="48">
        <v>0</v>
      </c>
      <c r="DS161" s="48">
        <v>0</v>
      </c>
      <c r="DT161" s="48">
        <v>100.44725173905626</v>
      </c>
      <c r="DU161" s="48">
        <v>0</v>
      </c>
      <c r="DV161" s="48">
        <v>0</v>
      </c>
      <c r="DW161" s="48">
        <v>189.36123015151992</v>
      </c>
      <c r="DX161" s="48">
        <v>94.094411147490518</v>
      </c>
      <c r="DY161" s="48">
        <v>12.938350960434713</v>
      </c>
      <c r="DZ161" s="48">
        <v>11.958060587456879</v>
      </c>
      <c r="EA161" s="48">
        <v>0</v>
      </c>
      <c r="EB161" s="48">
        <v>0</v>
      </c>
      <c r="EC161" s="48">
        <v>0</v>
      </c>
      <c r="ED161" s="48">
        <v>1.3166483349421176</v>
      </c>
      <c r="EE161" s="48">
        <v>0.65785903032952331</v>
      </c>
      <c r="EF161" s="48">
        <v>1.3599686768222636</v>
      </c>
      <c r="EG161" s="48">
        <v>0</v>
      </c>
      <c r="EH161" s="48">
        <v>0</v>
      </c>
      <c r="EI161" s="48">
        <v>8.7523055760253499</v>
      </c>
      <c r="EJ161" s="48">
        <v>111.0024603931769</v>
      </c>
      <c r="EK161" s="48">
        <v>0</v>
      </c>
      <c r="EL161" s="48">
        <v>0</v>
      </c>
      <c r="EM161" s="48">
        <v>0</v>
      </c>
      <c r="EN161" s="48">
        <v>0</v>
      </c>
      <c r="EO161" s="48">
        <v>0</v>
      </c>
      <c r="EP161" s="48">
        <v>0</v>
      </c>
      <c r="EQ161" s="48">
        <v>908.91024000335949</v>
      </c>
      <c r="ER161" s="48">
        <v>1.0358607949960897E-2</v>
      </c>
      <c r="ES161" s="48">
        <v>1.1737645388522451E-4</v>
      </c>
      <c r="ET161" s="48">
        <v>0.39714125376490378</v>
      </c>
      <c r="EU161" s="48">
        <v>0</v>
      </c>
      <c r="EV161" s="48">
        <v>15.501323588306096</v>
      </c>
      <c r="EW161" s="48">
        <v>0</v>
      </c>
      <c r="EX161" s="48">
        <v>72484.455798995521</v>
      </c>
      <c r="EY161" s="48">
        <v>7086.6590883332692</v>
      </c>
      <c r="EZ161" s="48">
        <v>0</v>
      </c>
      <c r="FA161" s="48">
        <v>0</v>
      </c>
      <c r="FB161" s="48">
        <v>0</v>
      </c>
      <c r="FC161" s="48">
        <v>0</v>
      </c>
      <c r="FD161" s="48">
        <v>697.30013145656142</v>
      </c>
      <c r="FE161" s="48">
        <v>0</v>
      </c>
      <c r="FF161" s="48">
        <v>0</v>
      </c>
      <c r="FG161" s="48">
        <v>6.7168032312208747E-2</v>
      </c>
      <c r="FH161" s="48">
        <v>2.5056127035620215E-3</v>
      </c>
      <c r="FI161" s="48">
        <v>0</v>
      </c>
      <c r="FJ161" s="48">
        <v>0</v>
      </c>
      <c r="FK161" s="48">
        <v>0</v>
      </c>
      <c r="FL161" s="48">
        <v>0</v>
      </c>
      <c r="FM161" s="48">
        <v>1.9325512044883072E-3</v>
      </c>
      <c r="FN161" s="48">
        <v>0</v>
      </c>
      <c r="FO161" s="48">
        <v>0</v>
      </c>
      <c r="FP161" s="48">
        <v>0</v>
      </c>
      <c r="FQ161" s="48">
        <v>0.61397891136633576</v>
      </c>
      <c r="FR161" s="48">
        <v>0</v>
      </c>
      <c r="FS161" s="48">
        <v>0</v>
      </c>
      <c r="FT161" s="48">
        <v>0</v>
      </c>
      <c r="FU161" s="48">
        <v>0</v>
      </c>
      <c r="FV161" s="48">
        <v>0</v>
      </c>
      <c r="FW161" s="48">
        <v>0</v>
      </c>
      <c r="FX161" s="48">
        <v>0</v>
      </c>
      <c r="FY161" s="48">
        <v>0</v>
      </c>
      <c r="FZ161" s="48">
        <v>0</v>
      </c>
      <c r="GA161" s="48">
        <v>0</v>
      </c>
      <c r="GB161" s="48">
        <v>979580.35322443082</v>
      </c>
      <c r="GC161" s="48">
        <v>0</v>
      </c>
      <c r="GD161" s="48">
        <v>0</v>
      </c>
      <c r="GE161" s="48">
        <v>0</v>
      </c>
      <c r="GF161" s="48">
        <v>0</v>
      </c>
      <c r="GG161" s="48">
        <v>0</v>
      </c>
      <c r="GH161" s="48">
        <v>0</v>
      </c>
      <c r="GI161" s="48">
        <v>0</v>
      </c>
      <c r="GJ161" s="48">
        <v>0</v>
      </c>
      <c r="GK161" s="48">
        <v>0</v>
      </c>
      <c r="GL161" s="48">
        <v>0</v>
      </c>
      <c r="GM161" s="48">
        <v>0</v>
      </c>
      <c r="GN161" s="48">
        <v>0</v>
      </c>
      <c r="GO161" s="48">
        <v>0</v>
      </c>
      <c r="GP161" s="48">
        <v>0</v>
      </c>
      <c r="GQ161" s="48">
        <v>0</v>
      </c>
      <c r="GR161" s="48">
        <v>0</v>
      </c>
      <c r="GS161" s="48">
        <v>0.67068524916011163</v>
      </c>
      <c r="GT161" s="48">
        <v>4.0550695386062794E-10</v>
      </c>
      <c r="GU161" s="48">
        <v>0</v>
      </c>
      <c r="GV161" s="48">
        <v>0</v>
      </c>
      <c r="GW161" s="48">
        <v>0</v>
      </c>
      <c r="GX161" s="48">
        <v>5.9286115356331606E-8</v>
      </c>
      <c r="GY161" s="48">
        <v>0</v>
      </c>
      <c r="GZ161" s="48">
        <v>0</v>
      </c>
      <c r="HA161" s="48">
        <v>0</v>
      </c>
      <c r="HB161" s="48">
        <v>0</v>
      </c>
      <c r="HC161" s="48">
        <v>0</v>
      </c>
      <c r="HD161" s="48">
        <v>0</v>
      </c>
      <c r="HE161" s="48">
        <v>0</v>
      </c>
      <c r="HF161" s="48">
        <v>0</v>
      </c>
      <c r="HG161" s="48">
        <v>0</v>
      </c>
      <c r="HH161" s="48">
        <v>0</v>
      </c>
      <c r="HI161" s="48">
        <v>0</v>
      </c>
      <c r="HJ161" s="48">
        <v>0</v>
      </c>
      <c r="HK161" s="48">
        <v>0</v>
      </c>
      <c r="HL161" s="48">
        <v>0</v>
      </c>
      <c r="HM161" s="48">
        <v>0</v>
      </c>
      <c r="HN161" s="48">
        <v>0</v>
      </c>
      <c r="HO161" s="48">
        <v>0</v>
      </c>
      <c r="HP161" s="48">
        <v>0</v>
      </c>
      <c r="HQ161" s="48">
        <v>0</v>
      </c>
      <c r="HR161" s="48">
        <v>0</v>
      </c>
      <c r="HS161" s="48">
        <v>0</v>
      </c>
      <c r="HT161" s="48">
        <v>0</v>
      </c>
      <c r="HU161" s="48">
        <v>0</v>
      </c>
      <c r="HV161" s="48">
        <v>0</v>
      </c>
      <c r="HW161" s="48">
        <v>0</v>
      </c>
      <c r="HX161" s="48">
        <v>0</v>
      </c>
      <c r="HY161" s="48">
        <v>0</v>
      </c>
      <c r="HZ161" s="48">
        <v>0</v>
      </c>
      <c r="IA161" s="48">
        <v>0</v>
      </c>
      <c r="IB161" s="48">
        <v>0</v>
      </c>
      <c r="IC161" s="48">
        <v>0</v>
      </c>
      <c r="ID161" s="48">
        <v>0</v>
      </c>
      <c r="IE161" s="48">
        <v>0</v>
      </c>
      <c r="IF161" s="48">
        <v>0</v>
      </c>
      <c r="IG161" s="48">
        <v>0</v>
      </c>
      <c r="IH161" s="48">
        <v>0</v>
      </c>
      <c r="II161" s="48">
        <v>0</v>
      </c>
      <c r="IJ161" s="48">
        <v>0</v>
      </c>
      <c r="IK161" s="48">
        <v>1.3339204240535134E-3</v>
      </c>
      <c r="IL161" s="48">
        <v>0</v>
      </c>
      <c r="IM161" s="48">
        <v>0</v>
      </c>
      <c r="IN161" s="48">
        <v>0</v>
      </c>
      <c r="IO161" s="48">
        <v>0</v>
      </c>
      <c r="IP161" s="23">
        <v>1065515.9999999963</v>
      </c>
      <c r="IQ161" s="25">
        <v>0</v>
      </c>
      <c r="IR161" s="25">
        <v>0</v>
      </c>
      <c r="IS161" s="26">
        <v>0</v>
      </c>
      <c r="IT161" s="26">
        <v>0</v>
      </c>
      <c r="IU161" s="26">
        <v>-39547</v>
      </c>
      <c r="IV161" s="9">
        <v>4677</v>
      </c>
      <c r="IW161" s="38">
        <f t="shared" si="13"/>
        <v>1030645.9999999963</v>
      </c>
    </row>
    <row r="162" spans="1:257" ht="30" customHeight="1" x14ac:dyDescent="0.25">
      <c r="A162" s="112" t="b">
        <v>0</v>
      </c>
      <c r="B162" s="113" t="str">
        <f>IFERROR(VLOOKUP(C162,'Bridge matrix'!$D$3:$E$727,2,FALSE)='symmetric IOT 245 2012'!D162,"FALSCH")</f>
        <v>FALSCH</v>
      </c>
      <c r="C162" s="108">
        <v>151</v>
      </c>
      <c r="D162" s="49" t="s">
        <v>1469</v>
      </c>
      <c r="E162" s="48">
        <v>0</v>
      </c>
      <c r="F162" s="48">
        <v>0</v>
      </c>
      <c r="G162" s="48">
        <v>0</v>
      </c>
      <c r="H162" s="48">
        <v>0</v>
      </c>
      <c r="I162" s="48">
        <v>0</v>
      </c>
      <c r="J162" s="48">
        <v>0</v>
      </c>
      <c r="K162" s="48">
        <v>0</v>
      </c>
      <c r="L162" s="48">
        <v>0</v>
      </c>
      <c r="M162" s="48">
        <v>0</v>
      </c>
      <c r="N162" s="48">
        <v>0</v>
      </c>
      <c r="O162" s="48">
        <v>0</v>
      </c>
      <c r="P162" s="48">
        <v>0</v>
      </c>
      <c r="Q162" s="48">
        <v>0</v>
      </c>
      <c r="R162" s="48">
        <v>0</v>
      </c>
      <c r="S162" s="48">
        <v>0</v>
      </c>
      <c r="T162" s="48">
        <v>0</v>
      </c>
      <c r="U162" s="48">
        <v>0</v>
      </c>
      <c r="V162" s="48">
        <v>0</v>
      </c>
      <c r="W162" s="48">
        <v>0</v>
      </c>
      <c r="X162" s="48">
        <v>0</v>
      </c>
      <c r="Y162" s="48">
        <v>0</v>
      </c>
      <c r="Z162" s="48">
        <v>0</v>
      </c>
      <c r="AA162" s="48">
        <v>0</v>
      </c>
      <c r="AB162" s="48">
        <v>0</v>
      </c>
      <c r="AC162" s="48">
        <v>0</v>
      </c>
      <c r="AD162" s="48">
        <v>0</v>
      </c>
      <c r="AE162" s="48">
        <v>0</v>
      </c>
      <c r="AF162" s="48">
        <v>0</v>
      </c>
      <c r="AG162" s="48">
        <v>0</v>
      </c>
      <c r="AH162" s="48">
        <v>0</v>
      </c>
      <c r="AI162" s="48">
        <v>0</v>
      </c>
      <c r="AJ162" s="48">
        <v>0</v>
      </c>
      <c r="AK162" s="48">
        <v>0</v>
      </c>
      <c r="AL162" s="48">
        <v>0</v>
      </c>
      <c r="AM162" s="48">
        <v>0</v>
      </c>
      <c r="AN162" s="48">
        <v>0</v>
      </c>
      <c r="AO162" s="48">
        <v>0</v>
      </c>
      <c r="AP162" s="48">
        <v>0</v>
      </c>
      <c r="AQ162" s="48">
        <v>0</v>
      </c>
      <c r="AR162" s="48">
        <v>0</v>
      </c>
      <c r="AS162" s="48">
        <v>0</v>
      </c>
      <c r="AT162" s="48">
        <v>0</v>
      </c>
      <c r="AU162" s="48">
        <v>0</v>
      </c>
      <c r="AV162" s="48">
        <v>0</v>
      </c>
      <c r="AW162" s="48">
        <v>0</v>
      </c>
      <c r="AX162" s="48">
        <v>0</v>
      </c>
      <c r="AY162" s="48">
        <v>0</v>
      </c>
      <c r="AZ162" s="48">
        <v>0</v>
      </c>
      <c r="BA162" s="48">
        <v>0</v>
      </c>
      <c r="BB162" s="48">
        <v>0</v>
      </c>
      <c r="BC162" s="48">
        <v>0</v>
      </c>
      <c r="BD162" s="48">
        <v>0</v>
      </c>
      <c r="BE162" s="48">
        <v>0</v>
      </c>
      <c r="BF162" s="48">
        <v>0</v>
      </c>
      <c r="BG162" s="48">
        <v>0</v>
      </c>
      <c r="BH162" s="48">
        <v>0</v>
      </c>
      <c r="BI162" s="48">
        <v>0</v>
      </c>
      <c r="BJ162" s="48">
        <v>0</v>
      </c>
      <c r="BK162" s="48">
        <v>0</v>
      </c>
      <c r="BL162" s="48">
        <v>0</v>
      </c>
      <c r="BM162" s="48">
        <v>0</v>
      </c>
      <c r="BN162" s="48">
        <v>0</v>
      </c>
      <c r="BO162" s="48">
        <v>0</v>
      </c>
      <c r="BP162" s="48">
        <v>0</v>
      </c>
      <c r="BQ162" s="48">
        <v>0</v>
      </c>
      <c r="BR162" s="48">
        <v>0</v>
      </c>
      <c r="BS162" s="48">
        <v>0</v>
      </c>
      <c r="BT162" s="48">
        <v>0</v>
      </c>
      <c r="BU162" s="48">
        <v>0</v>
      </c>
      <c r="BV162" s="48">
        <v>0</v>
      </c>
      <c r="BW162" s="48">
        <v>0</v>
      </c>
      <c r="BX162" s="48">
        <v>0</v>
      </c>
      <c r="BY162" s="48">
        <v>0</v>
      </c>
      <c r="BZ162" s="48">
        <v>0</v>
      </c>
      <c r="CA162" s="48">
        <v>849.47499057700145</v>
      </c>
      <c r="CB162" s="48">
        <v>2.6098342175475517</v>
      </c>
      <c r="CC162" s="48">
        <v>0</v>
      </c>
      <c r="CD162" s="48">
        <v>113.69007729894717</v>
      </c>
      <c r="CE162" s="48">
        <v>8.4933922724004187</v>
      </c>
      <c r="CF162" s="48">
        <v>1.3065590819666995</v>
      </c>
      <c r="CG162" s="48">
        <v>0</v>
      </c>
      <c r="CH162" s="48">
        <v>0</v>
      </c>
      <c r="CI162" s="48">
        <v>0</v>
      </c>
      <c r="CJ162" s="48">
        <v>0</v>
      </c>
      <c r="CK162" s="48">
        <v>0</v>
      </c>
      <c r="CL162" s="48">
        <v>0</v>
      </c>
      <c r="CM162" s="48">
        <v>0</v>
      </c>
      <c r="CN162" s="48">
        <v>0</v>
      </c>
      <c r="CO162" s="48">
        <v>0</v>
      </c>
      <c r="CP162" s="48">
        <v>0</v>
      </c>
      <c r="CQ162" s="48">
        <v>0</v>
      </c>
      <c r="CR162" s="48">
        <v>0</v>
      </c>
      <c r="CS162" s="48">
        <v>0</v>
      </c>
      <c r="CT162" s="48">
        <v>0</v>
      </c>
      <c r="CU162" s="48">
        <v>0</v>
      </c>
      <c r="CV162" s="48">
        <v>0</v>
      </c>
      <c r="CW162" s="48">
        <v>0</v>
      </c>
      <c r="CX162" s="48">
        <v>0</v>
      </c>
      <c r="CY162" s="48">
        <v>0</v>
      </c>
      <c r="CZ162" s="48">
        <v>0</v>
      </c>
      <c r="DA162" s="48">
        <v>0</v>
      </c>
      <c r="DB162" s="48">
        <v>0</v>
      </c>
      <c r="DC162" s="48">
        <v>0</v>
      </c>
      <c r="DD162" s="48">
        <v>0</v>
      </c>
      <c r="DE162" s="48">
        <v>0</v>
      </c>
      <c r="DF162" s="48">
        <v>0</v>
      </c>
      <c r="DG162" s="48">
        <v>0</v>
      </c>
      <c r="DH162" s="48">
        <v>0</v>
      </c>
      <c r="DI162" s="48">
        <v>0</v>
      </c>
      <c r="DJ162" s="48">
        <v>0</v>
      </c>
      <c r="DK162" s="48">
        <v>0</v>
      </c>
      <c r="DL162" s="48">
        <v>0</v>
      </c>
      <c r="DM162" s="48">
        <v>0</v>
      </c>
      <c r="DN162" s="48">
        <v>0</v>
      </c>
      <c r="DO162" s="48">
        <v>0</v>
      </c>
      <c r="DP162" s="48">
        <v>0</v>
      </c>
      <c r="DQ162" s="48">
        <v>0</v>
      </c>
      <c r="DR162" s="48">
        <v>0</v>
      </c>
      <c r="DS162" s="48">
        <v>0</v>
      </c>
      <c r="DT162" s="48">
        <v>0</v>
      </c>
      <c r="DU162" s="48">
        <v>0</v>
      </c>
      <c r="DV162" s="48">
        <v>0</v>
      </c>
      <c r="DW162" s="48">
        <v>0</v>
      </c>
      <c r="DX162" s="48">
        <v>0</v>
      </c>
      <c r="DY162" s="48">
        <v>0</v>
      </c>
      <c r="DZ162" s="48">
        <v>0</v>
      </c>
      <c r="EA162" s="48">
        <v>0</v>
      </c>
      <c r="EB162" s="48">
        <v>0</v>
      </c>
      <c r="EC162" s="48">
        <v>0</v>
      </c>
      <c r="ED162" s="48">
        <v>0</v>
      </c>
      <c r="EE162" s="48">
        <v>0</v>
      </c>
      <c r="EF162" s="48">
        <v>0</v>
      </c>
      <c r="EG162" s="48">
        <v>0</v>
      </c>
      <c r="EH162" s="48">
        <v>0</v>
      </c>
      <c r="EI162" s="48">
        <v>0</v>
      </c>
      <c r="EJ162" s="48">
        <v>0</v>
      </c>
      <c r="EK162" s="48">
        <v>0</v>
      </c>
      <c r="EL162" s="48">
        <v>0</v>
      </c>
      <c r="EM162" s="48">
        <v>0</v>
      </c>
      <c r="EN162" s="48">
        <v>0</v>
      </c>
      <c r="EO162" s="48">
        <v>0</v>
      </c>
      <c r="EP162" s="48">
        <v>0</v>
      </c>
      <c r="EQ162" s="48">
        <v>0</v>
      </c>
      <c r="ER162" s="48">
        <v>0</v>
      </c>
      <c r="ES162" s="48">
        <v>0</v>
      </c>
      <c r="ET162" s="48">
        <v>0</v>
      </c>
      <c r="EU162" s="48">
        <v>0</v>
      </c>
      <c r="EV162" s="48">
        <v>0</v>
      </c>
      <c r="EW162" s="48">
        <v>0</v>
      </c>
      <c r="EX162" s="48">
        <v>0</v>
      </c>
      <c r="EY162" s="48">
        <v>1834.2732972032761</v>
      </c>
      <c r="EZ162" s="48">
        <v>0</v>
      </c>
      <c r="FA162" s="48">
        <v>0</v>
      </c>
      <c r="FB162" s="48">
        <v>0</v>
      </c>
      <c r="FC162" s="48">
        <v>0</v>
      </c>
      <c r="FD162" s="48">
        <v>0</v>
      </c>
      <c r="FE162" s="48">
        <v>0</v>
      </c>
      <c r="FF162" s="48">
        <v>0</v>
      </c>
      <c r="FG162" s="48">
        <v>0</v>
      </c>
      <c r="FH162" s="48">
        <v>0</v>
      </c>
      <c r="FI162" s="48">
        <v>0</v>
      </c>
      <c r="FJ162" s="48">
        <v>0</v>
      </c>
      <c r="FK162" s="48">
        <v>0</v>
      </c>
      <c r="FL162" s="48">
        <v>0</v>
      </c>
      <c r="FM162" s="48">
        <v>0</v>
      </c>
      <c r="FN162" s="48">
        <v>0</v>
      </c>
      <c r="FO162" s="48">
        <v>0</v>
      </c>
      <c r="FP162" s="48">
        <v>0</v>
      </c>
      <c r="FQ162" s="48">
        <v>0</v>
      </c>
      <c r="FR162" s="48">
        <v>0</v>
      </c>
      <c r="FS162" s="48">
        <v>0</v>
      </c>
      <c r="FT162" s="48">
        <v>0</v>
      </c>
      <c r="FU162" s="48">
        <v>0</v>
      </c>
      <c r="FV162" s="48">
        <v>0</v>
      </c>
      <c r="FW162" s="48">
        <v>0</v>
      </c>
      <c r="FX162" s="48">
        <v>0</v>
      </c>
      <c r="FY162" s="48">
        <v>0</v>
      </c>
      <c r="FZ162" s="48">
        <v>0</v>
      </c>
      <c r="GA162" s="48">
        <v>0</v>
      </c>
      <c r="GB162" s="48">
        <v>63571.151849348622</v>
      </c>
      <c r="GC162" s="48">
        <v>0</v>
      </c>
      <c r="GD162" s="48">
        <v>0</v>
      </c>
      <c r="GE162" s="48">
        <v>0</v>
      </c>
      <c r="GF162" s="48">
        <v>0</v>
      </c>
      <c r="GG162" s="48">
        <v>0</v>
      </c>
      <c r="GH162" s="48">
        <v>0</v>
      </c>
      <c r="GI162" s="48">
        <v>0</v>
      </c>
      <c r="GJ162" s="48">
        <v>0</v>
      </c>
      <c r="GK162" s="48">
        <v>0</v>
      </c>
      <c r="GL162" s="48">
        <v>0</v>
      </c>
      <c r="GM162" s="48">
        <v>0</v>
      </c>
      <c r="GN162" s="48">
        <v>0</v>
      </c>
      <c r="GO162" s="48">
        <v>0</v>
      </c>
      <c r="GP162" s="48">
        <v>0</v>
      </c>
      <c r="GQ162" s="48">
        <v>0</v>
      </c>
      <c r="GR162" s="48">
        <v>0</v>
      </c>
      <c r="GS162" s="48">
        <v>0</v>
      </c>
      <c r="GT162" s="48">
        <v>0</v>
      </c>
      <c r="GU162" s="48">
        <v>0</v>
      </c>
      <c r="GV162" s="48">
        <v>0</v>
      </c>
      <c r="GW162" s="48">
        <v>0</v>
      </c>
      <c r="GX162" s="48">
        <v>0</v>
      </c>
      <c r="GY162" s="48">
        <v>0</v>
      </c>
      <c r="GZ162" s="48">
        <v>0</v>
      </c>
      <c r="HA162" s="48">
        <v>0</v>
      </c>
      <c r="HB162" s="48">
        <v>0</v>
      </c>
      <c r="HC162" s="48">
        <v>0</v>
      </c>
      <c r="HD162" s="48">
        <v>0</v>
      </c>
      <c r="HE162" s="48">
        <v>0</v>
      </c>
      <c r="HF162" s="48">
        <v>0</v>
      </c>
      <c r="HG162" s="48">
        <v>0</v>
      </c>
      <c r="HH162" s="48">
        <v>0</v>
      </c>
      <c r="HI162" s="48">
        <v>0</v>
      </c>
      <c r="HJ162" s="48">
        <v>0</v>
      </c>
      <c r="HK162" s="48">
        <v>0</v>
      </c>
      <c r="HL162" s="48">
        <v>0</v>
      </c>
      <c r="HM162" s="48">
        <v>0</v>
      </c>
      <c r="HN162" s="48">
        <v>0</v>
      </c>
      <c r="HO162" s="48">
        <v>0</v>
      </c>
      <c r="HP162" s="48">
        <v>0</v>
      </c>
      <c r="HQ162" s="48">
        <v>0</v>
      </c>
      <c r="HR162" s="48">
        <v>0</v>
      </c>
      <c r="HS162" s="48">
        <v>0</v>
      </c>
      <c r="HT162" s="48">
        <v>0</v>
      </c>
      <c r="HU162" s="48">
        <v>0</v>
      </c>
      <c r="HV162" s="48">
        <v>0</v>
      </c>
      <c r="HW162" s="48">
        <v>0</v>
      </c>
      <c r="HX162" s="48">
        <v>0</v>
      </c>
      <c r="HY162" s="48">
        <v>0</v>
      </c>
      <c r="HZ162" s="48">
        <v>0</v>
      </c>
      <c r="IA162" s="48">
        <v>0</v>
      </c>
      <c r="IB162" s="48">
        <v>0</v>
      </c>
      <c r="IC162" s="48">
        <v>0</v>
      </c>
      <c r="ID162" s="48">
        <v>0</v>
      </c>
      <c r="IE162" s="48">
        <v>0</v>
      </c>
      <c r="IF162" s="48">
        <v>0</v>
      </c>
      <c r="IG162" s="48">
        <v>0</v>
      </c>
      <c r="IH162" s="48">
        <v>0</v>
      </c>
      <c r="II162" s="48">
        <v>0</v>
      </c>
      <c r="IJ162" s="48">
        <v>0</v>
      </c>
      <c r="IK162" s="48">
        <v>0</v>
      </c>
      <c r="IL162" s="48">
        <v>0</v>
      </c>
      <c r="IM162" s="48">
        <v>0</v>
      </c>
      <c r="IN162" s="48">
        <v>0</v>
      </c>
      <c r="IO162" s="48">
        <v>0</v>
      </c>
      <c r="IP162" s="23">
        <v>66380.999999999767</v>
      </c>
      <c r="IQ162" s="25">
        <v>0</v>
      </c>
      <c r="IR162" s="25">
        <v>0</v>
      </c>
      <c r="IS162" s="26">
        <v>0</v>
      </c>
      <c r="IT162" s="26">
        <v>0</v>
      </c>
      <c r="IU162" s="26">
        <v>-181</v>
      </c>
      <c r="IV162" s="9">
        <v>1477</v>
      </c>
      <c r="IW162" s="38">
        <f t="shared" si="13"/>
        <v>67676.999999999767</v>
      </c>
    </row>
    <row r="163" spans="1:257" ht="30" customHeight="1" x14ac:dyDescent="0.25">
      <c r="A163" s="112" t="b">
        <v>0</v>
      </c>
      <c r="B163" s="113" t="str">
        <f>IFERROR(VLOOKUP(C163,'Bridge matrix'!$D$3:$E$727,2,FALSE)='symmetric IOT 245 2012'!D163,"FALSCH")</f>
        <v>FALSCH</v>
      </c>
      <c r="C163" s="108">
        <v>152</v>
      </c>
      <c r="D163" s="49" t="s">
        <v>1470</v>
      </c>
      <c r="E163" s="48">
        <v>0</v>
      </c>
      <c r="F163" s="48">
        <v>0</v>
      </c>
      <c r="G163" s="48">
        <v>0</v>
      </c>
      <c r="H163" s="48">
        <v>0</v>
      </c>
      <c r="I163" s="48">
        <v>0</v>
      </c>
      <c r="J163" s="48">
        <v>0</v>
      </c>
      <c r="K163" s="48">
        <v>0</v>
      </c>
      <c r="L163" s="48">
        <v>0</v>
      </c>
      <c r="M163" s="48">
        <v>0</v>
      </c>
      <c r="N163" s="48">
        <v>0</v>
      </c>
      <c r="O163" s="48">
        <v>0</v>
      </c>
      <c r="P163" s="48">
        <v>0</v>
      </c>
      <c r="Q163" s="48">
        <v>0</v>
      </c>
      <c r="R163" s="48">
        <v>0</v>
      </c>
      <c r="S163" s="48">
        <v>0</v>
      </c>
      <c r="T163" s="48">
        <v>0</v>
      </c>
      <c r="U163" s="48">
        <v>0</v>
      </c>
      <c r="V163" s="48">
        <v>0</v>
      </c>
      <c r="W163" s="48">
        <v>0</v>
      </c>
      <c r="X163" s="48">
        <v>0</v>
      </c>
      <c r="Y163" s="48">
        <v>0</v>
      </c>
      <c r="Z163" s="48">
        <v>0</v>
      </c>
      <c r="AA163" s="48">
        <v>0</v>
      </c>
      <c r="AB163" s="48">
        <v>0</v>
      </c>
      <c r="AC163" s="48">
        <v>0</v>
      </c>
      <c r="AD163" s="48">
        <v>0</v>
      </c>
      <c r="AE163" s="48">
        <v>0</v>
      </c>
      <c r="AF163" s="48">
        <v>0</v>
      </c>
      <c r="AG163" s="48">
        <v>0</v>
      </c>
      <c r="AH163" s="48">
        <v>0</v>
      </c>
      <c r="AI163" s="48">
        <v>0</v>
      </c>
      <c r="AJ163" s="48">
        <v>0</v>
      </c>
      <c r="AK163" s="48">
        <v>0</v>
      </c>
      <c r="AL163" s="48">
        <v>0</v>
      </c>
      <c r="AM163" s="48">
        <v>0</v>
      </c>
      <c r="AN163" s="48">
        <v>0</v>
      </c>
      <c r="AO163" s="48">
        <v>0</v>
      </c>
      <c r="AP163" s="48">
        <v>0</v>
      </c>
      <c r="AQ163" s="48">
        <v>0</v>
      </c>
      <c r="AR163" s="48">
        <v>0</v>
      </c>
      <c r="AS163" s="48">
        <v>0</v>
      </c>
      <c r="AT163" s="48">
        <v>0</v>
      </c>
      <c r="AU163" s="48">
        <v>0</v>
      </c>
      <c r="AV163" s="48">
        <v>0</v>
      </c>
      <c r="AW163" s="48">
        <v>0</v>
      </c>
      <c r="AX163" s="48">
        <v>0</v>
      </c>
      <c r="AY163" s="48">
        <v>0</v>
      </c>
      <c r="AZ163" s="48">
        <v>0</v>
      </c>
      <c r="BA163" s="48">
        <v>0</v>
      </c>
      <c r="BB163" s="48">
        <v>0</v>
      </c>
      <c r="BC163" s="48">
        <v>0</v>
      </c>
      <c r="BD163" s="48">
        <v>0</v>
      </c>
      <c r="BE163" s="48">
        <v>0</v>
      </c>
      <c r="BF163" s="48">
        <v>0</v>
      </c>
      <c r="BG163" s="48">
        <v>0</v>
      </c>
      <c r="BH163" s="48">
        <v>0</v>
      </c>
      <c r="BI163" s="48">
        <v>0</v>
      </c>
      <c r="BJ163" s="48">
        <v>0</v>
      </c>
      <c r="BK163" s="48">
        <v>0</v>
      </c>
      <c r="BL163" s="48">
        <v>0</v>
      </c>
      <c r="BM163" s="48">
        <v>0</v>
      </c>
      <c r="BN163" s="48">
        <v>0</v>
      </c>
      <c r="BO163" s="48">
        <v>0</v>
      </c>
      <c r="BP163" s="48">
        <v>0</v>
      </c>
      <c r="BQ163" s="48">
        <v>0</v>
      </c>
      <c r="BR163" s="48">
        <v>0</v>
      </c>
      <c r="BS163" s="48">
        <v>0</v>
      </c>
      <c r="BT163" s="48">
        <v>0</v>
      </c>
      <c r="BU163" s="48">
        <v>0</v>
      </c>
      <c r="BV163" s="48">
        <v>0</v>
      </c>
      <c r="BW163" s="48">
        <v>0</v>
      </c>
      <c r="BX163" s="48">
        <v>0</v>
      </c>
      <c r="BY163" s="48">
        <v>0</v>
      </c>
      <c r="BZ163" s="48">
        <v>0</v>
      </c>
      <c r="CA163" s="48">
        <v>0</v>
      </c>
      <c r="CB163" s="48">
        <v>0</v>
      </c>
      <c r="CC163" s="48">
        <v>0</v>
      </c>
      <c r="CD163" s="48">
        <v>0</v>
      </c>
      <c r="CE163" s="48">
        <v>0</v>
      </c>
      <c r="CF163" s="48">
        <v>0</v>
      </c>
      <c r="CG163" s="48">
        <v>0</v>
      </c>
      <c r="CH163" s="48">
        <v>0</v>
      </c>
      <c r="CI163" s="48">
        <v>3.2974002053147554E-7</v>
      </c>
      <c r="CJ163" s="48">
        <v>0</v>
      </c>
      <c r="CK163" s="48">
        <v>0</v>
      </c>
      <c r="CL163" s="48">
        <v>0</v>
      </c>
      <c r="CM163" s="48">
        <v>0</v>
      </c>
      <c r="CN163" s="48">
        <v>0</v>
      </c>
      <c r="CO163" s="48">
        <v>0</v>
      </c>
      <c r="CP163" s="48">
        <v>0</v>
      </c>
      <c r="CQ163" s="48">
        <v>0</v>
      </c>
      <c r="CR163" s="48">
        <v>1.1625628598898058E-7</v>
      </c>
      <c r="CS163" s="48">
        <v>0</v>
      </c>
      <c r="CT163" s="48">
        <v>0</v>
      </c>
      <c r="CU163" s="48">
        <v>0</v>
      </c>
      <c r="CV163" s="48">
        <v>0</v>
      </c>
      <c r="CW163" s="48">
        <v>0</v>
      </c>
      <c r="CX163" s="48">
        <v>0</v>
      </c>
      <c r="CY163" s="48">
        <v>3.3748993564006653E-3</v>
      </c>
      <c r="CZ163" s="48">
        <v>0</v>
      </c>
      <c r="DA163" s="48">
        <v>1.6140700810136678E-8</v>
      </c>
      <c r="DB163" s="48">
        <v>0</v>
      </c>
      <c r="DC163" s="48">
        <v>0</v>
      </c>
      <c r="DD163" s="48">
        <v>0</v>
      </c>
      <c r="DE163" s="48">
        <v>0</v>
      </c>
      <c r="DF163" s="48">
        <v>0</v>
      </c>
      <c r="DG163" s="48">
        <v>0</v>
      </c>
      <c r="DH163" s="48">
        <v>0</v>
      </c>
      <c r="DI163" s="48">
        <v>0</v>
      </c>
      <c r="DJ163" s="48">
        <v>2.4177635583945774E-5</v>
      </c>
      <c r="DK163" s="48">
        <v>0</v>
      </c>
      <c r="DL163" s="48">
        <v>1.7505889828213307E-2</v>
      </c>
      <c r="DM163" s="48">
        <v>0</v>
      </c>
      <c r="DN163" s="48">
        <v>0</v>
      </c>
      <c r="DO163" s="48">
        <v>0</v>
      </c>
      <c r="DP163" s="48">
        <v>0</v>
      </c>
      <c r="DQ163" s="48">
        <v>0</v>
      </c>
      <c r="DR163" s="48">
        <v>0</v>
      </c>
      <c r="DS163" s="48">
        <v>0</v>
      </c>
      <c r="DT163" s="48">
        <v>0</v>
      </c>
      <c r="DU163" s="48">
        <v>0</v>
      </c>
      <c r="DV163" s="48">
        <v>0</v>
      </c>
      <c r="DW163" s="48">
        <v>72.449185461460786</v>
      </c>
      <c r="DX163" s="48">
        <v>0</v>
      </c>
      <c r="DY163" s="48">
        <v>9.9867446296094009</v>
      </c>
      <c r="DZ163" s="48">
        <v>16.486945522711746</v>
      </c>
      <c r="EA163" s="48">
        <v>0</v>
      </c>
      <c r="EB163" s="48">
        <v>0</v>
      </c>
      <c r="EC163" s="48">
        <v>0</v>
      </c>
      <c r="ED163" s="48">
        <v>9.1491296961137714</v>
      </c>
      <c r="EE163" s="48">
        <v>2.6121901152939011</v>
      </c>
      <c r="EF163" s="48">
        <v>9.4501542110301777</v>
      </c>
      <c r="EG163" s="48">
        <v>3.2811563303522351</v>
      </c>
      <c r="EH163" s="48">
        <v>0.65252831720942972</v>
      </c>
      <c r="EI163" s="48">
        <v>0</v>
      </c>
      <c r="EJ163" s="48">
        <v>0</v>
      </c>
      <c r="EK163" s="48">
        <v>0</v>
      </c>
      <c r="EL163" s="48">
        <v>0</v>
      </c>
      <c r="EM163" s="48">
        <v>4.401875254293721E-3</v>
      </c>
      <c r="EN163" s="48">
        <v>71.374384263533372</v>
      </c>
      <c r="EO163" s="48">
        <v>0</v>
      </c>
      <c r="EP163" s="48">
        <v>4.3544592154856438E-3</v>
      </c>
      <c r="EQ163" s="48">
        <v>0</v>
      </c>
      <c r="ER163" s="48">
        <v>0</v>
      </c>
      <c r="ES163" s="48">
        <v>6.1685597435567563E-6</v>
      </c>
      <c r="ET163" s="48">
        <v>12.726956178805148</v>
      </c>
      <c r="EU163" s="48">
        <v>0</v>
      </c>
      <c r="EV163" s="48">
        <v>0</v>
      </c>
      <c r="EW163" s="48">
        <v>0</v>
      </c>
      <c r="EX163" s="48">
        <v>0</v>
      </c>
      <c r="EY163" s="48">
        <v>5.0818897329201986</v>
      </c>
      <c r="EZ163" s="48">
        <v>318.84827676376858</v>
      </c>
      <c r="FA163" s="48">
        <v>9.6273843776381991</v>
      </c>
      <c r="FB163" s="48">
        <v>0</v>
      </c>
      <c r="FC163" s="48">
        <v>0</v>
      </c>
      <c r="FD163" s="48">
        <v>0</v>
      </c>
      <c r="FE163" s="48">
        <v>7.1835149982859798</v>
      </c>
      <c r="FF163" s="48">
        <v>0</v>
      </c>
      <c r="FG163" s="48">
        <v>8.7765034158699251</v>
      </c>
      <c r="FH163" s="48">
        <v>0</v>
      </c>
      <c r="FI163" s="48">
        <v>122.49514741743803</v>
      </c>
      <c r="FJ163" s="48">
        <v>0</v>
      </c>
      <c r="FK163" s="48">
        <v>40.929236792684442</v>
      </c>
      <c r="FL163" s="48">
        <v>0</v>
      </c>
      <c r="FM163" s="48">
        <v>15.893094097135393</v>
      </c>
      <c r="FN163" s="48">
        <v>0</v>
      </c>
      <c r="FO163" s="48">
        <v>0</v>
      </c>
      <c r="FP163" s="48">
        <v>176.11699818318004</v>
      </c>
      <c r="FQ163" s="48">
        <v>0</v>
      </c>
      <c r="FR163" s="48">
        <v>253.95926094355485</v>
      </c>
      <c r="FS163" s="48">
        <v>51.496382402465812</v>
      </c>
      <c r="FT163" s="48">
        <v>0</v>
      </c>
      <c r="FU163" s="48">
        <v>0</v>
      </c>
      <c r="FV163" s="48">
        <v>0</v>
      </c>
      <c r="FW163" s="48">
        <v>304.14084038802395</v>
      </c>
      <c r="FX163" s="48">
        <v>640.29244997462808</v>
      </c>
      <c r="FY163" s="48">
        <v>97.073318996107091</v>
      </c>
      <c r="FZ163" s="48">
        <v>1.9527122075666097</v>
      </c>
      <c r="GA163" s="48">
        <v>20.465888448571022</v>
      </c>
      <c r="GB163" s="48">
        <v>66430.468056194673</v>
      </c>
      <c r="GC163" s="48">
        <v>0</v>
      </c>
      <c r="GD163" s="48">
        <v>0</v>
      </c>
      <c r="GE163" s="48">
        <v>0</v>
      </c>
      <c r="GF163" s="48">
        <v>0</v>
      </c>
      <c r="GG163" s="48">
        <v>0</v>
      </c>
      <c r="GH163" s="48">
        <v>0</v>
      </c>
      <c r="GI163" s="48">
        <v>0</v>
      </c>
      <c r="GJ163" s="48">
        <v>0</v>
      </c>
      <c r="GK163" s="48">
        <v>0</v>
      </c>
      <c r="GL163" s="48">
        <v>0</v>
      </c>
      <c r="GM163" s="48">
        <v>0</v>
      </c>
      <c r="GN163" s="48">
        <v>0</v>
      </c>
      <c r="GO163" s="48">
        <v>0</v>
      </c>
      <c r="GP163" s="48">
        <v>0</v>
      </c>
      <c r="GQ163" s="48">
        <v>0</v>
      </c>
      <c r="GR163" s="48">
        <v>0</v>
      </c>
      <c r="GS163" s="48">
        <v>0</v>
      </c>
      <c r="GT163" s="48">
        <v>1.3635222243112098E-8</v>
      </c>
      <c r="GU163" s="48">
        <v>0</v>
      </c>
      <c r="GV163" s="48">
        <v>0</v>
      </c>
      <c r="GW163" s="48">
        <v>0</v>
      </c>
      <c r="GX163" s="48">
        <v>1.9935030734200467E-6</v>
      </c>
      <c r="GY163" s="48">
        <v>0</v>
      </c>
      <c r="GZ163" s="48">
        <v>0</v>
      </c>
      <c r="HA163" s="48">
        <v>0</v>
      </c>
      <c r="HB163" s="48">
        <v>0</v>
      </c>
      <c r="HC163" s="48">
        <v>0</v>
      </c>
      <c r="HD163" s="48">
        <v>0</v>
      </c>
      <c r="HE163" s="48">
        <v>0</v>
      </c>
      <c r="HF163" s="48">
        <v>0</v>
      </c>
      <c r="HG163" s="48">
        <v>0</v>
      </c>
      <c r="HH163" s="48">
        <v>0</v>
      </c>
      <c r="HI163" s="48">
        <v>0</v>
      </c>
      <c r="HJ163" s="48">
        <v>0</v>
      </c>
      <c r="HK163" s="48">
        <v>0</v>
      </c>
      <c r="HL163" s="48">
        <v>0</v>
      </c>
      <c r="HM163" s="48">
        <v>0</v>
      </c>
      <c r="HN163" s="48">
        <v>0</v>
      </c>
      <c r="HO163" s="48">
        <v>0</v>
      </c>
      <c r="HP163" s="48">
        <v>0</v>
      </c>
      <c r="HQ163" s="48">
        <v>0</v>
      </c>
      <c r="HR163" s="48">
        <v>0</v>
      </c>
      <c r="HS163" s="48">
        <v>0</v>
      </c>
      <c r="HT163" s="48">
        <v>0</v>
      </c>
      <c r="HU163" s="48">
        <v>0</v>
      </c>
      <c r="HV163" s="48">
        <v>0</v>
      </c>
      <c r="HW163" s="48">
        <v>0</v>
      </c>
      <c r="HX163" s="48">
        <v>0</v>
      </c>
      <c r="HY163" s="48">
        <v>0</v>
      </c>
      <c r="HZ163" s="48">
        <v>0</v>
      </c>
      <c r="IA163" s="48">
        <v>0</v>
      </c>
      <c r="IB163" s="48">
        <v>0</v>
      </c>
      <c r="IC163" s="48">
        <v>0</v>
      </c>
      <c r="ID163" s="48">
        <v>0</v>
      </c>
      <c r="IE163" s="48">
        <v>0</v>
      </c>
      <c r="IF163" s="48">
        <v>0</v>
      </c>
      <c r="IG163" s="48">
        <v>0</v>
      </c>
      <c r="IH163" s="48">
        <v>0</v>
      </c>
      <c r="II163" s="48">
        <v>0</v>
      </c>
      <c r="IJ163" s="48">
        <v>0</v>
      </c>
      <c r="IK163" s="48">
        <v>0</v>
      </c>
      <c r="IL163" s="48">
        <v>0</v>
      </c>
      <c r="IM163" s="48">
        <v>0</v>
      </c>
      <c r="IN163" s="48">
        <v>0</v>
      </c>
      <c r="IO163" s="48">
        <v>0</v>
      </c>
      <c r="IP163" s="23">
        <v>68712.999999999753</v>
      </c>
      <c r="IQ163" s="25">
        <v>0</v>
      </c>
      <c r="IR163" s="25">
        <v>0</v>
      </c>
      <c r="IS163" s="26">
        <v>0</v>
      </c>
      <c r="IT163" s="26">
        <v>0</v>
      </c>
      <c r="IU163" s="26">
        <v>-991</v>
      </c>
      <c r="IV163" s="9">
        <v>3253</v>
      </c>
      <c r="IW163" s="38">
        <f t="shared" si="13"/>
        <v>70974.999999999753</v>
      </c>
    </row>
    <row r="164" spans="1:257" ht="30" customHeight="1" x14ac:dyDescent="0.25">
      <c r="A164" s="112" t="b">
        <v>0</v>
      </c>
      <c r="B164" s="113" t="str">
        <f>IFERROR(VLOOKUP(C164,'Bridge matrix'!$D$3:$E$727,2,FALSE)='symmetric IOT 245 2012'!D164,"FALSCH")</f>
        <v>FALSCH</v>
      </c>
      <c r="C164" s="108">
        <v>153</v>
      </c>
      <c r="D164" s="49" t="s">
        <v>1471</v>
      </c>
      <c r="E164" s="48">
        <v>0</v>
      </c>
      <c r="F164" s="48">
        <v>0</v>
      </c>
      <c r="G164" s="48">
        <v>0</v>
      </c>
      <c r="H164" s="48">
        <v>0</v>
      </c>
      <c r="I164" s="48">
        <v>0</v>
      </c>
      <c r="J164" s="48">
        <v>0</v>
      </c>
      <c r="K164" s="48">
        <v>0</v>
      </c>
      <c r="L164" s="48">
        <v>0</v>
      </c>
      <c r="M164" s="48">
        <v>0</v>
      </c>
      <c r="N164" s="48">
        <v>0</v>
      </c>
      <c r="O164" s="48">
        <v>0</v>
      </c>
      <c r="P164" s="48">
        <v>0</v>
      </c>
      <c r="Q164" s="48">
        <v>0</v>
      </c>
      <c r="R164" s="48">
        <v>0</v>
      </c>
      <c r="S164" s="48">
        <v>0</v>
      </c>
      <c r="T164" s="48">
        <v>0</v>
      </c>
      <c r="U164" s="48">
        <v>0</v>
      </c>
      <c r="V164" s="48">
        <v>0</v>
      </c>
      <c r="W164" s="48">
        <v>0</v>
      </c>
      <c r="X164" s="48">
        <v>0</v>
      </c>
      <c r="Y164" s="48">
        <v>0</v>
      </c>
      <c r="Z164" s="48">
        <v>0</v>
      </c>
      <c r="AA164" s="48">
        <v>0</v>
      </c>
      <c r="AB164" s="48">
        <v>0</v>
      </c>
      <c r="AC164" s="48">
        <v>0</v>
      </c>
      <c r="AD164" s="48">
        <v>0</v>
      </c>
      <c r="AE164" s="48">
        <v>0</v>
      </c>
      <c r="AF164" s="48">
        <v>0</v>
      </c>
      <c r="AG164" s="48">
        <v>0</v>
      </c>
      <c r="AH164" s="48">
        <v>0</v>
      </c>
      <c r="AI164" s="48">
        <v>0</v>
      </c>
      <c r="AJ164" s="48">
        <v>0</v>
      </c>
      <c r="AK164" s="48">
        <v>0</v>
      </c>
      <c r="AL164" s="48">
        <v>0</v>
      </c>
      <c r="AM164" s="48">
        <v>0</v>
      </c>
      <c r="AN164" s="48">
        <v>0</v>
      </c>
      <c r="AO164" s="48">
        <v>0</v>
      </c>
      <c r="AP164" s="48">
        <v>0</v>
      </c>
      <c r="AQ164" s="48">
        <v>0</v>
      </c>
      <c r="AR164" s="48">
        <v>0</v>
      </c>
      <c r="AS164" s="48">
        <v>0</v>
      </c>
      <c r="AT164" s="48">
        <v>0</v>
      </c>
      <c r="AU164" s="48">
        <v>0</v>
      </c>
      <c r="AV164" s="48">
        <v>0</v>
      </c>
      <c r="AW164" s="48">
        <v>0</v>
      </c>
      <c r="AX164" s="48">
        <v>0</v>
      </c>
      <c r="AY164" s="48">
        <v>0</v>
      </c>
      <c r="AZ164" s="48">
        <v>0</v>
      </c>
      <c r="BA164" s="48">
        <v>0</v>
      </c>
      <c r="BB164" s="48">
        <v>0</v>
      </c>
      <c r="BC164" s="48">
        <v>0</v>
      </c>
      <c r="BD164" s="48">
        <v>0</v>
      </c>
      <c r="BE164" s="48">
        <v>0</v>
      </c>
      <c r="BF164" s="48">
        <v>0</v>
      </c>
      <c r="BG164" s="48">
        <v>0</v>
      </c>
      <c r="BH164" s="48">
        <v>0</v>
      </c>
      <c r="BI164" s="48">
        <v>0</v>
      </c>
      <c r="BJ164" s="48">
        <v>0</v>
      </c>
      <c r="BK164" s="48">
        <v>0</v>
      </c>
      <c r="BL164" s="48">
        <v>0</v>
      </c>
      <c r="BM164" s="48">
        <v>0</v>
      </c>
      <c r="BN164" s="48">
        <v>0</v>
      </c>
      <c r="BO164" s="48">
        <v>0</v>
      </c>
      <c r="BP164" s="48">
        <v>0</v>
      </c>
      <c r="BQ164" s="48">
        <v>0</v>
      </c>
      <c r="BR164" s="48">
        <v>0</v>
      </c>
      <c r="BS164" s="48">
        <v>0</v>
      </c>
      <c r="BT164" s="48">
        <v>0</v>
      </c>
      <c r="BU164" s="48">
        <v>0</v>
      </c>
      <c r="BV164" s="48">
        <v>0</v>
      </c>
      <c r="BW164" s="48">
        <v>0</v>
      </c>
      <c r="BX164" s="48">
        <v>0</v>
      </c>
      <c r="BY164" s="48">
        <v>0</v>
      </c>
      <c r="BZ164" s="48">
        <v>0</v>
      </c>
      <c r="CA164" s="48">
        <v>9616.6911770793304</v>
      </c>
      <c r="CB164" s="48">
        <v>32.687534894303958</v>
      </c>
      <c r="CC164" s="48">
        <v>72682.412127124131</v>
      </c>
      <c r="CD164" s="48">
        <v>62.111163744842116</v>
      </c>
      <c r="CE164" s="48">
        <v>4.1963573847273938</v>
      </c>
      <c r="CF164" s="48">
        <v>0.83919655177274666</v>
      </c>
      <c r="CG164" s="48">
        <v>0</v>
      </c>
      <c r="CH164" s="48">
        <v>0</v>
      </c>
      <c r="CI164" s="48">
        <v>1.6846281756656881E-4</v>
      </c>
      <c r="CJ164" s="48">
        <v>0</v>
      </c>
      <c r="CK164" s="48">
        <v>0</v>
      </c>
      <c r="CL164" s="48">
        <v>3.533474970912736E-2</v>
      </c>
      <c r="CM164" s="48">
        <v>0</v>
      </c>
      <c r="CN164" s="48">
        <v>5.2571008995601687E-2</v>
      </c>
      <c r="CO164" s="48">
        <v>0</v>
      </c>
      <c r="CP164" s="48">
        <v>0</v>
      </c>
      <c r="CQ164" s="48">
        <v>0</v>
      </c>
      <c r="CR164" s="48">
        <v>0</v>
      </c>
      <c r="CS164" s="48">
        <v>0</v>
      </c>
      <c r="CT164" s="48">
        <v>7.0373406695123337E-5</v>
      </c>
      <c r="CU164" s="48">
        <v>0</v>
      </c>
      <c r="CV164" s="48">
        <v>10.010399922867798</v>
      </c>
      <c r="CW164" s="48">
        <v>0</v>
      </c>
      <c r="CX164" s="48">
        <v>6.5502330038562351E-6</v>
      </c>
      <c r="CY164" s="48">
        <v>0.19035350708692977</v>
      </c>
      <c r="CZ164" s="48">
        <v>1.4533491273634602E-2</v>
      </c>
      <c r="DA164" s="48">
        <v>0</v>
      </c>
      <c r="DB164" s="48">
        <v>0</v>
      </c>
      <c r="DC164" s="48">
        <v>3.1516636458419734E-5</v>
      </c>
      <c r="DD164" s="48">
        <v>6.2252068368738887E-2</v>
      </c>
      <c r="DE164" s="48">
        <v>0</v>
      </c>
      <c r="DF164" s="48">
        <v>0</v>
      </c>
      <c r="DG164" s="48">
        <v>0</v>
      </c>
      <c r="DH164" s="48">
        <v>0</v>
      </c>
      <c r="DI164" s="48">
        <v>0.3974059667276294</v>
      </c>
      <c r="DJ164" s="48">
        <v>0</v>
      </c>
      <c r="DK164" s="48">
        <v>0.27284498865479162</v>
      </c>
      <c r="DL164" s="48">
        <v>0</v>
      </c>
      <c r="DM164" s="48">
        <v>0</v>
      </c>
      <c r="DN164" s="48">
        <v>0</v>
      </c>
      <c r="DO164" s="48">
        <v>0</v>
      </c>
      <c r="DP164" s="48">
        <v>0</v>
      </c>
      <c r="DQ164" s="48">
        <v>0</v>
      </c>
      <c r="DR164" s="48">
        <v>0</v>
      </c>
      <c r="DS164" s="48">
        <v>0</v>
      </c>
      <c r="DT164" s="48">
        <v>0</v>
      </c>
      <c r="DU164" s="48">
        <v>0</v>
      </c>
      <c r="DV164" s="48">
        <v>0</v>
      </c>
      <c r="DW164" s="48">
        <v>0</v>
      </c>
      <c r="DX164" s="48">
        <v>0</v>
      </c>
      <c r="DY164" s="48">
        <v>1116.6048653330799</v>
      </c>
      <c r="DZ164" s="48">
        <v>0</v>
      </c>
      <c r="EA164" s="48">
        <v>0</v>
      </c>
      <c r="EB164" s="48">
        <v>0</v>
      </c>
      <c r="EC164" s="48">
        <v>624.56892199452204</v>
      </c>
      <c r="ED164" s="48">
        <v>357.04057627661757</v>
      </c>
      <c r="EE164" s="48">
        <v>100.1363417871285</v>
      </c>
      <c r="EF164" s="48">
        <v>345.30378307004355</v>
      </c>
      <c r="EG164" s="48">
        <v>120.91854861588047</v>
      </c>
      <c r="EH164" s="48">
        <v>16.816256712864146</v>
      </c>
      <c r="EI164" s="48">
        <v>3378.838039226735</v>
      </c>
      <c r="EJ164" s="48">
        <v>0.19563623674530595</v>
      </c>
      <c r="EK164" s="48">
        <v>0</v>
      </c>
      <c r="EL164" s="48">
        <v>0</v>
      </c>
      <c r="EM164" s="48">
        <v>0</v>
      </c>
      <c r="EN164" s="48">
        <v>0</v>
      </c>
      <c r="EO164" s="48">
        <v>0</v>
      </c>
      <c r="EP164" s="48">
        <v>0</v>
      </c>
      <c r="EQ164" s="48">
        <v>457.51951573517442</v>
      </c>
      <c r="ER164" s="48">
        <v>0</v>
      </c>
      <c r="ES164" s="48">
        <v>124.66702500137177</v>
      </c>
      <c r="ET164" s="48">
        <v>615.07906579865607</v>
      </c>
      <c r="EU164" s="48">
        <v>0</v>
      </c>
      <c r="EV164" s="48">
        <v>0</v>
      </c>
      <c r="EW164" s="48">
        <v>0</v>
      </c>
      <c r="EX164" s="48">
        <v>12004.42447711597</v>
      </c>
      <c r="EY164" s="48">
        <v>806.7828592072151</v>
      </c>
      <c r="EZ164" s="48">
        <v>823.28772018545089</v>
      </c>
      <c r="FA164" s="48">
        <v>43877.157755503576</v>
      </c>
      <c r="FB164" s="48">
        <v>20.903600674111527</v>
      </c>
      <c r="FC164" s="48">
        <v>344.60538401354006</v>
      </c>
      <c r="FD164" s="48">
        <v>84852.940827687038</v>
      </c>
      <c r="FE164" s="48">
        <v>308.82350786536927</v>
      </c>
      <c r="FF164" s="48">
        <v>0</v>
      </c>
      <c r="FG164" s="48">
        <v>6712.6514049328671</v>
      </c>
      <c r="FH164" s="48">
        <v>18465.85212488929</v>
      </c>
      <c r="FI164" s="48">
        <v>0</v>
      </c>
      <c r="FJ164" s="48">
        <v>34484.415926800873</v>
      </c>
      <c r="FK164" s="48">
        <v>2385.9294005085221</v>
      </c>
      <c r="FL164" s="48">
        <v>0</v>
      </c>
      <c r="FM164" s="48">
        <v>13546.507494592339</v>
      </c>
      <c r="FN164" s="48">
        <v>8044.2781030815513</v>
      </c>
      <c r="FO164" s="48">
        <v>16.488775396891601</v>
      </c>
      <c r="FP164" s="48">
        <v>12079.431607011567</v>
      </c>
      <c r="FQ164" s="48">
        <v>990.91591035859642</v>
      </c>
      <c r="FR164" s="48">
        <v>32608.917969540486</v>
      </c>
      <c r="FS164" s="48">
        <v>0</v>
      </c>
      <c r="FT164" s="48">
        <v>0</v>
      </c>
      <c r="FU164" s="48">
        <v>23.843136951506775</v>
      </c>
      <c r="FV164" s="48">
        <v>0</v>
      </c>
      <c r="FW164" s="48">
        <v>0</v>
      </c>
      <c r="FX164" s="48">
        <v>0</v>
      </c>
      <c r="FY164" s="48">
        <v>0</v>
      </c>
      <c r="FZ164" s="48">
        <v>0</v>
      </c>
      <c r="GA164" s="48">
        <v>0</v>
      </c>
      <c r="GB164" s="48">
        <v>35483.974860409973</v>
      </c>
      <c r="GC164" s="48">
        <v>0</v>
      </c>
      <c r="GD164" s="48">
        <v>0</v>
      </c>
      <c r="GE164" s="48">
        <v>0</v>
      </c>
      <c r="GF164" s="48">
        <v>0</v>
      </c>
      <c r="GG164" s="48">
        <v>0</v>
      </c>
      <c r="GH164" s="48">
        <v>0</v>
      </c>
      <c r="GI164" s="48">
        <v>0</v>
      </c>
      <c r="GJ164" s="48">
        <v>0</v>
      </c>
      <c r="GK164" s="48">
        <v>0</v>
      </c>
      <c r="GL164" s="48">
        <v>0</v>
      </c>
      <c r="GM164" s="48">
        <v>0</v>
      </c>
      <c r="GN164" s="48">
        <v>0</v>
      </c>
      <c r="GO164" s="48">
        <v>0</v>
      </c>
      <c r="GP164" s="48">
        <v>0</v>
      </c>
      <c r="GQ164" s="48">
        <v>0</v>
      </c>
      <c r="GR164" s="48">
        <v>0</v>
      </c>
      <c r="GS164" s="48">
        <v>0.85788816059139483</v>
      </c>
      <c r="GT164" s="48">
        <v>0</v>
      </c>
      <c r="GU164" s="48">
        <v>0</v>
      </c>
      <c r="GV164" s="48">
        <v>0</v>
      </c>
      <c r="GW164" s="48">
        <v>0</v>
      </c>
      <c r="GX164" s="48">
        <v>0</v>
      </c>
      <c r="GY164" s="48">
        <v>0</v>
      </c>
      <c r="GZ164" s="48">
        <v>0</v>
      </c>
      <c r="HA164" s="48">
        <v>0</v>
      </c>
      <c r="HB164" s="48">
        <v>0</v>
      </c>
      <c r="HC164" s="48">
        <v>0</v>
      </c>
      <c r="HD164" s="48">
        <v>0</v>
      </c>
      <c r="HE164" s="48">
        <v>0</v>
      </c>
      <c r="HF164" s="48">
        <v>0</v>
      </c>
      <c r="HG164" s="48">
        <v>0</v>
      </c>
      <c r="HH164" s="48">
        <v>0</v>
      </c>
      <c r="HI164" s="48">
        <v>0</v>
      </c>
      <c r="HJ164" s="48">
        <v>0</v>
      </c>
      <c r="HK164" s="48">
        <v>0</v>
      </c>
      <c r="HL164" s="48">
        <v>0</v>
      </c>
      <c r="HM164" s="48">
        <v>0</v>
      </c>
      <c r="HN164" s="48">
        <v>0</v>
      </c>
      <c r="HO164" s="48">
        <v>0</v>
      </c>
      <c r="HP164" s="48">
        <v>0</v>
      </c>
      <c r="HQ164" s="48">
        <v>0</v>
      </c>
      <c r="HR164" s="48">
        <v>0</v>
      </c>
      <c r="HS164" s="48">
        <v>0</v>
      </c>
      <c r="HT164" s="48">
        <v>0</v>
      </c>
      <c r="HU164" s="48">
        <v>0</v>
      </c>
      <c r="HV164" s="48">
        <v>460.4353470581496</v>
      </c>
      <c r="HW164" s="48">
        <v>3.3426981036868333</v>
      </c>
      <c r="HX164" s="48">
        <v>0</v>
      </c>
      <c r="HY164" s="48">
        <v>0</v>
      </c>
      <c r="HZ164" s="48">
        <v>0</v>
      </c>
      <c r="IA164" s="48">
        <v>0</v>
      </c>
      <c r="IB164" s="48">
        <v>0</v>
      </c>
      <c r="IC164" s="48">
        <v>103.23891232157199</v>
      </c>
      <c r="ID164" s="48">
        <v>63.702540055791715</v>
      </c>
      <c r="IE164" s="48">
        <v>43.550315663923691</v>
      </c>
      <c r="IF164" s="48">
        <v>5.86988692129668</v>
      </c>
      <c r="IG164" s="48">
        <v>0</v>
      </c>
      <c r="IH164" s="48">
        <v>0</v>
      </c>
      <c r="II164" s="48">
        <v>0</v>
      </c>
      <c r="IJ164" s="48">
        <v>19.181181943601324</v>
      </c>
      <c r="IK164" s="48">
        <v>2.6277868708313876E-2</v>
      </c>
      <c r="IL164" s="48">
        <v>0</v>
      </c>
      <c r="IM164" s="48">
        <v>0</v>
      </c>
      <c r="IN164" s="48">
        <v>0</v>
      </c>
      <c r="IO164" s="48">
        <v>0</v>
      </c>
      <c r="IP164" s="23">
        <v>398249.99999999884</v>
      </c>
      <c r="IQ164" s="25">
        <v>0</v>
      </c>
      <c r="IR164" s="25">
        <v>0</v>
      </c>
      <c r="IS164" s="26">
        <v>0</v>
      </c>
      <c r="IT164" s="26">
        <v>4074</v>
      </c>
      <c r="IU164" s="26">
        <v>67288</v>
      </c>
      <c r="IV164" s="9">
        <v>35393</v>
      </c>
      <c r="IW164" s="38">
        <f t="shared" si="13"/>
        <v>505004.99999999884</v>
      </c>
    </row>
    <row r="165" spans="1:257" ht="30" customHeight="1" x14ac:dyDescent="0.25">
      <c r="A165" s="112" t="b">
        <v>0</v>
      </c>
      <c r="B165" s="113" t="str">
        <f>IFERROR(VLOOKUP(C165,'Bridge matrix'!$D$3:$E$727,2,FALSE)='symmetric IOT 245 2012'!D165,"FALSCH")</f>
        <v>FALSCH</v>
      </c>
      <c r="C165" s="108">
        <v>154</v>
      </c>
      <c r="D165" s="49" t="s">
        <v>1472</v>
      </c>
      <c r="E165" s="48">
        <v>0</v>
      </c>
      <c r="F165" s="48">
        <v>0</v>
      </c>
      <c r="G165" s="48">
        <v>0</v>
      </c>
      <c r="H165" s="48">
        <v>0</v>
      </c>
      <c r="I165" s="48">
        <v>0</v>
      </c>
      <c r="J165" s="48">
        <v>0</v>
      </c>
      <c r="K165" s="48">
        <v>0</v>
      </c>
      <c r="L165" s="48">
        <v>0</v>
      </c>
      <c r="M165" s="48">
        <v>0</v>
      </c>
      <c r="N165" s="48">
        <v>0</v>
      </c>
      <c r="O165" s="48">
        <v>0</v>
      </c>
      <c r="P165" s="48">
        <v>0</v>
      </c>
      <c r="Q165" s="48">
        <v>0</v>
      </c>
      <c r="R165" s="48">
        <v>0</v>
      </c>
      <c r="S165" s="48">
        <v>0</v>
      </c>
      <c r="T165" s="48">
        <v>0</v>
      </c>
      <c r="U165" s="48">
        <v>0</v>
      </c>
      <c r="V165" s="48">
        <v>0</v>
      </c>
      <c r="W165" s="48">
        <v>0</v>
      </c>
      <c r="X165" s="48">
        <v>0</v>
      </c>
      <c r="Y165" s="48">
        <v>0</v>
      </c>
      <c r="Z165" s="48">
        <v>0</v>
      </c>
      <c r="AA165" s="48">
        <v>0</v>
      </c>
      <c r="AB165" s="48">
        <v>0</v>
      </c>
      <c r="AC165" s="48">
        <v>0</v>
      </c>
      <c r="AD165" s="48">
        <v>0</v>
      </c>
      <c r="AE165" s="48">
        <v>0</v>
      </c>
      <c r="AF165" s="48">
        <v>0</v>
      </c>
      <c r="AG165" s="48">
        <v>0</v>
      </c>
      <c r="AH165" s="48">
        <v>0</v>
      </c>
      <c r="AI165" s="48">
        <v>0</v>
      </c>
      <c r="AJ165" s="48">
        <v>0</v>
      </c>
      <c r="AK165" s="48">
        <v>0</v>
      </c>
      <c r="AL165" s="48">
        <v>0</v>
      </c>
      <c r="AM165" s="48">
        <v>0</v>
      </c>
      <c r="AN165" s="48">
        <v>0</v>
      </c>
      <c r="AO165" s="48">
        <v>0</v>
      </c>
      <c r="AP165" s="48">
        <v>0</v>
      </c>
      <c r="AQ165" s="48">
        <v>0</v>
      </c>
      <c r="AR165" s="48">
        <v>0</v>
      </c>
      <c r="AS165" s="48">
        <v>0</v>
      </c>
      <c r="AT165" s="48">
        <v>0</v>
      </c>
      <c r="AU165" s="48">
        <v>0</v>
      </c>
      <c r="AV165" s="48">
        <v>0</v>
      </c>
      <c r="AW165" s="48">
        <v>0</v>
      </c>
      <c r="AX165" s="48">
        <v>0</v>
      </c>
      <c r="AY165" s="48">
        <v>0</v>
      </c>
      <c r="AZ165" s="48">
        <v>0</v>
      </c>
      <c r="BA165" s="48">
        <v>0</v>
      </c>
      <c r="BB165" s="48">
        <v>0</v>
      </c>
      <c r="BC165" s="48">
        <v>0</v>
      </c>
      <c r="BD165" s="48">
        <v>0</v>
      </c>
      <c r="BE165" s="48">
        <v>0</v>
      </c>
      <c r="BF165" s="48">
        <v>0</v>
      </c>
      <c r="BG165" s="48">
        <v>0</v>
      </c>
      <c r="BH165" s="48">
        <v>0</v>
      </c>
      <c r="BI165" s="48">
        <v>0</v>
      </c>
      <c r="BJ165" s="48">
        <v>0</v>
      </c>
      <c r="BK165" s="48">
        <v>0</v>
      </c>
      <c r="BL165" s="48">
        <v>0</v>
      </c>
      <c r="BM165" s="48">
        <v>0</v>
      </c>
      <c r="BN165" s="48">
        <v>0</v>
      </c>
      <c r="BO165" s="48">
        <v>0</v>
      </c>
      <c r="BP165" s="48">
        <v>0</v>
      </c>
      <c r="BQ165" s="48">
        <v>0</v>
      </c>
      <c r="BR165" s="48">
        <v>0</v>
      </c>
      <c r="BS165" s="48">
        <v>0</v>
      </c>
      <c r="BT165" s="48">
        <v>0</v>
      </c>
      <c r="BU165" s="48">
        <v>0</v>
      </c>
      <c r="BV165" s="48">
        <v>0</v>
      </c>
      <c r="BW165" s="48">
        <v>0</v>
      </c>
      <c r="BX165" s="48">
        <v>0</v>
      </c>
      <c r="BY165" s="48">
        <v>0</v>
      </c>
      <c r="BZ165" s="48">
        <v>0</v>
      </c>
      <c r="CA165" s="48">
        <v>0</v>
      </c>
      <c r="CB165" s="48">
        <v>0</v>
      </c>
      <c r="CC165" s="48">
        <v>0</v>
      </c>
      <c r="CD165" s="48">
        <v>0</v>
      </c>
      <c r="CE165" s="48">
        <v>0</v>
      </c>
      <c r="CF165" s="48">
        <v>0</v>
      </c>
      <c r="CG165" s="48">
        <v>0</v>
      </c>
      <c r="CH165" s="48">
        <v>0</v>
      </c>
      <c r="CI165" s="48">
        <v>0</v>
      </c>
      <c r="CJ165" s="48">
        <v>0</v>
      </c>
      <c r="CK165" s="48">
        <v>0</v>
      </c>
      <c r="CL165" s="48">
        <v>8.7912203180809244E-11</v>
      </c>
      <c r="CM165" s="48">
        <v>0</v>
      </c>
      <c r="CN165" s="48">
        <v>1.3079575239026824E-10</v>
      </c>
      <c r="CO165" s="48">
        <v>0</v>
      </c>
      <c r="CP165" s="48">
        <v>0</v>
      </c>
      <c r="CQ165" s="48">
        <v>0</v>
      </c>
      <c r="CR165" s="48">
        <v>0</v>
      </c>
      <c r="CS165" s="48">
        <v>0</v>
      </c>
      <c r="CT165" s="48">
        <v>1.7508780700262277E-13</v>
      </c>
      <c r="CU165" s="48">
        <v>0</v>
      </c>
      <c r="CV165" s="48">
        <v>2.4905869709805036E-8</v>
      </c>
      <c r="CW165" s="48">
        <v>0</v>
      </c>
      <c r="CX165" s="48">
        <v>1.6296865333945221E-14</v>
      </c>
      <c r="CY165" s="48">
        <v>4.1658408743527998E-10</v>
      </c>
      <c r="CZ165" s="48">
        <v>3.1911948799045385E-11</v>
      </c>
      <c r="DA165" s="48">
        <v>0</v>
      </c>
      <c r="DB165" s="48">
        <v>0</v>
      </c>
      <c r="DC165" s="48">
        <v>7.8412841167542927E-14</v>
      </c>
      <c r="DD165" s="48">
        <v>1.3670208574754073E-10</v>
      </c>
      <c r="DE165" s="48">
        <v>2.0350320841960237E-10</v>
      </c>
      <c r="DF165" s="48">
        <v>0</v>
      </c>
      <c r="DG165" s="48">
        <v>0</v>
      </c>
      <c r="DH165" s="48">
        <v>0</v>
      </c>
      <c r="DI165" s="48">
        <v>8.7260509741183276E-10</v>
      </c>
      <c r="DJ165" s="48">
        <v>0</v>
      </c>
      <c r="DK165" s="48">
        <v>5.991000472008649E-10</v>
      </c>
      <c r="DL165" s="48">
        <v>0</v>
      </c>
      <c r="DM165" s="48">
        <v>0</v>
      </c>
      <c r="DN165" s="48">
        <v>0</v>
      </c>
      <c r="DO165" s="48">
        <v>0</v>
      </c>
      <c r="DP165" s="48">
        <v>0</v>
      </c>
      <c r="DQ165" s="48">
        <v>0</v>
      </c>
      <c r="DR165" s="48">
        <v>0</v>
      </c>
      <c r="DS165" s="48">
        <v>0</v>
      </c>
      <c r="DT165" s="48">
        <v>0</v>
      </c>
      <c r="DU165" s="48">
        <v>0</v>
      </c>
      <c r="DV165" s="48">
        <v>0</v>
      </c>
      <c r="DW165" s="48">
        <v>0</v>
      </c>
      <c r="DX165" s="48">
        <v>0</v>
      </c>
      <c r="DY165" s="48">
        <v>8.237944398815469E-7</v>
      </c>
      <c r="DZ165" s="48">
        <v>0</v>
      </c>
      <c r="EA165" s="48">
        <v>0</v>
      </c>
      <c r="EB165" s="48">
        <v>5.3991600186443408E-10</v>
      </c>
      <c r="EC165" s="48">
        <v>0</v>
      </c>
      <c r="ED165" s="48">
        <v>0</v>
      </c>
      <c r="EE165" s="48">
        <v>0</v>
      </c>
      <c r="EF165" s="48">
        <v>0</v>
      </c>
      <c r="EG165" s="48">
        <v>0</v>
      </c>
      <c r="EH165" s="48">
        <v>0</v>
      </c>
      <c r="EI165" s="48">
        <v>8.4065034335777544E-6</v>
      </c>
      <c r="EJ165" s="48">
        <v>4.8674285347625175E-10</v>
      </c>
      <c r="EK165" s="48">
        <v>0</v>
      </c>
      <c r="EL165" s="48">
        <v>0</v>
      </c>
      <c r="EM165" s="48">
        <v>0</v>
      </c>
      <c r="EN165" s="48">
        <v>0</v>
      </c>
      <c r="EO165" s="48">
        <v>0</v>
      </c>
      <c r="EP165" s="48">
        <v>0</v>
      </c>
      <c r="EQ165" s="48">
        <v>0</v>
      </c>
      <c r="ER165" s="48">
        <v>0</v>
      </c>
      <c r="ES165" s="48">
        <v>7.9239048177724219E-12</v>
      </c>
      <c r="ET165" s="48">
        <v>0</v>
      </c>
      <c r="EU165" s="48">
        <v>0</v>
      </c>
      <c r="EV165" s="48">
        <v>0</v>
      </c>
      <c r="EW165" s="48">
        <v>3.8148683526797054E-10</v>
      </c>
      <c r="EX165" s="48">
        <v>0</v>
      </c>
      <c r="EY165" s="48">
        <v>1.0307335988599507E-10</v>
      </c>
      <c r="EZ165" s="48">
        <v>0</v>
      </c>
      <c r="FA165" s="48">
        <v>0</v>
      </c>
      <c r="FB165" s="48">
        <v>0</v>
      </c>
      <c r="FC165" s="48">
        <v>0</v>
      </c>
      <c r="FD165" s="48">
        <v>0</v>
      </c>
      <c r="FE165" s="48">
        <v>0</v>
      </c>
      <c r="FF165" s="48">
        <v>0</v>
      </c>
      <c r="FG165" s="48">
        <v>1.4424903753077327E-6</v>
      </c>
      <c r="FH165" s="48">
        <v>0</v>
      </c>
      <c r="FI165" s="48">
        <v>0</v>
      </c>
      <c r="FJ165" s="48">
        <v>0</v>
      </c>
      <c r="FK165" s="48">
        <v>0</v>
      </c>
      <c r="FL165" s="48">
        <v>0</v>
      </c>
      <c r="FM165" s="48">
        <v>0</v>
      </c>
      <c r="FN165" s="48">
        <v>0</v>
      </c>
      <c r="FO165" s="48">
        <v>0</v>
      </c>
      <c r="FP165" s="48">
        <v>3.2271702179789945</v>
      </c>
      <c r="FQ165" s="48">
        <v>1.4535138816591392E-7</v>
      </c>
      <c r="FR165" s="48">
        <v>1.4238585222746895E-6</v>
      </c>
      <c r="FS165" s="48">
        <v>2898.7728152390109</v>
      </c>
      <c r="FT165" s="48">
        <v>4.7937526906377409E-8</v>
      </c>
      <c r="FU165" s="48">
        <v>0</v>
      </c>
      <c r="FV165" s="48">
        <v>2.2240907793187539E-6</v>
      </c>
      <c r="FW165" s="48">
        <v>0</v>
      </c>
      <c r="FX165" s="48">
        <v>0</v>
      </c>
      <c r="FY165" s="48">
        <v>0</v>
      </c>
      <c r="FZ165" s="48">
        <v>0</v>
      </c>
      <c r="GA165" s="48">
        <v>0</v>
      </c>
      <c r="GB165" s="48">
        <v>0</v>
      </c>
      <c r="GC165" s="48">
        <v>0</v>
      </c>
      <c r="GD165" s="48">
        <v>0</v>
      </c>
      <c r="GE165" s="48">
        <v>0</v>
      </c>
      <c r="GF165" s="48">
        <v>0</v>
      </c>
      <c r="GG165" s="48">
        <v>0</v>
      </c>
      <c r="GH165" s="48">
        <v>0</v>
      </c>
      <c r="GI165" s="48">
        <v>0</v>
      </c>
      <c r="GJ165" s="48">
        <v>0</v>
      </c>
      <c r="GK165" s="48">
        <v>0</v>
      </c>
      <c r="GL165" s="48">
        <v>0</v>
      </c>
      <c r="GM165" s="48">
        <v>0</v>
      </c>
      <c r="GN165" s="48">
        <v>0</v>
      </c>
      <c r="GO165" s="48">
        <v>0</v>
      </c>
      <c r="GP165" s="48">
        <v>0</v>
      </c>
      <c r="GQ165" s="48">
        <v>0</v>
      </c>
      <c r="GR165" s="48">
        <v>0</v>
      </c>
      <c r="GS165" s="48">
        <v>0</v>
      </c>
      <c r="GT165" s="48">
        <v>1.046885491429637E-16</v>
      </c>
      <c r="GU165" s="48">
        <v>0</v>
      </c>
      <c r="GV165" s="48">
        <v>0</v>
      </c>
      <c r="GW165" s="48">
        <v>0</v>
      </c>
      <c r="GX165" s="48">
        <v>1.5305723716663835E-14</v>
      </c>
      <c r="GY165" s="48">
        <v>0</v>
      </c>
      <c r="GZ165" s="48">
        <v>0</v>
      </c>
      <c r="HA165" s="48">
        <v>0</v>
      </c>
      <c r="HB165" s="48">
        <v>0</v>
      </c>
      <c r="HC165" s="48">
        <v>0</v>
      </c>
      <c r="HD165" s="48">
        <v>0</v>
      </c>
      <c r="HE165" s="48">
        <v>0</v>
      </c>
      <c r="HF165" s="48">
        <v>0</v>
      </c>
      <c r="HG165" s="48">
        <v>0</v>
      </c>
      <c r="HH165" s="48">
        <v>0</v>
      </c>
      <c r="HI165" s="48">
        <v>0</v>
      </c>
      <c r="HJ165" s="48">
        <v>0</v>
      </c>
      <c r="HK165" s="48">
        <v>0</v>
      </c>
      <c r="HL165" s="48">
        <v>0</v>
      </c>
      <c r="HM165" s="48">
        <v>0</v>
      </c>
      <c r="HN165" s="48">
        <v>0</v>
      </c>
      <c r="HO165" s="48">
        <v>0</v>
      </c>
      <c r="HP165" s="48">
        <v>0</v>
      </c>
      <c r="HQ165" s="48">
        <v>0</v>
      </c>
      <c r="HR165" s="48">
        <v>0</v>
      </c>
      <c r="HS165" s="48">
        <v>0</v>
      </c>
      <c r="HT165" s="48">
        <v>0</v>
      </c>
      <c r="HU165" s="48">
        <v>0</v>
      </c>
      <c r="HV165" s="48">
        <v>8.102243619748067E-14</v>
      </c>
      <c r="HW165" s="48">
        <v>0</v>
      </c>
      <c r="HX165" s="48">
        <v>0</v>
      </c>
      <c r="HY165" s="48">
        <v>0</v>
      </c>
      <c r="HZ165" s="48">
        <v>0</v>
      </c>
      <c r="IA165" s="48">
        <v>0</v>
      </c>
      <c r="IB165" s="48">
        <v>0</v>
      </c>
      <c r="IC165" s="48">
        <v>0</v>
      </c>
      <c r="ID165" s="48">
        <v>0</v>
      </c>
      <c r="IE165" s="48">
        <v>0</v>
      </c>
      <c r="IF165" s="48">
        <v>0</v>
      </c>
      <c r="IG165" s="48">
        <v>0</v>
      </c>
      <c r="IH165" s="48">
        <v>0</v>
      </c>
      <c r="II165" s="48">
        <v>0</v>
      </c>
      <c r="IJ165" s="48">
        <v>0</v>
      </c>
      <c r="IK165" s="48">
        <v>6.5378878484226099E-11</v>
      </c>
      <c r="IL165" s="48">
        <v>0</v>
      </c>
      <c r="IM165" s="48">
        <v>0</v>
      </c>
      <c r="IN165" s="48">
        <v>0</v>
      </c>
      <c r="IO165" s="48">
        <v>0</v>
      </c>
      <c r="IP165" s="23">
        <v>2901.9999999999864</v>
      </c>
      <c r="IQ165" s="25">
        <v>0</v>
      </c>
      <c r="IR165" s="25">
        <v>0</v>
      </c>
      <c r="IS165" s="26">
        <v>0</v>
      </c>
      <c r="IT165" s="26">
        <v>0</v>
      </c>
      <c r="IU165" s="26">
        <v>0</v>
      </c>
      <c r="IV165" s="9">
        <v>395229</v>
      </c>
      <c r="IW165" s="38">
        <f t="shared" si="13"/>
        <v>398131</v>
      </c>
    </row>
    <row r="166" spans="1:257" ht="30" customHeight="1" x14ac:dyDescent="0.25">
      <c r="A166" s="112" t="b">
        <v>0</v>
      </c>
      <c r="B166" s="113" t="str">
        <f>IFERROR(VLOOKUP(C166,'Bridge matrix'!$D$3:$E$727,2,FALSE)='symmetric IOT 245 2012'!D166,"FALSCH")</f>
        <v>FALSCH</v>
      </c>
      <c r="C166" s="108">
        <v>155</v>
      </c>
      <c r="D166" s="49" t="s">
        <v>1473</v>
      </c>
      <c r="E166" s="48">
        <v>0</v>
      </c>
      <c r="F166" s="48">
        <v>0</v>
      </c>
      <c r="G166" s="48">
        <v>0</v>
      </c>
      <c r="H166" s="48">
        <v>0</v>
      </c>
      <c r="I166" s="48">
        <v>0</v>
      </c>
      <c r="J166" s="48">
        <v>0</v>
      </c>
      <c r="K166" s="48">
        <v>0</v>
      </c>
      <c r="L166" s="48">
        <v>0</v>
      </c>
      <c r="M166" s="48">
        <v>0</v>
      </c>
      <c r="N166" s="48">
        <v>0</v>
      </c>
      <c r="O166" s="48">
        <v>0</v>
      </c>
      <c r="P166" s="48">
        <v>0</v>
      </c>
      <c r="Q166" s="48">
        <v>0</v>
      </c>
      <c r="R166" s="48">
        <v>0</v>
      </c>
      <c r="S166" s="48">
        <v>0</v>
      </c>
      <c r="T166" s="48">
        <v>0</v>
      </c>
      <c r="U166" s="48">
        <v>0</v>
      </c>
      <c r="V166" s="48">
        <v>0</v>
      </c>
      <c r="W166" s="48">
        <v>0</v>
      </c>
      <c r="X166" s="48">
        <v>0</v>
      </c>
      <c r="Y166" s="48">
        <v>0</v>
      </c>
      <c r="Z166" s="48">
        <v>0</v>
      </c>
      <c r="AA166" s="48">
        <v>0</v>
      </c>
      <c r="AB166" s="48">
        <v>0</v>
      </c>
      <c r="AC166" s="48">
        <v>0</v>
      </c>
      <c r="AD166" s="48">
        <v>0</v>
      </c>
      <c r="AE166" s="48">
        <v>0</v>
      </c>
      <c r="AF166" s="48">
        <v>0</v>
      </c>
      <c r="AG166" s="48">
        <v>0</v>
      </c>
      <c r="AH166" s="48">
        <v>0</v>
      </c>
      <c r="AI166" s="48">
        <v>0</v>
      </c>
      <c r="AJ166" s="48">
        <v>0</v>
      </c>
      <c r="AK166" s="48">
        <v>0</v>
      </c>
      <c r="AL166" s="48">
        <v>0</v>
      </c>
      <c r="AM166" s="48">
        <v>0</v>
      </c>
      <c r="AN166" s="48">
        <v>0</v>
      </c>
      <c r="AO166" s="48">
        <v>0</v>
      </c>
      <c r="AP166" s="48">
        <v>0</v>
      </c>
      <c r="AQ166" s="48">
        <v>0</v>
      </c>
      <c r="AR166" s="48">
        <v>0</v>
      </c>
      <c r="AS166" s="48">
        <v>0</v>
      </c>
      <c r="AT166" s="48">
        <v>0</v>
      </c>
      <c r="AU166" s="48">
        <v>0</v>
      </c>
      <c r="AV166" s="48">
        <v>0</v>
      </c>
      <c r="AW166" s="48">
        <v>0</v>
      </c>
      <c r="AX166" s="48">
        <v>0</v>
      </c>
      <c r="AY166" s="48">
        <v>0</v>
      </c>
      <c r="AZ166" s="48">
        <v>0</v>
      </c>
      <c r="BA166" s="48">
        <v>0</v>
      </c>
      <c r="BB166" s="48">
        <v>0</v>
      </c>
      <c r="BC166" s="48">
        <v>0</v>
      </c>
      <c r="BD166" s="48">
        <v>0</v>
      </c>
      <c r="BE166" s="48">
        <v>0</v>
      </c>
      <c r="BF166" s="48">
        <v>0</v>
      </c>
      <c r="BG166" s="48">
        <v>0</v>
      </c>
      <c r="BH166" s="48">
        <v>0</v>
      </c>
      <c r="BI166" s="48">
        <v>0</v>
      </c>
      <c r="BJ166" s="48">
        <v>0</v>
      </c>
      <c r="BK166" s="48">
        <v>0</v>
      </c>
      <c r="BL166" s="48">
        <v>0</v>
      </c>
      <c r="BM166" s="48">
        <v>0</v>
      </c>
      <c r="BN166" s="48">
        <v>0</v>
      </c>
      <c r="BO166" s="48">
        <v>0</v>
      </c>
      <c r="BP166" s="48">
        <v>0</v>
      </c>
      <c r="BQ166" s="48">
        <v>0</v>
      </c>
      <c r="BR166" s="48">
        <v>0</v>
      </c>
      <c r="BS166" s="48">
        <v>0</v>
      </c>
      <c r="BT166" s="48">
        <v>0</v>
      </c>
      <c r="BU166" s="48">
        <v>0</v>
      </c>
      <c r="BV166" s="48">
        <v>0</v>
      </c>
      <c r="BW166" s="48">
        <v>0</v>
      </c>
      <c r="BX166" s="48">
        <v>0</v>
      </c>
      <c r="BY166" s="48">
        <v>0</v>
      </c>
      <c r="BZ166" s="48">
        <v>0</v>
      </c>
      <c r="CA166" s="48">
        <v>781.89062334676589</v>
      </c>
      <c r="CB166" s="48">
        <v>2.6223679695515885</v>
      </c>
      <c r="CC166" s="48">
        <v>0</v>
      </c>
      <c r="CD166" s="48">
        <v>0</v>
      </c>
      <c r="CE166" s="48">
        <v>0</v>
      </c>
      <c r="CF166" s="48">
        <v>0</v>
      </c>
      <c r="CG166" s="48">
        <v>0</v>
      </c>
      <c r="CH166" s="48">
        <v>0</v>
      </c>
      <c r="CI166" s="48">
        <v>4.3594001241792846</v>
      </c>
      <c r="CJ166" s="48">
        <v>3.1848415133481573</v>
      </c>
      <c r="CK166" s="48">
        <v>0</v>
      </c>
      <c r="CL166" s="48">
        <v>2.4727188902462354</v>
      </c>
      <c r="CM166" s="48">
        <v>1.7583005442176562</v>
      </c>
      <c r="CN166" s="48">
        <v>8.338365291761167E-2</v>
      </c>
      <c r="CO166" s="48">
        <v>0</v>
      </c>
      <c r="CP166" s="48">
        <v>0</v>
      </c>
      <c r="CQ166" s="48">
        <v>0</v>
      </c>
      <c r="CR166" s="48">
        <v>0</v>
      </c>
      <c r="CS166" s="48">
        <v>0</v>
      </c>
      <c r="CT166" s="48">
        <v>1.1040351559712979E-4</v>
      </c>
      <c r="CU166" s="48">
        <v>0</v>
      </c>
      <c r="CV166" s="48">
        <v>5.7006109100846469</v>
      </c>
      <c r="CW166" s="48">
        <v>0</v>
      </c>
      <c r="CX166" s="48">
        <v>1.0276165181814125E-5</v>
      </c>
      <c r="CY166" s="48">
        <v>0.3377021787534692</v>
      </c>
      <c r="CZ166" s="48">
        <v>2.5358246211030718E-2</v>
      </c>
      <c r="DA166" s="48">
        <v>0</v>
      </c>
      <c r="DB166" s="48">
        <v>0</v>
      </c>
      <c r="DC166" s="48">
        <v>4.9444067414279958E-5</v>
      </c>
      <c r="DD166" s="48">
        <v>0.10769141325441511</v>
      </c>
      <c r="DE166" s="48">
        <v>0.16192986551641211</v>
      </c>
      <c r="DF166" s="48">
        <v>0</v>
      </c>
      <c r="DG166" s="48">
        <v>0</v>
      </c>
      <c r="DH166" s="48">
        <v>0</v>
      </c>
      <c r="DI166" s="48">
        <v>0.69340125924904561</v>
      </c>
      <c r="DJ166" s="48">
        <v>0</v>
      </c>
      <c r="DK166" s="48">
        <v>0.47606389060182119</v>
      </c>
      <c r="DL166" s="48">
        <v>0</v>
      </c>
      <c r="DM166" s="48">
        <v>0</v>
      </c>
      <c r="DN166" s="48">
        <v>0</v>
      </c>
      <c r="DO166" s="48">
        <v>0</v>
      </c>
      <c r="DP166" s="48">
        <v>0</v>
      </c>
      <c r="DQ166" s="48">
        <v>0</v>
      </c>
      <c r="DR166" s="48">
        <v>0</v>
      </c>
      <c r="DS166" s="48">
        <v>0</v>
      </c>
      <c r="DT166" s="48">
        <v>0</v>
      </c>
      <c r="DU166" s="48">
        <v>0</v>
      </c>
      <c r="DV166" s="48">
        <v>0</v>
      </c>
      <c r="DW166" s="48">
        <v>0</v>
      </c>
      <c r="DX166" s="48">
        <v>0</v>
      </c>
      <c r="DY166" s="48">
        <v>10092.525520681193</v>
      </c>
      <c r="DZ166" s="48">
        <v>0</v>
      </c>
      <c r="EA166" s="48">
        <v>0</v>
      </c>
      <c r="EB166" s="48">
        <v>242.21075690806924</v>
      </c>
      <c r="EC166" s="48">
        <v>0</v>
      </c>
      <c r="ED166" s="48">
        <v>602.46337174780115</v>
      </c>
      <c r="EE166" s="48">
        <v>169.37795431410365</v>
      </c>
      <c r="EF166" s="48">
        <v>583.2793707380074</v>
      </c>
      <c r="EG166" s="48">
        <v>204.59720063416705</v>
      </c>
      <c r="EH166" s="48">
        <v>28.06106342294213</v>
      </c>
      <c r="EI166" s="48">
        <v>1923.0498758786453</v>
      </c>
      <c r="EJ166" s="48">
        <v>3.7452083457744219</v>
      </c>
      <c r="EK166" s="48">
        <v>0</v>
      </c>
      <c r="EL166" s="48">
        <v>0</v>
      </c>
      <c r="EM166" s="48">
        <v>0</v>
      </c>
      <c r="EN166" s="48">
        <v>0</v>
      </c>
      <c r="EO166" s="48">
        <v>0</v>
      </c>
      <c r="EP166" s="48">
        <v>0</v>
      </c>
      <c r="EQ166" s="48">
        <v>4830.9074072881303</v>
      </c>
      <c r="ER166" s="48">
        <v>0.6926760733016234</v>
      </c>
      <c r="ES166" s="48">
        <v>3.8766878995385057E-2</v>
      </c>
      <c r="ET166" s="48">
        <v>0</v>
      </c>
      <c r="EU166" s="48">
        <v>0</v>
      </c>
      <c r="EV166" s="48">
        <v>0</v>
      </c>
      <c r="EW166" s="48">
        <v>0</v>
      </c>
      <c r="EX166" s="48">
        <v>0</v>
      </c>
      <c r="EY166" s="48">
        <v>0</v>
      </c>
      <c r="EZ166" s="48">
        <v>446.68653183772244</v>
      </c>
      <c r="FA166" s="48">
        <v>7165.0109635258414</v>
      </c>
      <c r="FB166" s="48">
        <v>0</v>
      </c>
      <c r="FC166" s="48">
        <v>46880.041593982191</v>
      </c>
      <c r="FD166" s="48">
        <v>58859.072525000178</v>
      </c>
      <c r="FE166" s="48">
        <v>18379.682052986474</v>
      </c>
      <c r="FF166" s="48">
        <v>1486.6134462764164</v>
      </c>
      <c r="FG166" s="48">
        <v>11659.094958259506</v>
      </c>
      <c r="FH166" s="48">
        <v>25466.617283819061</v>
      </c>
      <c r="FI166" s="48">
        <v>9304.2250567009014</v>
      </c>
      <c r="FJ166" s="48">
        <v>16181.082008638301</v>
      </c>
      <c r="FK166" s="48">
        <v>4953.4648494255753</v>
      </c>
      <c r="FL166" s="48">
        <v>180.33955497699262</v>
      </c>
      <c r="FM166" s="48">
        <v>15882.374718177176</v>
      </c>
      <c r="FN166" s="48">
        <v>3844.3837959901944</v>
      </c>
      <c r="FO166" s="48">
        <v>2220.0842645985063</v>
      </c>
      <c r="FP166" s="48">
        <v>0</v>
      </c>
      <c r="FQ166" s="48">
        <v>14.304292405077549</v>
      </c>
      <c r="FR166" s="48">
        <v>0</v>
      </c>
      <c r="FS166" s="48">
        <v>531.41874672659696</v>
      </c>
      <c r="FT166" s="48">
        <v>0</v>
      </c>
      <c r="FU166" s="48">
        <v>0</v>
      </c>
      <c r="FV166" s="48">
        <v>0</v>
      </c>
      <c r="FW166" s="48">
        <v>406.72477423374727</v>
      </c>
      <c r="FX166" s="48">
        <v>848.46634837583679</v>
      </c>
      <c r="FY166" s="48">
        <v>121.20117929983572</v>
      </c>
      <c r="FZ166" s="48">
        <v>2.6241763986587494</v>
      </c>
      <c r="GA166" s="48">
        <v>24.75300308596135</v>
      </c>
      <c r="GB166" s="48">
        <v>10817.702054374711</v>
      </c>
      <c r="GC166" s="48">
        <v>0</v>
      </c>
      <c r="GD166" s="48">
        <v>0</v>
      </c>
      <c r="GE166" s="48">
        <v>0</v>
      </c>
      <c r="GF166" s="48">
        <v>0</v>
      </c>
      <c r="GG166" s="48">
        <v>1.7577913794085709</v>
      </c>
      <c r="GH166" s="48">
        <v>0.87693611100649649</v>
      </c>
      <c r="GI166" s="48">
        <v>0</v>
      </c>
      <c r="GJ166" s="48">
        <v>0</v>
      </c>
      <c r="GK166" s="48">
        <v>0</v>
      </c>
      <c r="GL166" s="48">
        <v>0</v>
      </c>
      <c r="GM166" s="48">
        <v>0</v>
      </c>
      <c r="GN166" s="48">
        <v>0</v>
      </c>
      <c r="GO166" s="48">
        <v>0</v>
      </c>
      <c r="GP166" s="48">
        <v>0</v>
      </c>
      <c r="GQ166" s="48">
        <v>0</v>
      </c>
      <c r="GR166" s="48">
        <v>0</v>
      </c>
      <c r="GS166" s="48">
        <v>1022.6610582845262</v>
      </c>
      <c r="GT166" s="48">
        <v>1.0049379568688122E-6</v>
      </c>
      <c r="GU166" s="48">
        <v>0</v>
      </c>
      <c r="GV166" s="48">
        <v>0</v>
      </c>
      <c r="GW166" s="48">
        <v>0</v>
      </c>
      <c r="GX166" s="48">
        <v>6.5555255245741472E-5</v>
      </c>
      <c r="GY166" s="48">
        <v>0</v>
      </c>
      <c r="GZ166" s="48">
        <v>0</v>
      </c>
      <c r="HA166" s="48">
        <v>0</v>
      </c>
      <c r="HB166" s="48">
        <v>0</v>
      </c>
      <c r="HC166" s="48">
        <v>0</v>
      </c>
      <c r="HD166" s="48">
        <v>0</v>
      </c>
      <c r="HE166" s="48">
        <v>0</v>
      </c>
      <c r="HF166" s="48">
        <v>0</v>
      </c>
      <c r="HG166" s="48">
        <v>0</v>
      </c>
      <c r="HH166" s="48">
        <v>0</v>
      </c>
      <c r="HI166" s="48">
        <v>0</v>
      </c>
      <c r="HJ166" s="48">
        <v>0.87100636818835553</v>
      </c>
      <c r="HK166" s="48">
        <v>0</v>
      </c>
      <c r="HL166" s="48">
        <v>0</v>
      </c>
      <c r="HM166" s="48">
        <v>0</v>
      </c>
      <c r="HN166" s="48">
        <v>0</v>
      </c>
      <c r="HO166" s="48">
        <v>0</v>
      </c>
      <c r="HP166" s="48">
        <v>0</v>
      </c>
      <c r="HQ166" s="48">
        <v>0</v>
      </c>
      <c r="HR166" s="48">
        <v>0</v>
      </c>
      <c r="HS166" s="48">
        <v>0</v>
      </c>
      <c r="HT166" s="48">
        <v>0</v>
      </c>
      <c r="HU166" s="48">
        <v>0</v>
      </c>
      <c r="HV166" s="48">
        <v>0</v>
      </c>
      <c r="HW166" s="48">
        <v>0</v>
      </c>
      <c r="HX166" s="48">
        <v>0</v>
      </c>
      <c r="HY166" s="48">
        <v>0</v>
      </c>
      <c r="HZ166" s="48">
        <v>0</v>
      </c>
      <c r="IA166" s="48">
        <v>0</v>
      </c>
      <c r="IB166" s="48">
        <v>0</v>
      </c>
      <c r="IC166" s="48">
        <v>0</v>
      </c>
      <c r="ID166" s="48">
        <v>0</v>
      </c>
      <c r="IE166" s="48">
        <v>0</v>
      </c>
      <c r="IF166" s="48">
        <v>0</v>
      </c>
      <c r="IG166" s="48">
        <v>0</v>
      </c>
      <c r="IH166" s="48">
        <v>0</v>
      </c>
      <c r="II166" s="48">
        <v>0</v>
      </c>
      <c r="IJ166" s="48">
        <v>0</v>
      </c>
      <c r="IK166" s="48">
        <v>4.122536088619809E-2</v>
      </c>
      <c r="IL166" s="48">
        <v>0</v>
      </c>
      <c r="IM166" s="48">
        <v>0</v>
      </c>
      <c r="IN166" s="48">
        <v>0</v>
      </c>
      <c r="IO166" s="48">
        <v>0</v>
      </c>
      <c r="IP166" s="23">
        <v>256186.99999999936</v>
      </c>
      <c r="IQ166" s="25">
        <v>0</v>
      </c>
      <c r="IR166" s="25">
        <v>0</v>
      </c>
      <c r="IS166" s="26">
        <v>0</v>
      </c>
      <c r="IT166" s="26">
        <v>487</v>
      </c>
      <c r="IU166" s="26">
        <v>-159</v>
      </c>
      <c r="IV166" s="9">
        <v>101419</v>
      </c>
      <c r="IW166" s="38">
        <f t="shared" si="13"/>
        <v>357933.99999999936</v>
      </c>
    </row>
    <row r="167" spans="1:257" ht="30" customHeight="1" x14ac:dyDescent="0.25">
      <c r="A167" s="112" t="b">
        <v>0</v>
      </c>
      <c r="B167" s="113" t="str">
        <f>IFERROR(VLOOKUP(C167,'Bridge matrix'!$D$3:$E$727,2,FALSE)='symmetric IOT 245 2012'!D167,"FALSCH")</f>
        <v>FALSCH</v>
      </c>
      <c r="C167" s="108">
        <v>156</v>
      </c>
      <c r="D167" s="49" t="s">
        <v>1474</v>
      </c>
      <c r="E167" s="48">
        <v>0</v>
      </c>
      <c r="F167" s="48">
        <v>0</v>
      </c>
      <c r="G167" s="48">
        <v>0</v>
      </c>
      <c r="H167" s="48">
        <v>0</v>
      </c>
      <c r="I167" s="48">
        <v>0</v>
      </c>
      <c r="J167" s="48">
        <v>0</v>
      </c>
      <c r="K167" s="48">
        <v>0</v>
      </c>
      <c r="L167" s="48">
        <v>0</v>
      </c>
      <c r="M167" s="48">
        <v>0</v>
      </c>
      <c r="N167" s="48">
        <v>0</v>
      </c>
      <c r="O167" s="48">
        <v>0</v>
      </c>
      <c r="P167" s="48">
        <v>0</v>
      </c>
      <c r="Q167" s="48">
        <v>0</v>
      </c>
      <c r="R167" s="48">
        <v>0</v>
      </c>
      <c r="S167" s="48">
        <v>0</v>
      </c>
      <c r="T167" s="48">
        <v>0</v>
      </c>
      <c r="U167" s="48">
        <v>0</v>
      </c>
      <c r="V167" s="48">
        <v>0</v>
      </c>
      <c r="W167" s="48">
        <v>0</v>
      </c>
      <c r="X167" s="48">
        <v>0</v>
      </c>
      <c r="Y167" s="48">
        <v>0</v>
      </c>
      <c r="Z167" s="48">
        <v>0</v>
      </c>
      <c r="AA167" s="48">
        <v>0</v>
      </c>
      <c r="AB167" s="48">
        <v>0</v>
      </c>
      <c r="AC167" s="48">
        <v>0</v>
      </c>
      <c r="AD167" s="48">
        <v>0</v>
      </c>
      <c r="AE167" s="48">
        <v>0</v>
      </c>
      <c r="AF167" s="48">
        <v>0</v>
      </c>
      <c r="AG167" s="48">
        <v>0</v>
      </c>
      <c r="AH167" s="48">
        <v>0</v>
      </c>
      <c r="AI167" s="48">
        <v>0</v>
      </c>
      <c r="AJ167" s="48">
        <v>0</v>
      </c>
      <c r="AK167" s="48">
        <v>0</v>
      </c>
      <c r="AL167" s="48">
        <v>0</v>
      </c>
      <c r="AM167" s="48">
        <v>0</v>
      </c>
      <c r="AN167" s="48">
        <v>0</v>
      </c>
      <c r="AO167" s="48">
        <v>0</v>
      </c>
      <c r="AP167" s="48">
        <v>0</v>
      </c>
      <c r="AQ167" s="48">
        <v>0</v>
      </c>
      <c r="AR167" s="48">
        <v>0</v>
      </c>
      <c r="AS167" s="48">
        <v>0</v>
      </c>
      <c r="AT167" s="48">
        <v>0</v>
      </c>
      <c r="AU167" s="48">
        <v>0</v>
      </c>
      <c r="AV167" s="48">
        <v>0</v>
      </c>
      <c r="AW167" s="48">
        <v>0</v>
      </c>
      <c r="AX167" s="48">
        <v>0</v>
      </c>
      <c r="AY167" s="48">
        <v>0</v>
      </c>
      <c r="AZ167" s="48">
        <v>0</v>
      </c>
      <c r="BA167" s="48">
        <v>0</v>
      </c>
      <c r="BB167" s="48">
        <v>0</v>
      </c>
      <c r="BC167" s="48">
        <v>0</v>
      </c>
      <c r="BD167" s="48">
        <v>0</v>
      </c>
      <c r="BE167" s="48">
        <v>0</v>
      </c>
      <c r="BF167" s="48">
        <v>0</v>
      </c>
      <c r="BG167" s="48">
        <v>0</v>
      </c>
      <c r="BH167" s="48">
        <v>0</v>
      </c>
      <c r="BI167" s="48">
        <v>0</v>
      </c>
      <c r="BJ167" s="48">
        <v>0</v>
      </c>
      <c r="BK167" s="48">
        <v>0</v>
      </c>
      <c r="BL167" s="48">
        <v>0</v>
      </c>
      <c r="BM167" s="48">
        <v>0</v>
      </c>
      <c r="BN167" s="48">
        <v>0</v>
      </c>
      <c r="BO167" s="48">
        <v>0</v>
      </c>
      <c r="BP167" s="48">
        <v>0</v>
      </c>
      <c r="BQ167" s="48">
        <v>0</v>
      </c>
      <c r="BR167" s="48">
        <v>0</v>
      </c>
      <c r="BS167" s="48">
        <v>0</v>
      </c>
      <c r="BT167" s="48">
        <v>0</v>
      </c>
      <c r="BU167" s="48">
        <v>0</v>
      </c>
      <c r="BV167" s="48">
        <v>0</v>
      </c>
      <c r="BW167" s="48">
        <v>0</v>
      </c>
      <c r="BX167" s="48">
        <v>0</v>
      </c>
      <c r="BY167" s="48">
        <v>0</v>
      </c>
      <c r="BZ167" s="48">
        <v>0</v>
      </c>
      <c r="CA167" s="48">
        <v>5238.2117386508962</v>
      </c>
      <c r="CB167" s="48">
        <v>18.252267410959149</v>
      </c>
      <c r="CC167" s="48">
        <v>6870.3094387353967</v>
      </c>
      <c r="CD167" s="48">
        <v>0</v>
      </c>
      <c r="CE167" s="48">
        <v>0</v>
      </c>
      <c r="CF167" s="48">
        <v>0</v>
      </c>
      <c r="CG167" s="48">
        <v>0</v>
      </c>
      <c r="CH167" s="48">
        <v>0</v>
      </c>
      <c r="CI167" s="48">
        <v>0</v>
      </c>
      <c r="CJ167" s="48">
        <v>0</v>
      </c>
      <c r="CK167" s="48">
        <v>0</v>
      </c>
      <c r="CL167" s="48">
        <v>3.4067900838761526E-9</v>
      </c>
      <c r="CM167" s="48">
        <v>3.8506513209363612E-9</v>
      </c>
      <c r="CN167" s="48">
        <v>5.1614397021088517E-9</v>
      </c>
      <c r="CO167" s="48">
        <v>0</v>
      </c>
      <c r="CP167" s="48">
        <v>0</v>
      </c>
      <c r="CQ167" s="48">
        <v>0</v>
      </c>
      <c r="CR167" s="48">
        <v>0</v>
      </c>
      <c r="CS167" s="48">
        <v>0</v>
      </c>
      <c r="CT167" s="48">
        <v>6.9092852168626798E-12</v>
      </c>
      <c r="CU167" s="48">
        <v>0</v>
      </c>
      <c r="CV167" s="48">
        <v>1.202073084200918E-6</v>
      </c>
      <c r="CW167" s="48">
        <v>0</v>
      </c>
      <c r="CX167" s="48">
        <v>6.4310412392875821E-13</v>
      </c>
      <c r="CY167" s="48">
        <v>0</v>
      </c>
      <c r="CZ167" s="48">
        <v>0</v>
      </c>
      <c r="DA167" s="48">
        <v>3.1967362763457165E-9</v>
      </c>
      <c r="DB167" s="48">
        <v>0</v>
      </c>
      <c r="DC167" s="48">
        <v>3.0943141819292499E-12</v>
      </c>
      <c r="DD167" s="48">
        <v>0</v>
      </c>
      <c r="DE167" s="48">
        <v>6.509684464281381E-6</v>
      </c>
      <c r="DF167" s="48">
        <v>0</v>
      </c>
      <c r="DG167" s="48">
        <v>0</v>
      </c>
      <c r="DH167" s="48">
        <v>0</v>
      </c>
      <c r="DI167" s="48">
        <v>0</v>
      </c>
      <c r="DJ167" s="48">
        <v>0</v>
      </c>
      <c r="DK167" s="48">
        <v>0</v>
      </c>
      <c r="DL167" s="48">
        <v>3.4671179226874677E-3</v>
      </c>
      <c r="DM167" s="48">
        <v>0</v>
      </c>
      <c r="DN167" s="48">
        <v>0</v>
      </c>
      <c r="DO167" s="48">
        <v>0</v>
      </c>
      <c r="DP167" s="48">
        <v>0</v>
      </c>
      <c r="DQ167" s="48">
        <v>0</v>
      </c>
      <c r="DR167" s="48">
        <v>0</v>
      </c>
      <c r="DS167" s="48">
        <v>0</v>
      </c>
      <c r="DT167" s="48">
        <v>0</v>
      </c>
      <c r="DU167" s="48">
        <v>0</v>
      </c>
      <c r="DV167" s="48">
        <v>0</v>
      </c>
      <c r="DW167" s="48">
        <v>29.205190661094822</v>
      </c>
      <c r="DX167" s="48">
        <v>14.365979582071194</v>
      </c>
      <c r="DY167" s="48">
        <v>2.0197233559892269</v>
      </c>
      <c r="DZ167" s="48">
        <v>2.0005881471060416</v>
      </c>
      <c r="EA167" s="48">
        <v>0</v>
      </c>
      <c r="EB167" s="48">
        <v>6.2690921095774725E-3</v>
      </c>
      <c r="EC167" s="48">
        <v>109.19115373177277</v>
      </c>
      <c r="ED167" s="48">
        <v>575.9110114184133</v>
      </c>
      <c r="EE167" s="48">
        <v>162.44866248365005</v>
      </c>
      <c r="EF167" s="48">
        <v>556.97699926413077</v>
      </c>
      <c r="EG167" s="48">
        <v>195.59014771148611</v>
      </c>
      <c r="EH167" s="48">
        <v>26.723333327625607</v>
      </c>
      <c r="EI167" s="48">
        <v>3.3201843549559711E-4</v>
      </c>
      <c r="EJ167" s="48">
        <v>2.3492473457396E-8</v>
      </c>
      <c r="EK167" s="48">
        <v>0</v>
      </c>
      <c r="EL167" s="48">
        <v>0</v>
      </c>
      <c r="EM167" s="48">
        <v>0</v>
      </c>
      <c r="EN167" s="48">
        <v>0</v>
      </c>
      <c r="EO167" s="48">
        <v>0</v>
      </c>
      <c r="EP167" s="48">
        <v>0</v>
      </c>
      <c r="EQ167" s="48">
        <v>0</v>
      </c>
      <c r="ER167" s="48">
        <v>0</v>
      </c>
      <c r="ES167" s="48">
        <v>2.4770294341531768E-5</v>
      </c>
      <c r="ET167" s="48">
        <v>0</v>
      </c>
      <c r="EU167" s="48">
        <v>0</v>
      </c>
      <c r="EV167" s="48">
        <v>0</v>
      </c>
      <c r="EW167" s="48">
        <v>4.0304103107244469E-3</v>
      </c>
      <c r="EX167" s="48">
        <v>0</v>
      </c>
      <c r="EY167" s="48">
        <v>0</v>
      </c>
      <c r="EZ167" s="48">
        <v>0</v>
      </c>
      <c r="FA167" s="48">
        <v>1.0629305256123693E-3</v>
      </c>
      <c r="FB167" s="48">
        <v>2.9140931403026058E-5</v>
      </c>
      <c r="FC167" s="48">
        <v>0</v>
      </c>
      <c r="FD167" s="48">
        <v>0</v>
      </c>
      <c r="FE167" s="48">
        <v>0</v>
      </c>
      <c r="FF167" s="48">
        <v>0</v>
      </c>
      <c r="FG167" s="48">
        <v>0</v>
      </c>
      <c r="FH167" s="48">
        <v>0</v>
      </c>
      <c r="FI167" s="48">
        <v>18.780298330575299</v>
      </c>
      <c r="FJ167" s="48">
        <v>0</v>
      </c>
      <c r="FK167" s="48">
        <v>0</v>
      </c>
      <c r="FL167" s="48">
        <v>0</v>
      </c>
      <c r="FM167" s="48">
        <v>0</v>
      </c>
      <c r="FN167" s="48">
        <v>0</v>
      </c>
      <c r="FO167" s="48">
        <v>0</v>
      </c>
      <c r="FP167" s="48">
        <v>4.3585267004750534</v>
      </c>
      <c r="FQ167" s="48">
        <v>0</v>
      </c>
      <c r="FR167" s="48">
        <v>279.69169130812247</v>
      </c>
      <c r="FS167" s="48">
        <v>0</v>
      </c>
      <c r="FT167" s="48">
        <v>1.9764234382604778E-8</v>
      </c>
      <c r="FU167" s="48">
        <v>0</v>
      </c>
      <c r="FV167" s="48">
        <v>8.9774339239744895E-5</v>
      </c>
      <c r="FW167" s="48">
        <v>103.20483151760435</v>
      </c>
      <c r="FX167" s="48">
        <v>217.84750715036972</v>
      </c>
      <c r="FY167" s="48">
        <v>8.876202329317147</v>
      </c>
      <c r="FZ167" s="48">
        <v>0</v>
      </c>
      <c r="GA167" s="48">
        <v>2.0695067396304121</v>
      </c>
      <c r="GB167" s="48">
        <v>100565.69749658628</v>
      </c>
      <c r="GC167" s="48">
        <v>0</v>
      </c>
      <c r="GD167" s="48">
        <v>0</v>
      </c>
      <c r="GE167" s="48">
        <v>0</v>
      </c>
      <c r="GF167" s="48">
        <v>0</v>
      </c>
      <c r="GG167" s="48">
        <v>0</v>
      </c>
      <c r="GH167" s="48">
        <v>0</v>
      </c>
      <c r="GI167" s="48">
        <v>0</v>
      </c>
      <c r="GJ167" s="48">
        <v>0</v>
      </c>
      <c r="GK167" s="48">
        <v>0</v>
      </c>
      <c r="GL167" s="48">
        <v>0</v>
      </c>
      <c r="GM167" s="48">
        <v>0</v>
      </c>
      <c r="GN167" s="48">
        <v>0</v>
      </c>
      <c r="GO167" s="48">
        <v>0</v>
      </c>
      <c r="GP167" s="48">
        <v>0</v>
      </c>
      <c r="GQ167" s="48">
        <v>0</v>
      </c>
      <c r="GR167" s="48">
        <v>0</v>
      </c>
      <c r="GS167" s="48">
        <v>0.50492655355183302</v>
      </c>
      <c r="GT167" s="48">
        <v>0</v>
      </c>
      <c r="GU167" s="48">
        <v>0</v>
      </c>
      <c r="GV167" s="48">
        <v>0</v>
      </c>
      <c r="GW167" s="48">
        <v>0</v>
      </c>
      <c r="GX167" s="48">
        <v>0</v>
      </c>
      <c r="GY167" s="48">
        <v>0</v>
      </c>
      <c r="GZ167" s="48">
        <v>0</v>
      </c>
      <c r="HA167" s="48">
        <v>0</v>
      </c>
      <c r="HB167" s="48">
        <v>0</v>
      </c>
      <c r="HC167" s="48">
        <v>0</v>
      </c>
      <c r="HD167" s="48">
        <v>0</v>
      </c>
      <c r="HE167" s="48">
        <v>0</v>
      </c>
      <c r="HF167" s="48">
        <v>0</v>
      </c>
      <c r="HG167" s="48">
        <v>0</v>
      </c>
      <c r="HH167" s="48">
        <v>0</v>
      </c>
      <c r="HI167" s="48">
        <v>0</v>
      </c>
      <c r="HJ167" s="48">
        <v>0</v>
      </c>
      <c r="HK167" s="48">
        <v>0</v>
      </c>
      <c r="HL167" s="48">
        <v>0</v>
      </c>
      <c r="HM167" s="48">
        <v>0</v>
      </c>
      <c r="HN167" s="48">
        <v>0</v>
      </c>
      <c r="HO167" s="48">
        <v>0</v>
      </c>
      <c r="HP167" s="48">
        <v>0</v>
      </c>
      <c r="HQ167" s="48">
        <v>0</v>
      </c>
      <c r="HR167" s="48">
        <v>0</v>
      </c>
      <c r="HS167" s="48">
        <v>0</v>
      </c>
      <c r="HT167" s="48">
        <v>0</v>
      </c>
      <c r="HU167" s="48">
        <v>0</v>
      </c>
      <c r="HV167" s="48">
        <v>0</v>
      </c>
      <c r="HW167" s="48">
        <v>0</v>
      </c>
      <c r="HX167" s="48">
        <v>0</v>
      </c>
      <c r="HY167" s="48">
        <v>0</v>
      </c>
      <c r="HZ167" s="48">
        <v>0</v>
      </c>
      <c r="IA167" s="48">
        <v>0</v>
      </c>
      <c r="IB167" s="48">
        <v>0</v>
      </c>
      <c r="IC167" s="48">
        <v>0</v>
      </c>
      <c r="ID167" s="48">
        <v>0</v>
      </c>
      <c r="IE167" s="48">
        <v>0</v>
      </c>
      <c r="IF167" s="48">
        <v>0</v>
      </c>
      <c r="IG167" s="48">
        <v>0</v>
      </c>
      <c r="IH167" s="48">
        <v>0</v>
      </c>
      <c r="II167" s="48">
        <v>0</v>
      </c>
      <c r="IJ167" s="48">
        <v>0</v>
      </c>
      <c r="IK167" s="48">
        <v>680.08724948609222</v>
      </c>
      <c r="IL167" s="48">
        <v>1188.3015713096431</v>
      </c>
      <c r="IM167" s="48">
        <v>1428.9782527677801</v>
      </c>
      <c r="IN167" s="48">
        <v>758.38039171438118</v>
      </c>
      <c r="IO167" s="48">
        <v>0</v>
      </c>
      <c r="IP167" s="23">
        <v>119057.9999999999</v>
      </c>
      <c r="IQ167" s="25">
        <v>0</v>
      </c>
      <c r="IR167" s="25">
        <v>0</v>
      </c>
      <c r="IS167" s="26">
        <v>0</v>
      </c>
      <c r="IT167" s="26">
        <v>596260</v>
      </c>
      <c r="IU167" s="26">
        <v>2802</v>
      </c>
      <c r="IV167" s="9">
        <v>9849</v>
      </c>
      <c r="IW167" s="38">
        <f t="shared" si="13"/>
        <v>727968.99999999988</v>
      </c>
    </row>
    <row r="168" spans="1:257" ht="30" customHeight="1" x14ac:dyDescent="0.25">
      <c r="A168" s="112" t="b">
        <v>0</v>
      </c>
      <c r="B168" s="113" t="b">
        <f>IFERROR(VLOOKUP(C168,'Bridge matrix'!$D$3:$E$727,2,FALSE)='symmetric IOT 245 2012'!D168,"FALSCH")</f>
        <v>1</v>
      </c>
      <c r="C168" s="108">
        <v>157</v>
      </c>
      <c r="D168" s="49" t="s">
        <v>1475</v>
      </c>
      <c r="E168" s="48">
        <v>0</v>
      </c>
      <c r="F168" s="48">
        <v>0</v>
      </c>
      <c r="G168" s="48">
        <v>0</v>
      </c>
      <c r="H168" s="48">
        <v>0</v>
      </c>
      <c r="I168" s="48">
        <v>0</v>
      </c>
      <c r="J168" s="48">
        <v>0</v>
      </c>
      <c r="K168" s="48">
        <v>0</v>
      </c>
      <c r="L168" s="48">
        <v>0</v>
      </c>
      <c r="M168" s="48">
        <v>0</v>
      </c>
      <c r="N168" s="48">
        <v>0</v>
      </c>
      <c r="O168" s="48">
        <v>0</v>
      </c>
      <c r="P168" s="48">
        <v>0</v>
      </c>
      <c r="Q168" s="48">
        <v>0</v>
      </c>
      <c r="R168" s="48">
        <v>0</v>
      </c>
      <c r="S168" s="48">
        <v>0</v>
      </c>
      <c r="T168" s="48">
        <v>0</v>
      </c>
      <c r="U168" s="48">
        <v>0</v>
      </c>
      <c r="V168" s="48">
        <v>0</v>
      </c>
      <c r="W168" s="48">
        <v>0</v>
      </c>
      <c r="X168" s="48">
        <v>0</v>
      </c>
      <c r="Y168" s="48">
        <v>0</v>
      </c>
      <c r="Z168" s="48">
        <v>0</v>
      </c>
      <c r="AA168" s="48">
        <v>0</v>
      </c>
      <c r="AB168" s="48">
        <v>0</v>
      </c>
      <c r="AC168" s="48">
        <v>0</v>
      </c>
      <c r="AD168" s="48">
        <v>0</v>
      </c>
      <c r="AE168" s="48">
        <v>0</v>
      </c>
      <c r="AF168" s="48">
        <v>0</v>
      </c>
      <c r="AG168" s="48">
        <v>0</v>
      </c>
      <c r="AH168" s="48">
        <v>0</v>
      </c>
      <c r="AI168" s="48">
        <v>0</v>
      </c>
      <c r="AJ168" s="48">
        <v>0</v>
      </c>
      <c r="AK168" s="48">
        <v>0</v>
      </c>
      <c r="AL168" s="48">
        <v>0</v>
      </c>
      <c r="AM168" s="48">
        <v>0</v>
      </c>
      <c r="AN168" s="48">
        <v>0</v>
      </c>
      <c r="AO168" s="48">
        <v>0</v>
      </c>
      <c r="AP168" s="48">
        <v>0</v>
      </c>
      <c r="AQ168" s="48">
        <v>0</v>
      </c>
      <c r="AR168" s="48">
        <v>0</v>
      </c>
      <c r="AS168" s="48">
        <v>0</v>
      </c>
      <c r="AT168" s="48">
        <v>0</v>
      </c>
      <c r="AU168" s="48">
        <v>0</v>
      </c>
      <c r="AV168" s="48">
        <v>0</v>
      </c>
      <c r="AW168" s="48">
        <v>0</v>
      </c>
      <c r="AX168" s="48">
        <v>0</v>
      </c>
      <c r="AY168" s="48">
        <v>0</v>
      </c>
      <c r="AZ168" s="48">
        <v>0</v>
      </c>
      <c r="BA168" s="48">
        <v>0</v>
      </c>
      <c r="BB168" s="48">
        <v>0</v>
      </c>
      <c r="BC168" s="48">
        <v>0</v>
      </c>
      <c r="BD168" s="48">
        <v>0</v>
      </c>
      <c r="BE168" s="48">
        <v>0</v>
      </c>
      <c r="BF168" s="48">
        <v>0</v>
      </c>
      <c r="BG168" s="48">
        <v>0</v>
      </c>
      <c r="BH168" s="48">
        <v>0</v>
      </c>
      <c r="BI168" s="48">
        <v>0</v>
      </c>
      <c r="BJ168" s="48">
        <v>0</v>
      </c>
      <c r="BK168" s="48">
        <v>0</v>
      </c>
      <c r="BL168" s="48">
        <v>0</v>
      </c>
      <c r="BM168" s="48">
        <v>0</v>
      </c>
      <c r="BN168" s="48">
        <v>0</v>
      </c>
      <c r="BO168" s="48">
        <v>0</v>
      </c>
      <c r="BP168" s="48">
        <v>0</v>
      </c>
      <c r="BQ168" s="48">
        <v>0</v>
      </c>
      <c r="BR168" s="48">
        <v>0</v>
      </c>
      <c r="BS168" s="48">
        <v>0</v>
      </c>
      <c r="BT168" s="48">
        <v>0</v>
      </c>
      <c r="BU168" s="48">
        <v>0</v>
      </c>
      <c r="BV168" s="48">
        <v>0</v>
      </c>
      <c r="BW168" s="48">
        <v>0</v>
      </c>
      <c r="BX168" s="48">
        <v>0</v>
      </c>
      <c r="BY168" s="48">
        <v>0</v>
      </c>
      <c r="BZ168" s="48">
        <v>0</v>
      </c>
      <c r="CA168" s="48">
        <v>0</v>
      </c>
      <c r="CB168" s="48">
        <v>0</v>
      </c>
      <c r="CC168" s="48">
        <v>0</v>
      </c>
      <c r="CD168" s="48">
        <v>0</v>
      </c>
      <c r="CE168" s="48">
        <v>0</v>
      </c>
      <c r="CF168" s="48">
        <v>0</v>
      </c>
      <c r="CG168" s="48">
        <v>0</v>
      </c>
      <c r="CH168" s="48">
        <v>0</v>
      </c>
      <c r="CI168" s="48">
        <v>0</v>
      </c>
      <c r="CJ168" s="48">
        <v>0</v>
      </c>
      <c r="CK168" s="48">
        <v>0</v>
      </c>
      <c r="CL168" s="48">
        <v>3.2243912383513768E-5</v>
      </c>
      <c r="CM168" s="48">
        <v>0</v>
      </c>
      <c r="CN168" s="48">
        <v>4.7972484224217893E-5</v>
      </c>
      <c r="CO168" s="48">
        <v>0</v>
      </c>
      <c r="CP168" s="48">
        <v>0</v>
      </c>
      <c r="CQ168" s="48">
        <v>0</v>
      </c>
      <c r="CR168" s="48">
        <v>0</v>
      </c>
      <c r="CS168" s="48">
        <v>0</v>
      </c>
      <c r="CT168" s="48">
        <v>6.4217659257190973E-8</v>
      </c>
      <c r="CU168" s="48">
        <v>0</v>
      </c>
      <c r="CV168" s="48">
        <v>9.1348260162073536E-3</v>
      </c>
      <c r="CW168" s="48">
        <v>0</v>
      </c>
      <c r="CX168" s="48">
        <v>5.9772668519399108E-9</v>
      </c>
      <c r="CY168" s="48">
        <v>1.52792221439417E-4</v>
      </c>
      <c r="CZ168" s="48">
        <v>1.1704473825406581E-5</v>
      </c>
      <c r="DA168" s="48">
        <v>0</v>
      </c>
      <c r="DB168" s="48">
        <v>0</v>
      </c>
      <c r="DC168" s="48">
        <v>2.8759793167151335E-8</v>
      </c>
      <c r="DD168" s="48">
        <v>5.0138773867625316E-5</v>
      </c>
      <c r="DE168" s="48">
        <v>7.4639690334572372E-5</v>
      </c>
      <c r="DF168" s="48">
        <v>0</v>
      </c>
      <c r="DG168" s="48">
        <v>0</v>
      </c>
      <c r="DH168" s="48">
        <v>0</v>
      </c>
      <c r="DI168" s="48">
        <v>3.2004888159254595E-4</v>
      </c>
      <c r="DJ168" s="48">
        <v>0</v>
      </c>
      <c r="DK168" s="48">
        <v>2.1973433416489201E-4</v>
      </c>
      <c r="DL168" s="48">
        <v>0</v>
      </c>
      <c r="DM168" s="48">
        <v>0</v>
      </c>
      <c r="DN168" s="48">
        <v>0</v>
      </c>
      <c r="DO168" s="48">
        <v>0</v>
      </c>
      <c r="DP168" s="48">
        <v>0</v>
      </c>
      <c r="DQ168" s="48">
        <v>0</v>
      </c>
      <c r="DR168" s="48">
        <v>1.7720852070581716E-2</v>
      </c>
      <c r="DS168" s="48">
        <v>0</v>
      </c>
      <c r="DT168" s="48">
        <v>0</v>
      </c>
      <c r="DU168" s="48">
        <v>0</v>
      </c>
      <c r="DV168" s="48">
        <v>0</v>
      </c>
      <c r="DW168" s="48">
        <v>0</v>
      </c>
      <c r="DX168" s="48">
        <v>0</v>
      </c>
      <c r="DY168" s="48">
        <v>0</v>
      </c>
      <c r="DZ168" s="48">
        <v>0</v>
      </c>
      <c r="EA168" s="48">
        <v>0</v>
      </c>
      <c r="EB168" s="48">
        <v>0.16328643102189966</v>
      </c>
      <c r="EC168" s="48">
        <v>1.4225665968550251E-2</v>
      </c>
      <c r="ED168" s="48">
        <v>0</v>
      </c>
      <c r="EE168" s="48">
        <v>0</v>
      </c>
      <c r="EF168" s="48">
        <v>0</v>
      </c>
      <c r="EG168" s="48">
        <v>0</v>
      </c>
      <c r="EH168" s="48">
        <v>0</v>
      </c>
      <c r="EI168" s="48">
        <v>3.0832870791157903</v>
      </c>
      <c r="EJ168" s="48">
        <v>1.7852463427074961E-4</v>
      </c>
      <c r="EK168" s="48">
        <v>0</v>
      </c>
      <c r="EL168" s="48">
        <v>0</v>
      </c>
      <c r="EM168" s="48">
        <v>0</v>
      </c>
      <c r="EN168" s="48">
        <v>0</v>
      </c>
      <c r="EO168" s="48">
        <v>0</v>
      </c>
      <c r="EP168" s="48">
        <v>0</v>
      </c>
      <c r="EQ168" s="48">
        <v>0</v>
      </c>
      <c r="ER168" s="48">
        <v>4.9187669085762721E-3</v>
      </c>
      <c r="ES168" s="48">
        <v>6.4812802202261299E-5</v>
      </c>
      <c r="ET168" s="48">
        <v>0</v>
      </c>
      <c r="EU168" s="48">
        <v>0</v>
      </c>
      <c r="EV168" s="48">
        <v>0</v>
      </c>
      <c r="EW168" s="48">
        <v>0</v>
      </c>
      <c r="EX168" s="48">
        <v>1.0793274026959419E-2</v>
      </c>
      <c r="EY168" s="48">
        <v>0</v>
      </c>
      <c r="EZ168" s="48">
        <v>0</v>
      </c>
      <c r="FA168" s="48">
        <v>1970.5737391488046</v>
      </c>
      <c r="FB168" s="48">
        <v>0.28022340185940375</v>
      </c>
      <c r="FC168" s="48">
        <v>0</v>
      </c>
      <c r="FD168" s="48">
        <v>6.4264133605477933E-2</v>
      </c>
      <c r="FE168" s="48">
        <v>2534.4324680429472</v>
      </c>
      <c r="FF168" s="48">
        <v>0</v>
      </c>
      <c r="FG168" s="48">
        <v>0</v>
      </c>
      <c r="FH168" s="48">
        <v>0</v>
      </c>
      <c r="FI168" s="48">
        <v>3.5073623294243016E-3</v>
      </c>
      <c r="FJ168" s="48">
        <v>0</v>
      </c>
      <c r="FK168" s="48">
        <v>0</v>
      </c>
      <c r="FL168" s="48">
        <v>0</v>
      </c>
      <c r="FM168" s="48">
        <v>3.6678962483133695E-2</v>
      </c>
      <c r="FN168" s="48">
        <v>0</v>
      </c>
      <c r="FO168" s="48">
        <v>0</v>
      </c>
      <c r="FP168" s="48">
        <v>0</v>
      </c>
      <c r="FQ168" s="48">
        <v>0.53355477077478697</v>
      </c>
      <c r="FR168" s="48">
        <v>0</v>
      </c>
      <c r="FS168" s="48">
        <v>0</v>
      </c>
      <c r="FT168" s="48">
        <v>0</v>
      </c>
      <c r="FU168" s="48">
        <v>0</v>
      </c>
      <c r="FV168" s="48">
        <v>0.32900641464829461</v>
      </c>
      <c r="FW168" s="48">
        <v>0</v>
      </c>
      <c r="FX168" s="48">
        <v>0</v>
      </c>
      <c r="FY168" s="48">
        <v>0</v>
      </c>
      <c r="FZ168" s="48">
        <v>0</v>
      </c>
      <c r="GA168" s="48">
        <v>0</v>
      </c>
      <c r="GB168" s="48">
        <v>0</v>
      </c>
      <c r="GC168" s="48">
        <v>0</v>
      </c>
      <c r="GD168" s="48">
        <v>0</v>
      </c>
      <c r="GE168" s="48">
        <v>185.57220984148395</v>
      </c>
      <c r="GF168" s="48">
        <v>7277.8698043354443</v>
      </c>
      <c r="GG168" s="48">
        <v>0</v>
      </c>
      <c r="GH168" s="48">
        <v>0</v>
      </c>
      <c r="GI168" s="48">
        <v>0</v>
      </c>
      <c r="GJ168" s="48">
        <v>0</v>
      </c>
      <c r="GK168" s="48">
        <v>0</v>
      </c>
      <c r="GL168" s="48">
        <v>0</v>
      </c>
      <c r="GM168" s="48">
        <v>0</v>
      </c>
      <c r="GN168" s="48">
        <v>0</v>
      </c>
      <c r="GO168" s="48">
        <v>0</v>
      </c>
      <c r="GP168" s="48">
        <v>0</v>
      </c>
      <c r="GQ168" s="48">
        <v>0</v>
      </c>
      <c r="GR168" s="48">
        <v>0</v>
      </c>
      <c r="GS168" s="48">
        <v>0</v>
      </c>
      <c r="GT168" s="48">
        <v>0</v>
      </c>
      <c r="GU168" s="48">
        <v>0</v>
      </c>
      <c r="GV168" s="48">
        <v>0</v>
      </c>
      <c r="GW168" s="48">
        <v>0</v>
      </c>
      <c r="GX168" s="48">
        <v>0</v>
      </c>
      <c r="GY168" s="48">
        <v>0</v>
      </c>
      <c r="GZ168" s="48">
        <v>0</v>
      </c>
      <c r="HA168" s="48">
        <v>0</v>
      </c>
      <c r="HB168" s="48">
        <v>0</v>
      </c>
      <c r="HC168" s="48">
        <v>0</v>
      </c>
      <c r="HD168" s="48">
        <v>0</v>
      </c>
      <c r="HE168" s="48">
        <v>0</v>
      </c>
      <c r="HF168" s="48">
        <v>0</v>
      </c>
      <c r="HG168" s="48">
        <v>0</v>
      </c>
      <c r="HH168" s="48">
        <v>0</v>
      </c>
      <c r="HI168" s="48">
        <v>0</v>
      </c>
      <c r="HJ168" s="48">
        <v>0</v>
      </c>
      <c r="HK168" s="48">
        <v>0</v>
      </c>
      <c r="HL168" s="48">
        <v>0</v>
      </c>
      <c r="HM168" s="48">
        <v>0</v>
      </c>
      <c r="HN168" s="48">
        <v>0</v>
      </c>
      <c r="HO168" s="48">
        <v>0</v>
      </c>
      <c r="HP168" s="48">
        <v>0</v>
      </c>
      <c r="HQ168" s="48">
        <v>0</v>
      </c>
      <c r="HR168" s="48">
        <v>0</v>
      </c>
      <c r="HS168" s="48">
        <v>0</v>
      </c>
      <c r="HT168" s="48">
        <v>0</v>
      </c>
      <c r="HU168" s="48">
        <v>0</v>
      </c>
      <c r="HV168" s="48">
        <v>0</v>
      </c>
      <c r="HW168" s="48">
        <v>0</v>
      </c>
      <c r="HX168" s="48">
        <v>0</v>
      </c>
      <c r="HY168" s="48">
        <v>0</v>
      </c>
      <c r="HZ168" s="48">
        <v>0</v>
      </c>
      <c r="IA168" s="48">
        <v>0</v>
      </c>
      <c r="IB168" s="48">
        <v>0</v>
      </c>
      <c r="IC168" s="48">
        <v>0</v>
      </c>
      <c r="ID168" s="48">
        <v>0</v>
      </c>
      <c r="IE168" s="48">
        <v>0</v>
      </c>
      <c r="IF168" s="48">
        <v>0</v>
      </c>
      <c r="IG168" s="48">
        <v>0</v>
      </c>
      <c r="IH168" s="48">
        <v>0</v>
      </c>
      <c r="II168" s="48">
        <v>0</v>
      </c>
      <c r="IJ168" s="48">
        <v>0</v>
      </c>
      <c r="IK168" s="48">
        <v>2.3979274245261786E-5</v>
      </c>
      <c r="IL168" s="48">
        <v>0</v>
      </c>
      <c r="IM168" s="48">
        <v>0</v>
      </c>
      <c r="IN168" s="48">
        <v>0</v>
      </c>
      <c r="IO168" s="48">
        <v>0</v>
      </c>
      <c r="IP168" s="23">
        <v>11972.999999999945</v>
      </c>
      <c r="IQ168" s="25">
        <v>66982</v>
      </c>
      <c r="IR168" s="25">
        <v>0</v>
      </c>
      <c r="IS168" s="26">
        <v>0</v>
      </c>
      <c r="IT168" s="26">
        <v>992</v>
      </c>
      <c r="IU168" s="26">
        <v>2219</v>
      </c>
      <c r="IV168" s="9">
        <v>2271</v>
      </c>
      <c r="IW168" s="38">
        <f t="shared" si="13"/>
        <v>84436.999999999942</v>
      </c>
    </row>
    <row r="169" spans="1:257" ht="30" customHeight="1" x14ac:dyDescent="0.25">
      <c r="A169" s="112" t="b">
        <v>0</v>
      </c>
      <c r="B169" s="113" t="str">
        <f>IFERROR(VLOOKUP(C169,'Bridge matrix'!$D$3:$E$727,2,FALSE)='symmetric IOT 245 2012'!D169,"FALSCH")</f>
        <v>FALSCH</v>
      </c>
      <c r="C169" s="108">
        <v>158</v>
      </c>
      <c r="D169" s="49" t="s">
        <v>1476</v>
      </c>
      <c r="E169" s="48">
        <v>0</v>
      </c>
      <c r="F169" s="48">
        <v>0</v>
      </c>
      <c r="G169" s="48">
        <v>0</v>
      </c>
      <c r="H169" s="48">
        <v>0</v>
      </c>
      <c r="I169" s="48">
        <v>0</v>
      </c>
      <c r="J169" s="48">
        <v>0</v>
      </c>
      <c r="K169" s="48">
        <v>0</v>
      </c>
      <c r="L169" s="48">
        <v>0</v>
      </c>
      <c r="M169" s="48">
        <v>0</v>
      </c>
      <c r="N169" s="48">
        <v>0</v>
      </c>
      <c r="O169" s="48">
        <v>0</v>
      </c>
      <c r="P169" s="48">
        <v>0</v>
      </c>
      <c r="Q169" s="48">
        <v>0</v>
      </c>
      <c r="R169" s="48">
        <v>0</v>
      </c>
      <c r="S169" s="48">
        <v>0</v>
      </c>
      <c r="T169" s="48">
        <v>0</v>
      </c>
      <c r="U169" s="48">
        <v>0</v>
      </c>
      <c r="V169" s="48">
        <v>0</v>
      </c>
      <c r="W169" s="48">
        <v>0</v>
      </c>
      <c r="X169" s="48">
        <v>0</v>
      </c>
      <c r="Y169" s="48">
        <v>0</v>
      </c>
      <c r="Z169" s="48">
        <v>0</v>
      </c>
      <c r="AA169" s="48">
        <v>0</v>
      </c>
      <c r="AB169" s="48">
        <v>0</v>
      </c>
      <c r="AC169" s="48">
        <v>0</v>
      </c>
      <c r="AD169" s="48">
        <v>0</v>
      </c>
      <c r="AE169" s="48">
        <v>0</v>
      </c>
      <c r="AF169" s="48">
        <v>0</v>
      </c>
      <c r="AG169" s="48">
        <v>0</v>
      </c>
      <c r="AH169" s="48">
        <v>0</v>
      </c>
      <c r="AI169" s="48">
        <v>0</v>
      </c>
      <c r="AJ169" s="48">
        <v>0</v>
      </c>
      <c r="AK169" s="48">
        <v>0</v>
      </c>
      <c r="AL169" s="48">
        <v>0</v>
      </c>
      <c r="AM169" s="48">
        <v>0</v>
      </c>
      <c r="AN169" s="48">
        <v>0</v>
      </c>
      <c r="AO169" s="48">
        <v>0</v>
      </c>
      <c r="AP169" s="48">
        <v>0</v>
      </c>
      <c r="AQ169" s="48">
        <v>0</v>
      </c>
      <c r="AR169" s="48">
        <v>0</v>
      </c>
      <c r="AS169" s="48">
        <v>0</v>
      </c>
      <c r="AT169" s="48">
        <v>0</v>
      </c>
      <c r="AU169" s="48">
        <v>0</v>
      </c>
      <c r="AV169" s="48">
        <v>0</v>
      </c>
      <c r="AW169" s="48">
        <v>0</v>
      </c>
      <c r="AX169" s="48">
        <v>0</v>
      </c>
      <c r="AY169" s="48">
        <v>0</v>
      </c>
      <c r="AZ169" s="48">
        <v>0</v>
      </c>
      <c r="BA169" s="48">
        <v>0</v>
      </c>
      <c r="BB169" s="48">
        <v>0</v>
      </c>
      <c r="BC169" s="48">
        <v>0</v>
      </c>
      <c r="BD169" s="48">
        <v>0</v>
      </c>
      <c r="BE169" s="48">
        <v>0</v>
      </c>
      <c r="BF169" s="48">
        <v>0</v>
      </c>
      <c r="BG169" s="48">
        <v>0</v>
      </c>
      <c r="BH169" s="48">
        <v>0</v>
      </c>
      <c r="BI169" s="48">
        <v>0</v>
      </c>
      <c r="BJ169" s="48">
        <v>0</v>
      </c>
      <c r="BK169" s="48">
        <v>0</v>
      </c>
      <c r="BL169" s="48">
        <v>0</v>
      </c>
      <c r="BM169" s="48">
        <v>0</v>
      </c>
      <c r="BN169" s="48">
        <v>0</v>
      </c>
      <c r="BO169" s="48">
        <v>0</v>
      </c>
      <c r="BP169" s="48">
        <v>0</v>
      </c>
      <c r="BQ169" s="48">
        <v>0</v>
      </c>
      <c r="BR169" s="48">
        <v>0</v>
      </c>
      <c r="BS169" s="48">
        <v>0</v>
      </c>
      <c r="BT169" s="48">
        <v>0</v>
      </c>
      <c r="BU169" s="48">
        <v>0</v>
      </c>
      <c r="BV169" s="48">
        <v>0</v>
      </c>
      <c r="BW169" s="48">
        <v>0</v>
      </c>
      <c r="BX169" s="48">
        <v>0</v>
      </c>
      <c r="BY169" s="48">
        <v>0.69966396868408187</v>
      </c>
      <c r="BZ169" s="48">
        <v>0.69358650800927835</v>
      </c>
      <c r="CA169" s="48">
        <v>0</v>
      </c>
      <c r="CB169" s="48">
        <v>0</v>
      </c>
      <c r="CC169" s="48">
        <v>0</v>
      </c>
      <c r="CD169" s="48">
        <v>0</v>
      </c>
      <c r="CE169" s="48">
        <v>0</v>
      </c>
      <c r="CF169" s="48">
        <v>0</v>
      </c>
      <c r="CG169" s="48">
        <v>0</v>
      </c>
      <c r="CH169" s="48">
        <v>0</v>
      </c>
      <c r="CI169" s="48">
        <v>0</v>
      </c>
      <c r="CJ169" s="48">
        <v>0</v>
      </c>
      <c r="CK169" s="48">
        <v>0</v>
      </c>
      <c r="CL169" s="48">
        <v>5.9891445736521117E-8</v>
      </c>
      <c r="CM169" s="48">
        <v>0</v>
      </c>
      <c r="CN169" s="48">
        <v>8.9106476955627743E-8</v>
      </c>
      <c r="CO169" s="48">
        <v>0</v>
      </c>
      <c r="CP169" s="48">
        <v>0</v>
      </c>
      <c r="CQ169" s="48">
        <v>0</v>
      </c>
      <c r="CR169" s="48">
        <v>0</v>
      </c>
      <c r="CS169" s="48">
        <v>0</v>
      </c>
      <c r="CT169" s="48">
        <v>1.1928107262488894E-10</v>
      </c>
      <c r="CU169" s="48">
        <v>0</v>
      </c>
      <c r="CV169" s="48">
        <v>1.6967479943345051E-5</v>
      </c>
      <c r="CW169" s="48">
        <v>0</v>
      </c>
      <c r="CX169" s="48">
        <v>1.1102472586382008E-11</v>
      </c>
      <c r="CY169" s="48">
        <v>2.8380386754742028E-7</v>
      </c>
      <c r="CZ169" s="48">
        <v>2.1740471523774658E-8</v>
      </c>
      <c r="DA169" s="48">
        <v>0</v>
      </c>
      <c r="DB169" s="48">
        <v>0</v>
      </c>
      <c r="DC169" s="48">
        <v>5.3419869505187799E-11</v>
      </c>
      <c r="DD169" s="48">
        <v>9.3130251027600183E-8</v>
      </c>
      <c r="DE169" s="48">
        <v>1.3863947123703954E-7</v>
      </c>
      <c r="DF169" s="48">
        <v>0</v>
      </c>
      <c r="DG169" s="48">
        <v>0</v>
      </c>
      <c r="DH169" s="48">
        <v>0</v>
      </c>
      <c r="DI169" s="48">
        <v>5.944747026026197E-7</v>
      </c>
      <c r="DJ169" s="48">
        <v>0</v>
      </c>
      <c r="DK169" s="48">
        <v>4.0814547547945793E-7</v>
      </c>
      <c r="DL169" s="48">
        <v>0</v>
      </c>
      <c r="DM169" s="48">
        <v>0</v>
      </c>
      <c r="DN169" s="48">
        <v>0</v>
      </c>
      <c r="DO169" s="48">
        <v>0</v>
      </c>
      <c r="DP169" s="48">
        <v>0</v>
      </c>
      <c r="DQ169" s="48">
        <v>0</v>
      </c>
      <c r="DR169" s="48">
        <v>2.48840703169581E-4</v>
      </c>
      <c r="DS169" s="48">
        <v>0</v>
      </c>
      <c r="DT169" s="48">
        <v>0</v>
      </c>
      <c r="DU169" s="48">
        <v>0</v>
      </c>
      <c r="DV169" s="48">
        <v>0</v>
      </c>
      <c r="DW169" s="48">
        <v>0</v>
      </c>
      <c r="DX169" s="48">
        <v>0</v>
      </c>
      <c r="DY169" s="48">
        <v>1.064176143161664E-3</v>
      </c>
      <c r="DZ169" s="48">
        <v>0</v>
      </c>
      <c r="EA169" s="48">
        <v>0</v>
      </c>
      <c r="EB169" s="48">
        <v>8.8719495976448978E-4</v>
      </c>
      <c r="EC169" s="48">
        <v>0</v>
      </c>
      <c r="ED169" s="48">
        <v>0</v>
      </c>
      <c r="EE169" s="48">
        <v>0</v>
      </c>
      <c r="EF169" s="48">
        <v>0</v>
      </c>
      <c r="EG169" s="48">
        <v>0</v>
      </c>
      <c r="EH169" s="48">
        <v>0</v>
      </c>
      <c r="EI169" s="48">
        <v>5.7270506938666881E-3</v>
      </c>
      <c r="EJ169" s="48">
        <v>3.3160053032291844E-7</v>
      </c>
      <c r="EK169" s="48">
        <v>0</v>
      </c>
      <c r="EL169" s="48">
        <v>5.2945869932573428E-5</v>
      </c>
      <c r="EM169" s="48">
        <v>0</v>
      </c>
      <c r="EN169" s="48">
        <v>0</v>
      </c>
      <c r="EO169" s="48">
        <v>0</v>
      </c>
      <c r="EP169" s="48">
        <v>0</v>
      </c>
      <c r="EQ169" s="48">
        <v>0</v>
      </c>
      <c r="ER169" s="48">
        <v>0</v>
      </c>
      <c r="ES169" s="48">
        <v>0</v>
      </c>
      <c r="ET169" s="48">
        <v>0</v>
      </c>
      <c r="EU169" s="48">
        <v>0</v>
      </c>
      <c r="EV169" s="48">
        <v>0</v>
      </c>
      <c r="EW169" s="48">
        <v>0</v>
      </c>
      <c r="EX169" s="48">
        <v>1.6610041945756376E-4</v>
      </c>
      <c r="EY169" s="48">
        <v>0</v>
      </c>
      <c r="EZ169" s="48">
        <v>0</v>
      </c>
      <c r="FA169" s="48">
        <v>1.9011978850716201E-2</v>
      </c>
      <c r="FB169" s="48">
        <v>5.2122576045628014E-4</v>
      </c>
      <c r="FC169" s="48">
        <v>0</v>
      </c>
      <c r="FD169" s="48">
        <v>0</v>
      </c>
      <c r="FE169" s="48">
        <v>0</v>
      </c>
      <c r="FF169" s="48">
        <v>0</v>
      </c>
      <c r="FG169" s="48">
        <v>0</v>
      </c>
      <c r="FH169" s="48">
        <v>103.32886058905805</v>
      </c>
      <c r="FI169" s="48">
        <v>61.239265225912838</v>
      </c>
      <c r="FJ169" s="48">
        <v>67.661289301885034</v>
      </c>
      <c r="FK169" s="48">
        <v>19.695291442769321</v>
      </c>
      <c r="FL169" s="48">
        <v>0.67719939444628618</v>
      </c>
      <c r="FM169" s="48">
        <v>63.541017360183758</v>
      </c>
      <c r="FN169" s="48">
        <v>15.097171603402108</v>
      </c>
      <c r="FO169" s="48">
        <v>8.8565503465755544</v>
      </c>
      <c r="FP169" s="48">
        <v>0</v>
      </c>
      <c r="FQ169" s="48">
        <v>0</v>
      </c>
      <c r="FR169" s="48">
        <v>0</v>
      </c>
      <c r="FS169" s="48">
        <v>0</v>
      </c>
      <c r="FT169" s="48">
        <v>0</v>
      </c>
      <c r="FU169" s="48">
        <v>0</v>
      </c>
      <c r="FV169" s="48">
        <v>0</v>
      </c>
      <c r="FW169" s="48">
        <v>0</v>
      </c>
      <c r="FX169" s="48">
        <v>0</v>
      </c>
      <c r="FY169" s="48">
        <v>0</v>
      </c>
      <c r="FZ169" s="48">
        <v>0</v>
      </c>
      <c r="GA169" s="48">
        <v>0</v>
      </c>
      <c r="GB169" s="48">
        <v>0</v>
      </c>
      <c r="GC169" s="48">
        <v>0</v>
      </c>
      <c r="GD169" s="48">
        <v>0</v>
      </c>
      <c r="GE169" s="48">
        <v>0</v>
      </c>
      <c r="GF169" s="48">
        <v>0</v>
      </c>
      <c r="GG169" s="48">
        <v>0</v>
      </c>
      <c r="GH169" s="48">
        <v>0</v>
      </c>
      <c r="GI169" s="48">
        <v>0</v>
      </c>
      <c r="GJ169" s="48">
        <v>0</v>
      </c>
      <c r="GK169" s="48">
        <v>0</v>
      </c>
      <c r="GL169" s="48">
        <v>0</v>
      </c>
      <c r="GM169" s="48">
        <v>0</v>
      </c>
      <c r="GN169" s="48">
        <v>0</v>
      </c>
      <c r="GO169" s="48">
        <v>0</v>
      </c>
      <c r="GP169" s="48">
        <v>0</v>
      </c>
      <c r="GQ169" s="48">
        <v>0</v>
      </c>
      <c r="GR169" s="48">
        <v>0</v>
      </c>
      <c r="GS169" s="48">
        <v>0</v>
      </c>
      <c r="GT169" s="48">
        <v>0</v>
      </c>
      <c r="GU169" s="48">
        <v>6.9189366555441545</v>
      </c>
      <c r="GV169" s="48">
        <v>0</v>
      </c>
      <c r="GW169" s="48">
        <v>0</v>
      </c>
      <c r="GX169" s="48">
        <v>0</v>
      </c>
      <c r="GY169" s="48">
        <v>0</v>
      </c>
      <c r="GZ169" s="48">
        <v>0</v>
      </c>
      <c r="HA169" s="48">
        <v>0</v>
      </c>
      <c r="HB169" s="48">
        <v>0</v>
      </c>
      <c r="HC169" s="48">
        <v>0</v>
      </c>
      <c r="HD169" s="48">
        <v>0</v>
      </c>
      <c r="HE169" s="48">
        <v>37.010575571888396</v>
      </c>
      <c r="HF169" s="48">
        <v>180.10635957949205</v>
      </c>
      <c r="HG169" s="48">
        <v>171.82783895858924</v>
      </c>
      <c r="HH169" s="48">
        <v>323.92887471030338</v>
      </c>
      <c r="HI169" s="48">
        <v>472.57741860305481</v>
      </c>
      <c r="HJ169" s="48">
        <v>537.60934681032882</v>
      </c>
      <c r="HK169" s="48">
        <v>25.532484463658729</v>
      </c>
      <c r="HL169" s="48">
        <v>40.513988152830045</v>
      </c>
      <c r="HM169" s="48">
        <v>185.36720674357693</v>
      </c>
      <c r="HN169" s="48">
        <v>54.514904621722799</v>
      </c>
      <c r="HO169" s="48">
        <v>228.41418560616739</v>
      </c>
      <c r="HP169" s="48">
        <v>391.95809964704432</v>
      </c>
      <c r="HQ169" s="48">
        <v>61.416816017301848</v>
      </c>
      <c r="HR169" s="48">
        <v>130.58834872073518</v>
      </c>
      <c r="HS169" s="48">
        <v>219.91546139204021</v>
      </c>
      <c r="HT169" s="48">
        <v>133.87193688009137</v>
      </c>
      <c r="HU169" s="48">
        <v>177.34758217791602</v>
      </c>
      <c r="HV169" s="48">
        <v>0</v>
      </c>
      <c r="HW169" s="48">
        <v>0</v>
      </c>
      <c r="HX169" s="48">
        <v>0</v>
      </c>
      <c r="HY169" s="48">
        <v>0</v>
      </c>
      <c r="HZ169" s="48">
        <v>0</v>
      </c>
      <c r="IA169" s="48">
        <v>0</v>
      </c>
      <c r="IB169" s="48">
        <v>0</v>
      </c>
      <c r="IC169" s="48">
        <v>0</v>
      </c>
      <c r="ID169" s="48">
        <v>0</v>
      </c>
      <c r="IE169" s="48">
        <v>0</v>
      </c>
      <c r="IF169" s="48">
        <v>0</v>
      </c>
      <c r="IG169" s="48">
        <v>0</v>
      </c>
      <c r="IH169" s="48">
        <v>0</v>
      </c>
      <c r="II169" s="48">
        <v>0</v>
      </c>
      <c r="IJ169" s="48">
        <v>6.2040445182628114E-2</v>
      </c>
      <c r="IK169" s="48">
        <v>0</v>
      </c>
      <c r="IL169" s="48">
        <v>0</v>
      </c>
      <c r="IM169" s="48">
        <v>0</v>
      </c>
      <c r="IN169" s="48">
        <v>0</v>
      </c>
      <c r="IO169" s="48">
        <v>0</v>
      </c>
      <c r="IP169" s="23">
        <v>3720.9999999999914</v>
      </c>
      <c r="IQ169" s="25">
        <v>0</v>
      </c>
      <c r="IR169" s="25">
        <v>0</v>
      </c>
      <c r="IS169" s="26">
        <v>0</v>
      </c>
      <c r="IT169" s="26">
        <v>170</v>
      </c>
      <c r="IU169" s="26">
        <v>0</v>
      </c>
      <c r="IV169" s="9">
        <v>0</v>
      </c>
      <c r="IW169" s="38">
        <f t="shared" si="13"/>
        <v>3890.9999999999914</v>
      </c>
    </row>
    <row r="170" spans="1:257" ht="30" customHeight="1" x14ac:dyDescent="0.25">
      <c r="A170" s="112" t="b">
        <v>0</v>
      </c>
      <c r="B170" s="113" t="str">
        <f>IFERROR(VLOOKUP(C170,'Bridge matrix'!$D$3:$E$727,2,FALSE)='symmetric IOT 245 2012'!D170,"FALSCH")</f>
        <v>FALSCH</v>
      </c>
      <c r="C170" s="108">
        <v>159</v>
      </c>
      <c r="D170" s="49" t="s">
        <v>1477</v>
      </c>
      <c r="E170" s="48">
        <v>6.2904695348416118</v>
      </c>
      <c r="F170" s="48">
        <v>0.8035460899533704</v>
      </c>
      <c r="G170" s="48">
        <v>0.90824681224170067</v>
      </c>
      <c r="H170" s="48">
        <v>0</v>
      </c>
      <c r="I170" s="48">
        <v>1.839229815901728</v>
      </c>
      <c r="J170" s="48">
        <v>5.517336022533506</v>
      </c>
      <c r="K170" s="48">
        <v>11.956900633600213</v>
      </c>
      <c r="L170" s="48">
        <v>0</v>
      </c>
      <c r="M170" s="48">
        <v>0</v>
      </c>
      <c r="N170" s="48">
        <v>0</v>
      </c>
      <c r="O170" s="48">
        <v>14.650753474843285</v>
      </c>
      <c r="P170" s="48">
        <v>1.8317789707843384</v>
      </c>
      <c r="Q170" s="48">
        <v>0</v>
      </c>
      <c r="R170" s="48">
        <v>11.008798231943231</v>
      </c>
      <c r="S170" s="48">
        <v>0</v>
      </c>
      <c r="T170" s="48">
        <v>3.6800385070884691</v>
      </c>
      <c r="U170" s="48">
        <v>0</v>
      </c>
      <c r="V170" s="48">
        <v>0.91995112135063606</v>
      </c>
      <c r="W170" s="48">
        <v>0.9196098066887699</v>
      </c>
      <c r="X170" s="48">
        <v>0</v>
      </c>
      <c r="Y170" s="48">
        <v>0</v>
      </c>
      <c r="Z170" s="48">
        <v>0.92552942669046945</v>
      </c>
      <c r="AA170" s="48">
        <v>0</v>
      </c>
      <c r="AB170" s="48">
        <v>0</v>
      </c>
      <c r="AC170" s="48">
        <v>0</v>
      </c>
      <c r="AD170" s="48">
        <v>0</v>
      </c>
      <c r="AE170" s="48">
        <v>0</v>
      </c>
      <c r="AF170" s="48">
        <v>0</v>
      </c>
      <c r="AG170" s="48">
        <v>0</v>
      </c>
      <c r="AH170" s="48">
        <v>0.9196751114541597</v>
      </c>
      <c r="AI170" s="48">
        <v>0.91967910455404966</v>
      </c>
      <c r="AJ170" s="48">
        <v>0</v>
      </c>
      <c r="AK170" s="48">
        <v>1.8393448021982537</v>
      </c>
      <c r="AL170" s="48">
        <v>0</v>
      </c>
      <c r="AM170" s="48">
        <v>0</v>
      </c>
      <c r="AN170" s="48">
        <v>0</v>
      </c>
      <c r="AO170" s="48">
        <v>0</v>
      </c>
      <c r="AP170" s="48">
        <v>0.920675555782282</v>
      </c>
      <c r="AQ170" s="48">
        <v>0</v>
      </c>
      <c r="AR170" s="48">
        <v>0.91967848918893025</v>
      </c>
      <c r="AS170" s="48">
        <v>0.9349888467134021</v>
      </c>
      <c r="AT170" s="48">
        <v>1.8812956291195719</v>
      </c>
      <c r="AU170" s="48">
        <v>0</v>
      </c>
      <c r="AV170" s="48">
        <v>0</v>
      </c>
      <c r="AW170" s="48">
        <v>0</v>
      </c>
      <c r="AX170" s="48">
        <v>3.6877868132316607</v>
      </c>
      <c r="AY170" s="48">
        <v>0.92213463782480121</v>
      </c>
      <c r="AZ170" s="48">
        <v>0</v>
      </c>
      <c r="BA170" s="48">
        <v>0</v>
      </c>
      <c r="BB170" s="48">
        <v>2.7671388256742535</v>
      </c>
      <c r="BC170" s="48">
        <v>0.93087537152652189</v>
      </c>
      <c r="BD170" s="48">
        <v>0</v>
      </c>
      <c r="BE170" s="48">
        <v>0.94373582561468572</v>
      </c>
      <c r="BF170" s="48">
        <v>0</v>
      </c>
      <c r="BG170" s="48">
        <v>0.93752534287719047</v>
      </c>
      <c r="BH170" s="48">
        <v>0</v>
      </c>
      <c r="BI170" s="48">
        <v>0</v>
      </c>
      <c r="BJ170" s="48">
        <v>0</v>
      </c>
      <c r="BK170" s="48">
        <v>0</v>
      </c>
      <c r="BL170" s="48">
        <v>0</v>
      </c>
      <c r="BM170" s="48">
        <v>0</v>
      </c>
      <c r="BN170" s="48">
        <v>0</v>
      </c>
      <c r="BO170" s="48">
        <v>0</v>
      </c>
      <c r="BP170" s="48">
        <v>0</v>
      </c>
      <c r="BQ170" s="48">
        <v>0</v>
      </c>
      <c r="BR170" s="48">
        <v>0</v>
      </c>
      <c r="BS170" s="48">
        <v>0</v>
      </c>
      <c r="BT170" s="48">
        <v>0</v>
      </c>
      <c r="BU170" s="48">
        <v>0</v>
      </c>
      <c r="BV170" s="48">
        <v>316.37147105283515</v>
      </c>
      <c r="BW170" s="48">
        <v>161.48552381766473</v>
      </c>
      <c r="BX170" s="48">
        <v>14.626362882517567</v>
      </c>
      <c r="BY170" s="48">
        <v>0</v>
      </c>
      <c r="BZ170" s="48">
        <v>0</v>
      </c>
      <c r="CA170" s="48">
        <v>16342.397002365085</v>
      </c>
      <c r="CB170" s="48">
        <v>56.675727532466333</v>
      </c>
      <c r="CC170" s="48">
        <v>0</v>
      </c>
      <c r="CD170" s="48">
        <v>3093.2426523846616</v>
      </c>
      <c r="CE170" s="48">
        <v>225.17772247984752</v>
      </c>
      <c r="CF170" s="48">
        <v>34.780445358159874</v>
      </c>
      <c r="CG170" s="48">
        <v>316.79287466522055</v>
      </c>
      <c r="CH170" s="48">
        <v>0</v>
      </c>
      <c r="CI170" s="48">
        <v>14.84340482567063</v>
      </c>
      <c r="CJ170" s="48">
        <v>12.21215459035014</v>
      </c>
      <c r="CK170" s="48">
        <v>0.91386634368362984</v>
      </c>
      <c r="CL170" s="48">
        <v>7.7153442036584865</v>
      </c>
      <c r="CM170" s="48">
        <v>4.6019511824640986</v>
      </c>
      <c r="CN170" s="48">
        <v>0</v>
      </c>
      <c r="CO170" s="48">
        <v>1052.1263199149814</v>
      </c>
      <c r="CP170" s="48">
        <v>101.88733678898672</v>
      </c>
      <c r="CQ170" s="48">
        <v>399.90491222927096</v>
      </c>
      <c r="CR170" s="48">
        <v>53418.136517744671</v>
      </c>
      <c r="CS170" s="48">
        <v>0</v>
      </c>
      <c r="CT170" s="48">
        <v>0</v>
      </c>
      <c r="CU170" s="48">
        <v>2.2091491926336735</v>
      </c>
      <c r="CV170" s="48">
        <v>0</v>
      </c>
      <c r="CW170" s="48">
        <v>0</v>
      </c>
      <c r="CX170" s="48">
        <v>0</v>
      </c>
      <c r="CY170" s="48">
        <v>0</v>
      </c>
      <c r="CZ170" s="48">
        <v>0</v>
      </c>
      <c r="DA170" s="48">
        <v>4.1541332736217936E-3</v>
      </c>
      <c r="DB170" s="48">
        <v>0</v>
      </c>
      <c r="DC170" s="48">
        <v>1.1747681546029145E-4</v>
      </c>
      <c r="DD170" s="48">
        <v>0</v>
      </c>
      <c r="DE170" s="48">
        <v>0</v>
      </c>
      <c r="DF170" s="48">
        <v>0</v>
      </c>
      <c r="DG170" s="48">
        <v>0</v>
      </c>
      <c r="DH170" s="48">
        <v>0</v>
      </c>
      <c r="DI170" s="48">
        <v>0</v>
      </c>
      <c r="DJ170" s="48">
        <v>0</v>
      </c>
      <c r="DK170" s="48">
        <v>0</v>
      </c>
      <c r="DL170" s="48">
        <v>4505.4920647601339</v>
      </c>
      <c r="DM170" s="48">
        <v>545.36452326848325</v>
      </c>
      <c r="DN170" s="48">
        <v>0.94621425359507338</v>
      </c>
      <c r="DO170" s="48">
        <v>0</v>
      </c>
      <c r="DP170" s="48">
        <v>0</v>
      </c>
      <c r="DQ170" s="48">
        <v>0</v>
      </c>
      <c r="DR170" s="48">
        <v>0</v>
      </c>
      <c r="DS170" s="48">
        <v>373.79460578134155</v>
      </c>
      <c r="DT170" s="48">
        <v>0</v>
      </c>
      <c r="DU170" s="48">
        <v>215.75893696509993</v>
      </c>
      <c r="DV170" s="48">
        <v>3.2135350039106756</v>
      </c>
      <c r="DW170" s="48">
        <v>0</v>
      </c>
      <c r="DX170" s="48">
        <v>0</v>
      </c>
      <c r="DY170" s="48">
        <v>36.550137067072377</v>
      </c>
      <c r="DZ170" s="48">
        <v>706.22483662742673</v>
      </c>
      <c r="EA170" s="48">
        <v>0</v>
      </c>
      <c r="EB170" s="48">
        <v>437.78529328098813</v>
      </c>
      <c r="EC170" s="48">
        <v>0</v>
      </c>
      <c r="ED170" s="48">
        <v>825.65622845398025</v>
      </c>
      <c r="EE170" s="48">
        <v>232.19514395485157</v>
      </c>
      <c r="EF170" s="48">
        <v>798.74981874155355</v>
      </c>
      <c r="EG170" s="48">
        <v>280.36146670353935</v>
      </c>
      <c r="EH170" s="48">
        <v>38.515582886976453</v>
      </c>
      <c r="EI170" s="48">
        <v>0</v>
      </c>
      <c r="EJ170" s="48">
        <v>0</v>
      </c>
      <c r="EK170" s="48">
        <v>0</v>
      </c>
      <c r="EL170" s="48">
        <v>6980.2263144659855</v>
      </c>
      <c r="EM170" s="48">
        <v>5.0666290676320758</v>
      </c>
      <c r="EN170" s="48">
        <v>20.343020250154517</v>
      </c>
      <c r="EO170" s="48">
        <v>0</v>
      </c>
      <c r="EP170" s="48">
        <v>1.241101452756841E-3</v>
      </c>
      <c r="EQ170" s="48">
        <v>0</v>
      </c>
      <c r="ER170" s="48">
        <v>0</v>
      </c>
      <c r="ES170" s="48">
        <v>2.979356362254195E-4</v>
      </c>
      <c r="ET170" s="48">
        <v>30.766553880741299</v>
      </c>
      <c r="EU170" s="48">
        <v>16.459835768995578</v>
      </c>
      <c r="EV170" s="48">
        <v>7757.2898553377727</v>
      </c>
      <c r="EW170" s="48">
        <v>0</v>
      </c>
      <c r="EX170" s="48">
        <v>1.3266826064653057</v>
      </c>
      <c r="EY170" s="48">
        <v>67.765850835143596</v>
      </c>
      <c r="EZ170" s="48">
        <v>0</v>
      </c>
      <c r="FA170" s="48">
        <v>132.26975015801443</v>
      </c>
      <c r="FB170" s="48">
        <v>16.919698290307739</v>
      </c>
      <c r="FC170" s="48">
        <v>170.92262189819374</v>
      </c>
      <c r="FD170" s="48">
        <v>5403.1954808285855</v>
      </c>
      <c r="FE170" s="48">
        <v>97.283235059262083</v>
      </c>
      <c r="FF170" s="48">
        <v>0</v>
      </c>
      <c r="FG170" s="48">
        <v>748.51460825345202</v>
      </c>
      <c r="FH170" s="48">
        <v>380.14220567495698</v>
      </c>
      <c r="FI170" s="48">
        <v>0</v>
      </c>
      <c r="FJ170" s="48">
        <v>6455.268286668671</v>
      </c>
      <c r="FK170" s="48">
        <v>33.398908881488829</v>
      </c>
      <c r="FL170" s="48">
        <v>0</v>
      </c>
      <c r="FM170" s="48">
        <v>414.49891641886148</v>
      </c>
      <c r="FN170" s="48">
        <v>1506.2364709257647</v>
      </c>
      <c r="FO170" s="48">
        <v>2.6975376368048112</v>
      </c>
      <c r="FP170" s="48">
        <v>588.22460065313078</v>
      </c>
      <c r="FQ170" s="48">
        <v>26.492785408852537</v>
      </c>
      <c r="FR170" s="48">
        <v>2798.7611195559361</v>
      </c>
      <c r="FS170" s="48">
        <v>0</v>
      </c>
      <c r="FT170" s="48">
        <v>0</v>
      </c>
      <c r="FU170" s="48">
        <v>0</v>
      </c>
      <c r="FV170" s="48">
        <v>493.08803272051711</v>
      </c>
      <c r="FW170" s="48">
        <v>83.604420679862102</v>
      </c>
      <c r="FX170" s="48">
        <v>53.745608524557454</v>
      </c>
      <c r="FY170" s="48">
        <v>4.8376961972898025</v>
      </c>
      <c r="FZ170" s="48">
        <v>0</v>
      </c>
      <c r="GA170" s="48">
        <v>0.95873188061318049</v>
      </c>
      <c r="GB170" s="48">
        <v>53564.556268792338</v>
      </c>
      <c r="GC170" s="48">
        <v>0</v>
      </c>
      <c r="GD170" s="48">
        <v>0</v>
      </c>
      <c r="GE170" s="48">
        <v>0</v>
      </c>
      <c r="GF170" s="48">
        <v>0</v>
      </c>
      <c r="GG170" s="48">
        <v>11.02939315713218</v>
      </c>
      <c r="GH170" s="48">
        <v>8.253601583736943</v>
      </c>
      <c r="GI170" s="48">
        <v>0</v>
      </c>
      <c r="GJ170" s="48">
        <v>1.0088886952563167</v>
      </c>
      <c r="GK170" s="48">
        <v>1.8383828675053988</v>
      </c>
      <c r="GL170" s="48">
        <v>1.8382411883880276</v>
      </c>
      <c r="GM170" s="48">
        <v>1.8242862172202328</v>
      </c>
      <c r="GN170" s="48">
        <v>0</v>
      </c>
      <c r="GO170" s="48">
        <v>0.91102668097816297</v>
      </c>
      <c r="GP170" s="48">
        <v>0</v>
      </c>
      <c r="GQ170" s="48">
        <v>1.8401520193792567</v>
      </c>
      <c r="GR170" s="48">
        <v>0</v>
      </c>
      <c r="GS170" s="48">
        <v>14794.671667237801</v>
      </c>
      <c r="GT170" s="48">
        <v>15.501981884537297</v>
      </c>
      <c r="GU170" s="48">
        <v>925.06833319489158</v>
      </c>
      <c r="GV170" s="48">
        <v>5.4859462543360298</v>
      </c>
      <c r="GW170" s="48">
        <v>1.7950361108501844</v>
      </c>
      <c r="GX170" s="48">
        <v>78.946196627598042</v>
      </c>
      <c r="GY170" s="48">
        <v>3.6476482879603607</v>
      </c>
      <c r="GZ170" s="48">
        <v>0</v>
      </c>
      <c r="HA170" s="48">
        <v>10.863226218492363</v>
      </c>
      <c r="HB170" s="48">
        <v>0</v>
      </c>
      <c r="HC170" s="48">
        <v>0</v>
      </c>
      <c r="HD170" s="48">
        <v>0</v>
      </c>
      <c r="HE170" s="48">
        <v>0</v>
      </c>
      <c r="HF170" s="48">
        <v>0</v>
      </c>
      <c r="HG170" s="48">
        <v>0</v>
      </c>
      <c r="HH170" s="48">
        <v>0</v>
      </c>
      <c r="HI170" s="48">
        <v>0</v>
      </c>
      <c r="HJ170" s="48">
        <v>0</v>
      </c>
      <c r="HK170" s="48">
        <v>0</v>
      </c>
      <c r="HL170" s="48">
        <v>0</v>
      </c>
      <c r="HM170" s="48">
        <v>0</v>
      </c>
      <c r="HN170" s="48">
        <v>0</v>
      </c>
      <c r="HO170" s="48">
        <v>0</v>
      </c>
      <c r="HP170" s="48">
        <v>0</v>
      </c>
      <c r="HQ170" s="48">
        <v>0</v>
      </c>
      <c r="HR170" s="48">
        <v>0</v>
      </c>
      <c r="HS170" s="48">
        <v>0</v>
      </c>
      <c r="HT170" s="48">
        <v>0</v>
      </c>
      <c r="HU170" s="48">
        <v>0</v>
      </c>
      <c r="HV170" s="48">
        <v>0</v>
      </c>
      <c r="HW170" s="48">
        <v>0.91143355870150888</v>
      </c>
      <c r="HX170" s="48">
        <v>0</v>
      </c>
      <c r="HY170" s="48">
        <v>0</v>
      </c>
      <c r="HZ170" s="48">
        <v>0</v>
      </c>
      <c r="IA170" s="48">
        <v>0</v>
      </c>
      <c r="IB170" s="48">
        <v>0</v>
      </c>
      <c r="IC170" s="48">
        <v>17.393210834114253</v>
      </c>
      <c r="ID170" s="48">
        <v>10.970142142109859</v>
      </c>
      <c r="IE170" s="48">
        <v>7.307449152088255</v>
      </c>
      <c r="IF170" s="48">
        <v>0.91457546481510077</v>
      </c>
      <c r="IG170" s="48">
        <v>206.68273325702242</v>
      </c>
      <c r="IH170" s="48">
        <v>14.558692037157449</v>
      </c>
      <c r="II170" s="48">
        <v>4.5138260055477541</v>
      </c>
      <c r="IJ170" s="48">
        <v>391.97914443563315</v>
      </c>
      <c r="IK170" s="48">
        <v>7.6143207122872454</v>
      </c>
      <c r="IL170" s="48">
        <v>12.791691589039996</v>
      </c>
      <c r="IM170" s="48">
        <v>16.256403635539026</v>
      </c>
      <c r="IN170" s="48">
        <v>8.2289808741547521</v>
      </c>
      <c r="IO170" s="48">
        <v>0</v>
      </c>
      <c r="IP170" s="23">
        <v>189075.99999999977</v>
      </c>
      <c r="IQ170" s="25">
        <v>226773</v>
      </c>
      <c r="IR170" s="25">
        <v>0</v>
      </c>
      <c r="IS170" s="26">
        <v>0</v>
      </c>
      <c r="IT170" s="26">
        <v>21877</v>
      </c>
      <c r="IU170" s="26">
        <v>-5950</v>
      </c>
      <c r="IV170" s="9">
        <v>42366</v>
      </c>
      <c r="IW170" s="38">
        <f t="shared" si="13"/>
        <v>474141.99999999977</v>
      </c>
    </row>
    <row r="171" spans="1:257" ht="30" customHeight="1" x14ac:dyDescent="0.25">
      <c r="A171" s="112" t="b">
        <v>0</v>
      </c>
      <c r="B171" s="113" t="str">
        <f>IFERROR(VLOOKUP(C171,'Bridge matrix'!$D$3:$E$727,2,FALSE)='symmetric IOT 245 2012'!D171,"FALSCH")</f>
        <v>FALSCH</v>
      </c>
      <c r="C171" s="108">
        <v>160</v>
      </c>
      <c r="D171" s="49" t="s">
        <v>1478</v>
      </c>
      <c r="E171" s="48">
        <v>0</v>
      </c>
      <c r="F171" s="48">
        <v>0</v>
      </c>
      <c r="G171" s="48">
        <v>0</v>
      </c>
      <c r="H171" s="48">
        <v>0</v>
      </c>
      <c r="I171" s="48">
        <v>0</v>
      </c>
      <c r="J171" s="48">
        <v>0</v>
      </c>
      <c r="K171" s="48">
        <v>0</v>
      </c>
      <c r="L171" s="48">
        <v>0</v>
      </c>
      <c r="M171" s="48">
        <v>0</v>
      </c>
      <c r="N171" s="48">
        <v>0</v>
      </c>
      <c r="O171" s="48">
        <v>0</v>
      </c>
      <c r="P171" s="48">
        <v>0</v>
      </c>
      <c r="Q171" s="48">
        <v>0</v>
      </c>
      <c r="R171" s="48">
        <v>0</v>
      </c>
      <c r="S171" s="48">
        <v>0</v>
      </c>
      <c r="T171" s="48">
        <v>0</v>
      </c>
      <c r="U171" s="48">
        <v>0</v>
      </c>
      <c r="V171" s="48">
        <v>0</v>
      </c>
      <c r="W171" s="48">
        <v>0</v>
      </c>
      <c r="X171" s="48">
        <v>0</v>
      </c>
      <c r="Y171" s="48">
        <v>0</v>
      </c>
      <c r="Z171" s="48">
        <v>0</v>
      </c>
      <c r="AA171" s="48">
        <v>0</v>
      </c>
      <c r="AB171" s="48">
        <v>0</v>
      </c>
      <c r="AC171" s="48">
        <v>0</v>
      </c>
      <c r="AD171" s="48">
        <v>0</v>
      </c>
      <c r="AE171" s="48">
        <v>0</v>
      </c>
      <c r="AF171" s="48">
        <v>0</v>
      </c>
      <c r="AG171" s="48">
        <v>0</v>
      </c>
      <c r="AH171" s="48">
        <v>0</v>
      </c>
      <c r="AI171" s="48">
        <v>0</v>
      </c>
      <c r="AJ171" s="48">
        <v>0</v>
      </c>
      <c r="AK171" s="48">
        <v>0</v>
      </c>
      <c r="AL171" s="48">
        <v>0</v>
      </c>
      <c r="AM171" s="48">
        <v>0</v>
      </c>
      <c r="AN171" s="48">
        <v>0</v>
      </c>
      <c r="AO171" s="48">
        <v>0</v>
      </c>
      <c r="AP171" s="48">
        <v>0</v>
      </c>
      <c r="AQ171" s="48">
        <v>0</v>
      </c>
      <c r="AR171" s="48">
        <v>0</v>
      </c>
      <c r="AS171" s="48">
        <v>0</v>
      </c>
      <c r="AT171" s="48">
        <v>0</v>
      </c>
      <c r="AU171" s="48">
        <v>0</v>
      </c>
      <c r="AV171" s="48">
        <v>0</v>
      </c>
      <c r="AW171" s="48">
        <v>0</v>
      </c>
      <c r="AX171" s="48">
        <v>0</v>
      </c>
      <c r="AY171" s="48">
        <v>0</v>
      </c>
      <c r="AZ171" s="48">
        <v>0</v>
      </c>
      <c r="BA171" s="48">
        <v>0</v>
      </c>
      <c r="BB171" s="48">
        <v>0</v>
      </c>
      <c r="BC171" s="48">
        <v>0</v>
      </c>
      <c r="BD171" s="48">
        <v>0</v>
      </c>
      <c r="BE171" s="48">
        <v>0</v>
      </c>
      <c r="BF171" s="48">
        <v>0</v>
      </c>
      <c r="BG171" s="48">
        <v>0</v>
      </c>
      <c r="BH171" s="48">
        <v>0</v>
      </c>
      <c r="BI171" s="48">
        <v>0</v>
      </c>
      <c r="BJ171" s="48">
        <v>0</v>
      </c>
      <c r="BK171" s="48">
        <v>0</v>
      </c>
      <c r="BL171" s="48">
        <v>0</v>
      </c>
      <c r="BM171" s="48">
        <v>0</v>
      </c>
      <c r="BN171" s="48">
        <v>0</v>
      </c>
      <c r="BO171" s="48">
        <v>0</v>
      </c>
      <c r="BP171" s="48">
        <v>0</v>
      </c>
      <c r="BQ171" s="48">
        <v>0</v>
      </c>
      <c r="BR171" s="48">
        <v>0</v>
      </c>
      <c r="BS171" s="48">
        <v>0</v>
      </c>
      <c r="BT171" s="48">
        <v>0</v>
      </c>
      <c r="BU171" s="48">
        <v>1.229891712600959</v>
      </c>
      <c r="BV171" s="48">
        <v>0</v>
      </c>
      <c r="BW171" s="48">
        <v>0</v>
      </c>
      <c r="BX171" s="48">
        <v>0</v>
      </c>
      <c r="BY171" s="48">
        <v>0</v>
      </c>
      <c r="BZ171" s="48">
        <v>0</v>
      </c>
      <c r="CA171" s="48">
        <v>0</v>
      </c>
      <c r="CB171" s="48">
        <v>0</v>
      </c>
      <c r="CC171" s="48">
        <v>0</v>
      </c>
      <c r="CD171" s="48">
        <v>0</v>
      </c>
      <c r="CE171" s="48">
        <v>0</v>
      </c>
      <c r="CF171" s="48">
        <v>0</v>
      </c>
      <c r="CG171" s="48">
        <v>0</v>
      </c>
      <c r="CH171" s="48">
        <v>0</v>
      </c>
      <c r="CI171" s="48">
        <v>2.0771546545007031</v>
      </c>
      <c r="CJ171" s="48">
        <v>1.4849536724277939</v>
      </c>
      <c r="CK171" s="48">
        <v>0</v>
      </c>
      <c r="CL171" s="48">
        <v>1.0308204162738974</v>
      </c>
      <c r="CM171" s="48">
        <v>0.6148694676929245</v>
      </c>
      <c r="CN171" s="48">
        <v>0</v>
      </c>
      <c r="CO171" s="48">
        <v>259.65014717952346</v>
      </c>
      <c r="CP171" s="48">
        <v>25.334183193015399</v>
      </c>
      <c r="CQ171" s="48">
        <v>98.30057894079107</v>
      </c>
      <c r="CR171" s="48">
        <v>0</v>
      </c>
      <c r="CS171" s="48">
        <v>0</v>
      </c>
      <c r="CT171" s="48">
        <v>3.276765276519298E-5</v>
      </c>
      <c r="CU171" s="48">
        <v>0</v>
      </c>
      <c r="CV171" s="48">
        <v>3.5847227777564264E-3</v>
      </c>
      <c r="CW171" s="48">
        <v>0</v>
      </c>
      <c r="CX171" s="48">
        <v>3.0499555255485664E-6</v>
      </c>
      <c r="CY171" s="48">
        <v>0</v>
      </c>
      <c r="CZ171" s="48">
        <v>0</v>
      </c>
      <c r="DA171" s="48">
        <v>1.2344758237177068E-7</v>
      </c>
      <c r="DB171" s="48">
        <v>0</v>
      </c>
      <c r="DC171" s="48">
        <v>1.4674949647817591E-5</v>
      </c>
      <c r="DD171" s="48">
        <v>0</v>
      </c>
      <c r="DE171" s="48">
        <v>0</v>
      </c>
      <c r="DF171" s="48">
        <v>0</v>
      </c>
      <c r="DG171" s="48">
        <v>0</v>
      </c>
      <c r="DH171" s="48">
        <v>0</v>
      </c>
      <c r="DI171" s="48">
        <v>0</v>
      </c>
      <c r="DJ171" s="48">
        <v>0</v>
      </c>
      <c r="DK171" s="48">
        <v>0</v>
      </c>
      <c r="DL171" s="48">
        <v>0.13388884423173944</v>
      </c>
      <c r="DM171" s="48">
        <v>0</v>
      </c>
      <c r="DN171" s="48">
        <v>0</v>
      </c>
      <c r="DO171" s="48">
        <v>0</v>
      </c>
      <c r="DP171" s="48">
        <v>0</v>
      </c>
      <c r="DQ171" s="48">
        <v>0</v>
      </c>
      <c r="DR171" s="48">
        <v>5167.1796753189892</v>
      </c>
      <c r="DS171" s="48">
        <v>2096.0395661238135</v>
      </c>
      <c r="DT171" s="48">
        <v>240.37954328129874</v>
      </c>
      <c r="DU171" s="48">
        <v>119.93373077525789</v>
      </c>
      <c r="DV171" s="48">
        <v>1779.4945926058406</v>
      </c>
      <c r="DW171" s="48">
        <v>0</v>
      </c>
      <c r="DX171" s="48">
        <v>0</v>
      </c>
      <c r="DY171" s="48">
        <v>0</v>
      </c>
      <c r="DZ171" s="48">
        <v>0</v>
      </c>
      <c r="EA171" s="48">
        <v>0</v>
      </c>
      <c r="EB171" s="48">
        <v>15.241182811411154</v>
      </c>
      <c r="EC171" s="48">
        <v>0.44531745088202856</v>
      </c>
      <c r="ED171" s="48">
        <v>0</v>
      </c>
      <c r="EE171" s="48">
        <v>0</v>
      </c>
      <c r="EF171" s="48">
        <v>0</v>
      </c>
      <c r="EG171" s="48">
        <v>0</v>
      </c>
      <c r="EH171" s="48">
        <v>0</v>
      </c>
      <c r="EI171" s="48">
        <v>1.4615427861430919</v>
      </c>
      <c r="EJ171" s="48">
        <v>0</v>
      </c>
      <c r="EK171" s="48">
        <v>0</v>
      </c>
      <c r="EL171" s="48">
        <v>0</v>
      </c>
      <c r="EM171" s="48">
        <v>0</v>
      </c>
      <c r="EN171" s="48">
        <v>0</v>
      </c>
      <c r="EO171" s="48">
        <v>0</v>
      </c>
      <c r="EP171" s="48">
        <v>284.80486220489882</v>
      </c>
      <c r="EQ171" s="48">
        <v>0</v>
      </c>
      <c r="ER171" s="48">
        <v>1399.8501972289607</v>
      </c>
      <c r="ES171" s="48">
        <v>156.35315813432388</v>
      </c>
      <c r="ET171" s="48">
        <v>0</v>
      </c>
      <c r="EU171" s="48">
        <v>226.27575235488996</v>
      </c>
      <c r="EV171" s="48">
        <v>201.2737227471643</v>
      </c>
      <c r="EW171" s="48">
        <v>852.74102239715921</v>
      </c>
      <c r="EX171" s="48">
        <v>4691.8429781807881</v>
      </c>
      <c r="EY171" s="48">
        <v>311.17391403714146</v>
      </c>
      <c r="EZ171" s="48">
        <v>320.50528950570668</v>
      </c>
      <c r="FA171" s="48">
        <v>554.72734406699169</v>
      </c>
      <c r="FB171" s="48">
        <v>0.1329128254926536</v>
      </c>
      <c r="FC171" s="48">
        <v>0</v>
      </c>
      <c r="FD171" s="48">
        <v>815.06053448434795</v>
      </c>
      <c r="FE171" s="48">
        <v>0</v>
      </c>
      <c r="FF171" s="48">
        <v>0</v>
      </c>
      <c r="FG171" s="48">
        <v>0</v>
      </c>
      <c r="FH171" s="48">
        <v>12692.136996229015</v>
      </c>
      <c r="FI171" s="48">
        <v>7523.6846982630941</v>
      </c>
      <c r="FJ171" s="48">
        <v>8483.7882981491548</v>
      </c>
      <c r="FK171" s="48">
        <v>2481.8359462602775</v>
      </c>
      <c r="FL171" s="48">
        <v>90.261349823296243</v>
      </c>
      <c r="FM171" s="48">
        <v>7959.2492691630159</v>
      </c>
      <c r="FN171" s="48">
        <v>1925.9424594653749</v>
      </c>
      <c r="FO171" s="48">
        <v>1112.5032476145127</v>
      </c>
      <c r="FP171" s="48">
        <v>0</v>
      </c>
      <c r="FQ171" s="48">
        <v>0</v>
      </c>
      <c r="FR171" s="48">
        <v>0</v>
      </c>
      <c r="FS171" s="48">
        <v>5385.5764537848863</v>
      </c>
      <c r="FT171" s="48">
        <v>1384.0052069285209</v>
      </c>
      <c r="FU171" s="48">
        <v>10456.740325396893</v>
      </c>
      <c r="FV171" s="48">
        <v>38605.210924517822</v>
      </c>
      <c r="FW171" s="48">
        <v>622.7306761180829</v>
      </c>
      <c r="FX171" s="48">
        <v>1312.5648392187868</v>
      </c>
      <c r="FY171" s="48">
        <v>49.824461481370406</v>
      </c>
      <c r="FZ171" s="48">
        <v>1.2235398100516628</v>
      </c>
      <c r="GA171" s="48">
        <v>10.258891880891358</v>
      </c>
      <c r="GB171" s="48">
        <v>0</v>
      </c>
      <c r="GC171" s="48">
        <v>0</v>
      </c>
      <c r="GD171" s="48">
        <v>0</v>
      </c>
      <c r="GE171" s="48">
        <v>0</v>
      </c>
      <c r="GF171" s="48">
        <v>0</v>
      </c>
      <c r="GG171" s="48">
        <v>14.752475926649986</v>
      </c>
      <c r="GH171" s="48">
        <v>12.87963593528138</v>
      </c>
      <c r="GI171" s="48">
        <v>0</v>
      </c>
      <c r="GJ171" s="48">
        <v>1.3494492378135616</v>
      </c>
      <c r="GK171" s="48">
        <v>3.6884212862565473</v>
      </c>
      <c r="GL171" s="48">
        <v>3.6881370297604863</v>
      </c>
      <c r="GM171" s="48">
        <v>2.4400924075734438</v>
      </c>
      <c r="GN171" s="48">
        <v>0</v>
      </c>
      <c r="GO171" s="48">
        <v>0.60927645738039482</v>
      </c>
      <c r="GP171" s="48">
        <v>0.61532192530284202</v>
      </c>
      <c r="GQ171" s="48">
        <v>3.0766423388527766</v>
      </c>
      <c r="GR171" s="48">
        <v>0</v>
      </c>
      <c r="GS171" s="48">
        <v>0</v>
      </c>
      <c r="GT171" s="48">
        <v>0</v>
      </c>
      <c r="GU171" s="48">
        <v>0</v>
      </c>
      <c r="GV171" s="48">
        <v>0</v>
      </c>
      <c r="GW171" s="48">
        <v>0</v>
      </c>
      <c r="GX171" s="48">
        <v>0</v>
      </c>
      <c r="GY171" s="48">
        <v>0</v>
      </c>
      <c r="GZ171" s="48">
        <v>0</v>
      </c>
      <c r="HA171" s="48">
        <v>0</v>
      </c>
      <c r="HB171" s="48">
        <v>0</v>
      </c>
      <c r="HC171" s="48">
        <v>0</v>
      </c>
      <c r="HD171" s="48">
        <v>0</v>
      </c>
      <c r="HE171" s="48">
        <v>0</v>
      </c>
      <c r="HF171" s="48">
        <v>0</v>
      </c>
      <c r="HG171" s="48">
        <v>0</v>
      </c>
      <c r="HH171" s="48">
        <v>0</v>
      </c>
      <c r="HI171" s="48">
        <v>0</v>
      </c>
      <c r="HJ171" s="48">
        <v>0</v>
      </c>
      <c r="HK171" s="48">
        <v>0</v>
      </c>
      <c r="HL171" s="48">
        <v>0</v>
      </c>
      <c r="HM171" s="48">
        <v>0</v>
      </c>
      <c r="HN171" s="48">
        <v>0</v>
      </c>
      <c r="HO171" s="48">
        <v>0</v>
      </c>
      <c r="HP171" s="48">
        <v>0</v>
      </c>
      <c r="HQ171" s="48">
        <v>0</v>
      </c>
      <c r="HR171" s="48">
        <v>0</v>
      </c>
      <c r="HS171" s="48">
        <v>0</v>
      </c>
      <c r="HT171" s="48">
        <v>0</v>
      </c>
      <c r="HU171" s="48">
        <v>0</v>
      </c>
      <c r="HV171" s="48">
        <v>0</v>
      </c>
      <c r="HW171" s="48">
        <v>0</v>
      </c>
      <c r="HX171" s="48">
        <v>0</v>
      </c>
      <c r="HY171" s="48">
        <v>0</v>
      </c>
      <c r="HZ171" s="48">
        <v>0</v>
      </c>
      <c r="IA171" s="48">
        <v>0</v>
      </c>
      <c r="IB171" s="48">
        <v>0</v>
      </c>
      <c r="IC171" s="48">
        <v>0</v>
      </c>
      <c r="ID171" s="48">
        <v>0</v>
      </c>
      <c r="IE171" s="48">
        <v>0</v>
      </c>
      <c r="IF171" s="48">
        <v>0</v>
      </c>
      <c r="IG171" s="48">
        <v>2672.154327803843</v>
      </c>
      <c r="IH171" s="48">
        <v>192.13483528234974</v>
      </c>
      <c r="II171" s="48">
        <v>58.563880423143004</v>
      </c>
      <c r="IJ171" s="48">
        <v>0</v>
      </c>
      <c r="IK171" s="48">
        <v>8.9487671734323211</v>
      </c>
      <c r="IL171" s="48">
        <v>15.276478524569809</v>
      </c>
      <c r="IM171" s="48">
        <v>18.72392805294173</v>
      </c>
      <c r="IN171" s="48">
        <v>9.7837833479092531</v>
      </c>
      <c r="IO171" s="48">
        <v>0</v>
      </c>
      <c r="IP171" s="23">
        <v>122740.99999999946</v>
      </c>
      <c r="IQ171" s="25">
        <v>0</v>
      </c>
      <c r="IR171" s="25">
        <v>0</v>
      </c>
      <c r="IS171" s="26">
        <v>0</v>
      </c>
      <c r="IT171" s="26">
        <v>199832</v>
      </c>
      <c r="IU171" s="26">
        <v>15620</v>
      </c>
      <c r="IV171" s="9">
        <v>33341</v>
      </c>
      <c r="IW171" s="38">
        <f t="shared" si="13"/>
        <v>371533.99999999948</v>
      </c>
    </row>
    <row r="172" spans="1:257" ht="30" customHeight="1" x14ac:dyDescent="0.25">
      <c r="A172" s="112" t="b">
        <v>0</v>
      </c>
      <c r="B172" s="113" t="str">
        <f>IFERROR(VLOOKUP(C172,'Bridge matrix'!$D$3:$E$727,2,FALSE)='symmetric IOT 245 2012'!D172,"FALSCH")</f>
        <v>FALSCH</v>
      </c>
      <c r="C172" s="108">
        <v>161</v>
      </c>
      <c r="D172" s="49" t="s">
        <v>1479</v>
      </c>
      <c r="E172" s="48">
        <v>1.4277249378296211</v>
      </c>
      <c r="F172" s="48">
        <v>0</v>
      </c>
      <c r="G172" s="48">
        <v>0.72149513756612738</v>
      </c>
      <c r="H172" s="48">
        <v>0.7302427625515544</v>
      </c>
      <c r="I172" s="48">
        <v>4.3831545054295162</v>
      </c>
      <c r="J172" s="48">
        <v>14.609579169166128</v>
      </c>
      <c r="K172" s="48">
        <v>32.148259893001423</v>
      </c>
      <c r="L172" s="48">
        <v>1.4606444393733349</v>
      </c>
      <c r="M172" s="48">
        <v>0</v>
      </c>
      <c r="N172" s="48">
        <v>0</v>
      </c>
      <c r="O172" s="48">
        <v>11.638298369239402</v>
      </c>
      <c r="P172" s="48">
        <v>0</v>
      </c>
      <c r="Q172" s="48">
        <v>0</v>
      </c>
      <c r="R172" s="48">
        <v>0</v>
      </c>
      <c r="S172" s="48">
        <v>0</v>
      </c>
      <c r="T172" s="48">
        <v>1.4616786170529725</v>
      </c>
      <c r="U172" s="48">
        <v>0</v>
      </c>
      <c r="V172" s="48">
        <v>0.73079283285869168</v>
      </c>
      <c r="W172" s="48">
        <v>0.73052169855290905</v>
      </c>
      <c r="X172" s="48">
        <v>0</v>
      </c>
      <c r="Y172" s="48">
        <v>0.73097969497029691</v>
      </c>
      <c r="Z172" s="48">
        <v>0.73522413955231569</v>
      </c>
      <c r="AA172" s="48">
        <v>0</v>
      </c>
      <c r="AB172" s="48">
        <v>0</v>
      </c>
      <c r="AC172" s="48">
        <v>0</v>
      </c>
      <c r="AD172" s="48">
        <v>0</v>
      </c>
      <c r="AE172" s="48">
        <v>0</v>
      </c>
      <c r="AF172" s="48">
        <v>0</v>
      </c>
      <c r="AG172" s="48">
        <v>0.73156887900999445</v>
      </c>
      <c r="AH172" s="48">
        <v>0.73057357549875024</v>
      </c>
      <c r="AI172" s="48">
        <v>0.7305767475463868</v>
      </c>
      <c r="AJ172" s="48">
        <v>0.73074498824030465</v>
      </c>
      <c r="AK172" s="48">
        <v>1.4611428448816954</v>
      </c>
      <c r="AL172" s="48">
        <v>0</v>
      </c>
      <c r="AM172" s="48">
        <v>0</v>
      </c>
      <c r="AN172" s="48">
        <v>0</v>
      </c>
      <c r="AO172" s="48">
        <v>0</v>
      </c>
      <c r="AP172" s="48">
        <v>0.73136831070554409</v>
      </c>
      <c r="AQ172" s="48">
        <v>0</v>
      </c>
      <c r="AR172" s="48">
        <v>0.73057625871126453</v>
      </c>
      <c r="AS172" s="48">
        <v>0.74273853482324004</v>
      </c>
      <c r="AT172" s="48">
        <v>2.2417017551386045</v>
      </c>
      <c r="AU172" s="48">
        <v>0</v>
      </c>
      <c r="AV172" s="48">
        <v>0</v>
      </c>
      <c r="AW172" s="48">
        <v>0</v>
      </c>
      <c r="AX172" s="48">
        <v>4.3942685263491823</v>
      </c>
      <c r="AY172" s="48">
        <v>0.73252737956744152</v>
      </c>
      <c r="AZ172" s="48">
        <v>0.73241048302395562</v>
      </c>
      <c r="BA172" s="48">
        <v>0</v>
      </c>
      <c r="BB172" s="48">
        <v>4.3963318798043147</v>
      </c>
      <c r="BC172" s="48">
        <v>0.73947086318835986</v>
      </c>
      <c r="BD172" s="48">
        <v>0</v>
      </c>
      <c r="BE172" s="48">
        <v>547.27149504943941</v>
      </c>
      <c r="BF172" s="48">
        <v>17.794611907587171</v>
      </c>
      <c r="BG172" s="48">
        <v>1.4895069646573154</v>
      </c>
      <c r="BH172" s="48">
        <v>110.32035386062516</v>
      </c>
      <c r="BI172" s="48">
        <v>13.419949626499015</v>
      </c>
      <c r="BJ172" s="48">
        <v>85.40461552032302</v>
      </c>
      <c r="BK172" s="48">
        <v>16.994129034636625</v>
      </c>
      <c r="BL172" s="48">
        <v>0</v>
      </c>
      <c r="BM172" s="48">
        <v>48.735654819748717</v>
      </c>
      <c r="BN172" s="48">
        <v>4.310195565928673</v>
      </c>
      <c r="BO172" s="48">
        <v>0</v>
      </c>
      <c r="BP172" s="48">
        <v>0</v>
      </c>
      <c r="BQ172" s="48">
        <v>0</v>
      </c>
      <c r="BR172" s="48">
        <v>0</v>
      </c>
      <c r="BS172" s="48">
        <v>0</v>
      </c>
      <c r="BT172" s="48">
        <v>0</v>
      </c>
      <c r="BU172" s="48">
        <v>0</v>
      </c>
      <c r="BV172" s="48">
        <v>0</v>
      </c>
      <c r="BW172" s="48">
        <v>0</v>
      </c>
      <c r="BX172" s="48">
        <v>0</v>
      </c>
      <c r="BY172" s="48">
        <v>0</v>
      </c>
      <c r="BZ172" s="48">
        <v>0</v>
      </c>
      <c r="CA172" s="48">
        <v>0</v>
      </c>
      <c r="CB172" s="48">
        <v>0</v>
      </c>
      <c r="CC172" s="48">
        <v>0</v>
      </c>
      <c r="CD172" s="48">
        <v>0</v>
      </c>
      <c r="CE172" s="48">
        <v>0</v>
      </c>
      <c r="CF172" s="48">
        <v>0</v>
      </c>
      <c r="CG172" s="48">
        <v>1443.0138523616602</v>
      </c>
      <c r="CH172" s="48">
        <v>0</v>
      </c>
      <c r="CI172" s="48">
        <v>0</v>
      </c>
      <c r="CJ172" s="48">
        <v>0</v>
      </c>
      <c r="CK172" s="48">
        <v>0</v>
      </c>
      <c r="CL172" s="48">
        <v>0</v>
      </c>
      <c r="CM172" s="48">
        <v>0</v>
      </c>
      <c r="CN172" s="48">
        <v>0.79238094449697416</v>
      </c>
      <c r="CO172" s="48">
        <v>0</v>
      </c>
      <c r="CP172" s="48">
        <v>0</v>
      </c>
      <c r="CQ172" s="48">
        <v>0</v>
      </c>
      <c r="CR172" s="48">
        <v>0</v>
      </c>
      <c r="CS172" s="48">
        <v>15.6589832308937</v>
      </c>
      <c r="CT172" s="48">
        <v>73.503618322506526</v>
      </c>
      <c r="CU172" s="48">
        <v>63.960349113718678</v>
      </c>
      <c r="CV172" s="48">
        <v>80.395023708398213</v>
      </c>
      <c r="CW172" s="48">
        <v>9.1512033737518355</v>
      </c>
      <c r="CX172" s="48">
        <v>523.43731627581155</v>
      </c>
      <c r="CY172" s="48">
        <v>550.23699529011344</v>
      </c>
      <c r="CZ172" s="48">
        <v>228.28065840461321</v>
      </c>
      <c r="DA172" s="48">
        <v>674.41229916950772</v>
      </c>
      <c r="DB172" s="48">
        <v>54.643158867848236</v>
      </c>
      <c r="DC172" s="48">
        <v>3.870450902171227</v>
      </c>
      <c r="DD172" s="48">
        <v>1123.2090590128769</v>
      </c>
      <c r="DE172" s="48">
        <v>142.32295906647244</v>
      </c>
      <c r="DF172" s="48">
        <v>1269.0674939425946</v>
      </c>
      <c r="DG172" s="48">
        <v>131.55737516048097</v>
      </c>
      <c r="DH172" s="48">
        <v>65.45720449066792</v>
      </c>
      <c r="DI172" s="48">
        <v>67.191523982662233</v>
      </c>
      <c r="DJ172" s="48">
        <v>0</v>
      </c>
      <c r="DK172" s="48">
        <v>1.0064318820682745</v>
      </c>
      <c r="DL172" s="48">
        <v>0</v>
      </c>
      <c r="DM172" s="48">
        <v>0</v>
      </c>
      <c r="DN172" s="48">
        <v>0</v>
      </c>
      <c r="DO172" s="48">
        <v>0</v>
      </c>
      <c r="DP172" s="48">
        <v>0</v>
      </c>
      <c r="DQ172" s="48">
        <v>0</v>
      </c>
      <c r="DR172" s="48">
        <v>0</v>
      </c>
      <c r="DS172" s="48">
        <v>0</v>
      </c>
      <c r="DT172" s="48">
        <v>0</v>
      </c>
      <c r="DU172" s="48">
        <v>0</v>
      </c>
      <c r="DV172" s="48">
        <v>0</v>
      </c>
      <c r="DW172" s="48">
        <v>1247.4743833156219</v>
      </c>
      <c r="DX172" s="48">
        <v>622.02253640750007</v>
      </c>
      <c r="DY172" s="48">
        <v>89.192574620680588</v>
      </c>
      <c r="DZ172" s="48">
        <v>78.777341301872184</v>
      </c>
      <c r="EA172" s="48">
        <v>165.33884634638108</v>
      </c>
      <c r="EB172" s="48">
        <v>111.22389295410541</v>
      </c>
      <c r="EC172" s="48">
        <v>455.54044066345637</v>
      </c>
      <c r="ED172" s="48">
        <v>0</v>
      </c>
      <c r="EE172" s="48">
        <v>0</v>
      </c>
      <c r="EF172" s="48">
        <v>0</v>
      </c>
      <c r="EG172" s="48">
        <v>0</v>
      </c>
      <c r="EH172" s="48">
        <v>0</v>
      </c>
      <c r="EI172" s="48">
        <v>0</v>
      </c>
      <c r="EJ172" s="48">
        <v>0</v>
      </c>
      <c r="EK172" s="48">
        <v>0</v>
      </c>
      <c r="EL172" s="48">
        <v>0.16060378406177117</v>
      </c>
      <c r="EM172" s="48">
        <v>0.11287018898697178</v>
      </c>
      <c r="EN172" s="48">
        <v>0.20246440847568506</v>
      </c>
      <c r="EO172" s="48">
        <v>0</v>
      </c>
      <c r="EP172" s="48">
        <v>1.2352092678510667E-5</v>
      </c>
      <c r="EQ172" s="48">
        <v>0</v>
      </c>
      <c r="ER172" s="48">
        <v>0</v>
      </c>
      <c r="ES172" s="48">
        <v>1.2668966625109461E-3</v>
      </c>
      <c r="ET172" s="48">
        <v>0</v>
      </c>
      <c r="EU172" s="48">
        <v>0</v>
      </c>
      <c r="EV172" s="48">
        <v>0</v>
      </c>
      <c r="EW172" s="48">
        <v>0</v>
      </c>
      <c r="EX172" s="48">
        <v>0</v>
      </c>
      <c r="EY172" s="48">
        <v>0</v>
      </c>
      <c r="EZ172" s="48">
        <v>0</v>
      </c>
      <c r="FA172" s="48">
        <v>443.51891432148966</v>
      </c>
      <c r="FB172" s="48">
        <v>0</v>
      </c>
      <c r="FC172" s="48">
        <v>0</v>
      </c>
      <c r="FD172" s="48">
        <v>0</v>
      </c>
      <c r="FE172" s="48">
        <v>0</v>
      </c>
      <c r="FF172" s="48">
        <v>0</v>
      </c>
      <c r="FG172" s="48">
        <v>529.02668265706359</v>
      </c>
      <c r="FH172" s="48">
        <v>0</v>
      </c>
      <c r="FI172" s="48">
        <v>385.6089058019582</v>
      </c>
      <c r="FJ172" s="48">
        <v>0</v>
      </c>
      <c r="FK172" s="48">
        <v>128.07180895564298</v>
      </c>
      <c r="FL172" s="48">
        <v>0</v>
      </c>
      <c r="FM172" s="48">
        <v>0</v>
      </c>
      <c r="FN172" s="48">
        <v>0</v>
      </c>
      <c r="FO172" s="48">
        <v>0</v>
      </c>
      <c r="FP172" s="48">
        <v>134.63162739525262</v>
      </c>
      <c r="FQ172" s="48">
        <v>0</v>
      </c>
      <c r="FR172" s="48">
        <v>0</v>
      </c>
      <c r="FS172" s="48">
        <v>0</v>
      </c>
      <c r="FT172" s="48">
        <v>1.1996064093530864E-5</v>
      </c>
      <c r="FU172" s="48">
        <v>0</v>
      </c>
      <c r="FV172" s="48">
        <v>6470.975116220392</v>
      </c>
      <c r="FW172" s="48">
        <v>76.37594706033093</v>
      </c>
      <c r="FX172" s="48">
        <v>161.43406587514497</v>
      </c>
      <c r="FY172" s="48">
        <v>81.471174806263335</v>
      </c>
      <c r="FZ172" s="48">
        <v>1.4533303056825329</v>
      </c>
      <c r="GA172" s="48">
        <v>16.755190744313957</v>
      </c>
      <c r="GB172" s="48">
        <v>0</v>
      </c>
      <c r="GC172" s="48">
        <v>0</v>
      </c>
      <c r="GD172" s="48">
        <v>0</v>
      </c>
      <c r="GE172" s="48">
        <v>0</v>
      </c>
      <c r="GF172" s="48">
        <v>0</v>
      </c>
      <c r="GG172" s="48">
        <v>0</v>
      </c>
      <c r="GH172" s="48">
        <v>0</v>
      </c>
      <c r="GI172" s="48">
        <v>0</v>
      </c>
      <c r="GJ172" s="48">
        <v>0</v>
      </c>
      <c r="GK172" s="48">
        <v>0</v>
      </c>
      <c r="GL172" s="48">
        <v>0</v>
      </c>
      <c r="GM172" s="48">
        <v>0</v>
      </c>
      <c r="GN172" s="48">
        <v>0</v>
      </c>
      <c r="GO172" s="48">
        <v>0</v>
      </c>
      <c r="GP172" s="48">
        <v>0</v>
      </c>
      <c r="GQ172" s="48">
        <v>0</v>
      </c>
      <c r="GR172" s="48">
        <v>0</v>
      </c>
      <c r="GS172" s="48">
        <v>0</v>
      </c>
      <c r="GT172" s="48">
        <v>0</v>
      </c>
      <c r="GU172" s="48">
        <v>0</v>
      </c>
      <c r="GV172" s="48">
        <v>0</v>
      </c>
      <c r="GW172" s="48">
        <v>0</v>
      </c>
      <c r="GX172" s="48">
        <v>0</v>
      </c>
      <c r="GY172" s="48">
        <v>0</v>
      </c>
      <c r="GZ172" s="48">
        <v>0</v>
      </c>
      <c r="HA172" s="48">
        <v>0</v>
      </c>
      <c r="HB172" s="48">
        <v>0</v>
      </c>
      <c r="HC172" s="48">
        <v>0</v>
      </c>
      <c r="HD172" s="48">
        <v>0</v>
      </c>
      <c r="HE172" s="48">
        <v>0</v>
      </c>
      <c r="HF172" s="48">
        <v>0</v>
      </c>
      <c r="HG172" s="48">
        <v>0</v>
      </c>
      <c r="HH172" s="48">
        <v>0</v>
      </c>
      <c r="HI172" s="48">
        <v>0</v>
      </c>
      <c r="HJ172" s="48">
        <v>0</v>
      </c>
      <c r="HK172" s="48">
        <v>0</v>
      </c>
      <c r="HL172" s="48">
        <v>0</v>
      </c>
      <c r="HM172" s="48">
        <v>0</v>
      </c>
      <c r="HN172" s="48">
        <v>0</v>
      </c>
      <c r="HO172" s="48">
        <v>0</v>
      </c>
      <c r="HP172" s="48">
        <v>0</v>
      </c>
      <c r="HQ172" s="48">
        <v>0</v>
      </c>
      <c r="HR172" s="48">
        <v>0</v>
      </c>
      <c r="HS172" s="48">
        <v>0</v>
      </c>
      <c r="HT172" s="48">
        <v>0</v>
      </c>
      <c r="HU172" s="48">
        <v>0</v>
      </c>
      <c r="HV172" s="48">
        <v>0</v>
      </c>
      <c r="HW172" s="48">
        <v>0</v>
      </c>
      <c r="HX172" s="48">
        <v>0</v>
      </c>
      <c r="HY172" s="48">
        <v>0</v>
      </c>
      <c r="HZ172" s="48">
        <v>0</v>
      </c>
      <c r="IA172" s="48">
        <v>0</v>
      </c>
      <c r="IB172" s="48">
        <v>0</v>
      </c>
      <c r="IC172" s="48">
        <v>0</v>
      </c>
      <c r="ID172" s="48">
        <v>0</v>
      </c>
      <c r="IE172" s="48">
        <v>0</v>
      </c>
      <c r="IF172" s="48">
        <v>0</v>
      </c>
      <c r="IG172" s="48">
        <v>719.83333219382644</v>
      </c>
      <c r="IH172" s="48">
        <v>51.657743244908758</v>
      </c>
      <c r="II172" s="48">
        <v>15.777094146744512</v>
      </c>
      <c r="IJ172" s="48">
        <v>0</v>
      </c>
      <c r="IK172" s="48">
        <v>0.39607538117070068</v>
      </c>
      <c r="IL172" s="48">
        <v>0</v>
      </c>
      <c r="IM172" s="48">
        <v>0</v>
      </c>
      <c r="IN172" s="48">
        <v>0</v>
      </c>
      <c r="IO172" s="48">
        <v>0</v>
      </c>
      <c r="IP172" s="23">
        <v>19445.277701422543</v>
      </c>
      <c r="IQ172" s="25">
        <v>0</v>
      </c>
      <c r="IR172" s="25">
        <v>0</v>
      </c>
      <c r="IS172" s="26">
        <v>0</v>
      </c>
      <c r="IT172" s="26">
        <v>58794</v>
      </c>
      <c r="IU172" s="26">
        <v>-10361</v>
      </c>
      <c r="IV172" s="9">
        <v>96459</v>
      </c>
      <c r="IW172" s="38">
        <f t="shared" si="13"/>
        <v>164337.27770142254</v>
      </c>
    </row>
    <row r="173" spans="1:257" ht="30" customHeight="1" x14ac:dyDescent="0.25">
      <c r="A173" s="112" t="b">
        <v>0</v>
      </c>
      <c r="B173" s="113" t="b">
        <f>IFERROR(VLOOKUP(C173,'Bridge matrix'!$D$3:$E$727,2,FALSE)='symmetric IOT 245 2012'!D173,"FALSCH")</f>
        <v>1</v>
      </c>
      <c r="C173" s="108">
        <v>162</v>
      </c>
      <c r="D173" s="49" t="s">
        <v>1480</v>
      </c>
      <c r="E173" s="48">
        <v>0</v>
      </c>
      <c r="F173" s="48">
        <v>0</v>
      </c>
      <c r="G173" s="48">
        <v>0</v>
      </c>
      <c r="H173" s="48">
        <v>0</v>
      </c>
      <c r="I173" s="48">
        <v>0</v>
      </c>
      <c r="J173" s="48">
        <v>0</v>
      </c>
      <c r="K173" s="48">
        <v>0</v>
      </c>
      <c r="L173" s="48">
        <v>0</v>
      </c>
      <c r="M173" s="48">
        <v>0</v>
      </c>
      <c r="N173" s="48">
        <v>0</v>
      </c>
      <c r="O173" s="48">
        <v>0</v>
      </c>
      <c r="P173" s="48">
        <v>0</v>
      </c>
      <c r="Q173" s="48">
        <v>0</v>
      </c>
      <c r="R173" s="48">
        <v>0</v>
      </c>
      <c r="S173" s="48">
        <v>0</v>
      </c>
      <c r="T173" s="48">
        <v>0</v>
      </c>
      <c r="U173" s="48">
        <v>0</v>
      </c>
      <c r="V173" s="48">
        <v>0</v>
      </c>
      <c r="W173" s="48">
        <v>0</v>
      </c>
      <c r="X173" s="48">
        <v>0</v>
      </c>
      <c r="Y173" s="48">
        <v>0</v>
      </c>
      <c r="Z173" s="48">
        <v>0</v>
      </c>
      <c r="AA173" s="48">
        <v>0</v>
      </c>
      <c r="AB173" s="48">
        <v>0</v>
      </c>
      <c r="AC173" s="48">
        <v>0</v>
      </c>
      <c r="AD173" s="48">
        <v>0</v>
      </c>
      <c r="AE173" s="48">
        <v>0</v>
      </c>
      <c r="AF173" s="48">
        <v>0</v>
      </c>
      <c r="AG173" s="48">
        <v>0</v>
      </c>
      <c r="AH173" s="48">
        <v>0</v>
      </c>
      <c r="AI173" s="48">
        <v>0</v>
      </c>
      <c r="AJ173" s="48">
        <v>0</v>
      </c>
      <c r="AK173" s="48">
        <v>0</v>
      </c>
      <c r="AL173" s="48">
        <v>0</v>
      </c>
      <c r="AM173" s="48">
        <v>0</v>
      </c>
      <c r="AN173" s="48">
        <v>0</v>
      </c>
      <c r="AO173" s="48">
        <v>0</v>
      </c>
      <c r="AP173" s="48">
        <v>0</v>
      </c>
      <c r="AQ173" s="48">
        <v>0</v>
      </c>
      <c r="AR173" s="48">
        <v>0</v>
      </c>
      <c r="AS173" s="48">
        <v>0</v>
      </c>
      <c r="AT173" s="48">
        <v>0</v>
      </c>
      <c r="AU173" s="48">
        <v>0</v>
      </c>
      <c r="AV173" s="48">
        <v>0</v>
      </c>
      <c r="AW173" s="48">
        <v>0</v>
      </c>
      <c r="AX173" s="48">
        <v>0</v>
      </c>
      <c r="AY173" s="48">
        <v>0</v>
      </c>
      <c r="AZ173" s="48">
        <v>0</v>
      </c>
      <c r="BA173" s="48">
        <v>0</v>
      </c>
      <c r="BB173" s="48">
        <v>0</v>
      </c>
      <c r="BC173" s="48">
        <v>0</v>
      </c>
      <c r="BD173" s="48">
        <v>0</v>
      </c>
      <c r="BE173" s="48">
        <v>0</v>
      </c>
      <c r="BF173" s="48">
        <v>0</v>
      </c>
      <c r="BG173" s="48">
        <v>0</v>
      </c>
      <c r="BH173" s="48">
        <v>0</v>
      </c>
      <c r="BI173" s="48">
        <v>0</v>
      </c>
      <c r="BJ173" s="48">
        <v>0</v>
      </c>
      <c r="BK173" s="48">
        <v>0</v>
      </c>
      <c r="BL173" s="48">
        <v>0</v>
      </c>
      <c r="BM173" s="48">
        <v>0</v>
      </c>
      <c r="BN173" s="48">
        <v>0</v>
      </c>
      <c r="BO173" s="48">
        <v>0</v>
      </c>
      <c r="BP173" s="48">
        <v>0</v>
      </c>
      <c r="BQ173" s="48">
        <v>0</v>
      </c>
      <c r="BR173" s="48">
        <v>0</v>
      </c>
      <c r="BS173" s="48">
        <v>0</v>
      </c>
      <c r="BT173" s="48">
        <v>0</v>
      </c>
      <c r="BU173" s="48">
        <v>0</v>
      </c>
      <c r="BV173" s="48">
        <v>0</v>
      </c>
      <c r="BW173" s="48">
        <v>0</v>
      </c>
      <c r="BX173" s="48">
        <v>0</v>
      </c>
      <c r="BY173" s="48">
        <v>0</v>
      </c>
      <c r="BZ173" s="48">
        <v>0</v>
      </c>
      <c r="CA173" s="48">
        <v>0</v>
      </c>
      <c r="CB173" s="48">
        <v>0</v>
      </c>
      <c r="CC173" s="48">
        <v>0</v>
      </c>
      <c r="CD173" s="48">
        <v>0</v>
      </c>
      <c r="CE173" s="48">
        <v>0</v>
      </c>
      <c r="CF173" s="48">
        <v>0</v>
      </c>
      <c r="CG173" s="48">
        <v>0</v>
      </c>
      <c r="CH173" s="48">
        <v>0</v>
      </c>
      <c r="CI173" s="48">
        <v>0</v>
      </c>
      <c r="CJ173" s="48">
        <v>0</v>
      </c>
      <c r="CK173" s="48">
        <v>0</v>
      </c>
      <c r="CL173" s="48">
        <v>2.7520775811297301E-6</v>
      </c>
      <c r="CM173" s="48">
        <v>0</v>
      </c>
      <c r="CN173" s="48">
        <v>4.0945402894740592E-6</v>
      </c>
      <c r="CO173" s="48">
        <v>0</v>
      </c>
      <c r="CP173" s="48">
        <v>0</v>
      </c>
      <c r="CQ173" s="48">
        <v>0</v>
      </c>
      <c r="CR173" s="48">
        <v>0</v>
      </c>
      <c r="CS173" s="48">
        <v>0</v>
      </c>
      <c r="CT173" s="48">
        <v>5.4810960361220248E-9</v>
      </c>
      <c r="CU173" s="48">
        <v>0</v>
      </c>
      <c r="CV173" s="48">
        <v>7.7967430216622233E-4</v>
      </c>
      <c r="CW173" s="48">
        <v>0</v>
      </c>
      <c r="CX173" s="48">
        <v>5.1017078523214213E-10</v>
      </c>
      <c r="CY173" s="48">
        <v>1.3041098803178336E-5</v>
      </c>
      <c r="CZ173" s="48">
        <v>9.989984971640934E-7</v>
      </c>
      <c r="DA173" s="48">
        <v>0</v>
      </c>
      <c r="DB173" s="48">
        <v>0</v>
      </c>
      <c r="DC173" s="48">
        <v>2.4547015595326315E-9</v>
      </c>
      <c r="DD173" s="48">
        <v>4.2794371187094412E-6</v>
      </c>
      <c r="DE173" s="48">
        <v>6.3706356719065353E-6</v>
      </c>
      <c r="DF173" s="48">
        <v>0</v>
      </c>
      <c r="DG173" s="48">
        <v>0</v>
      </c>
      <c r="DH173" s="48">
        <v>0</v>
      </c>
      <c r="DI173" s="48">
        <v>2.7316764213353983E-5</v>
      </c>
      <c r="DJ173" s="48">
        <v>0</v>
      </c>
      <c r="DK173" s="48">
        <v>1.8754731983729716E-5</v>
      </c>
      <c r="DL173" s="48">
        <v>0</v>
      </c>
      <c r="DM173" s="48">
        <v>0</v>
      </c>
      <c r="DN173" s="48">
        <v>0</v>
      </c>
      <c r="DO173" s="48">
        <v>0</v>
      </c>
      <c r="DP173" s="48">
        <v>0</v>
      </c>
      <c r="DQ173" s="48">
        <v>0</v>
      </c>
      <c r="DR173" s="48">
        <v>2.1768019932720545E-4</v>
      </c>
      <c r="DS173" s="48">
        <v>0</v>
      </c>
      <c r="DT173" s="48">
        <v>0</v>
      </c>
      <c r="DU173" s="48">
        <v>0</v>
      </c>
      <c r="DV173" s="48">
        <v>0</v>
      </c>
      <c r="DW173" s="48">
        <v>0</v>
      </c>
      <c r="DX173" s="48">
        <v>0</v>
      </c>
      <c r="DY173" s="48">
        <v>5.7152226807132419E-5</v>
      </c>
      <c r="DZ173" s="48">
        <v>0</v>
      </c>
      <c r="EA173" s="48">
        <v>0</v>
      </c>
      <c r="EB173" s="48">
        <v>1.7783725059594482E-4</v>
      </c>
      <c r="EC173" s="48">
        <v>8.1685239737702838E-4</v>
      </c>
      <c r="ED173" s="48">
        <v>0</v>
      </c>
      <c r="EE173" s="48">
        <v>0</v>
      </c>
      <c r="EF173" s="48">
        <v>0</v>
      </c>
      <c r="EG173" s="48">
        <v>0</v>
      </c>
      <c r="EH173" s="48">
        <v>0</v>
      </c>
      <c r="EI173" s="48">
        <v>0.26316425704468988</v>
      </c>
      <c r="EJ173" s="48">
        <v>1.5237407849647989E-5</v>
      </c>
      <c r="EK173" s="48">
        <v>0</v>
      </c>
      <c r="EL173" s="48">
        <v>0</v>
      </c>
      <c r="EM173" s="48">
        <v>0</v>
      </c>
      <c r="EN173" s="48">
        <v>0</v>
      </c>
      <c r="EO173" s="48">
        <v>0</v>
      </c>
      <c r="EP173" s="48">
        <v>0</v>
      </c>
      <c r="EQ173" s="48">
        <v>0</v>
      </c>
      <c r="ER173" s="48">
        <v>2.5791448844038316E-2</v>
      </c>
      <c r="ES173" s="48">
        <v>0</v>
      </c>
      <c r="ET173" s="48">
        <v>0</v>
      </c>
      <c r="EU173" s="48">
        <v>0</v>
      </c>
      <c r="EV173" s="48">
        <v>0</v>
      </c>
      <c r="EW173" s="48">
        <v>0</v>
      </c>
      <c r="EX173" s="48">
        <v>0</v>
      </c>
      <c r="EY173" s="48">
        <v>0</v>
      </c>
      <c r="EZ173" s="48">
        <v>0</v>
      </c>
      <c r="FA173" s="48">
        <v>0.87305842537197886</v>
      </c>
      <c r="FB173" s="48">
        <v>2.3935464333326394E-2</v>
      </c>
      <c r="FC173" s="48">
        <v>0</v>
      </c>
      <c r="FD173" s="48">
        <v>0</v>
      </c>
      <c r="FE173" s="48">
        <v>0</v>
      </c>
      <c r="FF173" s="48">
        <v>0</v>
      </c>
      <c r="FG173" s="48">
        <v>0</v>
      </c>
      <c r="FH173" s="48">
        <v>7.4520024817107826</v>
      </c>
      <c r="FI173" s="48">
        <v>9760.3943608008976</v>
      </c>
      <c r="FJ173" s="48">
        <v>17291.699564226514</v>
      </c>
      <c r="FK173" s="48">
        <v>0</v>
      </c>
      <c r="FL173" s="48">
        <v>0</v>
      </c>
      <c r="FM173" s="48">
        <v>2256.2971087379065</v>
      </c>
      <c r="FN173" s="48">
        <v>4257.1878479054503</v>
      </c>
      <c r="FO173" s="48">
        <v>0</v>
      </c>
      <c r="FP173" s="48">
        <v>0</v>
      </c>
      <c r="FQ173" s="48">
        <v>0</v>
      </c>
      <c r="FR173" s="48">
        <v>0</v>
      </c>
      <c r="FS173" s="48">
        <v>0</v>
      </c>
      <c r="FT173" s="48">
        <v>0</v>
      </c>
      <c r="FU173" s="48">
        <v>0</v>
      </c>
      <c r="FV173" s="48">
        <v>6087.4235054282299</v>
      </c>
      <c r="FW173" s="48">
        <v>0</v>
      </c>
      <c r="FX173" s="48">
        <v>0</v>
      </c>
      <c r="FY173" s="48">
        <v>0</v>
      </c>
      <c r="FZ173" s="48">
        <v>0</v>
      </c>
      <c r="GA173" s="48">
        <v>0</v>
      </c>
      <c r="GB173" s="48">
        <v>0</v>
      </c>
      <c r="GC173" s="48">
        <v>0</v>
      </c>
      <c r="GD173" s="48">
        <v>0</v>
      </c>
      <c r="GE173" s="48">
        <v>205.33571075617871</v>
      </c>
      <c r="GF173" s="48">
        <v>0</v>
      </c>
      <c r="GG173" s="48">
        <v>0</v>
      </c>
      <c r="GH173" s="48">
        <v>0</v>
      </c>
      <c r="GI173" s="48">
        <v>0</v>
      </c>
      <c r="GJ173" s="48">
        <v>0</v>
      </c>
      <c r="GK173" s="48">
        <v>0</v>
      </c>
      <c r="GL173" s="48">
        <v>0</v>
      </c>
      <c r="GM173" s="48">
        <v>0</v>
      </c>
      <c r="GN173" s="48">
        <v>0</v>
      </c>
      <c r="GO173" s="48">
        <v>0</v>
      </c>
      <c r="GP173" s="48">
        <v>0</v>
      </c>
      <c r="GQ173" s="48">
        <v>0</v>
      </c>
      <c r="GR173" s="48">
        <v>0</v>
      </c>
      <c r="GS173" s="48">
        <v>0</v>
      </c>
      <c r="GT173" s="48">
        <v>0</v>
      </c>
      <c r="GU173" s="48">
        <v>0</v>
      </c>
      <c r="GV173" s="48">
        <v>0</v>
      </c>
      <c r="GW173" s="48">
        <v>0</v>
      </c>
      <c r="GX173" s="48">
        <v>0</v>
      </c>
      <c r="GY173" s="48">
        <v>0</v>
      </c>
      <c r="GZ173" s="48">
        <v>0</v>
      </c>
      <c r="HA173" s="48">
        <v>0</v>
      </c>
      <c r="HB173" s="48">
        <v>0</v>
      </c>
      <c r="HC173" s="48">
        <v>0</v>
      </c>
      <c r="HD173" s="48">
        <v>0</v>
      </c>
      <c r="HE173" s="48">
        <v>0</v>
      </c>
      <c r="HF173" s="48">
        <v>0</v>
      </c>
      <c r="HG173" s="48">
        <v>0</v>
      </c>
      <c r="HH173" s="48">
        <v>0</v>
      </c>
      <c r="HI173" s="48">
        <v>0</v>
      </c>
      <c r="HJ173" s="48">
        <v>0</v>
      </c>
      <c r="HK173" s="48">
        <v>0</v>
      </c>
      <c r="HL173" s="48">
        <v>0</v>
      </c>
      <c r="HM173" s="48">
        <v>0</v>
      </c>
      <c r="HN173" s="48">
        <v>0</v>
      </c>
      <c r="HO173" s="48">
        <v>0</v>
      </c>
      <c r="HP173" s="48">
        <v>0</v>
      </c>
      <c r="HQ173" s="48">
        <v>0</v>
      </c>
      <c r="HR173" s="48">
        <v>0</v>
      </c>
      <c r="HS173" s="48">
        <v>0</v>
      </c>
      <c r="HT173" s="48">
        <v>0</v>
      </c>
      <c r="HU173" s="48">
        <v>0</v>
      </c>
      <c r="HV173" s="48">
        <v>0</v>
      </c>
      <c r="HW173" s="48">
        <v>0</v>
      </c>
      <c r="HX173" s="48">
        <v>0</v>
      </c>
      <c r="HY173" s="48">
        <v>0</v>
      </c>
      <c r="HZ173" s="48">
        <v>0</v>
      </c>
      <c r="IA173" s="48">
        <v>0</v>
      </c>
      <c r="IB173" s="48">
        <v>0</v>
      </c>
      <c r="IC173" s="48">
        <v>0</v>
      </c>
      <c r="ID173" s="48">
        <v>0</v>
      </c>
      <c r="IE173" s="48">
        <v>0</v>
      </c>
      <c r="IF173" s="48">
        <v>0</v>
      </c>
      <c r="IG173" s="48">
        <v>0</v>
      </c>
      <c r="IH173" s="48">
        <v>0</v>
      </c>
      <c r="II173" s="48">
        <v>0</v>
      </c>
      <c r="IJ173" s="48">
        <v>0</v>
      </c>
      <c r="IK173" s="48">
        <v>5.3925570838388079</v>
      </c>
      <c r="IL173" s="48">
        <v>10.324448705687779</v>
      </c>
      <c r="IM173" s="48">
        <v>11.663015224863946</v>
      </c>
      <c r="IN173" s="48">
        <v>6.6417870024392105</v>
      </c>
      <c r="IO173" s="48">
        <v>0</v>
      </c>
      <c r="IP173" s="23">
        <v>39900.999999999818</v>
      </c>
      <c r="IQ173" s="25">
        <v>63446</v>
      </c>
      <c r="IR173" s="25">
        <v>0</v>
      </c>
      <c r="IS173" s="26">
        <v>0</v>
      </c>
      <c r="IT173" s="26">
        <v>10905</v>
      </c>
      <c r="IU173" s="26">
        <v>-1406</v>
      </c>
      <c r="IV173" s="9">
        <v>132317</v>
      </c>
      <c r="IW173" s="38">
        <f t="shared" si="13"/>
        <v>245162.99999999983</v>
      </c>
    </row>
    <row r="174" spans="1:257" ht="30" customHeight="1" x14ac:dyDescent="0.25">
      <c r="A174" s="112" t="b">
        <v>0</v>
      </c>
      <c r="B174" s="113" t="str">
        <f>IFERROR(VLOOKUP(C174,'Bridge matrix'!$D$3:$E$727,2,FALSE)='symmetric IOT 245 2012'!D174,"FALSCH")</f>
        <v>FALSCH</v>
      </c>
      <c r="C174" s="108">
        <v>163</v>
      </c>
      <c r="D174" s="49" t="s">
        <v>1481</v>
      </c>
      <c r="E174" s="48">
        <v>0</v>
      </c>
      <c r="F174" s="48">
        <v>0</v>
      </c>
      <c r="G174" s="48">
        <v>0</v>
      </c>
      <c r="H174" s="48">
        <v>0</v>
      </c>
      <c r="I174" s="48">
        <v>0</v>
      </c>
      <c r="J174" s="48">
        <v>0</v>
      </c>
      <c r="K174" s="48">
        <v>0</v>
      </c>
      <c r="L174" s="48">
        <v>0</v>
      </c>
      <c r="M174" s="48">
        <v>0</v>
      </c>
      <c r="N174" s="48">
        <v>0</v>
      </c>
      <c r="O174" s="48">
        <v>0</v>
      </c>
      <c r="P174" s="48">
        <v>0</v>
      </c>
      <c r="Q174" s="48">
        <v>0</v>
      </c>
      <c r="R174" s="48">
        <v>0</v>
      </c>
      <c r="S174" s="48">
        <v>0</v>
      </c>
      <c r="T174" s="48">
        <v>0</v>
      </c>
      <c r="U174" s="48">
        <v>0</v>
      </c>
      <c r="V174" s="48">
        <v>0</v>
      </c>
      <c r="W174" s="48">
        <v>0</v>
      </c>
      <c r="X174" s="48">
        <v>0</v>
      </c>
      <c r="Y174" s="48">
        <v>0</v>
      </c>
      <c r="Z174" s="48">
        <v>0</v>
      </c>
      <c r="AA174" s="48">
        <v>0</v>
      </c>
      <c r="AB174" s="48">
        <v>0</v>
      </c>
      <c r="AC174" s="48">
        <v>0</v>
      </c>
      <c r="AD174" s="48">
        <v>0</v>
      </c>
      <c r="AE174" s="48">
        <v>0</v>
      </c>
      <c r="AF174" s="48">
        <v>0</v>
      </c>
      <c r="AG174" s="48">
        <v>0</v>
      </c>
      <c r="AH174" s="48">
        <v>0</v>
      </c>
      <c r="AI174" s="48">
        <v>0</v>
      </c>
      <c r="AJ174" s="48">
        <v>0</v>
      </c>
      <c r="AK174" s="48">
        <v>0</v>
      </c>
      <c r="AL174" s="48">
        <v>0</v>
      </c>
      <c r="AM174" s="48">
        <v>0</v>
      </c>
      <c r="AN174" s="48">
        <v>0</v>
      </c>
      <c r="AO174" s="48">
        <v>0</v>
      </c>
      <c r="AP174" s="48">
        <v>0</v>
      </c>
      <c r="AQ174" s="48">
        <v>0</v>
      </c>
      <c r="AR174" s="48">
        <v>0</v>
      </c>
      <c r="AS174" s="48">
        <v>0</v>
      </c>
      <c r="AT174" s="48">
        <v>0</v>
      </c>
      <c r="AU174" s="48">
        <v>0</v>
      </c>
      <c r="AV174" s="48">
        <v>0</v>
      </c>
      <c r="AW174" s="48">
        <v>0</v>
      </c>
      <c r="AX174" s="48">
        <v>0</v>
      </c>
      <c r="AY174" s="48">
        <v>0</v>
      </c>
      <c r="AZ174" s="48">
        <v>0</v>
      </c>
      <c r="BA174" s="48">
        <v>0</v>
      </c>
      <c r="BB174" s="48">
        <v>0</v>
      </c>
      <c r="BC174" s="48">
        <v>0</v>
      </c>
      <c r="BD174" s="48">
        <v>0</v>
      </c>
      <c r="BE174" s="48">
        <v>0</v>
      </c>
      <c r="BF174" s="48">
        <v>0</v>
      </c>
      <c r="BG174" s="48">
        <v>0</v>
      </c>
      <c r="BH174" s="48">
        <v>0</v>
      </c>
      <c r="BI174" s="48">
        <v>0</v>
      </c>
      <c r="BJ174" s="48">
        <v>0</v>
      </c>
      <c r="BK174" s="48">
        <v>0</v>
      </c>
      <c r="BL174" s="48">
        <v>0</v>
      </c>
      <c r="BM174" s="48">
        <v>0</v>
      </c>
      <c r="BN174" s="48">
        <v>0</v>
      </c>
      <c r="BO174" s="48">
        <v>0</v>
      </c>
      <c r="BP174" s="48">
        <v>0</v>
      </c>
      <c r="BQ174" s="48">
        <v>0</v>
      </c>
      <c r="BR174" s="48">
        <v>0</v>
      </c>
      <c r="BS174" s="48">
        <v>0</v>
      </c>
      <c r="BT174" s="48">
        <v>0</v>
      </c>
      <c r="BU174" s="48">
        <v>0</v>
      </c>
      <c r="BV174" s="48">
        <v>0</v>
      </c>
      <c r="BW174" s="48">
        <v>0</v>
      </c>
      <c r="BX174" s="48">
        <v>0</v>
      </c>
      <c r="BY174" s="48">
        <v>0</v>
      </c>
      <c r="BZ174" s="48">
        <v>0</v>
      </c>
      <c r="CA174" s="48">
        <v>0</v>
      </c>
      <c r="CB174" s="48">
        <v>0</v>
      </c>
      <c r="CC174" s="48">
        <v>0</v>
      </c>
      <c r="CD174" s="48">
        <v>0</v>
      </c>
      <c r="CE174" s="48">
        <v>0</v>
      </c>
      <c r="CF174" s="48">
        <v>0</v>
      </c>
      <c r="CG174" s="48">
        <v>0</v>
      </c>
      <c r="CH174" s="48">
        <v>0</v>
      </c>
      <c r="CI174" s="48">
        <v>0</v>
      </c>
      <c r="CJ174" s="48">
        <v>0</v>
      </c>
      <c r="CK174" s="48">
        <v>0</v>
      </c>
      <c r="CL174" s="48">
        <v>0</v>
      </c>
      <c r="CM174" s="48">
        <v>0</v>
      </c>
      <c r="CN174" s="48">
        <v>0</v>
      </c>
      <c r="CO174" s="48">
        <v>0</v>
      </c>
      <c r="CP174" s="48">
        <v>0</v>
      </c>
      <c r="CQ174" s="48">
        <v>0</v>
      </c>
      <c r="CR174" s="48">
        <v>0</v>
      </c>
      <c r="CS174" s="48">
        <v>0</v>
      </c>
      <c r="CT174" s="48">
        <v>0</v>
      </c>
      <c r="CU174" s="48">
        <v>0</v>
      </c>
      <c r="CV174" s="48">
        <v>0</v>
      </c>
      <c r="CW174" s="48">
        <v>0</v>
      </c>
      <c r="CX174" s="48">
        <v>0</v>
      </c>
      <c r="CY174" s="48">
        <v>0</v>
      </c>
      <c r="CZ174" s="48">
        <v>0</v>
      </c>
      <c r="DA174" s="48">
        <v>0</v>
      </c>
      <c r="DB174" s="48">
        <v>0</v>
      </c>
      <c r="DC174" s="48">
        <v>0</v>
      </c>
      <c r="DD174" s="48">
        <v>4.0288041619589822E-3</v>
      </c>
      <c r="DE174" s="48">
        <v>0</v>
      </c>
      <c r="DF174" s="48">
        <v>0</v>
      </c>
      <c r="DG174" s="48">
        <v>0</v>
      </c>
      <c r="DH174" s="48">
        <v>0</v>
      </c>
      <c r="DI174" s="48">
        <v>0</v>
      </c>
      <c r="DJ174" s="48">
        <v>0</v>
      </c>
      <c r="DK174" s="48">
        <v>1.8508688427731929E-2</v>
      </c>
      <c r="DL174" s="48">
        <v>0</v>
      </c>
      <c r="DM174" s="48">
        <v>0</v>
      </c>
      <c r="DN174" s="48">
        <v>0</v>
      </c>
      <c r="DO174" s="48">
        <v>0</v>
      </c>
      <c r="DP174" s="48">
        <v>0</v>
      </c>
      <c r="DQ174" s="48">
        <v>0</v>
      </c>
      <c r="DR174" s="48">
        <v>0</v>
      </c>
      <c r="DS174" s="48">
        <v>0</v>
      </c>
      <c r="DT174" s="48">
        <v>0</v>
      </c>
      <c r="DU174" s="48">
        <v>0</v>
      </c>
      <c r="DV174" s="48">
        <v>0</v>
      </c>
      <c r="DW174" s="48">
        <v>0</v>
      </c>
      <c r="DX174" s="48">
        <v>0</v>
      </c>
      <c r="DY174" s="48">
        <v>0</v>
      </c>
      <c r="DZ174" s="48">
        <v>0</v>
      </c>
      <c r="EA174" s="48">
        <v>0</v>
      </c>
      <c r="EB174" s="48">
        <v>0</v>
      </c>
      <c r="EC174" s="48">
        <v>0</v>
      </c>
      <c r="ED174" s="48">
        <v>0</v>
      </c>
      <c r="EE174" s="48">
        <v>0</v>
      </c>
      <c r="EF174" s="48">
        <v>0</v>
      </c>
      <c r="EG174" s="48">
        <v>0</v>
      </c>
      <c r="EH174" s="48">
        <v>0</v>
      </c>
      <c r="EI174" s="48">
        <v>0</v>
      </c>
      <c r="EJ174" s="48">
        <v>0</v>
      </c>
      <c r="EK174" s="48">
        <v>0</v>
      </c>
      <c r="EL174" s="48">
        <v>0</v>
      </c>
      <c r="EM174" s="48">
        <v>0</v>
      </c>
      <c r="EN174" s="48">
        <v>0</v>
      </c>
      <c r="EO174" s="48">
        <v>0</v>
      </c>
      <c r="EP174" s="48">
        <v>0</v>
      </c>
      <c r="EQ174" s="48">
        <v>0</v>
      </c>
      <c r="ER174" s="48">
        <v>0</v>
      </c>
      <c r="ES174" s="48">
        <v>0</v>
      </c>
      <c r="ET174" s="48">
        <v>0</v>
      </c>
      <c r="EU174" s="48">
        <v>0</v>
      </c>
      <c r="EV174" s="48">
        <v>0</v>
      </c>
      <c r="EW174" s="48">
        <v>0</v>
      </c>
      <c r="EX174" s="48">
        <v>0</v>
      </c>
      <c r="EY174" s="48">
        <v>0</v>
      </c>
      <c r="EZ174" s="48">
        <v>0</v>
      </c>
      <c r="FA174" s="48">
        <v>0</v>
      </c>
      <c r="FB174" s="48">
        <v>0</v>
      </c>
      <c r="FC174" s="48">
        <v>0</v>
      </c>
      <c r="FD174" s="48">
        <v>0</v>
      </c>
      <c r="FE174" s="48">
        <v>0</v>
      </c>
      <c r="FF174" s="48">
        <v>0</v>
      </c>
      <c r="FG174" s="48">
        <v>0</v>
      </c>
      <c r="FH174" s="48">
        <v>0</v>
      </c>
      <c r="FI174" s="48">
        <v>0</v>
      </c>
      <c r="FJ174" s="48">
        <v>0</v>
      </c>
      <c r="FK174" s="48">
        <v>0</v>
      </c>
      <c r="FL174" s="48">
        <v>0</v>
      </c>
      <c r="FM174" s="48">
        <v>0</v>
      </c>
      <c r="FN174" s="48">
        <v>0</v>
      </c>
      <c r="FO174" s="48">
        <v>0</v>
      </c>
      <c r="FP174" s="48">
        <v>0</v>
      </c>
      <c r="FQ174" s="48">
        <v>0</v>
      </c>
      <c r="FR174" s="48">
        <v>0</v>
      </c>
      <c r="FS174" s="48">
        <v>0</v>
      </c>
      <c r="FT174" s="48">
        <v>0</v>
      </c>
      <c r="FU174" s="48">
        <v>0</v>
      </c>
      <c r="FV174" s="48">
        <v>1.3281903686751656E-3</v>
      </c>
      <c r="FW174" s="48">
        <v>0</v>
      </c>
      <c r="FX174" s="48">
        <v>0</v>
      </c>
      <c r="FY174" s="48">
        <v>0</v>
      </c>
      <c r="FZ174" s="48">
        <v>0</v>
      </c>
      <c r="GA174" s="48">
        <v>0</v>
      </c>
      <c r="GB174" s="48">
        <v>0</v>
      </c>
      <c r="GC174" s="48">
        <v>320.5962485617348</v>
      </c>
      <c r="GD174" s="48">
        <v>0</v>
      </c>
      <c r="GE174" s="48">
        <v>0</v>
      </c>
      <c r="GF174" s="48">
        <v>0</v>
      </c>
      <c r="GG174" s="48">
        <v>0</v>
      </c>
      <c r="GH174" s="48">
        <v>0</v>
      </c>
      <c r="GI174" s="48">
        <v>0</v>
      </c>
      <c r="GJ174" s="48">
        <v>0</v>
      </c>
      <c r="GK174" s="48">
        <v>0</v>
      </c>
      <c r="GL174" s="48">
        <v>0</v>
      </c>
      <c r="GM174" s="48">
        <v>0</v>
      </c>
      <c r="GN174" s="48">
        <v>0</v>
      </c>
      <c r="GO174" s="48">
        <v>0</v>
      </c>
      <c r="GP174" s="48">
        <v>0</v>
      </c>
      <c r="GQ174" s="48">
        <v>0</v>
      </c>
      <c r="GR174" s="48">
        <v>0</v>
      </c>
      <c r="GS174" s="48">
        <v>0</v>
      </c>
      <c r="GT174" s="48">
        <v>3.3304328527404938</v>
      </c>
      <c r="GU174" s="48">
        <v>358.20184917654984</v>
      </c>
      <c r="GV174" s="48">
        <v>1.7488551871935718</v>
      </c>
      <c r="GW174" s="48">
        <v>0.85035205084605348</v>
      </c>
      <c r="GX174" s="48">
        <v>27.874890786531193</v>
      </c>
      <c r="GY174" s="48">
        <v>0</v>
      </c>
      <c r="GZ174" s="48">
        <v>0</v>
      </c>
      <c r="HA174" s="48">
        <v>0</v>
      </c>
      <c r="HB174" s="48">
        <v>17.506003666243362</v>
      </c>
      <c r="HC174" s="48">
        <v>40.303160344536387</v>
      </c>
      <c r="HD174" s="48">
        <v>13.128845989663228</v>
      </c>
      <c r="HE174" s="48">
        <v>12.914522221436238</v>
      </c>
      <c r="HF174" s="48">
        <v>61.708706029151436</v>
      </c>
      <c r="HG174" s="48">
        <v>59.102407836557433</v>
      </c>
      <c r="HH174" s="48">
        <v>110.94444687180977</v>
      </c>
      <c r="HI174" s="48">
        <v>162.09344707887513</v>
      </c>
      <c r="HJ174" s="48">
        <v>186.88678055763225</v>
      </c>
      <c r="HK174" s="48">
        <v>8.6913377965670353</v>
      </c>
      <c r="HL174" s="48">
        <v>13.427374551940527</v>
      </c>
      <c r="HM174" s="48">
        <v>63.160320983550868</v>
      </c>
      <c r="HN174" s="48">
        <v>18.251049672251927</v>
      </c>
      <c r="HO174" s="48">
        <v>78.22322308403983</v>
      </c>
      <c r="HP174" s="48">
        <v>134.71801340793942</v>
      </c>
      <c r="HQ174" s="48">
        <v>20.859458744360513</v>
      </c>
      <c r="HR174" s="48">
        <v>44.5867760298595</v>
      </c>
      <c r="HS174" s="48">
        <v>75.542098732903398</v>
      </c>
      <c r="HT174" s="48">
        <v>46.064420203724289</v>
      </c>
      <c r="HU174" s="48">
        <v>60.840220557555803</v>
      </c>
      <c r="HV174" s="48">
        <v>892.89920793720626</v>
      </c>
      <c r="HW174" s="48">
        <v>3.4819373532177287</v>
      </c>
      <c r="HX174" s="48">
        <v>1894.344641116943</v>
      </c>
      <c r="HY174" s="48">
        <v>1606.7990210723826</v>
      </c>
      <c r="HZ174" s="48">
        <v>2380.4476232977513</v>
      </c>
      <c r="IA174" s="48">
        <v>673.56029838545817</v>
      </c>
      <c r="IB174" s="48">
        <v>34.014517824455929</v>
      </c>
      <c r="IC174" s="48">
        <v>133.94951544550227</v>
      </c>
      <c r="ID174" s="48">
        <v>83.057368979873104</v>
      </c>
      <c r="IE174" s="48">
        <v>55.908693650136485</v>
      </c>
      <c r="IF174" s="48">
        <v>6.9973418108104708</v>
      </c>
      <c r="IG174" s="48">
        <v>2498.3883388201084</v>
      </c>
      <c r="IH174" s="48">
        <v>179.11517840544514</v>
      </c>
      <c r="II174" s="48">
        <v>55.245806353122013</v>
      </c>
      <c r="IJ174" s="48">
        <v>34.817009430405548</v>
      </c>
      <c r="IK174" s="48">
        <v>2385.1504437220092</v>
      </c>
      <c r="IL174" s="48">
        <v>4168.1740509916763</v>
      </c>
      <c r="IM174" s="48">
        <v>5011.3081918135649</v>
      </c>
      <c r="IN174" s="48">
        <v>2660.7617049306973</v>
      </c>
      <c r="IO174" s="48">
        <v>0</v>
      </c>
      <c r="IP174" s="23">
        <v>26699.999999999924</v>
      </c>
      <c r="IQ174" s="25">
        <v>39699</v>
      </c>
      <c r="IR174" s="25">
        <v>0</v>
      </c>
      <c r="IS174" s="26">
        <v>0</v>
      </c>
      <c r="IT174" s="26">
        <v>3908</v>
      </c>
      <c r="IU174" s="26">
        <v>2480</v>
      </c>
      <c r="IV174" s="9">
        <v>334</v>
      </c>
      <c r="IW174" s="38">
        <f t="shared" si="13"/>
        <v>73120.999999999927</v>
      </c>
    </row>
    <row r="175" spans="1:257" ht="30" customHeight="1" x14ac:dyDescent="0.25">
      <c r="A175" s="112" t="b">
        <v>0</v>
      </c>
      <c r="B175" s="113" t="b">
        <f>IFERROR(VLOOKUP(C175,'Bridge matrix'!$D$3:$E$727,2,FALSE)='symmetric IOT 245 2012'!D175,"FALSCH")</f>
        <v>1</v>
      </c>
      <c r="C175" s="108">
        <v>164</v>
      </c>
      <c r="D175" s="49" t="s">
        <v>1482</v>
      </c>
      <c r="E175" s="48">
        <v>0</v>
      </c>
      <c r="F175" s="48">
        <v>0</v>
      </c>
      <c r="G175" s="48">
        <v>0</v>
      </c>
      <c r="H175" s="48">
        <v>0</v>
      </c>
      <c r="I175" s="48">
        <v>0</v>
      </c>
      <c r="J175" s="48">
        <v>0</v>
      </c>
      <c r="K175" s="48">
        <v>0</v>
      </c>
      <c r="L175" s="48">
        <v>0</v>
      </c>
      <c r="M175" s="48">
        <v>0</v>
      </c>
      <c r="N175" s="48">
        <v>0</v>
      </c>
      <c r="O175" s="48">
        <v>0</v>
      </c>
      <c r="P175" s="48">
        <v>0</v>
      </c>
      <c r="Q175" s="48">
        <v>0</v>
      </c>
      <c r="R175" s="48">
        <v>0</v>
      </c>
      <c r="S175" s="48">
        <v>0</v>
      </c>
      <c r="T175" s="48">
        <v>0</v>
      </c>
      <c r="U175" s="48">
        <v>0</v>
      </c>
      <c r="V175" s="48">
        <v>0</v>
      </c>
      <c r="W175" s="48">
        <v>0</v>
      </c>
      <c r="X175" s="48">
        <v>0</v>
      </c>
      <c r="Y175" s="48">
        <v>0</v>
      </c>
      <c r="Z175" s="48">
        <v>0</v>
      </c>
      <c r="AA175" s="48">
        <v>0</v>
      </c>
      <c r="AB175" s="48">
        <v>0</v>
      </c>
      <c r="AC175" s="48">
        <v>0</v>
      </c>
      <c r="AD175" s="48">
        <v>0</v>
      </c>
      <c r="AE175" s="48">
        <v>0</v>
      </c>
      <c r="AF175" s="48">
        <v>0</v>
      </c>
      <c r="AG175" s="48">
        <v>0</v>
      </c>
      <c r="AH175" s="48">
        <v>0</v>
      </c>
      <c r="AI175" s="48">
        <v>0</v>
      </c>
      <c r="AJ175" s="48">
        <v>0</v>
      </c>
      <c r="AK175" s="48">
        <v>0</v>
      </c>
      <c r="AL175" s="48">
        <v>0</v>
      </c>
      <c r="AM175" s="48">
        <v>0</v>
      </c>
      <c r="AN175" s="48">
        <v>0</v>
      </c>
      <c r="AO175" s="48">
        <v>0</v>
      </c>
      <c r="AP175" s="48">
        <v>0</v>
      </c>
      <c r="AQ175" s="48">
        <v>0</v>
      </c>
      <c r="AR175" s="48">
        <v>0</v>
      </c>
      <c r="AS175" s="48">
        <v>0</v>
      </c>
      <c r="AT175" s="48">
        <v>0</v>
      </c>
      <c r="AU175" s="48">
        <v>0</v>
      </c>
      <c r="AV175" s="48">
        <v>0</v>
      </c>
      <c r="AW175" s="48">
        <v>0</v>
      </c>
      <c r="AX175" s="48">
        <v>0</v>
      </c>
      <c r="AY175" s="48">
        <v>0</v>
      </c>
      <c r="AZ175" s="48">
        <v>0</v>
      </c>
      <c r="BA175" s="48">
        <v>0</v>
      </c>
      <c r="BB175" s="48">
        <v>0</v>
      </c>
      <c r="BC175" s="48">
        <v>0</v>
      </c>
      <c r="BD175" s="48">
        <v>0</v>
      </c>
      <c r="BE175" s="48">
        <v>0</v>
      </c>
      <c r="BF175" s="48">
        <v>0</v>
      </c>
      <c r="BG175" s="48">
        <v>0</v>
      </c>
      <c r="BH175" s="48">
        <v>0</v>
      </c>
      <c r="BI175" s="48">
        <v>0</v>
      </c>
      <c r="BJ175" s="48">
        <v>0</v>
      </c>
      <c r="BK175" s="48">
        <v>0</v>
      </c>
      <c r="BL175" s="48">
        <v>0</v>
      </c>
      <c r="BM175" s="48">
        <v>0</v>
      </c>
      <c r="BN175" s="48">
        <v>0</v>
      </c>
      <c r="BO175" s="48">
        <v>0</v>
      </c>
      <c r="BP175" s="48">
        <v>0</v>
      </c>
      <c r="BQ175" s="48">
        <v>0</v>
      </c>
      <c r="BR175" s="48">
        <v>0</v>
      </c>
      <c r="BS175" s="48">
        <v>0</v>
      </c>
      <c r="BT175" s="48">
        <v>0</v>
      </c>
      <c r="BU175" s="48">
        <v>0</v>
      </c>
      <c r="BV175" s="48">
        <v>0</v>
      </c>
      <c r="BW175" s="48">
        <v>0</v>
      </c>
      <c r="BX175" s="48">
        <v>0</v>
      </c>
      <c r="BY175" s="48">
        <v>0</v>
      </c>
      <c r="BZ175" s="48">
        <v>0</v>
      </c>
      <c r="CA175" s="48">
        <v>0</v>
      </c>
      <c r="CB175" s="48">
        <v>0</v>
      </c>
      <c r="CC175" s="48">
        <v>0</v>
      </c>
      <c r="CD175" s="48">
        <v>0</v>
      </c>
      <c r="CE175" s="48">
        <v>0</v>
      </c>
      <c r="CF175" s="48">
        <v>0</v>
      </c>
      <c r="CG175" s="48">
        <v>0</v>
      </c>
      <c r="CH175" s="48">
        <v>0</v>
      </c>
      <c r="CI175" s="48">
        <v>0</v>
      </c>
      <c r="CJ175" s="48">
        <v>0</v>
      </c>
      <c r="CK175" s="48">
        <v>0</v>
      </c>
      <c r="CL175" s="48">
        <v>0</v>
      </c>
      <c r="CM175" s="48">
        <v>0</v>
      </c>
      <c r="CN175" s="48">
        <v>0</v>
      </c>
      <c r="CO175" s="48">
        <v>0</v>
      </c>
      <c r="CP175" s="48">
        <v>0</v>
      </c>
      <c r="CQ175" s="48">
        <v>0</v>
      </c>
      <c r="CR175" s="48">
        <v>0</v>
      </c>
      <c r="CS175" s="48">
        <v>0</v>
      </c>
      <c r="CT175" s="48">
        <v>0</v>
      </c>
      <c r="CU175" s="48">
        <v>0</v>
      </c>
      <c r="CV175" s="48">
        <v>0</v>
      </c>
      <c r="CW175" s="48">
        <v>0</v>
      </c>
      <c r="CX175" s="48">
        <v>0</v>
      </c>
      <c r="CY175" s="48">
        <v>0</v>
      </c>
      <c r="CZ175" s="48">
        <v>0</v>
      </c>
      <c r="DA175" s="48">
        <v>0</v>
      </c>
      <c r="DB175" s="48">
        <v>0</v>
      </c>
      <c r="DC175" s="48">
        <v>0</v>
      </c>
      <c r="DD175" s="48">
        <v>0</v>
      </c>
      <c r="DE175" s="48">
        <v>0</v>
      </c>
      <c r="DF175" s="48">
        <v>0</v>
      </c>
      <c r="DG175" s="48">
        <v>0</v>
      </c>
      <c r="DH175" s="48">
        <v>0</v>
      </c>
      <c r="DI175" s="48">
        <v>0</v>
      </c>
      <c r="DJ175" s="48">
        <v>0</v>
      </c>
      <c r="DK175" s="48">
        <v>0</v>
      </c>
      <c r="DL175" s="48">
        <v>0</v>
      </c>
      <c r="DM175" s="48">
        <v>0</v>
      </c>
      <c r="DN175" s="48">
        <v>0</v>
      </c>
      <c r="DO175" s="48">
        <v>0</v>
      </c>
      <c r="DP175" s="48">
        <v>0</v>
      </c>
      <c r="DQ175" s="48">
        <v>0</v>
      </c>
      <c r="DR175" s="48">
        <v>0</v>
      </c>
      <c r="DS175" s="48">
        <v>0</v>
      </c>
      <c r="DT175" s="48">
        <v>0</v>
      </c>
      <c r="DU175" s="48">
        <v>0</v>
      </c>
      <c r="DV175" s="48">
        <v>0</v>
      </c>
      <c r="DW175" s="48">
        <v>0</v>
      </c>
      <c r="DX175" s="48">
        <v>0</v>
      </c>
      <c r="DY175" s="48">
        <v>0</v>
      </c>
      <c r="DZ175" s="48">
        <v>0</v>
      </c>
      <c r="EA175" s="48">
        <v>0</v>
      </c>
      <c r="EB175" s="48">
        <v>0</v>
      </c>
      <c r="EC175" s="48">
        <v>0</v>
      </c>
      <c r="ED175" s="48">
        <v>0</v>
      </c>
      <c r="EE175" s="48">
        <v>0</v>
      </c>
      <c r="EF175" s="48">
        <v>0</v>
      </c>
      <c r="EG175" s="48">
        <v>0</v>
      </c>
      <c r="EH175" s="48">
        <v>0</v>
      </c>
      <c r="EI175" s="48">
        <v>0</v>
      </c>
      <c r="EJ175" s="48">
        <v>0</v>
      </c>
      <c r="EK175" s="48">
        <v>0</v>
      </c>
      <c r="EL175" s="48">
        <v>0</v>
      </c>
      <c r="EM175" s="48">
        <v>0</v>
      </c>
      <c r="EN175" s="48">
        <v>0</v>
      </c>
      <c r="EO175" s="48">
        <v>0</v>
      </c>
      <c r="EP175" s="48">
        <v>0</v>
      </c>
      <c r="EQ175" s="48">
        <v>0</v>
      </c>
      <c r="ER175" s="48">
        <v>0</v>
      </c>
      <c r="ES175" s="48">
        <v>0</v>
      </c>
      <c r="ET175" s="48">
        <v>0</v>
      </c>
      <c r="EU175" s="48">
        <v>0</v>
      </c>
      <c r="EV175" s="48">
        <v>0</v>
      </c>
      <c r="EW175" s="48">
        <v>0</v>
      </c>
      <c r="EX175" s="48">
        <v>0</v>
      </c>
      <c r="EY175" s="48">
        <v>0</v>
      </c>
      <c r="EZ175" s="48">
        <v>0</v>
      </c>
      <c r="FA175" s="48">
        <v>0</v>
      </c>
      <c r="FB175" s="48">
        <v>0</v>
      </c>
      <c r="FC175" s="48">
        <v>0</v>
      </c>
      <c r="FD175" s="48">
        <v>0</v>
      </c>
      <c r="FE175" s="48">
        <v>0</v>
      </c>
      <c r="FF175" s="48">
        <v>0</v>
      </c>
      <c r="FG175" s="48">
        <v>0</v>
      </c>
      <c r="FH175" s="48">
        <v>0</v>
      </c>
      <c r="FI175" s="48">
        <v>0</v>
      </c>
      <c r="FJ175" s="48">
        <v>0</v>
      </c>
      <c r="FK175" s="48">
        <v>0</v>
      </c>
      <c r="FL175" s="48">
        <v>0</v>
      </c>
      <c r="FM175" s="48">
        <v>0</v>
      </c>
      <c r="FN175" s="48">
        <v>0</v>
      </c>
      <c r="FO175" s="48">
        <v>0</v>
      </c>
      <c r="FP175" s="48">
        <v>0</v>
      </c>
      <c r="FQ175" s="48">
        <v>0</v>
      </c>
      <c r="FR175" s="48">
        <v>0</v>
      </c>
      <c r="FS175" s="48">
        <v>0</v>
      </c>
      <c r="FT175" s="48">
        <v>0</v>
      </c>
      <c r="FU175" s="48">
        <v>0</v>
      </c>
      <c r="FV175" s="48">
        <v>0</v>
      </c>
      <c r="FW175" s="48">
        <v>0</v>
      </c>
      <c r="FX175" s="48">
        <v>0</v>
      </c>
      <c r="FY175" s="48">
        <v>0</v>
      </c>
      <c r="FZ175" s="48">
        <v>0</v>
      </c>
      <c r="GA175" s="48">
        <v>0</v>
      </c>
      <c r="GB175" s="48">
        <v>0</v>
      </c>
      <c r="GC175" s="48">
        <v>0</v>
      </c>
      <c r="GD175" s="48">
        <v>0</v>
      </c>
      <c r="GE175" s="48">
        <v>0</v>
      </c>
      <c r="GF175" s="48">
        <v>0</v>
      </c>
      <c r="GG175" s="48">
        <v>0</v>
      </c>
      <c r="GH175" s="48">
        <v>0</v>
      </c>
      <c r="GI175" s="48">
        <v>0</v>
      </c>
      <c r="GJ175" s="48">
        <v>0</v>
      </c>
      <c r="GK175" s="48">
        <v>0</v>
      </c>
      <c r="GL175" s="48">
        <v>0</v>
      </c>
      <c r="GM175" s="48">
        <v>0</v>
      </c>
      <c r="GN175" s="48">
        <v>0</v>
      </c>
      <c r="GO175" s="48">
        <v>0</v>
      </c>
      <c r="GP175" s="48">
        <v>0</v>
      </c>
      <c r="GQ175" s="48">
        <v>0</v>
      </c>
      <c r="GR175" s="48">
        <v>0</v>
      </c>
      <c r="GS175" s="48">
        <v>0</v>
      </c>
      <c r="GT175" s="48">
        <v>0</v>
      </c>
      <c r="GU175" s="48">
        <v>0</v>
      </c>
      <c r="GV175" s="48">
        <v>0</v>
      </c>
      <c r="GW175" s="48">
        <v>0</v>
      </c>
      <c r="GX175" s="48">
        <v>0</v>
      </c>
      <c r="GY175" s="48">
        <v>0</v>
      </c>
      <c r="GZ175" s="48">
        <v>0</v>
      </c>
      <c r="HA175" s="48">
        <v>0</v>
      </c>
      <c r="HB175" s="48">
        <v>0</v>
      </c>
      <c r="HC175" s="48">
        <v>0</v>
      </c>
      <c r="HD175" s="48">
        <v>0</v>
      </c>
      <c r="HE175" s="48">
        <v>0</v>
      </c>
      <c r="HF175" s="48">
        <v>0</v>
      </c>
      <c r="HG175" s="48">
        <v>0</v>
      </c>
      <c r="HH175" s="48">
        <v>0</v>
      </c>
      <c r="HI175" s="48">
        <v>0</v>
      </c>
      <c r="HJ175" s="48">
        <v>0</v>
      </c>
      <c r="HK175" s="48">
        <v>0</v>
      </c>
      <c r="HL175" s="48">
        <v>0</v>
      </c>
      <c r="HM175" s="48">
        <v>0</v>
      </c>
      <c r="HN175" s="48">
        <v>0</v>
      </c>
      <c r="HO175" s="48">
        <v>0</v>
      </c>
      <c r="HP175" s="48">
        <v>0</v>
      </c>
      <c r="HQ175" s="48">
        <v>0</v>
      </c>
      <c r="HR175" s="48">
        <v>0</v>
      </c>
      <c r="HS175" s="48">
        <v>0</v>
      </c>
      <c r="HT175" s="48">
        <v>0</v>
      </c>
      <c r="HU175" s="48">
        <v>0</v>
      </c>
      <c r="HV175" s="48">
        <v>0</v>
      </c>
      <c r="HW175" s="48">
        <v>0</v>
      </c>
      <c r="HX175" s="48">
        <v>0</v>
      </c>
      <c r="HY175" s="48">
        <v>0</v>
      </c>
      <c r="HZ175" s="48">
        <v>0</v>
      </c>
      <c r="IA175" s="48">
        <v>0</v>
      </c>
      <c r="IB175" s="48">
        <v>0</v>
      </c>
      <c r="IC175" s="48">
        <v>0</v>
      </c>
      <c r="ID175" s="48">
        <v>0</v>
      </c>
      <c r="IE175" s="48">
        <v>0</v>
      </c>
      <c r="IF175" s="48">
        <v>0</v>
      </c>
      <c r="IG175" s="48">
        <v>0</v>
      </c>
      <c r="IH175" s="48">
        <v>0</v>
      </c>
      <c r="II175" s="48">
        <v>0</v>
      </c>
      <c r="IJ175" s="48">
        <v>0</v>
      </c>
      <c r="IK175" s="48">
        <v>0</v>
      </c>
      <c r="IL175" s="48">
        <v>0</v>
      </c>
      <c r="IM175" s="48">
        <v>0</v>
      </c>
      <c r="IN175" s="48">
        <v>0</v>
      </c>
      <c r="IO175" s="48">
        <v>0</v>
      </c>
      <c r="IP175" s="23">
        <v>0</v>
      </c>
      <c r="IQ175" s="25">
        <v>0</v>
      </c>
      <c r="IR175" s="25">
        <v>0</v>
      </c>
      <c r="IS175" s="26">
        <v>0</v>
      </c>
      <c r="IT175" s="26">
        <v>0</v>
      </c>
      <c r="IU175" s="26">
        <v>0</v>
      </c>
      <c r="IV175" s="9">
        <v>2668</v>
      </c>
      <c r="IW175" s="38">
        <f t="shared" si="13"/>
        <v>2668</v>
      </c>
    </row>
    <row r="176" spans="1:257" ht="30" customHeight="1" x14ac:dyDescent="0.25">
      <c r="A176" s="112" t="b">
        <v>0</v>
      </c>
      <c r="B176" s="113" t="b">
        <f>IFERROR(VLOOKUP(C176,'Bridge matrix'!$D$3:$E$727,2,FALSE)='symmetric IOT 245 2012'!D176,"FALSCH")</f>
        <v>1</v>
      </c>
      <c r="C176" s="108">
        <v>165</v>
      </c>
      <c r="D176" s="49" t="s">
        <v>1483</v>
      </c>
      <c r="E176" s="48">
        <v>0</v>
      </c>
      <c r="F176" s="48">
        <v>0</v>
      </c>
      <c r="G176" s="48">
        <v>0</v>
      </c>
      <c r="H176" s="48">
        <v>0</v>
      </c>
      <c r="I176" s="48">
        <v>0</v>
      </c>
      <c r="J176" s="48">
        <v>0</v>
      </c>
      <c r="K176" s="48">
        <v>0</v>
      </c>
      <c r="L176" s="48">
        <v>0</v>
      </c>
      <c r="M176" s="48">
        <v>0</v>
      </c>
      <c r="N176" s="48">
        <v>0</v>
      </c>
      <c r="O176" s="48">
        <v>0</v>
      </c>
      <c r="P176" s="48">
        <v>0</v>
      </c>
      <c r="Q176" s="48">
        <v>0</v>
      </c>
      <c r="R176" s="48">
        <v>0</v>
      </c>
      <c r="S176" s="48">
        <v>0</v>
      </c>
      <c r="T176" s="48">
        <v>0</v>
      </c>
      <c r="U176" s="48">
        <v>0</v>
      </c>
      <c r="V176" s="48">
        <v>0</v>
      </c>
      <c r="W176" s="48">
        <v>0</v>
      </c>
      <c r="X176" s="48">
        <v>0</v>
      </c>
      <c r="Y176" s="48">
        <v>0</v>
      </c>
      <c r="Z176" s="48">
        <v>0</v>
      </c>
      <c r="AA176" s="48">
        <v>0</v>
      </c>
      <c r="AB176" s="48">
        <v>0</v>
      </c>
      <c r="AC176" s="48">
        <v>0</v>
      </c>
      <c r="AD176" s="48">
        <v>0</v>
      </c>
      <c r="AE176" s="48">
        <v>0</v>
      </c>
      <c r="AF176" s="48">
        <v>0</v>
      </c>
      <c r="AG176" s="48">
        <v>0</v>
      </c>
      <c r="AH176" s="48">
        <v>0</v>
      </c>
      <c r="AI176" s="48">
        <v>0</v>
      </c>
      <c r="AJ176" s="48">
        <v>0</v>
      </c>
      <c r="AK176" s="48">
        <v>0</v>
      </c>
      <c r="AL176" s="48">
        <v>0</v>
      </c>
      <c r="AM176" s="48">
        <v>0</v>
      </c>
      <c r="AN176" s="48">
        <v>0</v>
      </c>
      <c r="AO176" s="48">
        <v>0</v>
      </c>
      <c r="AP176" s="48">
        <v>0</v>
      </c>
      <c r="AQ176" s="48">
        <v>0</v>
      </c>
      <c r="AR176" s="48">
        <v>0</v>
      </c>
      <c r="AS176" s="48">
        <v>0</v>
      </c>
      <c r="AT176" s="48">
        <v>0</v>
      </c>
      <c r="AU176" s="48">
        <v>0</v>
      </c>
      <c r="AV176" s="48">
        <v>0</v>
      </c>
      <c r="AW176" s="48">
        <v>0</v>
      </c>
      <c r="AX176" s="48">
        <v>0</v>
      </c>
      <c r="AY176" s="48">
        <v>0</v>
      </c>
      <c r="AZ176" s="48">
        <v>0</v>
      </c>
      <c r="BA176" s="48">
        <v>0</v>
      </c>
      <c r="BB176" s="48">
        <v>0</v>
      </c>
      <c r="BC176" s="48">
        <v>0</v>
      </c>
      <c r="BD176" s="48">
        <v>0</v>
      </c>
      <c r="BE176" s="48">
        <v>0</v>
      </c>
      <c r="BF176" s="48">
        <v>0</v>
      </c>
      <c r="BG176" s="48">
        <v>0</v>
      </c>
      <c r="BH176" s="48">
        <v>0</v>
      </c>
      <c r="BI176" s="48">
        <v>0</v>
      </c>
      <c r="BJ176" s="48">
        <v>0</v>
      </c>
      <c r="BK176" s="48">
        <v>0</v>
      </c>
      <c r="BL176" s="48">
        <v>0</v>
      </c>
      <c r="BM176" s="48">
        <v>0</v>
      </c>
      <c r="BN176" s="48">
        <v>0</v>
      </c>
      <c r="BO176" s="48">
        <v>0</v>
      </c>
      <c r="BP176" s="48">
        <v>0</v>
      </c>
      <c r="BQ176" s="48">
        <v>0</v>
      </c>
      <c r="BR176" s="48">
        <v>0</v>
      </c>
      <c r="BS176" s="48">
        <v>0</v>
      </c>
      <c r="BT176" s="48">
        <v>76.91323959081943</v>
      </c>
      <c r="BU176" s="48">
        <v>441.08202018037781</v>
      </c>
      <c r="BV176" s="48">
        <v>0</v>
      </c>
      <c r="BW176" s="48">
        <v>0</v>
      </c>
      <c r="BX176" s="48">
        <v>0</v>
      </c>
      <c r="BY176" s="48">
        <v>0</v>
      </c>
      <c r="BZ176" s="48">
        <v>0</v>
      </c>
      <c r="CA176" s="48">
        <v>0</v>
      </c>
      <c r="CB176" s="48">
        <v>0</v>
      </c>
      <c r="CC176" s="48">
        <v>0</v>
      </c>
      <c r="CD176" s="48">
        <v>0</v>
      </c>
      <c r="CE176" s="48">
        <v>0</v>
      </c>
      <c r="CF176" s="48">
        <v>0</v>
      </c>
      <c r="CG176" s="48">
        <v>0</v>
      </c>
      <c r="CH176" s="48">
        <v>0</v>
      </c>
      <c r="CI176" s="48">
        <v>38.189258052032457</v>
      </c>
      <c r="CJ176" s="48">
        <v>33.404058074606141</v>
      </c>
      <c r="CK176" s="48">
        <v>3.1424925164361643</v>
      </c>
      <c r="CL176" s="48">
        <v>0</v>
      </c>
      <c r="CM176" s="48">
        <v>13.443746344075544</v>
      </c>
      <c r="CN176" s="48">
        <v>0</v>
      </c>
      <c r="CO176" s="48">
        <v>0</v>
      </c>
      <c r="CP176" s="48">
        <v>0</v>
      </c>
      <c r="CQ176" s="48">
        <v>0</v>
      </c>
      <c r="CR176" s="48">
        <v>4.5687666140461998</v>
      </c>
      <c r="CS176" s="48">
        <v>0</v>
      </c>
      <c r="CT176" s="48">
        <v>0</v>
      </c>
      <c r="CU176" s="48">
        <v>0</v>
      </c>
      <c r="CV176" s="48">
        <v>1.0995866362953901</v>
      </c>
      <c r="CW176" s="48">
        <v>0</v>
      </c>
      <c r="CX176" s="48">
        <v>0</v>
      </c>
      <c r="CY176" s="48">
        <v>0</v>
      </c>
      <c r="CZ176" s="48">
        <v>0</v>
      </c>
      <c r="DA176" s="48">
        <v>0</v>
      </c>
      <c r="DB176" s="48">
        <v>0</v>
      </c>
      <c r="DC176" s="48">
        <v>0</v>
      </c>
      <c r="DD176" s="48">
        <v>0</v>
      </c>
      <c r="DE176" s="48">
        <v>0</v>
      </c>
      <c r="DF176" s="48">
        <v>0</v>
      </c>
      <c r="DG176" s="48">
        <v>0</v>
      </c>
      <c r="DH176" s="48">
        <v>0</v>
      </c>
      <c r="DI176" s="48">
        <v>0</v>
      </c>
      <c r="DJ176" s="48">
        <v>932.49873665742939</v>
      </c>
      <c r="DK176" s="48">
        <v>1450.7319454266406</v>
      </c>
      <c r="DL176" s="48">
        <v>6570.0314092805993</v>
      </c>
      <c r="DM176" s="48">
        <v>209.41221202896438</v>
      </c>
      <c r="DN176" s="48">
        <v>2873.040568069282</v>
      </c>
      <c r="DO176" s="48">
        <v>0</v>
      </c>
      <c r="DP176" s="48">
        <v>0</v>
      </c>
      <c r="DQ176" s="48">
        <v>0</v>
      </c>
      <c r="DR176" s="48">
        <v>0</v>
      </c>
      <c r="DS176" s="48">
        <v>0</v>
      </c>
      <c r="DT176" s="48">
        <v>0</v>
      </c>
      <c r="DU176" s="48">
        <v>0</v>
      </c>
      <c r="DV176" s="48">
        <v>0</v>
      </c>
      <c r="DW176" s="48">
        <v>206.60042875851897</v>
      </c>
      <c r="DX176" s="48">
        <v>102.5894005731424</v>
      </c>
      <c r="DY176" s="48">
        <v>11.913637404234384</v>
      </c>
      <c r="DZ176" s="48">
        <v>12.747927231301995</v>
      </c>
      <c r="EA176" s="48">
        <v>3.3111409797864755</v>
      </c>
      <c r="EB176" s="48">
        <v>0</v>
      </c>
      <c r="EC176" s="48">
        <v>5.3144621225749722</v>
      </c>
      <c r="ED176" s="48">
        <v>0</v>
      </c>
      <c r="EE176" s="48">
        <v>0</v>
      </c>
      <c r="EF176" s="48">
        <v>0</v>
      </c>
      <c r="EG176" s="48">
        <v>0</v>
      </c>
      <c r="EH176" s="48">
        <v>0</v>
      </c>
      <c r="EI176" s="48">
        <v>159.85859892173301</v>
      </c>
      <c r="EJ176" s="48">
        <v>205.01462503421217</v>
      </c>
      <c r="EK176" s="48">
        <v>81.410820020181006</v>
      </c>
      <c r="EL176" s="48">
        <v>0</v>
      </c>
      <c r="EM176" s="48">
        <v>0</v>
      </c>
      <c r="EN176" s="48">
        <v>0</v>
      </c>
      <c r="EO176" s="48">
        <v>0</v>
      </c>
      <c r="EP176" s="48">
        <v>0</v>
      </c>
      <c r="EQ176" s="48">
        <v>0</v>
      </c>
      <c r="ER176" s="48">
        <v>0</v>
      </c>
      <c r="ES176" s="48">
        <v>0</v>
      </c>
      <c r="ET176" s="48">
        <v>6926.9467789633363</v>
      </c>
      <c r="EU176" s="48">
        <v>0</v>
      </c>
      <c r="EV176" s="48">
        <v>0</v>
      </c>
      <c r="EW176" s="48">
        <v>0.34891985951716364</v>
      </c>
      <c r="EX176" s="48">
        <v>0</v>
      </c>
      <c r="EY176" s="48">
        <v>2.6740532680434801</v>
      </c>
      <c r="EZ176" s="48">
        <v>1.4873175718118741</v>
      </c>
      <c r="FA176" s="48">
        <v>0</v>
      </c>
      <c r="FB176" s="48">
        <v>0</v>
      </c>
      <c r="FC176" s="48">
        <v>421.85134345840231</v>
      </c>
      <c r="FD176" s="48">
        <v>3762.5113083072883</v>
      </c>
      <c r="FE176" s="48">
        <v>0</v>
      </c>
      <c r="FF176" s="48">
        <v>0</v>
      </c>
      <c r="FG176" s="48">
        <v>4071.3618690532462</v>
      </c>
      <c r="FH176" s="48">
        <v>1087.3098599195068</v>
      </c>
      <c r="FI176" s="48">
        <v>4474.7629868346612</v>
      </c>
      <c r="FJ176" s="48">
        <v>7063.6612010006811</v>
      </c>
      <c r="FK176" s="48">
        <v>0</v>
      </c>
      <c r="FL176" s="48">
        <v>0</v>
      </c>
      <c r="FM176" s="48">
        <v>5353.3452772586725</v>
      </c>
      <c r="FN176" s="48">
        <v>2902.4725857801741</v>
      </c>
      <c r="FO176" s="48">
        <v>0</v>
      </c>
      <c r="FP176" s="48">
        <v>0</v>
      </c>
      <c r="FQ176" s="48">
        <v>0</v>
      </c>
      <c r="FR176" s="48">
        <v>394.53302932786994</v>
      </c>
      <c r="FS176" s="48">
        <v>3765.1684249363075</v>
      </c>
      <c r="FT176" s="48">
        <v>967.84978194734992</v>
      </c>
      <c r="FU176" s="48">
        <v>7310.2221519335371</v>
      </c>
      <c r="FV176" s="48">
        <v>26885.637505176419</v>
      </c>
      <c r="FW176" s="48">
        <v>1821.0613672014786</v>
      </c>
      <c r="FX176" s="48">
        <v>889.24092405764236</v>
      </c>
      <c r="FY176" s="48">
        <v>24.952922604901978</v>
      </c>
      <c r="FZ176" s="48">
        <v>0.78638710862439665</v>
      </c>
      <c r="GA176" s="48">
        <v>4.9143124125422304</v>
      </c>
      <c r="GB176" s="48">
        <v>0</v>
      </c>
      <c r="GC176" s="48">
        <v>0</v>
      </c>
      <c r="GD176" s="48">
        <v>0</v>
      </c>
      <c r="GE176" s="48">
        <v>360.09249365036823</v>
      </c>
      <c r="GF176" s="48">
        <v>616.16536904692998</v>
      </c>
      <c r="GG176" s="48">
        <v>43.457490012017352</v>
      </c>
      <c r="GH176" s="48">
        <v>37.003815067708935</v>
      </c>
      <c r="GI176" s="48">
        <v>0</v>
      </c>
      <c r="GJ176" s="48">
        <v>4.3365547881715019</v>
      </c>
      <c r="GK176" s="48">
        <v>9.4824113669516858</v>
      </c>
      <c r="GL176" s="48">
        <v>9.4816805835567823</v>
      </c>
      <c r="GM176" s="48">
        <v>7.0472463940208954</v>
      </c>
      <c r="GN176" s="48">
        <v>0</v>
      </c>
      <c r="GO176" s="48">
        <v>2.3464156845396169</v>
      </c>
      <c r="GP176" s="48">
        <v>0.79095298042107409</v>
      </c>
      <c r="GQ176" s="48">
        <v>7.9096139030234465</v>
      </c>
      <c r="GR176" s="48">
        <v>0</v>
      </c>
      <c r="GS176" s="48">
        <v>0.80435932942295041</v>
      </c>
      <c r="GT176" s="48">
        <v>0</v>
      </c>
      <c r="GU176" s="48">
        <v>142.08878835868225</v>
      </c>
      <c r="GV176" s="48">
        <v>0.78601688533634051</v>
      </c>
      <c r="GW176" s="48">
        <v>0</v>
      </c>
      <c r="GX176" s="48">
        <v>11.536024381184101</v>
      </c>
      <c r="GY176" s="48">
        <v>0</v>
      </c>
      <c r="GZ176" s="48">
        <v>0</v>
      </c>
      <c r="HA176" s="48">
        <v>0</v>
      </c>
      <c r="HB176" s="48">
        <v>0.79167580426161765</v>
      </c>
      <c r="HC176" s="48">
        <v>1.5845840904737558</v>
      </c>
      <c r="HD176" s="48">
        <v>0.98957716476623514</v>
      </c>
      <c r="HE176" s="48">
        <v>0.77765804902445756</v>
      </c>
      <c r="HF176" s="48">
        <v>3.9148500975247282</v>
      </c>
      <c r="HG176" s="48">
        <v>3.914900940697005</v>
      </c>
      <c r="HH176" s="48">
        <v>7.2541063991892223</v>
      </c>
      <c r="HI176" s="48">
        <v>10.990991951947132</v>
      </c>
      <c r="HJ176" s="48">
        <v>12.528618808986408</v>
      </c>
      <c r="HK176" s="48">
        <v>0.78297508824800688</v>
      </c>
      <c r="HL176" s="48">
        <v>1.2097008681466621</v>
      </c>
      <c r="HM176" s="48">
        <v>4.0642381088261406</v>
      </c>
      <c r="HN176" s="48">
        <v>1.565938685248524</v>
      </c>
      <c r="HO176" s="48">
        <v>5.4808726420602314</v>
      </c>
      <c r="HP176" s="48">
        <v>8.6127250867855807</v>
      </c>
      <c r="HQ176" s="48">
        <v>1.5659715911582515</v>
      </c>
      <c r="HR176" s="48">
        <v>2.6777756568112072</v>
      </c>
      <c r="HS176" s="48">
        <v>4.6725641078901177</v>
      </c>
      <c r="HT176" s="48">
        <v>3.1318748583695193</v>
      </c>
      <c r="HU176" s="48">
        <v>3.9148826205204768</v>
      </c>
      <c r="HV176" s="48">
        <v>0</v>
      </c>
      <c r="HW176" s="48">
        <v>0</v>
      </c>
      <c r="HX176" s="48">
        <v>1671.429059232501</v>
      </c>
      <c r="HY176" s="48">
        <v>1417.6672294288473</v>
      </c>
      <c r="HZ176" s="48">
        <v>2100.5580053788944</v>
      </c>
      <c r="IA176" s="48">
        <v>593.70112850842725</v>
      </c>
      <c r="IB176" s="48">
        <v>29.791755075024987</v>
      </c>
      <c r="IC176" s="48">
        <v>0</v>
      </c>
      <c r="ID176" s="48">
        <v>0</v>
      </c>
      <c r="IE176" s="48">
        <v>0</v>
      </c>
      <c r="IF176" s="48">
        <v>0</v>
      </c>
      <c r="IG176" s="48">
        <v>5155.0147851437059</v>
      </c>
      <c r="IH176" s="48">
        <v>370.46368988353026</v>
      </c>
      <c r="II176" s="48">
        <v>113.30765286310557</v>
      </c>
      <c r="IJ176" s="48">
        <v>0</v>
      </c>
      <c r="IK176" s="48">
        <v>2001.1258928541449</v>
      </c>
      <c r="IL176" s="48">
        <v>5257.6908991432792</v>
      </c>
      <c r="IM176" s="48">
        <v>2880.1080396663388</v>
      </c>
      <c r="IN176" s="48">
        <v>2353.9667592690603</v>
      </c>
      <c r="IO176" s="48">
        <v>0</v>
      </c>
      <c r="IP176" s="23">
        <v>116847.99999999948</v>
      </c>
      <c r="IQ176" s="25">
        <v>5363</v>
      </c>
      <c r="IR176" s="25">
        <v>0</v>
      </c>
      <c r="IS176" s="26">
        <v>0</v>
      </c>
      <c r="IT176" s="26">
        <v>83980</v>
      </c>
      <c r="IU176" s="26">
        <v>-12793</v>
      </c>
      <c r="IV176" s="9">
        <v>40424</v>
      </c>
      <c r="IW176" s="38">
        <f t="shared" si="13"/>
        <v>233821.99999999948</v>
      </c>
    </row>
    <row r="177" spans="1:257" ht="30" customHeight="1" x14ac:dyDescent="0.25">
      <c r="A177" s="112" t="b">
        <v>0</v>
      </c>
      <c r="B177" s="113" t="b">
        <f>IFERROR(VLOOKUP(C177,'Bridge matrix'!$D$3:$E$727,2,FALSE)='symmetric IOT 245 2012'!D177,"FALSCH")</f>
        <v>1</v>
      </c>
      <c r="C177" s="108">
        <v>166</v>
      </c>
      <c r="D177" s="49" t="s">
        <v>1484</v>
      </c>
      <c r="E177" s="48">
        <v>0</v>
      </c>
      <c r="F177" s="48">
        <v>0</v>
      </c>
      <c r="G177" s="48">
        <v>0</v>
      </c>
      <c r="H177" s="48">
        <v>0</v>
      </c>
      <c r="I177" s="48">
        <v>0</v>
      </c>
      <c r="J177" s="48">
        <v>0</v>
      </c>
      <c r="K177" s="48">
        <v>0</v>
      </c>
      <c r="L177" s="48">
        <v>0</v>
      </c>
      <c r="M177" s="48">
        <v>0</v>
      </c>
      <c r="N177" s="48">
        <v>0</v>
      </c>
      <c r="O177" s="48">
        <v>0</v>
      </c>
      <c r="P177" s="48">
        <v>0</v>
      </c>
      <c r="Q177" s="48">
        <v>0</v>
      </c>
      <c r="R177" s="48">
        <v>0</v>
      </c>
      <c r="S177" s="48">
        <v>0</v>
      </c>
      <c r="T177" s="48">
        <v>0</v>
      </c>
      <c r="U177" s="48">
        <v>0</v>
      </c>
      <c r="V177" s="48">
        <v>0</v>
      </c>
      <c r="W177" s="48">
        <v>0</v>
      </c>
      <c r="X177" s="48">
        <v>0</v>
      </c>
      <c r="Y177" s="48">
        <v>0</v>
      </c>
      <c r="Z177" s="48">
        <v>0</v>
      </c>
      <c r="AA177" s="48">
        <v>0</v>
      </c>
      <c r="AB177" s="48">
        <v>0</v>
      </c>
      <c r="AC177" s="48">
        <v>0</v>
      </c>
      <c r="AD177" s="48">
        <v>0</v>
      </c>
      <c r="AE177" s="48">
        <v>0</v>
      </c>
      <c r="AF177" s="48">
        <v>0</v>
      </c>
      <c r="AG177" s="48">
        <v>0</v>
      </c>
      <c r="AH177" s="48">
        <v>0</v>
      </c>
      <c r="AI177" s="48">
        <v>0</v>
      </c>
      <c r="AJ177" s="48">
        <v>0</v>
      </c>
      <c r="AK177" s="48">
        <v>0</v>
      </c>
      <c r="AL177" s="48">
        <v>0</v>
      </c>
      <c r="AM177" s="48">
        <v>0</v>
      </c>
      <c r="AN177" s="48">
        <v>0</v>
      </c>
      <c r="AO177" s="48">
        <v>0</v>
      </c>
      <c r="AP177" s="48">
        <v>0</v>
      </c>
      <c r="AQ177" s="48">
        <v>0</v>
      </c>
      <c r="AR177" s="48">
        <v>0</v>
      </c>
      <c r="AS177" s="48">
        <v>0</v>
      </c>
      <c r="AT177" s="48">
        <v>0</v>
      </c>
      <c r="AU177" s="48">
        <v>0</v>
      </c>
      <c r="AV177" s="48">
        <v>0</v>
      </c>
      <c r="AW177" s="48">
        <v>0</v>
      </c>
      <c r="AX177" s="48">
        <v>0</v>
      </c>
      <c r="AY177" s="48">
        <v>0</v>
      </c>
      <c r="AZ177" s="48">
        <v>0</v>
      </c>
      <c r="BA177" s="48">
        <v>0</v>
      </c>
      <c r="BB177" s="48">
        <v>0</v>
      </c>
      <c r="BC177" s="48">
        <v>0</v>
      </c>
      <c r="BD177" s="48">
        <v>0</v>
      </c>
      <c r="BE177" s="48">
        <v>0</v>
      </c>
      <c r="BF177" s="48">
        <v>0</v>
      </c>
      <c r="BG177" s="48">
        <v>0</v>
      </c>
      <c r="BH177" s="48">
        <v>0</v>
      </c>
      <c r="BI177" s="48">
        <v>0</v>
      </c>
      <c r="BJ177" s="48">
        <v>0</v>
      </c>
      <c r="BK177" s="48">
        <v>0</v>
      </c>
      <c r="BL177" s="48">
        <v>0</v>
      </c>
      <c r="BM177" s="48">
        <v>0</v>
      </c>
      <c r="BN177" s="48">
        <v>0</v>
      </c>
      <c r="BO177" s="48">
        <v>0</v>
      </c>
      <c r="BP177" s="48">
        <v>0</v>
      </c>
      <c r="BQ177" s="48">
        <v>0</v>
      </c>
      <c r="BR177" s="48">
        <v>0</v>
      </c>
      <c r="BS177" s="48">
        <v>0</v>
      </c>
      <c r="BT177" s="48">
        <v>0</v>
      </c>
      <c r="BU177" s="48">
        <v>0</v>
      </c>
      <c r="BV177" s="48">
        <v>0</v>
      </c>
      <c r="BW177" s="48">
        <v>0</v>
      </c>
      <c r="BX177" s="48">
        <v>0</v>
      </c>
      <c r="BY177" s="48">
        <v>0</v>
      </c>
      <c r="BZ177" s="48">
        <v>0</v>
      </c>
      <c r="CA177" s="48">
        <v>0</v>
      </c>
      <c r="CB177" s="48">
        <v>0</v>
      </c>
      <c r="CC177" s="48">
        <v>0</v>
      </c>
      <c r="CD177" s="48">
        <v>0</v>
      </c>
      <c r="CE177" s="48">
        <v>0</v>
      </c>
      <c r="CF177" s="48">
        <v>0</v>
      </c>
      <c r="CG177" s="48">
        <v>0</v>
      </c>
      <c r="CH177" s="48">
        <v>0</v>
      </c>
      <c r="CI177" s="48">
        <v>3.2965856193001358E-5</v>
      </c>
      <c r="CJ177" s="48">
        <v>0</v>
      </c>
      <c r="CK177" s="48">
        <v>0</v>
      </c>
      <c r="CL177" s="48">
        <v>6.3947110161646356E-7</v>
      </c>
      <c r="CM177" s="48">
        <v>0</v>
      </c>
      <c r="CN177" s="48">
        <v>9.5140540336925398E-7</v>
      </c>
      <c r="CO177" s="48">
        <v>0</v>
      </c>
      <c r="CP177" s="48">
        <v>0</v>
      </c>
      <c r="CQ177" s="48">
        <v>0</v>
      </c>
      <c r="CR177" s="48">
        <v>0</v>
      </c>
      <c r="CS177" s="48">
        <v>0</v>
      </c>
      <c r="CT177" s="48">
        <v>1.2735848267406146E-9</v>
      </c>
      <c r="CU177" s="48">
        <v>0</v>
      </c>
      <c r="CV177" s="48">
        <v>1.8014937438677166E-4</v>
      </c>
      <c r="CW177" s="48">
        <v>0</v>
      </c>
      <c r="CX177" s="48">
        <v>1.1854303716555671E-10</v>
      </c>
      <c r="CY177" s="48">
        <v>2.5457135236785819E-6</v>
      </c>
      <c r="CZ177" s="48">
        <v>1.9599725114498627E-7</v>
      </c>
      <c r="DA177" s="48">
        <v>0</v>
      </c>
      <c r="DB177" s="48">
        <v>0</v>
      </c>
      <c r="DC177" s="48">
        <v>5.7037326837447093E-10</v>
      </c>
      <c r="DD177" s="48">
        <v>8.3305277904579858E-7</v>
      </c>
      <c r="DE177" s="48">
        <v>0</v>
      </c>
      <c r="DF177" s="48">
        <v>0</v>
      </c>
      <c r="DG177" s="48">
        <v>0</v>
      </c>
      <c r="DH177" s="48">
        <v>0</v>
      </c>
      <c r="DI177" s="48">
        <v>5.3593892077913391E-6</v>
      </c>
      <c r="DJ177" s="48">
        <v>0</v>
      </c>
      <c r="DK177" s="48">
        <v>3.6795610055539339E-6</v>
      </c>
      <c r="DL177" s="48">
        <v>0</v>
      </c>
      <c r="DM177" s="48">
        <v>0</v>
      </c>
      <c r="DN177" s="48">
        <v>0</v>
      </c>
      <c r="DO177" s="48">
        <v>0</v>
      </c>
      <c r="DP177" s="48">
        <v>0</v>
      </c>
      <c r="DQ177" s="48">
        <v>0</v>
      </c>
      <c r="DR177" s="48">
        <v>2.7608643383818634E-3</v>
      </c>
      <c r="DS177" s="48">
        <v>0</v>
      </c>
      <c r="DT177" s="48">
        <v>0</v>
      </c>
      <c r="DU177" s="48">
        <v>0</v>
      </c>
      <c r="DV177" s="48">
        <v>0</v>
      </c>
      <c r="DW177" s="48">
        <v>0</v>
      </c>
      <c r="DX177" s="48">
        <v>0</v>
      </c>
      <c r="DY177" s="48">
        <v>1.2379217542797275E-4</v>
      </c>
      <c r="DZ177" s="48">
        <v>0</v>
      </c>
      <c r="EA177" s="48">
        <v>0</v>
      </c>
      <c r="EB177" s="48">
        <v>2.885973565422777E-2</v>
      </c>
      <c r="EC177" s="48">
        <v>1.0181950088287829E-3</v>
      </c>
      <c r="ED177" s="48">
        <v>0</v>
      </c>
      <c r="EE177" s="48">
        <v>0</v>
      </c>
      <c r="EF177" s="48">
        <v>0</v>
      </c>
      <c r="EG177" s="48">
        <v>0</v>
      </c>
      <c r="EH177" s="48">
        <v>0</v>
      </c>
      <c r="EI177" s="48">
        <v>6.0805641511094841E-2</v>
      </c>
      <c r="EJ177" s="48">
        <v>3.5207130512876029E-6</v>
      </c>
      <c r="EK177" s="48">
        <v>0</v>
      </c>
      <c r="EL177" s="48">
        <v>0</v>
      </c>
      <c r="EM177" s="48">
        <v>0</v>
      </c>
      <c r="EN177" s="48">
        <v>0</v>
      </c>
      <c r="EO177" s="48">
        <v>0</v>
      </c>
      <c r="EP177" s="48">
        <v>0</v>
      </c>
      <c r="EQ177" s="48">
        <v>0</v>
      </c>
      <c r="ER177" s="48">
        <v>0</v>
      </c>
      <c r="ES177" s="48">
        <v>1.2471537906076069E-5</v>
      </c>
      <c r="ET177" s="48">
        <v>0</v>
      </c>
      <c r="EU177" s="48">
        <v>0</v>
      </c>
      <c r="EV177" s="48">
        <v>0</v>
      </c>
      <c r="EW177" s="48">
        <v>0</v>
      </c>
      <c r="EX177" s="48">
        <v>6.6261600534688924E-3</v>
      </c>
      <c r="EY177" s="48">
        <v>0</v>
      </c>
      <c r="EZ177" s="48">
        <v>0</v>
      </c>
      <c r="FA177" s="48">
        <v>0.19737451580247956</v>
      </c>
      <c r="FB177" s="48">
        <v>5.411150669882122E-3</v>
      </c>
      <c r="FC177" s="48">
        <v>0</v>
      </c>
      <c r="FD177" s="48">
        <v>0</v>
      </c>
      <c r="FE177" s="48">
        <v>0</v>
      </c>
      <c r="FF177" s="48">
        <v>0</v>
      </c>
      <c r="FG177" s="48">
        <v>0</v>
      </c>
      <c r="FH177" s="48">
        <v>0</v>
      </c>
      <c r="FI177" s="48">
        <v>0</v>
      </c>
      <c r="FJ177" s="48">
        <v>0</v>
      </c>
      <c r="FK177" s="48">
        <v>0</v>
      </c>
      <c r="FL177" s="48">
        <v>0</v>
      </c>
      <c r="FM177" s="48">
        <v>1030.3576210007068</v>
      </c>
      <c r="FN177" s="48">
        <v>0</v>
      </c>
      <c r="FO177" s="48">
        <v>234.90760761235563</v>
      </c>
      <c r="FP177" s="48">
        <v>485.15615260079545</v>
      </c>
      <c r="FQ177" s="48">
        <v>1.0120439052336096E-2</v>
      </c>
      <c r="FR177" s="48">
        <v>0.68015062334414078</v>
      </c>
      <c r="FS177" s="48">
        <v>0.64658130789963231</v>
      </c>
      <c r="FT177" s="48">
        <v>0</v>
      </c>
      <c r="FU177" s="48">
        <v>1.3939946217081693</v>
      </c>
      <c r="FV177" s="48">
        <v>4.540867041452648</v>
      </c>
      <c r="FW177" s="48">
        <v>0</v>
      </c>
      <c r="FX177" s="48">
        <v>0</v>
      </c>
      <c r="FY177" s="48">
        <v>0</v>
      </c>
      <c r="FZ177" s="48">
        <v>0</v>
      </c>
      <c r="GA177" s="48">
        <v>0</v>
      </c>
      <c r="GB177" s="48">
        <v>0</v>
      </c>
      <c r="GC177" s="48">
        <v>0</v>
      </c>
      <c r="GD177" s="48">
        <v>0</v>
      </c>
      <c r="GE177" s="48">
        <v>0</v>
      </c>
      <c r="GF177" s="48">
        <v>0</v>
      </c>
      <c r="GG177" s="48">
        <v>10.642262733900802</v>
      </c>
      <c r="GH177" s="48">
        <v>9.2912179773595494</v>
      </c>
      <c r="GI177" s="48">
        <v>0</v>
      </c>
      <c r="GJ177" s="48">
        <v>1.4602152282381613</v>
      </c>
      <c r="GK177" s="48">
        <v>2.6607837624560831</v>
      </c>
      <c r="GL177" s="48">
        <v>2.6605787031609545</v>
      </c>
      <c r="GM177" s="48">
        <v>1.9802857299138368</v>
      </c>
      <c r="GN177" s="48">
        <v>0</v>
      </c>
      <c r="GO177" s="48">
        <v>0.65928731244114414</v>
      </c>
      <c r="GP177" s="48">
        <v>0</v>
      </c>
      <c r="GQ177" s="48">
        <v>1.9975082585458936</v>
      </c>
      <c r="GR177" s="48">
        <v>0</v>
      </c>
      <c r="GS177" s="48">
        <v>16828.327971635281</v>
      </c>
      <c r="GT177" s="48">
        <v>23.945160054547319</v>
      </c>
      <c r="GU177" s="48">
        <v>1621.0840742572657</v>
      </c>
      <c r="GV177" s="48">
        <v>9.2634328076029817</v>
      </c>
      <c r="GW177" s="48">
        <v>2.5980458266854844</v>
      </c>
      <c r="GX177" s="48">
        <v>138.56002480879738</v>
      </c>
      <c r="GY177" s="48">
        <v>293.66798129705847</v>
      </c>
      <c r="GZ177" s="48">
        <v>0</v>
      </c>
      <c r="HA177" s="48">
        <v>1052.1235466457815</v>
      </c>
      <c r="HB177" s="48">
        <v>0</v>
      </c>
      <c r="HC177" s="48">
        <v>0</v>
      </c>
      <c r="HD177" s="48">
        <v>0</v>
      </c>
      <c r="HE177" s="48">
        <v>0</v>
      </c>
      <c r="HF177" s="48">
        <v>0</v>
      </c>
      <c r="HG177" s="48">
        <v>0</v>
      </c>
      <c r="HH177" s="48">
        <v>0</v>
      </c>
      <c r="HI177" s="48">
        <v>0</v>
      </c>
      <c r="HJ177" s="48">
        <v>0</v>
      </c>
      <c r="HK177" s="48">
        <v>0</v>
      </c>
      <c r="HL177" s="48">
        <v>0</v>
      </c>
      <c r="HM177" s="48">
        <v>0</v>
      </c>
      <c r="HN177" s="48">
        <v>0</v>
      </c>
      <c r="HO177" s="48">
        <v>0</v>
      </c>
      <c r="HP177" s="48">
        <v>0</v>
      </c>
      <c r="HQ177" s="48">
        <v>0</v>
      </c>
      <c r="HR177" s="48">
        <v>0</v>
      </c>
      <c r="HS177" s="48">
        <v>0</v>
      </c>
      <c r="HT177" s="48">
        <v>0</v>
      </c>
      <c r="HU177" s="48">
        <v>0</v>
      </c>
      <c r="HV177" s="48">
        <v>0</v>
      </c>
      <c r="HW177" s="48">
        <v>0</v>
      </c>
      <c r="HX177" s="48">
        <v>923.91390376449283</v>
      </c>
      <c r="HY177" s="48">
        <v>783.70620939575792</v>
      </c>
      <c r="HZ177" s="48">
        <v>1159.9061828936558</v>
      </c>
      <c r="IA177" s="48">
        <v>328.12583654623842</v>
      </c>
      <c r="IB177" s="48">
        <v>16.499262997880123</v>
      </c>
      <c r="IC177" s="48">
        <v>0</v>
      </c>
      <c r="ID177" s="48">
        <v>0</v>
      </c>
      <c r="IE177" s="48">
        <v>0</v>
      </c>
      <c r="IF177" s="48">
        <v>0</v>
      </c>
      <c r="IG177" s="48">
        <v>2743.8793880221097</v>
      </c>
      <c r="IH177" s="48">
        <v>196.66757084424268</v>
      </c>
      <c r="II177" s="48">
        <v>60.104399045766151</v>
      </c>
      <c r="IJ177" s="48">
        <v>0</v>
      </c>
      <c r="IK177" s="48">
        <v>2151.5890640332286</v>
      </c>
      <c r="IL177" s="48">
        <v>5742.0025483847885</v>
      </c>
      <c r="IM177" s="48">
        <v>2557.4399124096349</v>
      </c>
      <c r="IN177" s="48">
        <v>2399.2470260064811</v>
      </c>
      <c r="IO177" s="48">
        <v>0</v>
      </c>
      <c r="IP177" s="23">
        <v>40821.999999999876</v>
      </c>
      <c r="IQ177" s="25">
        <v>0</v>
      </c>
      <c r="IR177" s="25">
        <v>0</v>
      </c>
      <c r="IS177" s="26">
        <v>0</v>
      </c>
      <c r="IT177" s="26">
        <v>5886</v>
      </c>
      <c r="IU177" s="26">
        <v>-2044</v>
      </c>
      <c r="IV177" s="9">
        <v>12277</v>
      </c>
      <c r="IW177" s="38">
        <f t="shared" si="13"/>
        <v>56940.999999999876</v>
      </c>
    </row>
    <row r="178" spans="1:257" ht="30" customHeight="1" x14ac:dyDescent="0.25">
      <c r="A178" s="112" t="b">
        <v>0</v>
      </c>
      <c r="B178" s="113" t="str">
        <f>IFERROR(VLOOKUP(C178,'Bridge matrix'!$D$3:$E$727,2,FALSE)='symmetric IOT 245 2012'!D178,"FALSCH")</f>
        <v>FALSCH</v>
      </c>
      <c r="C178" s="108">
        <v>167</v>
      </c>
      <c r="D178" s="49" t="s">
        <v>1485</v>
      </c>
      <c r="E178" s="48">
        <v>0</v>
      </c>
      <c r="F178" s="48">
        <v>0</v>
      </c>
      <c r="G178" s="48">
        <v>0</v>
      </c>
      <c r="H178" s="48">
        <v>0</v>
      </c>
      <c r="I178" s="48">
        <v>0</v>
      </c>
      <c r="J178" s="48">
        <v>0</v>
      </c>
      <c r="K178" s="48">
        <v>0</v>
      </c>
      <c r="L178" s="48">
        <v>0</v>
      </c>
      <c r="M178" s="48">
        <v>0</v>
      </c>
      <c r="N178" s="48">
        <v>0</v>
      </c>
      <c r="O178" s="48">
        <v>0</v>
      </c>
      <c r="P178" s="48">
        <v>0</v>
      </c>
      <c r="Q178" s="48">
        <v>0</v>
      </c>
      <c r="R178" s="48">
        <v>0</v>
      </c>
      <c r="S178" s="48">
        <v>0</v>
      </c>
      <c r="T178" s="48">
        <v>0</v>
      </c>
      <c r="U178" s="48">
        <v>0</v>
      </c>
      <c r="V178" s="48">
        <v>0</v>
      </c>
      <c r="W178" s="48">
        <v>0</v>
      </c>
      <c r="X178" s="48">
        <v>0</v>
      </c>
      <c r="Y178" s="48">
        <v>0</v>
      </c>
      <c r="Z178" s="48">
        <v>0</v>
      </c>
      <c r="AA178" s="48">
        <v>0</v>
      </c>
      <c r="AB178" s="48">
        <v>0</v>
      </c>
      <c r="AC178" s="48">
        <v>0</v>
      </c>
      <c r="AD178" s="48">
        <v>0</v>
      </c>
      <c r="AE178" s="48">
        <v>0</v>
      </c>
      <c r="AF178" s="48">
        <v>0</v>
      </c>
      <c r="AG178" s="48">
        <v>0</v>
      </c>
      <c r="AH178" s="48">
        <v>0</v>
      </c>
      <c r="AI178" s="48">
        <v>0</v>
      </c>
      <c r="AJ178" s="48">
        <v>0</v>
      </c>
      <c r="AK178" s="48">
        <v>0</v>
      </c>
      <c r="AL178" s="48">
        <v>0</v>
      </c>
      <c r="AM178" s="48">
        <v>0</v>
      </c>
      <c r="AN178" s="48">
        <v>0</v>
      </c>
      <c r="AO178" s="48">
        <v>0</v>
      </c>
      <c r="AP178" s="48">
        <v>0</v>
      </c>
      <c r="AQ178" s="48">
        <v>0</v>
      </c>
      <c r="AR178" s="48">
        <v>0</v>
      </c>
      <c r="AS178" s="48">
        <v>0</v>
      </c>
      <c r="AT178" s="48">
        <v>0</v>
      </c>
      <c r="AU178" s="48">
        <v>0</v>
      </c>
      <c r="AV178" s="48">
        <v>0</v>
      </c>
      <c r="AW178" s="48">
        <v>0</v>
      </c>
      <c r="AX178" s="48">
        <v>0</v>
      </c>
      <c r="AY178" s="48">
        <v>0</v>
      </c>
      <c r="AZ178" s="48">
        <v>0</v>
      </c>
      <c r="BA178" s="48">
        <v>0</v>
      </c>
      <c r="BB178" s="48">
        <v>0</v>
      </c>
      <c r="BC178" s="48">
        <v>0</v>
      </c>
      <c r="BD178" s="48">
        <v>0</v>
      </c>
      <c r="BE178" s="48">
        <v>0</v>
      </c>
      <c r="BF178" s="48">
        <v>0</v>
      </c>
      <c r="BG178" s="48">
        <v>0</v>
      </c>
      <c r="BH178" s="48">
        <v>0</v>
      </c>
      <c r="BI178" s="48">
        <v>0</v>
      </c>
      <c r="BJ178" s="48">
        <v>0</v>
      </c>
      <c r="BK178" s="48">
        <v>0</v>
      </c>
      <c r="BL178" s="48">
        <v>0</v>
      </c>
      <c r="BM178" s="48">
        <v>0</v>
      </c>
      <c r="BN178" s="48">
        <v>0</v>
      </c>
      <c r="BO178" s="48">
        <v>0</v>
      </c>
      <c r="BP178" s="48">
        <v>0</v>
      </c>
      <c r="BQ178" s="48">
        <v>0</v>
      </c>
      <c r="BR178" s="48">
        <v>0</v>
      </c>
      <c r="BS178" s="48">
        <v>0</v>
      </c>
      <c r="BT178" s="48">
        <v>0</v>
      </c>
      <c r="BU178" s="48">
        <v>0</v>
      </c>
      <c r="BV178" s="48">
        <v>0</v>
      </c>
      <c r="BW178" s="48">
        <v>0</v>
      </c>
      <c r="BX178" s="48">
        <v>0</v>
      </c>
      <c r="BY178" s="48">
        <v>0</v>
      </c>
      <c r="BZ178" s="48">
        <v>0</v>
      </c>
      <c r="CA178" s="48">
        <v>0</v>
      </c>
      <c r="CB178" s="48">
        <v>0</v>
      </c>
      <c r="CC178" s="48">
        <v>0</v>
      </c>
      <c r="CD178" s="48">
        <v>0</v>
      </c>
      <c r="CE178" s="48">
        <v>0</v>
      </c>
      <c r="CF178" s="48">
        <v>0</v>
      </c>
      <c r="CG178" s="48">
        <v>0</v>
      </c>
      <c r="CH178" s="48">
        <v>0</v>
      </c>
      <c r="CI178" s="48">
        <v>0</v>
      </c>
      <c r="CJ178" s="48">
        <v>0</v>
      </c>
      <c r="CK178" s="48">
        <v>0</v>
      </c>
      <c r="CL178" s="48">
        <v>1.7159543646898194E-2</v>
      </c>
      <c r="CM178" s="48">
        <v>0</v>
      </c>
      <c r="CN178" s="48">
        <v>2.5530022966554634E-2</v>
      </c>
      <c r="CO178" s="48">
        <v>0</v>
      </c>
      <c r="CP178" s="48">
        <v>0</v>
      </c>
      <c r="CQ178" s="48">
        <v>0</v>
      </c>
      <c r="CR178" s="48">
        <v>0</v>
      </c>
      <c r="CS178" s="48">
        <v>0</v>
      </c>
      <c r="CT178" s="48">
        <v>3.4175389125810937E-5</v>
      </c>
      <c r="CU178" s="48">
        <v>0</v>
      </c>
      <c r="CV178" s="48">
        <v>1.793437607395173</v>
      </c>
      <c r="CW178" s="48">
        <v>0</v>
      </c>
      <c r="CX178" s="48">
        <v>3.180985151696913E-6</v>
      </c>
      <c r="CY178" s="48">
        <v>2.2297865197607566E-2</v>
      </c>
      <c r="CZ178" s="48">
        <v>1.7243386374405519E-3</v>
      </c>
      <c r="DA178" s="48">
        <v>0</v>
      </c>
      <c r="DB178" s="48">
        <v>0</v>
      </c>
      <c r="DC178" s="48">
        <v>1.5305402501963227E-5</v>
      </c>
      <c r="DD178" s="48">
        <v>7.3883892702021484E-3</v>
      </c>
      <c r="DE178" s="48">
        <v>1.2885853821641449E-2</v>
      </c>
      <c r="DF178" s="48">
        <v>0</v>
      </c>
      <c r="DG178" s="48">
        <v>0</v>
      </c>
      <c r="DH178" s="48">
        <v>0</v>
      </c>
      <c r="DI178" s="48">
        <v>4.7150570381526799E-2</v>
      </c>
      <c r="DJ178" s="48">
        <v>0</v>
      </c>
      <c r="DK178" s="48">
        <v>3.2371929573659031E-2</v>
      </c>
      <c r="DL178" s="48">
        <v>0</v>
      </c>
      <c r="DM178" s="48">
        <v>0</v>
      </c>
      <c r="DN178" s="48">
        <v>0</v>
      </c>
      <c r="DO178" s="48">
        <v>0</v>
      </c>
      <c r="DP178" s="48">
        <v>0</v>
      </c>
      <c r="DQ178" s="48">
        <v>0</v>
      </c>
      <c r="DR178" s="48">
        <v>2.8709967920589351E-2</v>
      </c>
      <c r="DS178" s="48">
        <v>0</v>
      </c>
      <c r="DT178" s="48">
        <v>0</v>
      </c>
      <c r="DU178" s="48">
        <v>0</v>
      </c>
      <c r="DV178" s="48">
        <v>0</v>
      </c>
      <c r="DW178" s="48">
        <v>0</v>
      </c>
      <c r="DX178" s="48">
        <v>0</v>
      </c>
      <c r="DY178" s="48">
        <v>1.1500044841887882E-7</v>
      </c>
      <c r="DZ178" s="48">
        <v>0</v>
      </c>
      <c r="EA178" s="48">
        <v>8.806467222087274E-4</v>
      </c>
      <c r="EB178" s="48">
        <v>3.6474628066257875</v>
      </c>
      <c r="EC178" s="48">
        <v>8.7321182683347924E-3</v>
      </c>
      <c r="ED178" s="48">
        <v>0</v>
      </c>
      <c r="EE178" s="48">
        <v>0</v>
      </c>
      <c r="EF178" s="48">
        <v>0</v>
      </c>
      <c r="EG178" s="48">
        <v>0</v>
      </c>
      <c r="EH178" s="48">
        <v>0</v>
      </c>
      <c r="EI178" s="48">
        <v>455.1799503914167</v>
      </c>
      <c r="EJ178" s="48">
        <v>429.88354175691279</v>
      </c>
      <c r="EK178" s="48">
        <v>171.12184523256363</v>
      </c>
      <c r="EL178" s="48">
        <v>0</v>
      </c>
      <c r="EM178" s="48">
        <v>500.63124133339494</v>
      </c>
      <c r="EN178" s="48">
        <v>0</v>
      </c>
      <c r="EO178" s="48">
        <v>0</v>
      </c>
      <c r="EP178" s="48">
        <v>0</v>
      </c>
      <c r="EQ178" s="48">
        <v>0</v>
      </c>
      <c r="ER178" s="48">
        <v>7.7377794088025111E-3</v>
      </c>
      <c r="ES178" s="48">
        <v>1.3657831333815221E-4</v>
      </c>
      <c r="ET178" s="48">
        <v>0</v>
      </c>
      <c r="EU178" s="48">
        <v>0</v>
      </c>
      <c r="EV178" s="48">
        <v>0</v>
      </c>
      <c r="EW178" s="48">
        <v>1.4450781727222915E-2</v>
      </c>
      <c r="EX178" s="48">
        <v>0</v>
      </c>
      <c r="EY178" s="48">
        <v>0.16437864377331407</v>
      </c>
      <c r="EZ178" s="48">
        <v>0</v>
      </c>
      <c r="FA178" s="48">
        <v>0</v>
      </c>
      <c r="FB178" s="48">
        <v>0</v>
      </c>
      <c r="FC178" s="48">
        <v>0</v>
      </c>
      <c r="FD178" s="48">
        <v>0</v>
      </c>
      <c r="FE178" s="48">
        <v>0</v>
      </c>
      <c r="FF178" s="48">
        <v>0</v>
      </c>
      <c r="FG178" s="48">
        <v>5.4010186703720349</v>
      </c>
      <c r="FH178" s="48">
        <v>3.142676261730576E-4</v>
      </c>
      <c r="FI178" s="48">
        <v>0</v>
      </c>
      <c r="FJ178" s="48">
        <v>0</v>
      </c>
      <c r="FK178" s="48">
        <v>0</v>
      </c>
      <c r="FL178" s="48">
        <v>0</v>
      </c>
      <c r="FM178" s="48">
        <v>9.4836326006851792E-3</v>
      </c>
      <c r="FN178" s="48">
        <v>0</v>
      </c>
      <c r="FO178" s="48">
        <v>3223.9062332583585</v>
      </c>
      <c r="FP178" s="48">
        <v>0.43660678712394546</v>
      </c>
      <c r="FQ178" s="48">
        <v>0</v>
      </c>
      <c r="FR178" s="48">
        <v>0</v>
      </c>
      <c r="FS178" s="48">
        <v>0</v>
      </c>
      <c r="FT178" s="48">
        <v>0</v>
      </c>
      <c r="FU178" s="48">
        <v>0</v>
      </c>
      <c r="FV178" s="48">
        <v>0</v>
      </c>
      <c r="FW178" s="48">
        <v>47.796809241333207</v>
      </c>
      <c r="FX178" s="48">
        <v>100.18186360330851</v>
      </c>
      <c r="FY178" s="48">
        <v>20.545350699182002</v>
      </c>
      <c r="FZ178" s="48">
        <v>0.74709603488552323</v>
      </c>
      <c r="GA178" s="48">
        <v>3.9150633798184264</v>
      </c>
      <c r="GB178" s="48">
        <v>0</v>
      </c>
      <c r="GC178" s="48">
        <v>0</v>
      </c>
      <c r="GD178" s="48">
        <v>0</v>
      </c>
      <c r="GE178" s="48">
        <v>0</v>
      </c>
      <c r="GF178" s="48">
        <v>0</v>
      </c>
      <c r="GG178" s="48">
        <v>0</v>
      </c>
      <c r="GH178" s="48">
        <v>0</v>
      </c>
      <c r="GI178" s="48">
        <v>0</v>
      </c>
      <c r="GJ178" s="48">
        <v>0</v>
      </c>
      <c r="GK178" s="48">
        <v>0</v>
      </c>
      <c r="GL178" s="48">
        <v>0</v>
      </c>
      <c r="GM178" s="48">
        <v>0</v>
      </c>
      <c r="GN178" s="48">
        <v>0</v>
      </c>
      <c r="GO178" s="48">
        <v>0</v>
      </c>
      <c r="GP178" s="48">
        <v>0</v>
      </c>
      <c r="GQ178" s="48">
        <v>0</v>
      </c>
      <c r="GR178" s="48">
        <v>0</v>
      </c>
      <c r="GS178" s="48">
        <v>0</v>
      </c>
      <c r="GT178" s="48">
        <v>0</v>
      </c>
      <c r="GU178" s="48">
        <v>0</v>
      </c>
      <c r="GV178" s="48">
        <v>0</v>
      </c>
      <c r="GW178" s="48">
        <v>0</v>
      </c>
      <c r="GX178" s="48">
        <v>0</v>
      </c>
      <c r="GY178" s="48">
        <v>0</v>
      </c>
      <c r="GZ178" s="48">
        <v>0</v>
      </c>
      <c r="HA178" s="48">
        <v>0</v>
      </c>
      <c r="HB178" s="48">
        <v>0</v>
      </c>
      <c r="HC178" s="48">
        <v>0</v>
      </c>
      <c r="HD178" s="48">
        <v>0</v>
      </c>
      <c r="HE178" s="48">
        <v>0</v>
      </c>
      <c r="HF178" s="48">
        <v>0</v>
      </c>
      <c r="HG178" s="48">
        <v>0</v>
      </c>
      <c r="HH178" s="48">
        <v>0</v>
      </c>
      <c r="HI178" s="48">
        <v>0</v>
      </c>
      <c r="HJ178" s="48">
        <v>0</v>
      </c>
      <c r="HK178" s="48">
        <v>0</v>
      </c>
      <c r="HL178" s="48">
        <v>0</v>
      </c>
      <c r="HM178" s="48">
        <v>0</v>
      </c>
      <c r="HN178" s="48">
        <v>0</v>
      </c>
      <c r="HO178" s="48">
        <v>0</v>
      </c>
      <c r="HP178" s="48">
        <v>0</v>
      </c>
      <c r="HQ178" s="48">
        <v>0</v>
      </c>
      <c r="HR178" s="48">
        <v>0</v>
      </c>
      <c r="HS178" s="48">
        <v>0</v>
      </c>
      <c r="HT178" s="48">
        <v>0</v>
      </c>
      <c r="HU178" s="48">
        <v>0</v>
      </c>
      <c r="HV178" s="48">
        <v>0</v>
      </c>
      <c r="HW178" s="48">
        <v>0</v>
      </c>
      <c r="HX178" s="48">
        <v>0</v>
      </c>
      <c r="HY178" s="48">
        <v>0</v>
      </c>
      <c r="HZ178" s="48">
        <v>0</v>
      </c>
      <c r="IA178" s="48">
        <v>0</v>
      </c>
      <c r="IB178" s="48">
        <v>0</v>
      </c>
      <c r="IC178" s="48">
        <v>0</v>
      </c>
      <c r="ID178" s="48">
        <v>0</v>
      </c>
      <c r="IE178" s="48">
        <v>0</v>
      </c>
      <c r="IF178" s="48">
        <v>0</v>
      </c>
      <c r="IG178" s="48">
        <v>7125.7741945799817</v>
      </c>
      <c r="IH178" s="48">
        <v>512.07696709412153</v>
      </c>
      <c r="II178" s="48">
        <v>157.04569543236596</v>
      </c>
      <c r="IJ178" s="48">
        <v>0</v>
      </c>
      <c r="IK178" s="48">
        <v>710.06133827871906</v>
      </c>
      <c r="IL178" s="48">
        <v>1240.9772418021648</v>
      </c>
      <c r="IM178" s="48">
        <v>1492.1740233527016</v>
      </c>
      <c r="IN178" s="48">
        <v>792.30163295055252</v>
      </c>
      <c r="IO178" s="48">
        <v>0</v>
      </c>
      <c r="IP178" s="23">
        <v>16995.999999999931</v>
      </c>
      <c r="IQ178" s="25">
        <v>0</v>
      </c>
      <c r="IR178" s="25">
        <v>0</v>
      </c>
      <c r="IS178" s="26">
        <v>0</v>
      </c>
      <c r="IT178" s="26">
        <v>78</v>
      </c>
      <c r="IU178" s="26">
        <v>-4178</v>
      </c>
      <c r="IV178" s="9">
        <v>19780</v>
      </c>
      <c r="IW178" s="38">
        <f t="shared" si="13"/>
        <v>32675.999999999931</v>
      </c>
    </row>
    <row r="179" spans="1:257" ht="30" customHeight="1" x14ac:dyDescent="0.25">
      <c r="A179" s="112" t="b">
        <v>0</v>
      </c>
      <c r="B179" s="113" t="b">
        <f>IFERROR(VLOOKUP(C179,'Bridge matrix'!$D$3:$E$727,2,FALSE)='symmetric IOT 245 2012'!D179,"FALSCH")</f>
        <v>1</v>
      </c>
      <c r="C179" s="108">
        <v>168</v>
      </c>
      <c r="D179" s="49" t="s">
        <v>1486</v>
      </c>
      <c r="E179" s="48">
        <v>0</v>
      </c>
      <c r="F179" s="48">
        <v>0</v>
      </c>
      <c r="G179" s="48">
        <v>0</v>
      </c>
      <c r="H179" s="48">
        <v>0</v>
      </c>
      <c r="I179" s="48">
        <v>0</v>
      </c>
      <c r="J179" s="48">
        <v>0</v>
      </c>
      <c r="K179" s="48">
        <v>0</v>
      </c>
      <c r="L179" s="48">
        <v>0</v>
      </c>
      <c r="M179" s="48">
        <v>0</v>
      </c>
      <c r="N179" s="48">
        <v>0</v>
      </c>
      <c r="O179" s="48">
        <v>0</v>
      </c>
      <c r="P179" s="48">
        <v>0</v>
      </c>
      <c r="Q179" s="48">
        <v>0</v>
      </c>
      <c r="R179" s="48">
        <v>0</v>
      </c>
      <c r="S179" s="48">
        <v>0</v>
      </c>
      <c r="T179" s="48">
        <v>0</v>
      </c>
      <c r="U179" s="48">
        <v>0</v>
      </c>
      <c r="V179" s="48">
        <v>0</v>
      </c>
      <c r="W179" s="48">
        <v>0</v>
      </c>
      <c r="X179" s="48">
        <v>0</v>
      </c>
      <c r="Y179" s="48">
        <v>0</v>
      </c>
      <c r="Z179" s="48">
        <v>0</v>
      </c>
      <c r="AA179" s="48">
        <v>0</v>
      </c>
      <c r="AB179" s="48">
        <v>0</v>
      </c>
      <c r="AC179" s="48">
        <v>0</v>
      </c>
      <c r="AD179" s="48">
        <v>0</v>
      </c>
      <c r="AE179" s="48">
        <v>0</v>
      </c>
      <c r="AF179" s="48">
        <v>0</v>
      </c>
      <c r="AG179" s="48">
        <v>0</v>
      </c>
      <c r="AH179" s="48">
        <v>0</v>
      </c>
      <c r="AI179" s="48">
        <v>0</v>
      </c>
      <c r="AJ179" s="48">
        <v>0</v>
      </c>
      <c r="AK179" s="48">
        <v>0</v>
      </c>
      <c r="AL179" s="48">
        <v>0</v>
      </c>
      <c r="AM179" s="48">
        <v>0</v>
      </c>
      <c r="AN179" s="48">
        <v>0</v>
      </c>
      <c r="AO179" s="48">
        <v>0</v>
      </c>
      <c r="AP179" s="48">
        <v>0</v>
      </c>
      <c r="AQ179" s="48">
        <v>0</v>
      </c>
      <c r="AR179" s="48">
        <v>0</v>
      </c>
      <c r="AS179" s="48">
        <v>0</v>
      </c>
      <c r="AT179" s="48">
        <v>0</v>
      </c>
      <c r="AU179" s="48">
        <v>0</v>
      </c>
      <c r="AV179" s="48">
        <v>0</v>
      </c>
      <c r="AW179" s="48">
        <v>0</v>
      </c>
      <c r="AX179" s="48">
        <v>0</v>
      </c>
      <c r="AY179" s="48">
        <v>0</v>
      </c>
      <c r="AZ179" s="48">
        <v>0</v>
      </c>
      <c r="BA179" s="48">
        <v>0</v>
      </c>
      <c r="BB179" s="48">
        <v>0</v>
      </c>
      <c r="BC179" s="48">
        <v>0</v>
      </c>
      <c r="BD179" s="48">
        <v>0</v>
      </c>
      <c r="BE179" s="48">
        <v>0</v>
      </c>
      <c r="BF179" s="48">
        <v>0</v>
      </c>
      <c r="BG179" s="48">
        <v>0</v>
      </c>
      <c r="BH179" s="48">
        <v>0</v>
      </c>
      <c r="BI179" s="48">
        <v>0</v>
      </c>
      <c r="BJ179" s="48">
        <v>0</v>
      </c>
      <c r="BK179" s="48">
        <v>0</v>
      </c>
      <c r="BL179" s="48">
        <v>0</v>
      </c>
      <c r="BM179" s="48">
        <v>0</v>
      </c>
      <c r="BN179" s="48">
        <v>0</v>
      </c>
      <c r="BO179" s="48">
        <v>0</v>
      </c>
      <c r="BP179" s="48">
        <v>0</v>
      </c>
      <c r="BQ179" s="48">
        <v>0</v>
      </c>
      <c r="BR179" s="48">
        <v>0</v>
      </c>
      <c r="BS179" s="48">
        <v>0</v>
      </c>
      <c r="BT179" s="48">
        <v>0</v>
      </c>
      <c r="BU179" s="48">
        <v>0</v>
      </c>
      <c r="BV179" s="48">
        <v>0</v>
      </c>
      <c r="BW179" s="48">
        <v>0</v>
      </c>
      <c r="BX179" s="48">
        <v>0</v>
      </c>
      <c r="BY179" s="48">
        <v>0</v>
      </c>
      <c r="BZ179" s="48">
        <v>0</v>
      </c>
      <c r="CA179" s="48">
        <v>0</v>
      </c>
      <c r="CB179" s="48">
        <v>0</v>
      </c>
      <c r="CC179" s="48">
        <v>0</v>
      </c>
      <c r="CD179" s="48">
        <v>0</v>
      </c>
      <c r="CE179" s="48">
        <v>0</v>
      </c>
      <c r="CF179" s="48">
        <v>0</v>
      </c>
      <c r="CG179" s="48">
        <v>0</v>
      </c>
      <c r="CH179" s="48">
        <v>0</v>
      </c>
      <c r="CI179" s="48">
        <v>0</v>
      </c>
      <c r="CJ179" s="48">
        <v>0</v>
      </c>
      <c r="CK179" s="48">
        <v>0</v>
      </c>
      <c r="CL179" s="48">
        <v>2.3446764378354957E-6</v>
      </c>
      <c r="CM179" s="48">
        <v>1.3808112862735571E-8</v>
      </c>
      <c r="CN179" s="48">
        <v>3.4887526826101001E-6</v>
      </c>
      <c r="CO179" s="48">
        <v>0</v>
      </c>
      <c r="CP179" s="48">
        <v>0</v>
      </c>
      <c r="CQ179" s="48">
        <v>0</v>
      </c>
      <c r="CR179" s="48">
        <v>0</v>
      </c>
      <c r="CS179" s="48">
        <v>0</v>
      </c>
      <c r="CT179" s="48">
        <v>4.6701673808955352E-9</v>
      </c>
      <c r="CU179" s="48">
        <v>0</v>
      </c>
      <c r="CV179" s="48">
        <v>6.6513326878012754E-4</v>
      </c>
      <c r="CW179" s="48">
        <v>0</v>
      </c>
      <c r="CX179" s="48">
        <v>4.3469097132673624E-10</v>
      </c>
      <c r="CY179" s="48">
        <v>0</v>
      </c>
      <c r="CZ179" s="48">
        <v>0</v>
      </c>
      <c r="DA179" s="48">
        <v>1.1458672274897643E-8</v>
      </c>
      <c r="DB179" s="48">
        <v>0</v>
      </c>
      <c r="DC179" s="48">
        <v>2.0915282413612942E-9</v>
      </c>
      <c r="DD179" s="48">
        <v>0</v>
      </c>
      <c r="DE179" s="48">
        <v>2.9503650542028624E-5</v>
      </c>
      <c r="DF179" s="48">
        <v>0</v>
      </c>
      <c r="DG179" s="48">
        <v>0</v>
      </c>
      <c r="DH179" s="48">
        <v>0</v>
      </c>
      <c r="DI179" s="48">
        <v>0</v>
      </c>
      <c r="DJ179" s="48">
        <v>0</v>
      </c>
      <c r="DK179" s="48">
        <v>0</v>
      </c>
      <c r="DL179" s="48">
        <v>1.2427852841184178E-2</v>
      </c>
      <c r="DM179" s="48">
        <v>0</v>
      </c>
      <c r="DN179" s="48">
        <v>0</v>
      </c>
      <c r="DO179" s="48">
        <v>0</v>
      </c>
      <c r="DP179" s="48">
        <v>0</v>
      </c>
      <c r="DQ179" s="48">
        <v>0</v>
      </c>
      <c r="DR179" s="48">
        <v>9.6239764085590863E-4</v>
      </c>
      <c r="DS179" s="48">
        <v>0</v>
      </c>
      <c r="DT179" s="48">
        <v>0</v>
      </c>
      <c r="DU179" s="48">
        <v>0</v>
      </c>
      <c r="DV179" s="48">
        <v>0</v>
      </c>
      <c r="DW179" s="48">
        <v>21.230216743278113</v>
      </c>
      <c r="DX179" s="48">
        <v>10.623158103905519</v>
      </c>
      <c r="DY179" s="48">
        <v>1.4331341649609375</v>
      </c>
      <c r="DZ179" s="48">
        <v>1.4300553097608375</v>
      </c>
      <c r="EA179" s="48">
        <v>0</v>
      </c>
      <c r="EB179" s="48">
        <v>3.8059718266429947E-2</v>
      </c>
      <c r="EC179" s="48">
        <v>0</v>
      </c>
      <c r="ED179" s="48">
        <v>0</v>
      </c>
      <c r="EE179" s="48">
        <v>0</v>
      </c>
      <c r="EF179" s="48">
        <v>0</v>
      </c>
      <c r="EG179" s="48">
        <v>0</v>
      </c>
      <c r="EH179" s="48">
        <v>0</v>
      </c>
      <c r="EI179" s="48">
        <v>0.22423012719871316</v>
      </c>
      <c r="EJ179" s="48">
        <v>1.2998898209949716E-5</v>
      </c>
      <c r="EK179" s="48">
        <v>0</v>
      </c>
      <c r="EL179" s="48">
        <v>0</v>
      </c>
      <c r="EM179" s="48">
        <v>0</v>
      </c>
      <c r="EN179" s="48">
        <v>0</v>
      </c>
      <c r="EO179" s="48">
        <v>0</v>
      </c>
      <c r="EP179" s="48">
        <v>0</v>
      </c>
      <c r="EQ179" s="48">
        <v>0</v>
      </c>
      <c r="ER179" s="48">
        <v>0</v>
      </c>
      <c r="ES179" s="48">
        <v>2.378162383082634E-5</v>
      </c>
      <c r="ET179" s="48">
        <v>0</v>
      </c>
      <c r="EU179" s="48">
        <v>0</v>
      </c>
      <c r="EV179" s="48">
        <v>0</v>
      </c>
      <c r="EW179" s="48">
        <v>4.4832629095757377E-3</v>
      </c>
      <c r="EX179" s="48">
        <v>0</v>
      </c>
      <c r="EY179" s="48">
        <v>0</v>
      </c>
      <c r="EZ179" s="48">
        <v>0</v>
      </c>
      <c r="FA179" s="48">
        <v>1.1186067325907637E-2</v>
      </c>
      <c r="FB179" s="48">
        <v>3.0667330814128916E-4</v>
      </c>
      <c r="FC179" s="48">
        <v>0</v>
      </c>
      <c r="FD179" s="48">
        <v>15.527412486434773</v>
      </c>
      <c r="FE179" s="48">
        <v>0</v>
      </c>
      <c r="FF179" s="48">
        <v>0</v>
      </c>
      <c r="FG179" s="48">
        <v>0</v>
      </c>
      <c r="FH179" s="48">
        <v>9.0970226690742244</v>
      </c>
      <c r="FI179" s="48">
        <v>17.359266581706521</v>
      </c>
      <c r="FJ179" s="48">
        <v>0</v>
      </c>
      <c r="FK179" s="48">
        <v>0</v>
      </c>
      <c r="FL179" s="48">
        <v>0</v>
      </c>
      <c r="FM179" s="48">
        <v>408.19053734765038</v>
      </c>
      <c r="FN179" s="48">
        <v>0</v>
      </c>
      <c r="FO179" s="48">
        <v>0</v>
      </c>
      <c r="FP179" s="48">
        <v>84579.596881094374</v>
      </c>
      <c r="FQ179" s="48">
        <v>2607.9275202659351</v>
      </c>
      <c r="FR179" s="48">
        <v>0</v>
      </c>
      <c r="FS179" s="48">
        <v>0</v>
      </c>
      <c r="FT179" s="48">
        <v>0</v>
      </c>
      <c r="FU179" s="48">
        <v>0</v>
      </c>
      <c r="FV179" s="48">
        <v>0</v>
      </c>
      <c r="FW179" s="48">
        <v>382.16632866441097</v>
      </c>
      <c r="FX179" s="48">
        <v>804.39246504405685</v>
      </c>
      <c r="FY179" s="48">
        <v>32.844003326555999</v>
      </c>
      <c r="FZ179" s="48">
        <v>0.70573170982930522</v>
      </c>
      <c r="GA179" s="48">
        <v>0</v>
      </c>
      <c r="GB179" s="48">
        <v>0</v>
      </c>
      <c r="GC179" s="48">
        <v>0</v>
      </c>
      <c r="GD179" s="48">
        <v>0</v>
      </c>
      <c r="GE179" s="48">
        <v>224.3037258490686</v>
      </c>
      <c r="GF179" s="48">
        <v>1186.3889926811232</v>
      </c>
      <c r="GG179" s="48">
        <v>25.527465410767626</v>
      </c>
      <c r="GH179" s="48">
        <v>0</v>
      </c>
      <c r="GI179" s="48">
        <v>0</v>
      </c>
      <c r="GJ179" s="48">
        <v>3.1134225796537214</v>
      </c>
      <c r="GK179" s="48">
        <v>6.3823894560751313</v>
      </c>
      <c r="GL179" s="48">
        <v>6.381897582852825</v>
      </c>
      <c r="GM179" s="48">
        <v>0</v>
      </c>
      <c r="GN179" s="48">
        <v>0</v>
      </c>
      <c r="GO179" s="48">
        <v>0</v>
      </c>
      <c r="GP179" s="48">
        <v>0.70982928527858635</v>
      </c>
      <c r="GQ179" s="48">
        <v>4.9688578282322577</v>
      </c>
      <c r="GR179" s="48">
        <v>0</v>
      </c>
      <c r="GS179" s="48">
        <v>0.72186061882907304</v>
      </c>
      <c r="GT179" s="48">
        <v>0</v>
      </c>
      <c r="GU179" s="48">
        <v>0</v>
      </c>
      <c r="GV179" s="48">
        <v>0</v>
      </c>
      <c r="GW179" s="48">
        <v>0</v>
      </c>
      <c r="GX179" s="48">
        <v>0</v>
      </c>
      <c r="GY179" s="48">
        <v>0</v>
      </c>
      <c r="GZ179" s="48">
        <v>0</v>
      </c>
      <c r="HA179" s="48">
        <v>0</v>
      </c>
      <c r="HB179" s="48">
        <v>741.02852589636257</v>
      </c>
      <c r="HC179" s="48">
        <v>1671.6339035323781</v>
      </c>
      <c r="HD179" s="48">
        <v>565.70803011221903</v>
      </c>
      <c r="HE179" s="48">
        <v>498.99702841748802</v>
      </c>
      <c r="HF179" s="48">
        <v>2451.5985085663456</v>
      </c>
      <c r="HG179" s="48">
        <v>2341.3104958172958</v>
      </c>
      <c r="HH179" s="48">
        <v>4409.5027346690467</v>
      </c>
      <c r="HI179" s="48">
        <v>6433.9547636396146</v>
      </c>
      <c r="HJ179" s="48">
        <v>7317.4941782542037</v>
      </c>
      <c r="HK179" s="48">
        <v>347.1188029548303</v>
      </c>
      <c r="HL179" s="48">
        <v>550.41365266164485</v>
      </c>
      <c r="HM179" s="48">
        <v>2523.9949655089881</v>
      </c>
      <c r="HN179" s="48">
        <v>739.90570300219485</v>
      </c>
      <c r="HO179" s="48">
        <v>3112.150544050241</v>
      </c>
      <c r="HP179" s="48">
        <v>5334.6673715869301</v>
      </c>
      <c r="HQ179" s="48">
        <v>832.67491213643825</v>
      </c>
      <c r="HR179" s="48">
        <v>1775.9137658518139</v>
      </c>
      <c r="HS179" s="48">
        <v>2989.7271200528803</v>
      </c>
      <c r="HT179" s="48">
        <v>1825.5208684834095</v>
      </c>
      <c r="HU179" s="48">
        <v>2414.3773161575668</v>
      </c>
      <c r="HV179" s="48">
        <v>0</v>
      </c>
      <c r="HW179" s="48">
        <v>0</v>
      </c>
      <c r="HX179" s="48">
        <v>561.53115196371698</v>
      </c>
      <c r="HY179" s="48">
        <v>476.21875628066198</v>
      </c>
      <c r="HZ179" s="48">
        <v>706.30208242438971</v>
      </c>
      <c r="IA179" s="48">
        <v>199.18731459087959</v>
      </c>
      <c r="IB179" s="48">
        <v>9.8501710926703741</v>
      </c>
      <c r="IC179" s="48">
        <v>0</v>
      </c>
      <c r="ID179" s="48">
        <v>0</v>
      </c>
      <c r="IE179" s="48">
        <v>0</v>
      </c>
      <c r="IF179" s="48">
        <v>0</v>
      </c>
      <c r="IG179" s="48">
        <v>1368.948313440394</v>
      </c>
      <c r="IH179" s="48">
        <v>98.092819949157388</v>
      </c>
      <c r="II179" s="48">
        <v>29.948707846180952</v>
      </c>
      <c r="IJ179" s="48">
        <v>0.533234826341343</v>
      </c>
      <c r="IK179" s="48">
        <v>2867.7958902202763</v>
      </c>
      <c r="IL179" s="48">
        <v>7864.503533925842</v>
      </c>
      <c r="IM179" s="48">
        <v>3278.7095640577836</v>
      </c>
      <c r="IN179" s="48">
        <v>3220.3706998426378</v>
      </c>
      <c r="IO179" s="48">
        <v>0</v>
      </c>
      <c r="IP179" s="23">
        <v>159910.99999999942</v>
      </c>
      <c r="IQ179" s="25">
        <v>260360</v>
      </c>
      <c r="IR179" s="25">
        <v>0</v>
      </c>
      <c r="IS179" s="26">
        <v>0</v>
      </c>
      <c r="IT179" s="26">
        <v>226816</v>
      </c>
      <c r="IU179" s="26">
        <v>-21256</v>
      </c>
      <c r="IV179" s="9">
        <v>488643</v>
      </c>
      <c r="IW179" s="38">
        <f t="shared" si="13"/>
        <v>1114473.9999999995</v>
      </c>
    </row>
    <row r="180" spans="1:257" ht="30" customHeight="1" x14ac:dyDescent="0.25">
      <c r="A180" s="112" t="b">
        <v>1</v>
      </c>
      <c r="B180" s="113" t="b">
        <f>IFERROR(VLOOKUP(C180,'Bridge matrix'!$D$3:$E$727,2,FALSE)='symmetric IOT 245 2012'!D180,"FALSCH")</f>
        <v>1</v>
      </c>
      <c r="C180" s="108">
        <v>169</v>
      </c>
      <c r="D180" s="49" t="s">
        <v>1487</v>
      </c>
      <c r="E180" s="48">
        <v>0</v>
      </c>
      <c r="F180" s="48">
        <v>0</v>
      </c>
      <c r="G180" s="48">
        <v>0</v>
      </c>
      <c r="H180" s="48">
        <v>0</v>
      </c>
      <c r="I180" s="48">
        <v>0</v>
      </c>
      <c r="J180" s="48">
        <v>0</v>
      </c>
      <c r="K180" s="48">
        <v>0</v>
      </c>
      <c r="L180" s="48">
        <v>0</v>
      </c>
      <c r="M180" s="48">
        <v>0</v>
      </c>
      <c r="N180" s="48">
        <v>0</v>
      </c>
      <c r="O180" s="48">
        <v>0</v>
      </c>
      <c r="P180" s="48">
        <v>0</v>
      </c>
      <c r="Q180" s="48">
        <v>0</v>
      </c>
      <c r="R180" s="48">
        <v>0</v>
      </c>
      <c r="S180" s="48">
        <v>0</v>
      </c>
      <c r="T180" s="48">
        <v>0</v>
      </c>
      <c r="U180" s="48">
        <v>0</v>
      </c>
      <c r="V180" s="48">
        <v>0</v>
      </c>
      <c r="W180" s="48">
        <v>0</v>
      </c>
      <c r="X180" s="48">
        <v>0</v>
      </c>
      <c r="Y180" s="48">
        <v>0</v>
      </c>
      <c r="Z180" s="48">
        <v>0</v>
      </c>
      <c r="AA180" s="48">
        <v>0</v>
      </c>
      <c r="AB180" s="48">
        <v>0</v>
      </c>
      <c r="AC180" s="48">
        <v>0</v>
      </c>
      <c r="AD180" s="48">
        <v>0</v>
      </c>
      <c r="AE180" s="48">
        <v>0</v>
      </c>
      <c r="AF180" s="48">
        <v>0</v>
      </c>
      <c r="AG180" s="48">
        <v>0</v>
      </c>
      <c r="AH180" s="48">
        <v>0</v>
      </c>
      <c r="AI180" s="48">
        <v>0</v>
      </c>
      <c r="AJ180" s="48">
        <v>0</v>
      </c>
      <c r="AK180" s="48">
        <v>0</v>
      </c>
      <c r="AL180" s="48">
        <v>0</v>
      </c>
      <c r="AM180" s="48">
        <v>0</v>
      </c>
      <c r="AN180" s="48">
        <v>0</v>
      </c>
      <c r="AO180" s="48">
        <v>0</v>
      </c>
      <c r="AP180" s="48">
        <v>0</v>
      </c>
      <c r="AQ180" s="48">
        <v>0</v>
      </c>
      <c r="AR180" s="48">
        <v>0</v>
      </c>
      <c r="AS180" s="48">
        <v>0</v>
      </c>
      <c r="AT180" s="48">
        <v>0</v>
      </c>
      <c r="AU180" s="48">
        <v>0</v>
      </c>
      <c r="AV180" s="48">
        <v>0</v>
      </c>
      <c r="AW180" s="48">
        <v>0</v>
      </c>
      <c r="AX180" s="48">
        <v>0</v>
      </c>
      <c r="AY180" s="48">
        <v>0</v>
      </c>
      <c r="AZ180" s="48">
        <v>0</v>
      </c>
      <c r="BA180" s="48">
        <v>0</v>
      </c>
      <c r="BB180" s="48">
        <v>0</v>
      </c>
      <c r="BC180" s="48">
        <v>0</v>
      </c>
      <c r="BD180" s="48">
        <v>0</v>
      </c>
      <c r="BE180" s="48">
        <v>0</v>
      </c>
      <c r="BF180" s="48">
        <v>0</v>
      </c>
      <c r="BG180" s="48">
        <v>0</v>
      </c>
      <c r="BH180" s="48">
        <v>0</v>
      </c>
      <c r="BI180" s="48">
        <v>0</v>
      </c>
      <c r="BJ180" s="48">
        <v>0</v>
      </c>
      <c r="BK180" s="48">
        <v>0</v>
      </c>
      <c r="BL180" s="48">
        <v>0</v>
      </c>
      <c r="BM180" s="48">
        <v>0</v>
      </c>
      <c r="BN180" s="48">
        <v>0</v>
      </c>
      <c r="BO180" s="48">
        <v>0</v>
      </c>
      <c r="BP180" s="48">
        <v>0</v>
      </c>
      <c r="BQ180" s="48">
        <v>0</v>
      </c>
      <c r="BR180" s="48">
        <v>0</v>
      </c>
      <c r="BS180" s="48">
        <v>0</v>
      </c>
      <c r="BT180" s="48">
        <v>0</v>
      </c>
      <c r="BU180" s="48">
        <v>0</v>
      </c>
      <c r="BV180" s="48">
        <v>0</v>
      </c>
      <c r="BW180" s="48">
        <v>0</v>
      </c>
      <c r="BX180" s="48">
        <v>0</v>
      </c>
      <c r="BY180" s="48">
        <v>0</v>
      </c>
      <c r="BZ180" s="48">
        <v>0</v>
      </c>
      <c r="CA180" s="48">
        <v>1159.9749615655708</v>
      </c>
      <c r="CB180" s="48">
        <v>3.9589357126757863</v>
      </c>
      <c r="CC180" s="48">
        <v>0</v>
      </c>
      <c r="CD180" s="48">
        <v>0</v>
      </c>
      <c r="CE180" s="48">
        <v>0</v>
      </c>
      <c r="CF180" s="48">
        <v>0</v>
      </c>
      <c r="CG180" s="48">
        <v>0</v>
      </c>
      <c r="CH180" s="48">
        <v>0</v>
      </c>
      <c r="CI180" s="48">
        <v>0</v>
      </c>
      <c r="CJ180" s="48">
        <v>0</v>
      </c>
      <c r="CK180" s="48">
        <v>0</v>
      </c>
      <c r="CL180" s="48">
        <v>0</v>
      </c>
      <c r="CM180" s="48">
        <v>1.0100045562195762E-8</v>
      </c>
      <c r="CN180" s="48">
        <v>0</v>
      </c>
      <c r="CO180" s="48">
        <v>0</v>
      </c>
      <c r="CP180" s="48">
        <v>0</v>
      </c>
      <c r="CQ180" s="48">
        <v>0</v>
      </c>
      <c r="CR180" s="48">
        <v>2.3573441709136905E-13</v>
      </c>
      <c r="CS180" s="48">
        <v>0</v>
      </c>
      <c r="CT180" s="48">
        <v>0</v>
      </c>
      <c r="CU180" s="48">
        <v>2.4435910727887161E-7</v>
      </c>
      <c r="CV180" s="48">
        <v>5.7276657521899637E-7</v>
      </c>
      <c r="CW180" s="48">
        <v>0</v>
      </c>
      <c r="CX180" s="48">
        <v>0</v>
      </c>
      <c r="CY180" s="48">
        <v>0</v>
      </c>
      <c r="CZ180" s="48">
        <v>0</v>
      </c>
      <c r="DA180" s="48">
        <v>8.3848803359806065E-9</v>
      </c>
      <c r="DB180" s="48">
        <v>0</v>
      </c>
      <c r="DC180" s="48">
        <v>0</v>
      </c>
      <c r="DD180" s="48">
        <v>0</v>
      </c>
      <c r="DE180" s="48">
        <v>1.7050488759546607E-5</v>
      </c>
      <c r="DF180" s="48">
        <v>0</v>
      </c>
      <c r="DG180" s="48">
        <v>0</v>
      </c>
      <c r="DH180" s="48">
        <v>0</v>
      </c>
      <c r="DI180" s="48">
        <v>0</v>
      </c>
      <c r="DJ180" s="48">
        <v>4.9025313190972183E-11</v>
      </c>
      <c r="DK180" s="48">
        <v>0</v>
      </c>
      <c r="DL180" s="48">
        <v>9.0940779530616685E-3</v>
      </c>
      <c r="DM180" s="48">
        <v>0</v>
      </c>
      <c r="DN180" s="48">
        <v>0</v>
      </c>
      <c r="DO180" s="48">
        <v>0</v>
      </c>
      <c r="DP180" s="48">
        <v>0</v>
      </c>
      <c r="DQ180" s="48">
        <v>0</v>
      </c>
      <c r="DR180" s="48">
        <v>5.3377597195922876E-14</v>
      </c>
      <c r="DS180" s="48">
        <v>0</v>
      </c>
      <c r="DT180" s="48">
        <v>0</v>
      </c>
      <c r="DU180" s="48">
        <v>0</v>
      </c>
      <c r="DV180" s="48">
        <v>0</v>
      </c>
      <c r="DW180" s="48">
        <v>0</v>
      </c>
      <c r="DX180" s="48">
        <v>0</v>
      </c>
      <c r="DY180" s="48">
        <v>2.0377039279492898E-19</v>
      </c>
      <c r="DZ180" s="48">
        <v>0</v>
      </c>
      <c r="EA180" s="48">
        <v>0</v>
      </c>
      <c r="EB180" s="48">
        <v>5.6722016993624776E-13</v>
      </c>
      <c r="EC180" s="48">
        <v>1.6405315141991111E-14</v>
      </c>
      <c r="ED180" s="48">
        <v>1728.631118783836</v>
      </c>
      <c r="EE180" s="48">
        <v>487.29966975788119</v>
      </c>
      <c r="EF180" s="48">
        <v>1672.9366117386173</v>
      </c>
      <c r="EG180" s="48">
        <v>587.13113294999096</v>
      </c>
      <c r="EH180" s="48">
        <v>80.225344196122222</v>
      </c>
      <c r="EI180" s="48">
        <v>6.0239648625897837E-10</v>
      </c>
      <c r="EJ180" s="48">
        <v>1.1193748319022196E-8</v>
      </c>
      <c r="EK180" s="48">
        <v>0</v>
      </c>
      <c r="EL180" s="48">
        <v>0</v>
      </c>
      <c r="EM180" s="48">
        <v>0</v>
      </c>
      <c r="EN180" s="48">
        <v>0</v>
      </c>
      <c r="EO180" s="48">
        <v>0</v>
      </c>
      <c r="EP180" s="48">
        <v>0</v>
      </c>
      <c r="EQ180" s="48">
        <v>0</v>
      </c>
      <c r="ER180" s="48">
        <v>1.4156300766385439E-14</v>
      </c>
      <c r="ES180" s="48">
        <v>2.4754489789366263E-16</v>
      </c>
      <c r="ET180" s="48">
        <v>0</v>
      </c>
      <c r="EU180" s="48">
        <v>0</v>
      </c>
      <c r="EV180" s="48">
        <v>0</v>
      </c>
      <c r="EW180" s="48">
        <v>1.1655447147062296E-2</v>
      </c>
      <c r="EX180" s="48">
        <v>0</v>
      </c>
      <c r="EY180" s="48">
        <v>0</v>
      </c>
      <c r="EZ180" s="48">
        <v>0</v>
      </c>
      <c r="FA180" s="48">
        <v>3.5870427796257805E-18</v>
      </c>
      <c r="FB180" s="48">
        <v>9.8341109848711188E-20</v>
      </c>
      <c r="FC180" s="48">
        <v>0</v>
      </c>
      <c r="FD180" s="48">
        <v>0</v>
      </c>
      <c r="FE180" s="48">
        <v>0</v>
      </c>
      <c r="FF180" s="48">
        <v>0</v>
      </c>
      <c r="FG180" s="48">
        <v>0</v>
      </c>
      <c r="FH180" s="48">
        <v>0</v>
      </c>
      <c r="FI180" s="48">
        <v>0</v>
      </c>
      <c r="FJ180" s="48">
        <v>0</v>
      </c>
      <c r="FK180" s="48">
        <v>0</v>
      </c>
      <c r="FL180" s="48">
        <v>0</v>
      </c>
      <c r="FM180" s="48">
        <v>1.8756623632343703E-14</v>
      </c>
      <c r="FN180" s="48">
        <v>0</v>
      </c>
      <c r="FO180" s="48">
        <v>0</v>
      </c>
      <c r="FP180" s="48">
        <v>7.9826345014176368E-13</v>
      </c>
      <c r="FQ180" s="48">
        <v>0</v>
      </c>
      <c r="FR180" s="48">
        <v>0</v>
      </c>
      <c r="FS180" s="48">
        <v>0</v>
      </c>
      <c r="FT180" s="48">
        <v>0</v>
      </c>
      <c r="FU180" s="48">
        <v>0</v>
      </c>
      <c r="FV180" s="48">
        <v>6.6618153315013325E-19</v>
      </c>
      <c r="FW180" s="48">
        <v>270.65339186396881</v>
      </c>
      <c r="FX180" s="48">
        <v>570.88444729484365</v>
      </c>
      <c r="FY180" s="48">
        <v>31.846023759320403</v>
      </c>
      <c r="FZ180" s="48">
        <v>0.79233317228073796</v>
      </c>
      <c r="GA180" s="48">
        <v>6.6433967095263755</v>
      </c>
      <c r="GB180" s="48">
        <v>0</v>
      </c>
      <c r="GC180" s="48">
        <v>0</v>
      </c>
      <c r="GD180" s="48">
        <v>0</v>
      </c>
      <c r="GE180" s="48">
        <v>0</v>
      </c>
      <c r="GF180" s="48">
        <v>0</v>
      </c>
      <c r="GG180" s="48">
        <v>894.03219632798562</v>
      </c>
      <c r="GH180" s="48">
        <v>791.15824926114635</v>
      </c>
      <c r="GI180" s="48">
        <v>1.591548309911355</v>
      </c>
      <c r="GJ180" s="48">
        <v>100.49492420610494</v>
      </c>
      <c r="GK180" s="48">
        <v>209.39424809267771</v>
      </c>
      <c r="GL180" s="48">
        <v>210.17422514238044</v>
      </c>
      <c r="GM180" s="48">
        <v>155.64394798900238</v>
      </c>
      <c r="GN180" s="48">
        <v>6.3748482456237179</v>
      </c>
      <c r="GO180" s="48">
        <v>52.080849881980463</v>
      </c>
      <c r="GP180" s="48">
        <v>23.111073464502475</v>
      </c>
      <c r="GQ180" s="48">
        <v>168.15477069570869</v>
      </c>
      <c r="GR180" s="48">
        <v>0</v>
      </c>
      <c r="GS180" s="48">
        <v>0</v>
      </c>
      <c r="GT180" s="48">
        <v>0</v>
      </c>
      <c r="GU180" s="48">
        <v>0.79098345606949694</v>
      </c>
      <c r="GV180" s="48">
        <v>0</v>
      </c>
      <c r="GW180" s="48">
        <v>0</v>
      </c>
      <c r="GX180" s="48">
        <v>0</v>
      </c>
      <c r="GY180" s="48">
        <v>0</v>
      </c>
      <c r="GZ180" s="48">
        <v>0</v>
      </c>
      <c r="HA180" s="48">
        <v>0</v>
      </c>
      <c r="HB180" s="48">
        <v>0</v>
      </c>
      <c r="HC180" s="48">
        <v>0</v>
      </c>
      <c r="HD180" s="48">
        <v>0</v>
      </c>
      <c r="HE180" s="48">
        <v>0</v>
      </c>
      <c r="HF180" s="48">
        <v>0</v>
      </c>
      <c r="HG180" s="48">
        <v>0</v>
      </c>
      <c r="HH180" s="48">
        <v>0</v>
      </c>
      <c r="HI180" s="48">
        <v>0</v>
      </c>
      <c r="HJ180" s="48">
        <v>0</v>
      </c>
      <c r="HK180" s="48">
        <v>0</v>
      </c>
      <c r="HL180" s="48">
        <v>0</v>
      </c>
      <c r="HM180" s="48">
        <v>0</v>
      </c>
      <c r="HN180" s="48">
        <v>0</v>
      </c>
      <c r="HO180" s="48">
        <v>0</v>
      </c>
      <c r="HP180" s="48">
        <v>0</v>
      </c>
      <c r="HQ180" s="48">
        <v>0</v>
      </c>
      <c r="HR180" s="48">
        <v>0</v>
      </c>
      <c r="HS180" s="48">
        <v>0</v>
      </c>
      <c r="HT180" s="48">
        <v>0</v>
      </c>
      <c r="HU180" s="48">
        <v>0</v>
      </c>
      <c r="HV180" s="48">
        <v>0</v>
      </c>
      <c r="HW180" s="48">
        <v>0</v>
      </c>
      <c r="HX180" s="48">
        <v>0</v>
      </c>
      <c r="HY180" s="48">
        <v>0</v>
      </c>
      <c r="HZ180" s="48">
        <v>0</v>
      </c>
      <c r="IA180" s="48">
        <v>0</v>
      </c>
      <c r="IB180" s="48">
        <v>0</v>
      </c>
      <c r="IC180" s="48">
        <v>0</v>
      </c>
      <c r="ID180" s="48">
        <v>0</v>
      </c>
      <c r="IE180" s="48">
        <v>0</v>
      </c>
      <c r="IF180" s="48">
        <v>0</v>
      </c>
      <c r="IG180" s="48">
        <v>0</v>
      </c>
      <c r="IH180" s="48">
        <v>0</v>
      </c>
      <c r="II180" s="48">
        <v>0</v>
      </c>
      <c r="IJ180" s="48">
        <v>0</v>
      </c>
      <c r="IK180" s="48">
        <v>0</v>
      </c>
      <c r="IL180" s="48">
        <v>0</v>
      </c>
      <c r="IM180" s="48">
        <v>0</v>
      </c>
      <c r="IN180" s="48">
        <v>0</v>
      </c>
      <c r="IO180" s="48">
        <v>0</v>
      </c>
      <c r="IP180" s="23">
        <v>9214.0000000007731</v>
      </c>
      <c r="IQ180" s="25">
        <v>0</v>
      </c>
      <c r="IR180" s="25">
        <v>0</v>
      </c>
      <c r="IS180" s="26">
        <v>0</v>
      </c>
      <c r="IT180" s="26">
        <v>8881</v>
      </c>
      <c r="IU180" s="26">
        <v>2473</v>
      </c>
      <c r="IV180" s="9">
        <v>13527</v>
      </c>
      <c r="IW180" s="38">
        <f t="shared" si="13"/>
        <v>34095.000000000771</v>
      </c>
    </row>
    <row r="181" spans="1:257" ht="30" customHeight="1" x14ac:dyDescent="0.25">
      <c r="A181" s="112" t="b">
        <v>0</v>
      </c>
      <c r="B181" s="113" t="b">
        <f>IFERROR(VLOOKUP(C181,'Bridge matrix'!$D$3:$E$727,2,FALSE)='symmetric IOT 245 2012'!D181,"FALSCH")</f>
        <v>1</v>
      </c>
      <c r="C181" s="108">
        <v>170</v>
      </c>
      <c r="D181" s="49" t="s">
        <v>1488</v>
      </c>
      <c r="E181" s="48">
        <v>0</v>
      </c>
      <c r="F181" s="48">
        <v>0</v>
      </c>
      <c r="G181" s="48">
        <v>0</v>
      </c>
      <c r="H181" s="48">
        <v>0</v>
      </c>
      <c r="I181" s="48">
        <v>0</v>
      </c>
      <c r="J181" s="48">
        <v>0</v>
      </c>
      <c r="K181" s="48">
        <v>0</v>
      </c>
      <c r="L181" s="48">
        <v>0</v>
      </c>
      <c r="M181" s="48">
        <v>0</v>
      </c>
      <c r="N181" s="48">
        <v>0</v>
      </c>
      <c r="O181" s="48">
        <v>0</v>
      </c>
      <c r="P181" s="48">
        <v>0</v>
      </c>
      <c r="Q181" s="48">
        <v>0</v>
      </c>
      <c r="R181" s="48">
        <v>0</v>
      </c>
      <c r="S181" s="48">
        <v>0</v>
      </c>
      <c r="T181" s="48">
        <v>0</v>
      </c>
      <c r="U181" s="48">
        <v>0</v>
      </c>
      <c r="V181" s="48">
        <v>0</v>
      </c>
      <c r="W181" s="48">
        <v>0</v>
      </c>
      <c r="X181" s="48">
        <v>0</v>
      </c>
      <c r="Y181" s="48">
        <v>0</v>
      </c>
      <c r="Z181" s="48">
        <v>0</v>
      </c>
      <c r="AA181" s="48">
        <v>0</v>
      </c>
      <c r="AB181" s="48">
        <v>0</v>
      </c>
      <c r="AC181" s="48">
        <v>0</v>
      </c>
      <c r="AD181" s="48">
        <v>0</v>
      </c>
      <c r="AE181" s="48">
        <v>0</v>
      </c>
      <c r="AF181" s="48">
        <v>0</v>
      </c>
      <c r="AG181" s="48">
        <v>0</v>
      </c>
      <c r="AH181" s="48">
        <v>0</v>
      </c>
      <c r="AI181" s="48">
        <v>0</v>
      </c>
      <c r="AJ181" s="48">
        <v>0</v>
      </c>
      <c r="AK181" s="48">
        <v>0</v>
      </c>
      <c r="AL181" s="48">
        <v>0</v>
      </c>
      <c r="AM181" s="48">
        <v>0</v>
      </c>
      <c r="AN181" s="48">
        <v>0</v>
      </c>
      <c r="AO181" s="48">
        <v>0</v>
      </c>
      <c r="AP181" s="48">
        <v>0</v>
      </c>
      <c r="AQ181" s="48">
        <v>0</v>
      </c>
      <c r="AR181" s="48">
        <v>0</v>
      </c>
      <c r="AS181" s="48">
        <v>0</v>
      </c>
      <c r="AT181" s="48">
        <v>0</v>
      </c>
      <c r="AU181" s="48">
        <v>0</v>
      </c>
      <c r="AV181" s="48">
        <v>0</v>
      </c>
      <c r="AW181" s="48">
        <v>0</v>
      </c>
      <c r="AX181" s="48">
        <v>0</v>
      </c>
      <c r="AY181" s="48">
        <v>0</v>
      </c>
      <c r="AZ181" s="48">
        <v>0</v>
      </c>
      <c r="BA181" s="48">
        <v>0</v>
      </c>
      <c r="BB181" s="48">
        <v>0</v>
      </c>
      <c r="BC181" s="48">
        <v>0</v>
      </c>
      <c r="BD181" s="48">
        <v>0</v>
      </c>
      <c r="BE181" s="48">
        <v>0</v>
      </c>
      <c r="BF181" s="48">
        <v>0</v>
      </c>
      <c r="BG181" s="48">
        <v>0</v>
      </c>
      <c r="BH181" s="48">
        <v>0</v>
      </c>
      <c r="BI181" s="48">
        <v>0</v>
      </c>
      <c r="BJ181" s="48">
        <v>0</v>
      </c>
      <c r="BK181" s="48">
        <v>0</v>
      </c>
      <c r="BL181" s="48">
        <v>0</v>
      </c>
      <c r="BM181" s="48">
        <v>0</v>
      </c>
      <c r="BN181" s="48">
        <v>0</v>
      </c>
      <c r="BO181" s="48">
        <v>0</v>
      </c>
      <c r="BP181" s="48">
        <v>0</v>
      </c>
      <c r="BQ181" s="48">
        <v>0</v>
      </c>
      <c r="BR181" s="48">
        <v>0</v>
      </c>
      <c r="BS181" s="48">
        <v>0</v>
      </c>
      <c r="BT181" s="48">
        <v>0</v>
      </c>
      <c r="BU181" s="48">
        <v>0</v>
      </c>
      <c r="BV181" s="48">
        <v>0</v>
      </c>
      <c r="BW181" s="48">
        <v>0</v>
      </c>
      <c r="BX181" s="48">
        <v>0</v>
      </c>
      <c r="BY181" s="48">
        <v>0</v>
      </c>
      <c r="BZ181" s="48">
        <v>0</v>
      </c>
      <c r="CA181" s="48">
        <v>13182.910672423588</v>
      </c>
      <c r="CB181" s="48">
        <v>45.637720169467826</v>
      </c>
      <c r="CC181" s="48">
        <v>31.252409552877737</v>
      </c>
      <c r="CD181" s="48">
        <v>0</v>
      </c>
      <c r="CE181" s="48">
        <v>0</v>
      </c>
      <c r="CF181" s="48">
        <v>0</v>
      </c>
      <c r="CG181" s="48">
        <v>0</v>
      </c>
      <c r="CH181" s="48">
        <v>0</v>
      </c>
      <c r="CI181" s="48">
        <v>0</v>
      </c>
      <c r="CJ181" s="48">
        <v>0</v>
      </c>
      <c r="CK181" s="48">
        <v>0</v>
      </c>
      <c r="CL181" s="48">
        <v>7.7446367484019784E-8</v>
      </c>
      <c r="CM181" s="48">
        <v>0</v>
      </c>
      <c r="CN181" s="48">
        <v>1.1522468483848517E-7</v>
      </c>
      <c r="CO181" s="48">
        <v>0</v>
      </c>
      <c r="CP181" s="48">
        <v>0</v>
      </c>
      <c r="CQ181" s="48">
        <v>0</v>
      </c>
      <c r="CR181" s="48">
        <v>0</v>
      </c>
      <c r="CS181" s="48">
        <v>0</v>
      </c>
      <c r="CT181" s="48">
        <v>1.5424382682353608E-10</v>
      </c>
      <c r="CU181" s="48">
        <v>0</v>
      </c>
      <c r="CV181" s="48">
        <v>2.1940857676920801E-5</v>
      </c>
      <c r="CW181" s="48">
        <v>0</v>
      </c>
      <c r="CX181" s="48">
        <v>1.4356744295151796E-11</v>
      </c>
      <c r="CY181" s="48">
        <v>3.669902829889557E-7</v>
      </c>
      <c r="CZ181" s="48">
        <v>2.8112871983642984E-8</v>
      </c>
      <c r="DA181" s="48">
        <v>0</v>
      </c>
      <c r="DB181" s="48">
        <v>0</v>
      </c>
      <c r="DC181" s="48">
        <v>6.9077892406332915E-11</v>
      </c>
      <c r="DD181" s="48">
        <v>1.2042787674040621E-7</v>
      </c>
      <c r="DE181" s="48">
        <v>1.7927641093269834E-7</v>
      </c>
      <c r="DF181" s="48">
        <v>0</v>
      </c>
      <c r="DG181" s="48">
        <v>0</v>
      </c>
      <c r="DH181" s="48">
        <v>0</v>
      </c>
      <c r="DI181" s="48">
        <v>7.6872257317443869E-7</v>
      </c>
      <c r="DJ181" s="48">
        <v>0</v>
      </c>
      <c r="DK181" s="48">
        <v>5.2777795046024235E-7</v>
      </c>
      <c r="DL181" s="48">
        <v>0</v>
      </c>
      <c r="DM181" s="48">
        <v>0</v>
      </c>
      <c r="DN181" s="48">
        <v>0</v>
      </c>
      <c r="DO181" s="48">
        <v>0</v>
      </c>
      <c r="DP181" s="48">
        <v>0</v>
      </c>
      <c r="DQ181" s="48">
        <v>0</v>
      </c>
      <c r="DR181" s="48">
        <v>6.460324953005619E-4</v>
      </c>
      <c r="DS181" s="48">
        <v>0</v>
      </c>
      <c r="DT181" s="48">
        <v>0</v>
      </c>
      <c r="DU181" s="48">
        <v>0</v>
      </c>
      <c r="DV181" s="48">
        <v>0</v>
      </c>
      <c r="DW181" s="48">
        <v>0</v>
      </c>
      <c r="DX181" s="48">
        <v>0</v>
      </c>
      <c r="DY181" s="48">
        <v>1.1584755119261908E-3</v>
      </c>
      <c r="DZ181" s="48">
        <v>0</v>
      </c>
      <c r="EA181" s="48">
        <v>0</v>
      </c>
      <c r="EB181" s="48">
        <v>6.8935068843485681E-3</v>
      </c>
      <c r="EC181" s="48">
        <v>2.0443557019412127E-4</v>
      </c>
      <c r="ED181" s="48">
        <v>6.0133744571016807</v>
      </c>
      <c r="EE181" s="48">
        <v>1.502281430952916</v>
      </c>
      <c r="EF181" s="48">
        <v>6.211226404673126</v>
      </c>
      <c r="EG181" s="48">
        <v>2.2644080298514582</v>
      </c>
      <c r="EH181" s="48">
        <v>0</v>
      </c>
      <c r="EI181" s="48">
        <v>7.4057199184681599E-3</v>
      </c>
      <c r="EJ181" s="48">
        <v>4.2879673738823204E-7</v>
      </c>
      <c r="EK181" s="48">
        <v>0</v>
      </c>
      <c r="EL181" s="48">
        <v>0</v>
      </c>
      <c r="EM181" s="48">
        <v>0</v>
      </c>
      <c r="EN181" s="48">
        <v>0</v>
      </c>
      <c r="EO181" s="48">
        <v>0</v>
      </c>
      <c r="EP181" s="48">
        <v>0</v>
      </c>
      <c r="EQ181" s="48">
        <v>0</v>
      </c>
      <c r="ER181" s="48">
        <v>0</v>
      </c>
      <c r="ES181" s="48">
        <v>3.0157671815013802E-6</v>
      </c>
      <c r="ET181" s="48">
        <v>0</v>
      </c>
      <c r="EU181" s="48">
        <v>0</v>
      </c>
      <c r="EV181" s="48">
        <v>0</v>
      </c>
      <c r="EW181" s="48">
        <v>1.7022689490686009E-5</v>
      </c>
      <c r="EX181" s="48">
        <v>0</v>
      </c>
      <c r="EY181" s="48">
        <v>0</v>
      </c>
      <c r="EZ181" s="48">
        <v>0</v>
      </c>
      <c r="FA181" s="48">
        <v>5.4418975295308595E-3</v>
      </c>
      <c r="FB181" s="48">
        <v>1.4919315871467112E-4</v>
      </c>
      <c r="FC181" s="48">
        <v>0</v>
      </c>
      <c r="FD181" s="48">
        <v>0</v>
      </c>
      <c r="FE181" s="48">
        <v>0</v>
      </c>
      <c r="FF181" s="48">
        <v>0</v>
      </c>
      <c r="FG181" s="48">
        <v>0</v>
      </c>
      <c r="FH181" s="48">
        <v>0</v>
      </c>
      <c r="FI181" s="48">
        <v>0</v>
      </c>
      <c r="FJ181" s="48">
        <v>0</v>
      </c>
      <c r="FK181" s="48">
        <v>0</v>
      </c>
      <c r="FL181" s="48">
        <v>0</v>
      </c>
      <c r="FM181" s="48">
        <v>0</v>
      </c>
      <c r="FN181" s="48">
        <v>0</v>
      </c>
      <c r="FO181" s="48">
        <v>0</v>
      </c>
      <c r="FP181" s="48">
        <v>2207.4561602477411</v>
      </c>
      <c r="FQ181" s="48">
        <v>71.134263507387359</v>
      </c>
      <c r="FR181" s="48">
        <v>8559.3223210872711</v>
      </c>
      <c r="FS181" s="48">
        <v>0</v>
      </c>
      <c r="FT181" s="48">
        <v>3.273807786734305E-5</v>
      </c>
      <c r="FU181" s="48">
        <v>0</v>
      </c>
      <c r="FV181" s="48">
        <v>3.3059493986993304E-3</v>
      </c>
      <c r="FW181" s="48">
        <v>0</v>
      </c>
      <c r="FX181" s="48">
        <v>0</v>
      </c>
      <c r="FY181" s="48">
        <v>0</v>
      </c>
      <c r="FZ181" s="48">
        <v>0</v>
      </c>
      <c r="GA181" s="48">
        <v>0</v>
      </c>
      <c r="GB181" s="48">
        <v>13504.035097999917</v>
      </c>
      <c r="GC181" s="48">
        <v>0</v>
      </c>
      <c r="GD181" s="48">
        <v>0</v>
      </c>
      <c r="GE181" s="48">
        <v>0</v>
      </c>
      <c r="GF181" s="48">
        <v>0</v>
      </c>
      <c r="GG181" s="48">
        <v>0</v>
      </c>
      <c r="GH181" s="48">
        <v>0</v>
      </c>
      <c r="GI181" s="48">
        <v>0</v>
      </c>
      <c r="GJ181" s="48">
        <v>0</v>
      </c>
      <c r="GK181" s="48">
        <v>0</v>
      </c>
      <c r="GL181" s="48">
        <v>0</v>
      </c>
      <c r="GM181" s="48">
        <v>0</v>
      </c>
      <c r="GN181" s="48">
        <v>0</v>
      </c>
      <c r="GO181" s="48">
        <v>0</v>
      </c>
      <c r="GP181" s="48">
        <v>0</v>
      </c>
      <c r="GQ181" s="48">
        <v>0</v>
      </c>
      <c r="GR181" s="48">
        <v>31.61887160673605</v>
      </c>
      <c r="GS181" s="48">
        <v>12101.710453136631</v>
      </c>
      <c r="GT181" s="48">
        <v>38.615677239850974</v>
      </c>
      <c r="GU181" s="48">
        <v>2309.4658270460977</v>
      </c>
      <c r="GV181" s="48">
        <v>12.721487963585748</v>
      </c>
      <c r="GW181" s="48">
        <v>3.6728389908175809</v>
      </c>
      <c r="GX181" s="48">
        <v>197.55235199217228</v>
      </c>
      <c r="GY181" s="48">
        <v>0</v>
      </c>
      <c r="GZ181" s="48">
        <v>0</v>
      </c>
      <c r="HA181" s="48">
        <v>1063.9487512839462</v>
      </c>
      <c r="HB181" s="48">
        <v>0</v>
      </c>
      <c r="HC181" s="48">
        <v>0</v>
      </c>
      <c r="HD181" s="48">
        <v>0</v>
      </c>
      <c r="HE181" s="48">
        <v>0</v>
      </c>
      <c r="HF181" s="48">
        <v>0</v>
      </c>
      <c r="HG181" s="48">
        <v>0</v>
      </c>
      <c r="HH181" s="48">
        <v>0</v>
      </c>
      <c r="HI181" s="48">
        <v>0</v>
      </c>
      <c r="HJ181" s="48">
        <v>0</v>
      </c>
      <c r="HK181" s="48">
        <v>0</v>
      </c>
      <c r="HL181" s="48">
        <v>0</v>
      </c>
      <c r="HM181" s="48">
        <v>0</v>
      </c>
      <c r="HN181" s="48">
        <v>0</v>
      </c>
      <c r="HO181" s="48">
        <v>0</v>
      </c>
      <c r="HP181" s="48">
        <v>0</v>
      </c>
      <c r="HQ181" s="48">
        <v>0</v>
      </c>
      <c r="HR181" s="48">
        <v>0</v>
      </c>
      <c r="HS181" s="48">
        <v>2.6443255564043426E-4</v>
      </c>
      <c r="HT181" s="48">
        <v>0</v>
      </c>
      <c r="HU181" s="48">
        <v>0</v>
      </c>
      <c r="HV181" s="48">
        <v>0</v>
      </c>
      <c r="HW181" s="48">
        <v>11.9353096168407</v>
      </c>
      <c r="HX181" s="48">
        <v>458.92083218464052</v>
      </c>
      <c r="HY181" s="48">
        <v>389.36005266152392</v>
      </c>
      <c r="HZ181" s="48">
        <v>576.71430268125403</v>
      </c>
      <c r="IA181" s="48">
        <v>162.77421245747152</v>
      </c>
      <c r="IB181" s="48">
        <v>8.210361731978713</v>
      </c>
      <c r="IC181" s="48">
        <v>117.6290269995375</v>
      </c>
      <c r="ID181" s="48">
        <v>73.323937124517201</v>
      </c>
      <c r="IE181" s="48">
        <v>49.341056273476752</v>
      </c>
      <c r="IF181" s="48">
        <v>5.9882265889383772</v>
      </c>
      <c r="IG181" s="48">
        <v>2057.9675275428972</v>
      </c>
      <c r="IH181" s="48">
        <v>147.7517850326108</v>
      </c>
      <c r="II181" s="48">
        <v>45.070599709706997</v>
      </c>
      <c r="IJ181" s="48">
        <v>46.154681849354802</v>
      </c>
      <c r="IK181" s="48">
        <v>834.58401839905457</v>
      </c>
      <c r="IL181" s="48">
        <v>1457.4728559980322</v>
      </c>
      <c r="IM181" s="48">
        <v>1752.5572537276996</v>
      </c>
      <c r="IN181" s="48">
        <v>930.17221787628546</v>
      </c>
      <c r="IO181" s="48">
        <v>0</v>
      </c>
      <c r="IP181" s="23">
        <v>62502.99999999992</v>
      </c>
      <c r="IQ181" s="25">
        <v>696158</v>
      </c>
      <c r="IR181" s="25">
        <v>0</v>
      </c>
      <c r="IS181" s="26">
        <v>0</v>
      </c>
      <c r="IT181" s="26">
        <v>290325</v>
      </c>
      <c r="IU181" s="26">
        <v>14927</v>
      </c>
      <c r="IV181" s="9">
        <v>14241</v>
      </c>
      <c r="IW181" s="38">
        <f t="shared" si="13"/>
        <v>1078154</v>
      </c>
    </row>
    <row r="182" spans="1:257" ht="30" customHeight="1" x14ac:dyDescent="0.25">
      <c r="A182" s="112" t="b">
        <v>0</v>
      </c>
      <c r="B182" s="113" t="b">
        <f>IFERROR(VLOOKUP(C182,'Bridge matrix'!$D$3:$E$727,2,FALSE)='symmetric IOT 245 2012'!D182,"FALSCH")</f>
        <v>1</v>
      </c>
      <c r="C182" s="108">
        <v>171</v>
      </c>
      <c r="D182" s="49" t="s">
        <v>1489</v>
      </c>
      <c r="E182" s="48">
        <v>0</v>
      </c>
      <c r="F182" s="48">
        <v>0</v>
      </c>
      <c r="G182" s="48">
        <v>0</v>
      </c>
      <c r="H182" s="48">
        <v>0</v>
      </c>
      <c r="I182" s="48">
        <v>0</v>
      </c>
      <c r="J182" s="48">
        <v>0</v>
      </c>
      <c r="K182" s="48">
        <v>0</v>
      </c>
      <c r="L182" s="48">
        <v>0</v>
      </c>
      <c r="M182" s="48">
        <v>0</v>
      </c>
      <c r="N182" s="48">
        <v>0</v>
      </c>
      <c r="O182" s="48">
        <v>0</v>
      </c>
      <c r="P182" s="48">
        <v>0</v>
      </c>
      <c r="Q182" s="48">
        <v>0</v>
      </c>
      <c r="R182" s="48">
        <v>0</v>
      </c>
      <c r="S182" s="48">
        <v>0</v>
      </c>
      <c r="T182" s="48">
        <v>0</v>
      </c>
      <c r="U182" s="48">
        <v>0</v>
      </c>
      <c r="V182" s="48">
        <v>0</v>
      </c>
      <c r="W182" s="48">
        <v>0</v>
      </c>
      <c r="X182" s="48">
        <v>0</v>
      </c>
      <c r="Y182" s="48">
        <v>0</v>
      </c>
      <c r="Z182" s="48">
        <v>0</v>
      </c>
      <c r="AA182" s="48">
        <v>0</v>
      </c>
      <c r="AB182" s="48">
        <v>0</v>
      </c>
      <c r="AC182" s="48">
        <v>0</v>
      </c>
      <c r="AD182" s="48">
        <v>0</v>
      </c>
      <c r="AE182" s="48">
        <v>0</v>
      </c>
      <c r="AF182" s="48">
        <v>0</v>
      </c>
      <c r="AG182" s="48">
        <v>0</v>
      </c>
      <c r="AH182" s="48">
        <v>0</v>
      </c>
      <c r="AI182" s="48">
        <v>0</v>
      </c>
      <c r="AJ182" s="48">
        <v>0</v>
      </c>
      <c r="AK182" s="48">
        <v>0</v>
      </c>
      <c r="AL182" s="48">
        <v>0</v>
      </c>
      <c r="AM182" s="48">
        <v>0</v>
      </c>
      <c r="AN182" s="48">
        <v>0</v>
      </c>
      <c r="AO182" s="48">
        <v>0</v>
      </c>
      <c r="AP182" s="48">
        <v>0</v>
      </c>
      <c r="AQ182" s="48">
        <v>0</v>
      </c>
      <c r="AR182" s="48">
        <v>0</v>
      </c>
      <c r="AS182" s="48">
        <v>0</v>
      </c>
      <c r="AT182" s="48">
        <v>0</v>
      </c>
      <c r="AU182" s="48">
        <v>0</v>
      </c>
      <c r="AV182" s="48">
        <v>0</v>
      </c>
      <c r="AW182" s="48">
        <v>0</v>
      </c>
      <c r="AX182" s="48">
        <v>0</v>
      </c>
      <c r="AY182" s="48">
        <v>0</v>
      </c>
      <c r="AZ182" s="48">
        <v>0</v>
      </c>
      <c r="BA182" s="48">
        <v>0</v>
      </c>
      <c r="BB182" s="48">
        <v>0</v>
      </c>
      <c r="BC182" s="48">
        <v>0</v>
      </c>
      <c r="BD182" s="48">
        <v>0</v>
      </c>
      <c r="BE182" s="48">
        <v>0</v>
      </c>
      <c r="BF182" s="48">
        <v>0</v>
      </c>
      <c r="BG182" s="48">
        <v>0</v>
      </c>
      <c r="BH182" s="48">
        <v>0</v>
      </c>
      <c r="BI182" s="48">
        <v>0</v>
      </c>
      <c r="BJ182" s="48">
        <v>0</v>
      </c>
      <c r="BK182" s="48">
        <v>0</v>
      </c>
      <c r="BL182" s="48">
        <v>0</v>
      </c>
      <c r="BM182" s="48">
        <v>0</v>
      </c>
      <c r="BN182" s="48">
        <v>0</v>
      </c>
      <c r="BO182" s="48">
        <v>0</v>
      </c>
      <c r="BP182" s="48">
        <v>0</v>
      </c>
      <c r="BQ182" s="48">
        <v>0</v>
      </c>
      <c r="BR182" s="48">
        <v>0</v>
      </c>
      <c r="BS182" s="48">
        <v>0</v>
      </c>
      <c r="BT182" s="48">
        <v>0</v>
      </c>
      <c r="BU182" s="48">
        <v>0</v>
      </c>
      <c r="BV182" s="48">
        <v>0</v>
      </c>
      <c r="BW182" s="48">
        <v>0</v>
      </c>
      <c r="BX182" s="48">
        <v>0</v>
      </c>
      <c r="BY182" s="48">
        <v>0</v>
      </c>
      <c r="BZ182" s="48">
        <v>0</v>
      </c>
      <c r="CA182" s="48">
        <v>0</v>
      </c>
      <c r="CB182" s="48">
        <v>0</v>
      </c>
      <c r="CC182" s="48">
        <v>0</v>
      </c>
      <c r="CD182" s="48">
        <v>0</v>
      </c>
      <c r="CE182" s="48">
        <v>0</v>
      </c>
      <c r="CF182" s="48">
        <v>0</v>
      </c>
      <c r="CG182" s="48">
        <v>0</v>
      </c>
      <c r="CH182" s="48">
        <v>0</v>
      </c>
      <c r="CI182" s="48">
        <v>0</v>
      </c>
      <c r="CJ182" s="48">
        <v>0</v>
      </c>
      <c r="CK182" s="48">
        <v>0</v>
      </c>
      <c r="CL182" s="48">
        <v>0</v>
      </c>
      <c r="CM182" s="48">
        <v>0</v>
      </c>
      <c r="CN182" s="48">
        <v>0</v>
      </c>
      <c r="CO182" s="48">
        <v>0</v>
      </c>
      <c r="CP182" s="48">
        <v>0</v>
      </c>
      <c r="CQ182" s="48">
        <v>0</v>
      </c>
      <c r="CR182" s="48">
        <v>0</v>
      </c>
      <c r="CS182" s="48">
        <v>0</v>
      </c>
      <c r="CT182" s="48">
        <v>0</v>
      </c>
      <c r="CU182" s="48">
        <v>0</v>
      </c>
      <c r="CV182" s="48">
        <v>0</v>
      </c>
      <c r="CW182" s="48">
        <v>0</v>
      </c>
      <c r="CX182" s="48">
        <v>0</v>
      </c>
      <c r="CY182" s="48">
        <v>0</v>
      </c>
      <c r="CZ182" s="48">
        <v>0</v>
      </c>
      <c r="DA182" s="48">
        <v>0</v>
      </c>
      <c r="DB182" s="48">
        <v>0</v>
      </c>
      <c r="DC182" s="48">
        <v>0</v>
      </c>
      <c r="DD182" s="48">
        <v>0</v>
      </c>
      <c r="DE182" s="48">
        <v>0</v>
      </c>
      <c r="DF182" s="48">
        <v>0</v>
      </c>
      <c r="DG182" s="48">
        <v>0</v>
      </c>
      <c r="DH182" s="48">
        <v>0</v>
      </c>
      <c r="DI182" s="48">
        <v>0</v>
      </c>
      <c r="DJ182" s="48">
        <v>0</v>
      </c>
      <c r="DK182" s="48">
        <v>0</v>
      </c>
      <c r="DL182" s="48">
        <v>0</v>
      </c>
      <c r="DM182" s="48">
        <v>0</v>
      </c>
      <c r="DN182" s="48">
        <v>0</v>
      </c>
      <c r="DO182" s="48">
        <v>0</v>
      </c>
      <c r="DP182" s="48">
        <v>0</v>
      </c>
      <c r="DQ182" s="48">
        <v>0</v>
      </c>
      <c r="DR182" s="48">
        <v>0</v>
      </c>
      <c r="DS182" s="48">
        <v>0</v>
      </c>
      <c r="DT182" s="48">
        <v>0</v>
      </c>
      <c r="DU182" s="48">
        <v>0</v>
      </c>
      <c r="DV182" s="48">
        <v>0</v>
      </c>
      <c r="DW182" s="48">
        <v>0</v>
      </c>
      <c r="DX182" s="48">
        <v>0</v>
      </c>
      <c r="DY182" s="48">
        <v>0</v>
      </c>
      <c r="DZ182" s="48">
        <v>0</v>
      </c>
      <c r="EA182" s="48">
        <v>0</v>
      </c>
      <c r="EB182" s="48">
        <v>0</v>
      </c>
      <c r="EC182" s="48">
        <v>0</v>
      </c>
      <c r="ED182" s="48">
        <v>0</v>
      </c>
      <c r="EE182" s="48">
        <v>0</v>
      </c>
      <c r="EF182" s="48">
        <v>0</v>
      </c>
      <c r="EG182" s="48">
        <v>0</v>
      </c>
      <c r="EH182" s="48">
        <v>0</v>
      </c>
      <c r="EI182" s="48">
        <v>0</v>
      </c>
      <c r="EJ182" s="48">
        <v>0</v>
      </c>
      <c r="EK182" s="48">
        <v>0</v>
      </c>
      <c r="EL182" s="48">
        <v>0</v>
      </c>
      <c r="EM182" s="48">
        <v>0</v>
      </c>
      <c r="EN182" s="48">
        <v>0</v>
      </c>
      <c r="EO182" s="48">
        <v>0</v>
      </c>
      <c r="EP182" s="48">
        <v>0</v>
      </c>
      <c r="EQ182" s="48">
        <v>0</v>
      </c>
      <c r="ER182" s="48">
        <v>0</v>
      </c>
      <c r="ES182" s="48">
        <v>0</v>
      </c>
      <c r="ET182" s="48">
        <v>0</v>
      </c>
      <c r="EU182" s="48">
        <v>0</v>
      </c>
      <c r="EV182" s="48">
        <v>0</v>
      </c>
      <c r="EW182" s="48">
        <v>0</v>
      </c>
      <c r="EX182" s="48">
        <v>0</v>
      </c>
      <c r="EY182" s="48">
        <v>0</v>
      </c>
      <c r="EZ182" s="48">
        <v>0</v>
      </c>
      <c r="FA182" s="48">
        <v>0</v>
      </c>
      <c r="FB182" s="48">
        <v>0</v>
      </c>
      <c r="FC182" s="48">
        <v>0</v>
      </c>
      <c r="FD182" s="48">
        <v>0</v>
      </c>
      <c r="FE182" s="48">
        <v>0</v>
      </c>
      <c r="FF182" s="48">
        <v>0</v>
      </c>
      <c r="FG182" s="48">
        <v>0</v>
      </c>
      <c r="FH182" s="48">
        <v>0</v>
      </c>
      <c r="FI182" s="48">
        <v>0</v>
      </c>
      <c r="FJ182" s="48">
        <v>0</v>
      </c>
      <c r="FK182" s="48">
        <v>0</v>
      </c>
      <c r="FL182" s="48">
        <v>0</v>
      </c>
      <c r="FM182" s="48">
        <v>0</v>
      </c>
      <c r="FN182" s="48">
        <v>0</v>
      </c>
      <c r="FO182" s="48">
        <v>0</v>
      </c>
      <c r="FP182" s="48">
        <v>0</v>
      </c>
      <c r="FQ182" s="48">
        <v>0</v>
      </c>
      <c r="FR182" s="48">
        <v>0</v>
      </c>
      <c r="FS182" s="48">
        <v>0</v>
      </c>
      <c r="FT182" s="48">
        <v>0</v>
      </c>
      <c r="FU182" s="48">
        <v>0</v>
      </c>
      <c r="FV182" s="48">
        <v>0</v>
      </c>
      <c r="FW182" s="48">
        <v>0</v>
      </c>
      <c r="FX182" s="48">
        <v>0</v>
      </c>
      <c r="FY182" s="48">
        <v>0</v>
      </c>
      <c r="FZ182" s="48">
        <v>0</v>
      </c>
      <c r="GA182" s="48">
        <v>0</v>
      </c>
      <c r="GB182" s="48">
        <v>0</v>
      </c>
      <c r="GC182" s="48">
        <v>0</v>
      </c>
      <c r="GD182" s="48">
        <v>0</v>
      </c>
      <c r="GE182" s="48">
        <v>0</v>
      </c>
      <c r="GF182" s="48">
        <v>0</v>
      </c>
      <c r="GG182" s="48">
        <v>0</v>
      </c>
      <c r="GH182" s="48">
        <v>0</v>
      </c>
      <c r="GI182" s="48">
        <v>0</v>
      </c>
      <c r="GJ182" s="48">
        <v>0</v>
      </c>
      <c r="GK182" s="48">
        <v>0</v>
      </c>
      <c r="GL182" s="48">
        <v>0</v>
      </c>
      <c r="GM182" s="48">
        <v>0</v>
      </c>
      <c r="GN182" s="48">
        <v>0</v>
      </c>
      <c r="GO182" s="48">
        <v>0</v>
      </c>
      <c r="GP182" s="48">
        <v>0</v>
      </c>
      <c r="GQ182" s="48">
        <v>0</v>
      </c>
      <c r="GR182" s="48">
        <v>0</v>
      </c>
      <c r="GS182" s="48">
        <v>0</v>
      </c>
      <c r="GT182" s="48">
        <v>0</v>
      </c>
      <c r="GU182" s="48">
        <v>0</v>
      </c>
      <c r="GV182" s="48">
        <v>0</v>
      </c>
      <c r="GW182" s="48">
        <v>0</v>
      </c>
      <c r="GX182" s="48">
        <v>0</v>
      </c>
      <c r="GY182" s="48">
        <v>0</v>
      </c>
      <c r="GZ182" s="48">
        <v>0</v>
      </c>
      <c r="HA182" s="48">
        <v>0</v>
      </c>
      <c r="HB182" s="48">
        <v>0</v>
      </c>
      <c r="HC182" s="48">
        <v>0</v>
      </c>
      <c r="HD182" s="48">
        <v>0</v>
      </c>
      <c r="HE182" s="48">
        <v>0</v>
      </c>
      <c r="HF182" s="48">
        <v>0</v>
      </c>
      <c r="HG182" s="48">
        <v>0</v>
      </c>
      <c r="HH182" s="48">
        <v>0</v>
      </c>
      <c r="HI182" s="48">
        <v>0</v>
      </c>
      <c r="HJ182" s="48">
        <v>0</v>
      </c>
      <c r="HK182" s="48">
        <v>0</v>
      </c>
      <c r="HL182" s="48">
        <v>0</v>
      </c>
      <c r="HM182" s="48">
        <v>0</v>
      </c>
      <c r="HN182" s="48">
        <v>0</v>
      </c>
      <c r="HO182" s="48">
        <v>0</v>
      </c>
      <c r="HP182" s="48">
        <v>0</v>
      </c>
      <c r="HQ182" s="48">
        <v>0</v>
      </c>
      <c r="HR182" s="48">
        <v>0</v>
      </c>
      <c r="HS182" s="48">
        <v>0</v>
      </c>
      <c r="HT182" s="48">
        <v>0</v>
      </c>
      <c r="HU182" s="48">
        <v>0</v>
      </c>
      <c r="HV182" s="48">
        <v>0</v>
      </c>
      <c r="HW182" s="48">
        <v>0</v>
      </c>
      <c r="HX182" s="48">
        <v>0</v>
      </c>
      <c r="HY182" s="48">
        <v>0</v>
      </c>
      <c r="HZ182" s="48">
        <v>0</v>
      </c>
      <c r="IA182" s="48">
        <v>0</v>
      </c>
      <c r="IB182" s="48">
        <v>0</v>
      </c>
      <c r="IC182" s="48">
        <v>0</v>
      </c>
      <c r="ID182" s="48">
        <v>0</v>
      </c>
      <c r="IE182" s="48">
        <v>0</v>
      </c>
      <c r="IF182" s="48">
        <v>0</v>
      </c>
      <c r="IG182" s="48">
        <v>0</v>
      </c>
      <c r="IH182" s="48">
        <v>0</v>
      </c>
      <c r="II182" s="48">
        <v>0</v>
      </c>
      <c r="IJ182" s="48">
        <v>0</v>
      </c>
      <c r="IK182" s="48">
        <v>0</v>
      </c>
      <c r="IL182" s="48">
        <v>0</v>
      </c>
      <c r="IM182" s="48">
        <v>0</v>
      </c>
      <c r="IN182" s="48">
        <v>0</v>
      </c>
      <c r="IO182" s="48">
        <v>0</v>
      </c>
      <c r="IP182" s="23">
        <v>0</v>
      </c>
      <c r="IQ182" s="25">
        <v>75443</v>
      </c>
      <c r="IR182" s="25">
        <v>0</v>
      </c>
      <c r="IS182" s="26">
        <v>0</v>
      </c>
      <c r="IT182" s="26">
        <v>0</v>
      </c>
      <c r="IU182" s="26">
        <v>0</v>
      </c>
      <c r="IV182" s="9">
        <v>1810</v>
      </c>
      <c r="IW182" s="38">
        <f t="shared" si="13"/>
        <v>77253</v>
      </c>
    </row>
    <row r="183" spans="1:257" ht="30" customHeight="1" x14ac:dyDescent="0.25">
      <c r="A183" s="112" t="b">
        <v>0</v>
      </c>
      <c r="B183" s="113" t="str">
        <f>IFERROR(VLOOKUP(C183,'Bridge matrix'!$D$3:$E$727,2,FALSE)='symmetric IOT 245 2012'!D183,"FALSCH")</f>
        <v>FALSCH</v>
      </c>
      <c r="C183" s="108">
        <v>172</v>
      </c>
      <c r="D183" s="49" t="s">
        <v>1490</v>
      </c>
      <c r="E183" s="48">
        <v>0</v>
      </c>
      <c r="F183" s="48">
        <v>0</v>
      </c>
      <c r="G183" s="48">
        <v>0</v>
      </c>
      <c r="H183" s="48">
        <v>0</v>
      </c>
      <c r="I183" s="48">
        <v>0</v>
      </c>
      <c r="J183" s="48">
        <v>0</v>
      </c>
      <c r="K183" s="48">
        <v>0</v>
      </c>
      <c r="L183" s="48">
        <v>0</v>
      </c>
      <c r="M183" s="48">
        <v>0</v>
      </c>
      <c r="N183" s="48">
        <v>0</v>
      </c>
      <c r="O183" s="48">
        <v>0</v>
      </c>
      <c r="P183" s="48">
        <v>0</v>
      </c>
      <c r="Q183" s="48">
        <v>0</v>
      </c>
      <c r="R183" s="48">
        <v>0</v>
      </c>
      <c r="S183" s="48">
        <v>0</v>
      </c>
      <c r="T183" s="48">
        <v>0</v>
      </c>
      <c r="U183" s="48">
        <v>0</v>
      </c>
      <c r="V183" s="48">
        <v>0</v>
      </c>
      <c r="W183" s="48">
        <v>0</v>
      </c>
      <c r="X183" s="48">
        <v>0</v>
      </c>
      <c r="Y183" s="48">
        <v>0</v>
      </c>
      <c r="Z183" s="48">
        <v>0</v>
      </c>
      <c r="AA183" s="48">
        <v>0</v>
      </c>
      <c r="AB183" s="48">
        <v>0</v>
      </c>
      <c r="AC183" s="48">
        <v>0</v>
      </c>
      <c r="AD183" s="48">
        <v>0</v>
      </c>
      <c r="AE183" s="48">
        <v>0</v>
      </c>
      <c r="AF183" s="48">
        <v>0</v>
      </c>
      <c r="AG183" s="48">
        <v>0</v>
      </c>
      <c r="AH183" s="48">
        <v>0</v>
      </c>
      <c r="AI183" s="48">
        <v>0</v>
      </c>
      <c r="AJ183" s="48">
        <v>0</v>
      </c>
      <c r="AK183" s="48">
        <v>0</v>
      </c>
      <c r="AL183" s="48">
        <v>0</v>
      </c>
      <c r="AM183" s="48">
        <v>0</v>
      </c>
      <c r="AN183" s="48">
        <v>0</v>
      </c>
      <c r="AO183" s="48">
        <v>0</v>
      </c>
      <c r="AP183" s="48">
        <v>0</v>
      </c>
      <c r="AQ183" s="48">
        <v>0</v>
      </c>
      <c r="AR183" s="48">
        <v>0</v>
      </c>
      <c r="AS183" s="48">
        <v>0</v>
      </c>
      <c r="AT183" s="48">
        <v>0</v>
      </c>
      <c r="AU183" s="48">
        <v>0</v>
      </c>
      <c r="AV183" s="48">
        <v>0</v>
      </c>
      <c r="AW183" s="48">
        <v>0</v>
      </c>
      <c r="AX183" s="48">
        <v>0</v>
      </c>
      <c r="AY183" s="48">
        <v>0</v>
      </c>
      <c r="AZ183" s="48">
        <v>0</v>
      </c>
      <c r="BA183" s="48">
        <v>0</v>
      </c>
      <c r="BB183" s="48">
        <v>0</v>
      </c>
      <c r="BC183" s="48">
        <v>0</v>
      </c>
      <c r="BD183" s="48">
        <v>0</v>
      </c>
      <c r="BE183" s="48">
        <v>0</v>
      </c>
      <c r="BF183" s="48">
        <v>0</v>
      </c>
      <c r="BG183" s="48">
        <v>0</v>
      </c>
      <c r="BH183" s="48">
        <v>0</v>
      </c>
      <c r="BI183" s="48">
        <v>0</v>
      </c>
      <c r="BJ183" s="48">
        <v>0</v>
      </c>
      <c r="BK183" s="48">
        <v>0</v>
      </c>
      <c r="BL183" s="48">
        <v>0</v>
      </c>
      <c r="BM183" s="48">
        <v>0</v>
      </c>
      <c r="BN183" s="48">
        <v>0</v>
      </c>
      <c r="BO183" s="48">
        <v>0</v>
      </c>
      <c r="BP183" s="48">
        <v>0</v>
      </c>
      <c r="BQ183" s="48">
        <v>0</v>
      </c>
      <c r="BR183" s="48">
        <v>0</v>
      </c>
      <c r="BS183" s="48">
        <v>0</v>
      </c>
      <c r="BT183" s="48">
        <v>0</v>
      </c>
      <c r="BU183" s="48">
        <v>0</v>
      </c>
      <c r="BV183" s="48">
        <v>0</v>
      </c>
      <c r="BW183" s="48">
        <v>0</v>
      </c>
      <c r="BX183" s="48">
        <v>0</v>
      </c>
      <c r="BY183" s="48">
        <v>0</v>
      </c>
      <c r="BZ183" s="48">
        <v>0</v>
      </c>
      <c r="CA183" s="48">
        <v>0</v>
      </c>
      <c r="CB183" s="48">
        <v>0</v>
      </c>
      <c r="CC183" s="48">
        <v>40.912685542865169</v>
      </c>
      <c r="CD183" s="48">
        <v>0</v>
      </c>
      <c r="CE183" s="48">
        <v>0</v>
      </c>
      <c r="CF183" s="48">
        <v>0</v>
      </c>
      <c r="CG183" s="48">
        <v>0</v>
      </c>
      <c r="CH183" s="48">
        <v>0</v>
      </c>
      <c r="CI183" s="48">
        <v>0</v>
      </c>
      <c r="CJ183" s="48">
        <v>0</v>
      </c>
      <c r="CK183" s="48">
        <v>0</v>
      </c>
      <c r="CL183" s="48">
        <v>0</v>
      </c>
      <c r="CM183" s="48">
        <v>0</v>
      </c>
      <c r="CN183" s="48">
        <v>0</v>
      </c>
      <c r="CO183" s="48">
        <v>0</v>
      </c>
      <c r="CP183" s="48">
        <v>0</v>
      </c>
      <c r="CQ183" s="48">
        <v>0</v>
      </c>
      <c r="CR183" s="48">
        <v>0</v>
      </c>
      <c r="CS183" s="48">
        <v>0</v>
      </c>
      <c r="CT183" s="48">
        <v>0</v>
      </c>
      <c r="CU183" s="48">
        <v>0</v>
      </c>
      <c r="CV183" s="48">
        <v>0</v>
      </c>
      <c r="CW183" s="48">
        <v>0</v>
      </c>
      <c r="CX183" s="48">
        <v>0</v>
      </c>
      <c r="CY183" s="48">
        <v>0</v>
      </c>
      <c r="CZ183" s="48">
        <v>0</v>
      </c>
      <c r="DA183" s="48">
        <v>0</v>
      </c>
      <c r="DB183" s="48">
        <v>0</v>
      </c>
      <c r="DC183" s="48">
        <v>0</v>
      </c>
      <c r="DD183" s="48">
        <v>0</v>
      </c>
      <c r="DE183" s="48">
        <v>0</v>
      </c>
      <c r="DF183" s="48">
        <v>0</v>
      </c>
      <c r="DG183" s="48">
        <v>0</v>
      </c>
      <c r="DH183" s="48">
        <v>0</v>
      </c>
      <c r="DI183" s="48">
        <v>0</v>
      </c>
      <c r="DJ183" s="48">
        <v>0</v>
      </c>
      <c r="DK183" s="48">
        <v>0</v>
      </c>
      <c r="DL183" s="48">
        <v>0</v>
      </c>
      <c r="DM183" s="48">
        <v>0</v>
      </c>
      <c r="DN183" s="48">
        <v>0</v>
      </c>
      <c r="DO183" s="48">
        <v>0</v>
      </c>
      <c r="DP183" s="48">
        <v>0</v>
      </c>
      <c r="DQ183" s="48">
        <v>0</v>
      </c>
      <c r="DR183" s="48">
        <v>0</v>
      </c>
      <c r="DS183" s="48">
        <v>0</v>
      </c>
      <c r="DT183" s="48">
        <v>0</v>
      </c>
      <c r="DU183" s="48">
        <v>0</v>
      </c>
      <c r="DV183" s="48">
        <v>0</v>
      </c>
      <c r="DW183" s="48">
        <v>0</v>
      </c>
      <c r="DX183" s="48">
        <v>0</v>
      </c>
      <c r="DY183" s="48">
        <v>0</v>
      </c>
      <c r="DZ183" s="48">
        <v>0</v>
      </c>
      <c r="EA183" s="48">
        <v>0</v>
      </c>
      <c r="EB183" s="48">
        <v>0</v>
      </c>
      <c r="EC183" s="48">
        <v>0</v>
      </c>
      <c r="ED183" s="48">
        <v>0</v>
      </c>
      <c r="EE183" s="48">
        <v>0</v>
      </c>
      <c r="EF183" s="48">
        <v>0</v>
      </c>
      <c r="EG183" s="48">
        <v>0</v>
      </c>
      <c r="EH183" s="48">
        <v>0</v>
      </c>
      <c r="EI183" s="48">
        <v>0</v>
      </c>
      <c r="EJ183" s="48">
        <v>0</v>
      </c>
      <c r="EK183" s="48">
        <v>0</v>
      </c>
      <c r="EL183" s="48">
        <v>0</v>
      </c>
      <c r="EM183" s="48">
        <v>0</v>
      </c>
      <c r="EN183" s="48">
        <v>0</v>
      </c>
      <c r="EO183" s="48">
        <v>0</v>
      </c>
      <c r="EP183" s="48">
        <v>0</v>
      </c>
      <c r="EQ183" s="48">
        <v>0</v>
      </c>
      <c r="ER183" s="48">
        <v>0</v>
      </c>
      <c r="ES183" s="48">
        <v>0</v>
      </c>
      <c r="ET183" s="48">
        <v>0</v>
      </c>
      <c r="EU183" s="48">
        <v>0</v>
      </c>
      <c r="EV183" s="48">
        <v>0</v>
      </c>
      <c r="EW183" s="48">
        <v>0</v>
      </c>
      <c r="EX183" s="48">
        <v>0</v>
      </c>
      <c r="EY183" s="48">
        <v>0</v>
      </c>
      <c r="EZ183" s="48">
        <v>0</v>
      </c>
      <c r="FA183" s="48">
        <v>0</v>
      </c>
      <c r="FB183" s="48">
        <v>0</v>
      </c>
      <c r="FC183" s="48">
        <v>0</v>
      </c>
      <c r="FD183" s="48">
        <v>0</v>
      </c>
      <c r="FE183" s="48">
        <v>0</v>
      </c>
      <c r="FF183" s="48">
        <v>0</v>
      </c>
      <c r="FG183" s="48">
        <v>0</v>
      </c>
      <c r="FH183" s="48">
        <v>0</v>
      </c>
      <c r="FI183" s="48">
        <v>0</v>
      </c>
      <c r="FJ183" s="48">
        <v>0</v>
      </c>
      <c r="FK183" s="48">
        <v>0</v>
      </c>
      <c r="FL183" s="48">
        <v>0</v>
      </c>
      <c r="FM183" s="48">
        <v>0</v>
      </c>
      <c r="FN183" s="48">
        <v>0</v>
      </c>
      <c r="FO183" s="48">
        <v>0</v>
      </c>
      <c r="FP183" s="48">
        <v>0</v>
      </c>
      <c r="FQ183" s="48">
        <v>0</v>
      </c>
      <c r="FR183" s="48">
        <v>0</v>
      </c>
      <c r="FS183" s="48">
        <v>0</v>
      </c>
      <c r="FT183" s="48">
        <v>0</v>
      </c>
      <c r="FU183" s="48">
        <v>0</v>
      </c>
      <c r="FV183" s="48">
        <v>0</v>
      </c>
      <c r="FW183" s="48">
        <v>0</v>
      </c>
      <c r="FX183" s="48">
        <v>0</v>
      </c>
      <c r="FY183" s="48">
        <v>0</v>
      </c>
      <c r="FZ183" s="48">
        <v>0</v>
      </c>
      <c r="GA183" s="48">
        <v>0</v>
      </c>
      <c r="GB183" s="48">
        <v>0</v>
      </c>
      <c r="GC183" s="48">
        <v>0</v>
      </c>
      <c r="GD183" s="48">
        <v>0</v>
      </c>
      <c r="GE183" s="48">
        <v>0</v>
      </c>
      <c r="GF183" s="48">
        <v>0</v>
      </c>
      <c r="GG183" s="48">
        <v>0</v>
      </c>
      <c r="GH183" s="48">
        <v>0</v>
      </c>
      <c r="GI183" s="48">
        <v>0</v>
      </c>
      <c r="GJ183" s="48">
        <v>0</v>
      </c>
      <c r="GK183" s="48">
        <v>0</v>
      </c>
      <c r="GL183" s="48">
        <v>0</v>
      </c>
      <c r="GM183" s="48">
        <v>0</v>
      </c>
      <c r="GN183" s="48">
        <v>0</v>
      </c>
      <c r="GO183" s="48">
        <v>0</v>
      </c>
      <c r="GP183" s="48">
        <v>0</v>
      </c>
      <c r="GQ183" s="48">
        <v>0</v>
      </c>
      <c r="GR183" s="48">
        <v>0</v>
      </c>
      <c r="GS183" s="48">
        <v>0</v>
      </c>
      <c r="GT183" s="48">
        <v>0</v>
      </c>
      <c r="GU183" s="48">
        <v>0</v>
      </c>
      <c r="GV183" s="48">
        <v>0</v>
      </c>
      <c r="GW183" s="48">
        <v>0</v>
      </c>
      <c r="GX183" s="48">
        <v>0</v>
      </c>
      <c r="GY183" s="48">
        <v>0</v>
      </c>
      <c r="GZ183" s="48">
        <v>0</v>
      </c>
      <c r="HA183" s="48">
        <v>0</v>
      </c>
      <c r="HB183" s="48">
        <v>0</v>
      </c>
      <c r="HC183" s="48">
        <v>0</v>
      </c>
      <c r="HD183" s="48">
        <v>0</v>
      </c>
      <c r="HE183" s="48">
        <v>0</v>
      </c>
      <c r="HF183" s="48">
        <v>0</v>
      </c>
      <c r="HG183" s="48">
        <v>0</v>
      </c>
      <c r="HH183" s="48">
        <v>0</v>
      </c>
      <c r="HI183" s="48">
        <v>0</v>
      </c>
      <c r="HJ183" s="48">
        <v>0</v>
      </c>
      <c r="HK183" s="48">
        <v>0</v>
      </c>
      <c r="HL183" s="48">
        <v>0</v>
      </c>
      <c r="HM183" s="48">
        <v>0</v>
      </c>
      <c r="HN183" s="48">
        <v>0</v>
      </c>
      <c r="HO183" s="48">
        <v>0</v>
      </c>
      <c r="HP183" s="48">
        <v>0</v>
      </c>
      <c r="HQ183" s="48">
        <v>0</v>
      </c>
      <c r="HR183" s="48">
        <v>0</v>
      </c>
      <c r="HS183" s="48">
        <v>0</v>
      </c>
      <c r="HT183" s="48">
        <v>0</v>
      </c>
      <c r="HU183" s="48">
        <v>0</v>
      </c>
      <c r="HV183" s="48">
        <v>0</v>
      </c>
      <c r="HW183" s="48">
        <v>0</v>
      </c>
      <c r="HX183" s="48">
        <v>0</v>
      </c>
      <c r="HY183" s="48">
        <v>0</v>
      </c>
      <c r="HZ183" s="48">
        <v>0</v>
      </c>
      <c r="IA183" s="48">
        <v>0</v>
      </c>
      <c r="IB183" s="48">
        <v>0</v>
      </c>
      <c r="IC183" s="48">
        <v>0</v>
      </c>
      <c r="ID183" s="48">
        <v>0</v>
      </c>
      <c r="IE183" s="48">
        <v>0</v>
      </c>
      <c r="IF183" s="48">
        <v>0</v>
      </c>
      <c r="IG183" s="48">
        <v>16640.798449142789</v>
      </c>
      <c r="IH183" s="48">
        <v>1194.6690014731075</v>
      </c>
      <c r="II183" s="48">
        <v>365.61986384115568</v>
      </c>
      <c r="IJ183" s="48">
        <v>0</v>
      </c>
      <c r="IK183" s="48">
        <v>0</v>
      </c>
      <c r="IL183" s="48">
        <v>0</v>
      </c>
      <c r="IM183" s="48">
        <v>0</v>
      </c>
      <c r="IN183" s="48">
        <v>0</v>
      </c>
      <c r="IO183" s="48">
        <v>0</v>
      </c>
      <c r="IP183" s="23">
        <v>18241.999999999916</v>
      </c>
      <c r="IQ183" s="25">
        <v>0</v>
      </c>
      <c r="IR183" s="25">
        <v>0</v>
      </c>
      <c r="IS183" s="26">
        <v>0</v>
      </c>
      <c r="IT183" s="26">
        <v>0</v>
      </c>
      <c r="IU183" s="26">
        <v>0</v>
      </c>
      <c r="IV183" s="9">
        <v>1621</v>
      </c>
      <c r="IW183" s="38">
        <f t="shared" si="13"/>
        <v>19862.999999999916</v>
      </c>
    </row>
    <row r="184" spans="1:257" ht="30" customHeight="1" x14ac:dyDescent="0.25">
      <c r="A184" s="112" t="b">
        <v>0</v>
      </c>
      <c r="B184" s="113" t="b">
        <f>IFERROR(VLOOKUP(C184,'Bridge matrix'!$D$3:$E$727,2,FALSE)='symmetric IOT 245 2012'!D184,"FALSCH")</f>
        <v>1</v>
      </c>
      <c r="C184" s="108">
        <v>173</v>
      </c>
      <c r="D184" s="49" t="s">
        <v>1491</v>
      </c>
      <c r="E184" s="48">
        <v>0</v>
      </c>
      <c r="F184" s="48">
        <v>0</v>
      </c>
      <c r="G184" s="48">
        <v>0</v>
      </c>
      <c r="H184" s="48">
        <v>5.1532854653009004</v>
      </c>
      <c r="I184" s="48">
        <v>52.289293923469359</v>
      </c>
      <c r="J184" s="48">
        <v>185.57828235423315</v>
      </c>
      <c r="K184" s="48">
        <v>411.01520887386584</v>
      </c>
      <c r="L184" s="48">
        <v>13.989011087686244</v>
      </c>
      <c r="M184" s="48">
        <v>0.735620533087741</v>
      </c>
      <c r="N184" s="48">
        <v>2.984357067058824</v>
      </c>
      <c r="O184" s="48">
        <v>532.38403611598426</v>
      </c>
      <c r="P184" s="48">
        <v>77.749456932992842</v>
      </c>
      <c r="Q184" s="48">
        <v>7.3316600801325897</v>
      </c>
      <c r="R184" s="48">
        <v>386.44957669137119</v>
      </c>
      <c r="S184" s="48">
        <v>1.4673343810112862</v>
      </c>
      <c r="T184" s="48">
        <v>0</v>
      </c>
      <c r="U184" s="48">
        <v>0</v>
      </c>
      <c r="V184" s="48">
        <v>0</v>
      </c>
      <c r="W184" s="48">
        <v>0</v>
      </c>
      <c r="X184" s="48">
        <v>0</v>
      </c>
      <c r="Y184" s="48">
        <v>0</v>
      </c>
      <c r="Z184" s="48">
        <v>0</v>
      </c>
      <c r="AA184" s="48">
        <v>0</v>
      </c>
      <c r="AB184" s="48">
        <v>0</v>
      </c>
      <c r="AC184" s="48">
        <v>0</v>
      </c>
      <c r="AD184" s="48">
        <v>0</v>
      </c>
      <c r="AE184" s="48">
        <v>0</v>
      </c>
      <c r="AF184" s="48">
        <v>0</v>
      </c>
      <c r="AG184" s="48">
        <v>0</v>
      </c>
      <c r="AH184" s="48">
        <v>0</v>
      </c>
      <c r="AI184" s="48">
        <v>0</v>
      </c>
      <c r="AJ184" s="48">
        <v>0</v>
      </c>
      <c r="AK184" s="48">
        <v>0</v>
      </c>
      <c r="AL184" s="48">
        <v>0</v>
      </c>
      <c r="AM184" s="48">
        <v>0</v>
      </c>
      <c r="AN184" s="48">
        <v>0</v>
      </c>
      <c r="AO184" s="48">
        <v>0</v>
      </c>
      <c r="AP184" s="48">
        <v>0</v>
      </c>
      <c r="AQ184" s="48">
        <v>0</v>
      </c>
      <c r="AR184" s="48">
        <v>0</v>
      </c>
      <c r="AS184" s="48">
        <v>0</v>
      </c>
      <c r="AT184" s="48">
        <v>0</v>
      </c>
      <c r="AU184" s="48">
        <v>0</v>
      </c>
      <c r="AV184" s="48">
        <v>0</v>
      </c>
      <c r="AW184" s="48">
        <v>0</v>
      </c>
      <c r="AX184" s="48">
        <v>0</v>
      </c>
      <c r="AY184" s="48">
        <v>0</v>
      </c>
      <c r="AZ184" s="48">
        <v>0</v>
      </c>
      <c r="BA184" s="48">
        <v>0</v>
      </c>
      <c r="BB184" s="48">
        <v>0</v>
      </c>
      <c r="BC184" s="48">
        <v>0</v>
      </c>
      <c r="BD184" s="48">
        <v>18077.277770325767</v>
      </c>
      <c r="BE184" s="48">
        <v>0</v>
      </c>
      <c r="BF184" s="48">
        <v>0</v>
      </c>
      <c r="BG184" s="48">
        <v>0</v>
      </c>
      <c r="BH184" s="48">
        <v>0</v>
      </c>
      <c r="BI184" s="48">
        <v>0</v>
      </c>
      <c r="BJ184" s="48">
        <v>0</v>
      </c>
      <c r="BK184" s="48">
        <v>0</v>
      </c>
      <c r="BL184" s="48">
        <v>0</v>
      </c>
      <c r="BM184" s="48">
        <v>0</v>
      </c>
      <c r="BN184" s="48">
        <v>0</v>
      </c>
      <c r="BO184" s="48">
        <v>0</v>
      </c>
      <c r="BP184" s="48">
        <v>1460.6045571521288</v>
      </c>
      <c r="BQ184" s="48">
        <v>198.60573314566764</v>
      </c>
      <c r="BR184" s="48">
        <v>8.265928805895209</v>
      </c>
      <c r="BS184" s="48">
        <v>13.538039122010135</v>
      </c>
      <c r="BT184" s="48">
        <v>51.884692742789959</v>
      </c>
      <c r="BU184" s="48">
        <v>294.55201328751173</v>
      </c>
      <c r="BV184" s="48">
        <v>208.69618050638582</v>
      </c>
      <c r="BW184" s="48">
        <v>106.15104246770875</v>
      </c>
      <c r="BX184" s="48">
        <v>9.517176849544569</v>
      </c>
      <c r="BY184" s="48">
        <v>81.349639862570456</v>
      </c>
      <c r="BZ184" s="48">
        <v>58.649466201441925</v>
      </c>
      <c r="CA184" s="48">
        <v>0</v>
      </c>
      <c r="CB184" s="48">
        <v>0</v>
      </c>
      <c r="CC184" s="48">
        <v>168.19223060784142</v>
      </c>
      <c r="CD184" s="48">
        <v>625.35014530832632</v>
      </c>
      <c r="CE184" s="48">
        <v>45.449638194568735</v>
      </c>
      <c r="CF184" s="48">
        <v>7.3299323743245219</v>
      </c>
      <c r="CG184" s="48">
        <v>291.83058373035573</v>
      </c>
      <c r="CH184" s="48">
        <v>27.145547082793144</v>
      </c>
      <c r="CI184" s="48">
        <v>256.81766160137192</v>
      </c>
      <c r="CJ184" s="48">
        <v>238.27738643858723</v>
      </c>
      <c r="CK184" s="48">
        <v>21.955956600057483</v>
      </c>
      <c r="CL184" s="48">
        <v>121.3693463887267</v>
      </c>
      <c r="CM184" s="48">
        <v>93.505435647906339</v>
      </c>
      <c r="CN184" s="48">
        <v>0</v>
      </c>
      <c r="CO184" s="48">
        <v>821.78294974486232</v>
      </c>
      <c r="CP184" s="48">
        <v>79.503752197662337</v>
      </c>
      <c r="CQ184" s="48">
        <v>311.7780611587001</v>
      </c>
      <c r="CR184" s="48">
        <v>0</v>
      </c>
      <c r="CS184" s="48">
        <v>0</v>
      </c>
      <c r="CT184" s="48">
        <v>0</v>
      </c>
      <c r="CU184" s="48">
        <v>0</v>
      </c>
      <c r="CV184" s="48">
        <v>1.4556765016356656</v>
      </c>
      <c r="CW184" s="48">
        <v>0</v>
      </c>
      <c r="CX184" s="48">
        <v>187.61431676801536</v>
      </c>
      <c r="CY184" s="48">
        <v>190.94984638184653</v>
      </c>
      <c r="CZ184" s="48">
        <v>252.13966737721745</v>
      </c>
      <c r="DA184" s="48">
        <v>748.9578541075083</v>
      </c>
      <c r="DB184" s="48">
        <v>60.59647790994979</v>
      </c>
      <c r="DC184" s="48">
        <v>3.8909327974388068</v>
      </c>
      <c r="DD184" s="48">
        <v>0</v>
      </c>
      <c r="DE184" s="48">
        <v>1770.3593596677199</v>
      </c>
      <c r="DF184" s="48">
        <v>0</v>
      </c>
      <c r="DG184" s="48">
        <v>5.3529459252355558</v>
      </c>
      <c r="DH184" s="48">
        <v>2.2243729302793795</v>
      </c>
      <c r="DI184" s="48">
        <v>0</v>
      </c>
      <c r="DJ184" s="48">
        <v>74.763798920183035</v>
      </c>
      <c r="DK184" s="48">
        <v>0</v>
      </c>
      <c r="DL184" s="48">
        <v>215.69191476593858</v>
      </c>
      <c r="DM184" s="48">
        <v>219.83204569550355</v>
      </c>
      <c r="DN184" s="48">
        <v>94.721359920773295</v>
      </c>
      <c r="DO184" s="48">
        <v>0</v>
      </c>
      <c r="DP184" s="48">
        <v>0</v>
      </c>
      <c r="DQ184" s="48">
        <v>100.63523105324273</v>
      </c>
      <c r="DR184" s="48">
        <v>393.58210438771431</v>
      </c>
      <c r="DS184" s="48">
        <v>1873.3610726868994</v>
      </c>
      <c r="DT184" s="48">
        <v>0</v>
      </c>
      <c r="DU184" s="48">
        <v>1807.9311598606037</v>
      </c>
      <c r="DV184" s="48">
        <v>297.67316196367466</v>
      </c>
      <c r="DW184" s="48">
        <v>1613.1661896995986</v>
      </c>
      <c r="DX184" s="48">
        <v>804.25414909124061</v>
      </c>
      <c r="DY184" s="48">
        <v>115.36191715115051</v>
      </c>
      <c r="DZ184" s="48">
        <v>101.68502701998294</v>
      </c>
      <c r="EA184" s="48">
        <v>4.0971467759531688</v>
      </c>
      <c r="EB184" s="48">
        <v>4.8373180269447476</v>
      </c>
      <c r="EC184" s="48">
        <v>0</v>
      </c>
      <c r="ED184" s="48">
        <v>0</v>
      </c>
      <c r="EE184" s="48">
        <v>0</v>
      </c>
      <c r="EF184" s="48">
        <v>0</v>
      </c>
      <c r="EG184" s="48">
        <v>0</v>
      </c>
      <c r="EH184" s="48">
        <v>0</v>
      </c>
      <c r="EI184" s="48">
        <v>185.36023221574351</v>
      </c>
      <c r="EJ184" s="48">
        <v>175.76418247848449</v>
      </c>
      <c r="EK184" s="48">
        <v>70.152105487606377</v>
      </c>
      <c r="EL184" s="48">
        <v>0</v>
      </c>
      <c r="EM184" s="48">
        <v>0</v>
      </c>
      <c r="EN184" s="48">
        <v>0</v>
      </c>
      <c r="EO184" s="48">
        <v>2315.3422744728109</v>
      </c>
      <c r="EP184" s="48">
        <v>0</v>
      </c>
      <c r="EQ184" s="48">
        <v>0</v>
      </c>
      <c r="ER184" s="48">
        <v>1119.7572299091962</v>
      </c>
      <c r="ES184" s="48">
        <v>135.99879580712874</v>
      </c>
      <c r="ET184" s="48">
        <v>109.30937295834399</v>
      </c>
      <c r="EU184" s="48">
        <v>88.61082674564318</v>
      </c>
      <c r="EV184" s="48">
        <v>79.377683834170412</v>
      </c>
      <c r="EW184" s="48">
        <v>338.49661596307777</v>
      </c>
      <c r="EX184" s="48">
        <v>621.04361931579137</v>
      </c>
      <c r="EY184" s="48">
        <v>34.371505533984312</v>
      </c>
      <c r="EZ184" s="48">
        <v>42.95188724570734</v>
      </c>
      <c r="FA184" s="48">
        <v>376.2895478263672</v>
      </c>
      <c r="FB184" s="48">
        <v>284.22668256151826</v>
      </c>
      <c r="FC184" s="48">
        <v>256.83869499830053</v>
      </c>
      <c r="FD184" s="48">
        <v>48.511107417487196</v>
      </c>
      <c r="FE184" s="48">
        <v>5.8799082804444645</v>
      </c>
      <c r="FF184" s="48">
        <v>0</v>
      </c>
      <c r="FG184" s="48">
        <v>0</v>
      </c>
      <c r="FH184" s="48">
        <v>246.44053332677831</v>
      </c>
      <c r="FI184" s="48">
        <v>141.33482864767063</v>
      </c>
      <c r="FJ184" s="48">
        <v>165.38239017643696</v>
      </c>
      <c r="FK184" s="48">
        <v>49.532123243754896</v>
      </c>
      <c r="FL184" s="48">
        <v>2.1473916305449681</v>
      </c>
      <c r="FM184" s="48">
        <v>158.86440076046634</v>
      </c>
      <c r="FN184" s="48">
        <v>38.754301458866344</v>
      </c>
      <c r="FO184" s="48">
        <v>22.323196267425203</v>
      </c>
      <c r="FP184" s="48">
        <v>437.45804056215042</v>
      </c>
      <c r="FQ184" s="48">
        <v>13.758674897402539</v>
      </c>
      <c r="FR184" s="48">
        <v>1918.3536316392015</v>
      </c>
      <c r="FS184" s="48">
        <v>178.88254204780347</v>
      </c>
      <c r="FT184" s="48">
        <v>45.780462750326386</v>
      </c>
      <c r="FU184" s="48">
        <v>346.32372764262863</v>
      </c>
      <c r="FV184" s="48">
        <v>1281.4554104074684</v>
      </c>
      <c r="FW184" s="48">
        <v>887.14282791901314</v>
      </c>
      <c r="FX184" s="48">
        <v>1834.175365035399</v>
      </c>
      <c r="FY184" s="48">
        <v>61.213061993155875</v>
      </c>
      <c r="FZ184" s="48">
        <v>1.4651538452355903</v>
      </c>
      <c r="GA184" s="48">
        <v>13.03815794663282</v>
      </c>
      <c r="GB184" s="48">
        <v>1861.5833936600613</v>
      </c>
      <c r="GC184" s="48">
        <v>0</v>
      </c>
      <c r="GD184" s="48">
        <v>1353.6316458991764</v>
      </c>
      <c r="GE184" s="48">
        <v>3267.1953796318389</v>
      </c>
      <c r="GF184" s="48">
        <v>2499.637068958149</v>
      </c>
      <c r="GG184" s="48">
        <v>571.18989927188056</v>
      </c>
      <c r="GH184" s="48">
        <v>494.15555195292524</v>
      </c>
      <c r="GI184" s="48">
        <v>0.73575839297266099</v>
      </c>
      <c r="GJ184" s="48">
        <v>64.637071012811276</v>
      </c>
      <c r="GK184" s="48">
        <v>133.97562202364438</v>
      </c>
      <c r="GL184" s="48">
        <v>133.96529689049939</v>
      </c>
      <c r="GM184" s="48">
        <v>97.103713484597449</v>
      </c>
      <c r="GN184" s="48">
        <v>3.6837933786203703</v>
      </c>
      <c r="GO184" s="48">
        <v>32.861350669442892</v>
      </c>
      <c r="GP184" s="48">
        <v>14.736607301353972</v>
      </c>
      <c r="GQ184" s="48">
        <v>107.57837712484189</v>
      </c>
      <c r="GR184" s="48">
        <v>0</v>
      </c>
      <c r="GS184" s="48">
        <v>4238.8995999596955</v>
      </c>
      <c r="GT184" s="48">
        <v>372.94000131058544</v>
      </c>
      <c r="GU184" s="48">
        <v>26027.654338192151</v>
      </c>
      <c r="GV184" s="48">
        <v>147.17863855946104</v>
      </c>
      <c r="GW184" s="48">
        <v>40.15041185883355</v>
      </c>
      <c r="GX184" s="48">
        <v>2218.7538695825788</v>
      </c>
      <c r="GY184" s="48">
        <v>1.8685256083962474</v>
      </c>
      <c r="GZ184" s="48">
        <v>34.872741716197986</v>
      </c>
      <c r="HA184" s="48">
        <v>307.02719926563714</v>
      </c>
      <c r="HB184" s="48">
        <v>289.83896517162253</v>
      </c>
      <c r="HC184" s="48">
        <v>654.67500999000595</v>
      </c>
      <c r="HD184" s="48">
        <v>221.24718559806882</v>
      </c>
      <c r="HE184" s="48">
        <v>0.72444516721522234</v>
      </c>
      <c r="HF184" s="48">
        <v>2.1881809649484931</v>
      </c>
      <c r="HG184" s="48">
        <v>1.4588062556143233</v>
      </c>
      <c r="HH184" s="48">
        <v>3.0034350958982921</v>
      </c>
      <c r="HI184" s="48">
        <v>5.1194551464348761</v>
      </c>
      <c r="HJ184" s="48">
        <v>5.0886138208226068</v>
      </c>
      <c r="HK184" s="48">
        <v>0</v>
      </c>
      <c r="HL184" s="48">
        <v>0</v>
      </c>
      <c r="HM184" s="48">
        <v>1.8930670492284982</v>
      </c>
      <c r="HN184" s="48">
        <v>0.72939302441912557</v>
      </c>
      <c r="HO184" s="48">
        <v>2.1882139049108269</v>
      </c>
      <c r="HP184" s="48">
        <v>4.3763898121608671</v>
      </c>
      <c r="HQ184" s="48">
        <v>0.72940835154607131</v>
      </c>
      <c r="HR184" s="48">
        <v>1.6630288302997169</v>
      </c>
      <c r="HS184" s="48">
        <v>1.9127587979007219</v>
      </c>
      <c r="HT184" s="48">
        <v>1.4587848787232836</v>
      </c>
      <c r="HU184" s="48">
        <v>2.1881991434734545</v>
      </c>
      <c r="HV184" s="48">
        <v>0</v>
      </c>
      <c r="HW184" s="48">
        <v>0</v>
      </c>
      <c r="HX184" s="48">
        <v>574.84622169899183</v>
      </c>
      <c r="HY184" s="48">
        <v>487.75219945268543</v>
      </c>
      <c r="HZ184" s="48">
        <v>722.20435057250916</v>
      </c>
      <c r="IA184" s="48">
        <v>203.8417064478584</v>
      </c>
      <c r="IB184" s="48">
        <v>10.224860135691756</v>
      </c>
      <c r="IC184" s="48">
        <v>9.5305494357891956</v>
      </c>
      <c r="ID184" s="48">
        <v>5.856921746292012</v>
      </c>
      <c r="IE184" s="48">
        <v>4.3891001553264317</v>
      </c>
      <c r="IF184" s="48">
        <v>0.73243311605857531</v>
      </c>
      <c r="IG184" s="48">
        <v>2558.7060829481798</v>
      </c>
      <c r="IH184" s="48">
        <v>183.43893868424104</v>
      </c>
      <c r="II184" s="48">
        <v>56.392044255445398</v>
      </c>
      <c r="IJ184" s="48">
        <v>0</v>
      </c>
      <c r="IK184" s="48">
        <v>980.70303131484366</v>
      </c>
      <c r="IL184" s="48">
        <v>1728.5216618084617</v>
      </c>
      <c r="IM184" s="48">
        <v>2078.7439172728364</v>
      </c>
      <c r="IN184" s="48">
        <v>1103.8652505566574</v>
      </c>
      <c r="IO184" s="48">
        <v>0</v>
      </c>
      <c r="IP184" s="23">
        <v>106369.99999999971</v>
      </c>
      <c r="IQ184" s="25">
        <v>12110</v>
      </c>
      <c r="IR184" s="25">
        <v>0</v>
      </c>
      <c r="IS184" s="26">
        <v>0</v>
      </c>
      <c r="IT184" s="26">
        <v>0</v>
      </c>
      <c r="IU184" s="26">
        <v>9538</v>
      </c>
      <c r="IV184" s="9">
        <v>21211</v>
      </c>
      <c r="IW184" s="38">
        <f t="shared" si="13"/>
        <v>149228.99999999971</v>
      </c>
    </row>
    <row r="185" spans="1:257" ht="30" customHeight="1" x14ac:dyDescent="0.25">
      <c r="A185" s="112" t="b">
        <v>0</v>
      </c>
      <c r="B185" s="113" t="str">
        <f>IFERROR(VLOOKUP(C185,'Bridge matrix'!$D$3:$E$727,2,FALSE)='symmetric IOT 245 2012'!D185,"FALSCH")</f>
        <v>FALSCH</v>
      </c>
      <c r="C185" s="108">
        <v>174</v>
      </c>
      <c r="D185" s="49" t="s">
        <v>1492</v>
      </c>
      <c r="E185" s="48">
        <v>9646.36633611045</v>
      </c>
      <c r="F185" s="48">
        <v>1197.5699525442092</v>
      </c>
      <c r="G185" s="48">
        <v>1921.4223390165532</v>
      </c>
      <c r="H185" s="48">
        <v>85.596180251724434</v>
      </c>
      <c r="I185" s="48">
        <v>878.58921494166918</v>
      </c>
      <c r="J185" s="48">
        <v>3127.9345149316255</v>
      </c>
      <c r="K185" s="48">
        <v>6939.732402906483</v>
      </c>
      <c r="L185" s="48">
        <v>232.7392666821946</v>
      </c>
      <c r="M185" s="48">
        <v>13.364459956825229</v>
      </c>
      <c r="N185" s="48">
        <v>46.988580103920384</v>
      </c>
      <c r="O185" s="48">
        <v>7934.6952994407757</v>
      </c>
      <c r="P185" s="48">
        <v>1156.3815846212156</v>
      </c>
      <c r="Q185" s="48">
        <v>108.30788147941288</v>
      </c>
      <c r="R185" s="48">
        <v>5757.636969038861</v>
      </c>
      <c r="S185" s="48">
        <v>19.544480625510822</v>
      </c>
      <c r="T185" s="48">
        <v>1524.5843179682624</v>
      </c>
      <c r="U185" s="48">
        <v>188.12013077595404</v>
      </c>
      <c r="V185" s="48">
        <v>416.33662346097026</v>
      </c>
      <c r="W185" s="48">
        <v>638.97791938132468</v>
      </c>
      <c r="X185" s="48">
        <v>8.004344923338083</v>
      </c>
      <c r="Y185" s="48">
        <v>289.81584619624789</v>
      </c>
      <c r="Z185" s="48">
        <v>773.14507018243069</v>
      </c>
      <c r="AA185" s="48">
        <v>55.266165088815711</v>
      </c>
      <c r="AB185" s="48">
        <v>49.897498053317399</v>
      </c>
      <c r="AC185" s="48">
        <v>12.452764359485132</v>
      </c>
      <c r="AD185" s="48">
        <v>187.97515109721954</v>
      </c>
      <c r="AE185" s="48">
        <v>280.92206891354584</v>
      </c>
      <c r="AF185" s="48">
        <v>134.57109135346857</v>
      </c>
      <c r="AG185" s="48">
        <v>307.89889955828767</v>
      </c>
      <c r="AH185" s="48">
        <v>525.83490965591113</v>
      </c>
      <c r="AI185" s="48">
        <v>446.51659527948777</v>
      </c>
      <c r="AJ185" s="48">
        <v>286.15753262212985</v>
      </c>
      <c r="AK185" s="48">
        <v>844.00645461187662</v>
      </c>
      <c r="AL185" s="48">
        <v>277.16424637583219</v>
      </c>
      <c r="AM185" s="48">
        <v>24.934372666807139</v>
      </c>
      <c r="AN185" s="48">
        <v>301.27998304385426</v>
      </c>
      <c r="AO185" s="48">
        <v>192.46777227416575</v>
      </c>
      <c r="AP185" s="48">
        <v>727.15480275069467</v>
      </c>
      <c r="AQ185" s="48">
        <v>288.81199068929044</v>
      </c>
      <c r="AR185" s="48">
        <v>465.23149372286508</v>
      </c>
      <c r="AS185" s="48">
        <v>409.55105635416902</v>
      </c>
      <c r="AT185" s="48">
        <v>5294.0948696003625</v>
      </c>
      <c r="AU185" s="48">
        <v>673.02720509556309</v>
      </c>
      <c r="AV185" s="48">
        <v>318.44219008290275</v>
      </c>
      <c r="AW185" s="48">
        <v>199.3638606295481</v>
      </c>
      <c r="AX185" s="48">
        <v>10637.932267962637</v>
      </c>
      <c r="AY185" s="48">
        <v>1751.4347654040589</v>
      </c>
      <c r="AZ185" s="48">
        <v>273.6740372900565</v>
      </c>
      <c r="BA185" s="48">
        <v>500.02682749285748</v>
      </c>
      <c r="BB185" s="48">
        <v>11060.770888712064</v>
      </c>
      <c r="BC185" s="48">
        <v>1839.3719385118575</v>
      </c>
      <c r="BD185" s="48">
        <v>8338.1660327932859</v>
      </c>
      <c r="BE185" s="48">
        <v>28263.501360992967</v>
      </c>
      <c r="BF185" s="48">
        <v>915.36838125606357</v>
      </c>
      <c r="BG185" s="48">
        <v>60.933528984194147</v>
      </c>
      <c r="BH185" s="48">
        <v>5710.9139159488604</v>
      </c>
      <c r="BI185" s="48">
        <v>692.83584543289044</v>
      </c>
      <c r="BJ185" s="48">
        <v>4404.619002177079</v>
      </c>
      <c r="BK185" s="48">
        <v>875.20577005895166</v>
      </c>
      <c r="BL185" s="48">
        <v>8.1918423911098159</v>
      </c>
      <c r="BM185" s="48">
        <v>2514.4371971716632</v>
      </c>
      <c r="BN185" s="48">
        <v>219.30760703342213</v>
      </c>
      <c r="BO185" s="48">
        <v>0</v>
      </c>
      <c r="BP185" s="48">
        <v>7615.1820125880922</v>
      </c>
      <c r="BQ185" s="48">
        <v>1033.8715353092875</v>
      </c>
      <c r="BR185" s="48">
        <v>43.688614618122905</v>
      </c>
      <c r="BS185" s="48">
        <v>70.145892812747235</v>
      </c>
      <c r="BT185" s="48">
        <v>3068.6279038368471</v>
      </c>
      <c r="BU185" s="48">
        <v>17498.774298722532</v>
      </c>
      <c r="BV185" s="48">
        <v>23207.971207322327</v>
      </c>
      <c r="BW185" s="48">
        <v>11870.496777620298</v>
      </c>
      <c r="BX185" s="48">
        <v>1076.5812818691513</v>
      </c>
      <c r="BY185" s="48">
        <v>3335.6444925996198</v>
      </c>
      <c r="BZ185" s="48">
        <v>2417.4372516206608</v>
      </c>
      <c r="CA185" s="48">
        <v>151355.41637176136</v>
      </c>
      <c r="CB185" s="48">
        <v>521.47908121044895</v>
      </c>
      <c r="CC185" s="48">
        <v>0</v>
      </c>
      <c r="CD185" s="48">
        <v>7408.551997237766</v>
      </c>
      <c r="CE185" s="48">
        <v>538.14645316044846</v>
      </c>
      <c r="CF185" s="48">
        <v>83.467553609005165</v>
      </c>
      <c r="CG185" s="48">
        <v>3792.1824521361013</v>
      </c>
      <c r="CH185" s="48">
        <v>348.51200589832712</v>
      </c>
      <c r="CI185" s="48">
        <v>2.8735391403356005</v>
      </c>
      <c r="CJ185" s="48">
        <v>1.2732374351466307</v>
      </c>
      <c r="CK185" s="48">
        <v>0</v>
      </c>
      <c r="CL185" s="48">
        <v>0</v>
      </c>
      <c r="CM185" s="48">
        <v>8.0653704457400985E-2</v>
      </c>
      <c r="CN185" s="48">
        <v>0</v>
      </c>
      <c r="CO185" s="48">
        <v>0</v>
      </c>
      <c r="CP185" s="48">
        <v>0</v>
      </c>
      <c r="CQ185" s="48">
        <v>0</v>
      </c>
      <c r="CR185" s="48">
        <v>0.32959387182981115</v>
      </c>
      <c r="CS185" s="48">
        <v>411.96601892490861</v>
      </c>
      <c r="CT185" s="48">
        <v>1888.083269073366</v>
      </c>
      <c r="CU185" s="48">
        <v>1672.6716446510011</v>
      </c>
      <c r="CV185" s="48">
        <v>2133.8300170979592</v>
      </c>
      <c r="CW185" s="48">
        <v>290.23301103886058</v>
      </c>
      <c r="CX185" s="48">
        <v>3329.114105979525</v>
      </c>
      <c r="CY185" s="48">
        <v>3232.6389196271571</v>
      </c>
      <c r="CZ185" s="48">
        <v>0</v>
      </c>
      <c r="DA185" s="48">
        <v>0</v>
      </c>
      <c r="DB185" s="48">
        <v>0</v>
      </c>
      <c r="DC185" s="48">
        <v>0</v>
      </c>
      <c r="DD185" s="48">
        <v>0</v>
      </c>
      <c r="DE185" s="48">
        <v>0</v>
      </c>
      <c r="DF185" s="48">
        <v>0</v>
      </c>
      <c r="DG185" s="48">
        <v>1591.2664023781595</v>
      </c>
      <c r="DH185" s="48">
        <v>805.1702804537307</v>
      </c>
      <c r="DI185" s="48">
        <v>90.855604508203115</v>
      </c>
      <c r="DJ185" s="48">
        <v>0</v>
      </c>
      <c r="DK185" s="48">
        <v>0</v>
      </c>
      <c r="DL185" s="48">
        <v>9868.4332910742487</v>
      </c>
      <c r="DM185" s="48">
        <v>0</v>
      </c>
      <c r="DN185" s="48">
        <v>8929.3983662695045</v>
      </c>
      <c r="DO185" s="48">
        <v>0</v>
      </c>
      <c r="DP185" s="48">
        <v>0</v>
      </c>
      <c r="DQ185" s="48">
        <v>0</v>
      </c>
      <c r="DR185" s="48">
        <v>0</v>
      </c>
      <c r="DS185" s="48">
        <v>0</v>
      </c>
      <c r="DT185" s="48">
        <v>0</v>
      </c>
      <c r="DU185" s="48">
        <v>0</v>
      </c>
      <c r="DV185" s="48">
        <v>0</v>
      </c>
      <c r="DW185" s="48">
        <v>0</v>
      </c>
      <c r="DX185" s="48">
        <v>0</v>
      </c>
      <c r="DY185" s="48">
        <v>0</v>
      </c>
      <c r="DZ185" s="48">
        <v>0</v>
      </c>
      <c r="EA185" s="48">
        <v>0</v>
      </c>
      <c r="EB185" s="48">
        <v>0</v>
      </c>
      <c r="EC185" s="48">
        <v>0</v>
      </c>
      <c r="ED185" s="48">
        <v>4810.6879226989913</v>
      </c>
      <c r="EE185" s="48">
        <v>1355.1938290572164</v>
      </c>
      <c r="EF185" s="48">
        <v>4655.1283255018925</v>
      </c>
      <c r="EG185" s="48">
        <v>1633.8029061725997</v>
      </c>
      <c r="EH185" s="48">
        <v>224.20323592996922</v>
      </c>
      <c r="EI185" s="48">
        <v>0</v>
      </c>
      <c r="EJ185" s="48">
        <v>0</v>
      </c>
      <c r="EK185" s="48">
        <v>0</v>
      </c>
      <c r="EL185" s="48">
        <v>0</v>
      </c>
      <c r="EM185" s="48">
        <v>0</v>
      </c>
      <c r="EN185" s="48">
        <v>0</v>
      </c>
      <c r="EO185" s="48">
        <v>0</v>
      </c>
      <c r="EP185" s="48">
        <v>0</v>
      </c>
      <c r="EQ185" s="48">
        <v>0</v>
      </c>
      <c r="ER185" s="48">
        <v>0</v>
      </c>
      <c r="ES185" s="48">
        <v>0</v>
      </c>
      <c r="ET185" s="48">
        <v>66.509974667825958</v>
      </c>
      <c r="EU185" s="48">
        <v>1214.1147700299587</v>
      </c>
      <c r="EV185" s="48">
        <v>1078.4756250549051</v>
      </c>
      <c r="EW185" s="48">
        <v>4583.2991474799155</v>
      </c>
      <c r="EX185" s="48">
        <v>24229.178327502825</v>
      </c>
      <c r="EY185" s="48">
        <v>1635.1878062411504</v>
      </c>
      <c r="EZ185" s="48">
        <v>1658.1146474847324</v>
      </c>
      <c r="FA185" s="48">
        <v>103.04791725449071</v>
      </c>
      <c r="FB185" s="48">
        <v>77.416303580547336</v>
      </c>
      <c r="FC185" s="48">
        <v>69.907982832387901</v>
      </c>
      <c r="FD185" s="48">
        <v>0</v>
      </c>
      <c r="FE185" s="48">
        <v>0</v>
      </c>
      <c r="FF185" s="48">
        <v>0</v>
      </c>
      <c r="FG185" s="48">
        <v>0</v>
      </c>
      <c r="FH185" s="48">
        <v>0</v>
      </c>
      <c r="FI185" s="48">
        <v>0</v>
      </c>
      <c r="FJ185" s="48">
        <v>0</v>
      </c>
      <c r="FK185" s="48">
        <v>0</v>
      </c>
      <c r="FL185" s="48">
        <v>0</v>
      </c>
      <c r="FM185" s="48">
        <v>0</v>
      </c>
      <c r="FN185" s="48">
        <v>0</v>
      </c>
      <c r="FO185" s="48">
        <v>0</v>
      </c>
      <c r="FP185" s="48">
        <v>0</v>
      </c>
      <c r="FQ185" s="48">
        <v>0</v>
      </c>
      <c r="FR185" s="48">
        <v>0</v>
      </c>
      <c r="FS185" s="48">
        <v>0</v>
      </c>
      <c r="FT185" s="48">
        <v>0</v>
      </c>
      <c r="FU185" s="48">
        <v>0</v>
      </c>
      <c r="FV185" s="48">
        <v>6.2472871081285061E-2</v>
      </c>
      <c r="FW185" s="48">
        <v>3552.6915554987017</v>
      </c>
      <c r="FX185" s="48">
        <v>7316.1119107794157</v>
      </c>
      <c r="FY185" s="48">
        <v>1263.3737269328378</v>
      </c>
      <c r="FZ185" s="48">
        <v>26.583290054198535</v>
      </c>
      <c r="GA185" s="48">
        <v>261.94171878628674</v>
      </c>
      <c r="GB185" s="48">
        <v>0</v>
      </c>
      <c r="GC185" s="48">
        <v>10452.248945297713</v>
      </c>
      <c r="GD185" s="48">
        <v>0</v>
      </c>
      <c r="GE185" s="48">
        <v>0</v>
      </c>
      <c r="GF185" s="48">
        <v>0</v>
      </c>
      <c r="GG185" s="48">
        <v>3087.5119598682445</v>
      </c>
      <c r="GH185" s="48">
        <v>2732.818246880257</v>
      </c>
      <c r="GI185" s="48">
        <v>4.4413741027828273</v>
      </c>
      <c r="GJ185" s="48">
        <v>347.34156813885841</v>
      </c>
      <c r="GK185" s="48">
        <v>724.48393053901293</v>
      </c>
      <c r="GL185" s="48">
        <v>725.31751663493367</v>
      </c>
      <c r="GM185" s="48">
        <v>539.04401665616354</v>
      </c>
      <c r="GN185" s="48">
        <v>22.243956053870985</v>
      </c>
      <c r="GO185" s="48">
        <v>180.63529241082702</v>
      </c>
      <c r="GP185" s="48">
        <v>78.300459998677212</v>
      </c>
      <c r="GQ185" s="48">
        <v>581.03417711025656</v>
      </c>
      <c r="GR185" s="48">
        <v>0</v>
      </c>
      <c r="GS185" s="48">
        <v>20111.498526626274</v>
      </c>
      <c r="GT185" s="48">
        <v>564.7389647170296</v>
      </c>
      <c r="GU185" s="48">
        <v>37983.228342648639</v>
      </c>
      <c r="GV185" s="48">
        <v>214.66923836788658</v>
      </c>
      <c r="GW185" s="48">
        <v>59.146972562591287</v>
      </c>
      <c r="GX185" s="48">
        <v>3241.7158928366116</v>
      </c>
      <c r="GY185" s="48">
        <v>196.41298831870679</v>
      </c>
      <c r="GZ185" s="48">
        <v>0</v>
      </c>
      <c r="HA185" s="48">
        <v>754.47757721188236</v>
      </c>
      <c r="HB185" s="48">
        <v>0</v>
      </c>
      <c r="HC185" s="48">
        <v>0</v>
      </c>
      <c r="HD185" s="48">
        <v>0</v>
      </c>
      <c r="HE185" s="48">
        <v>0</v>
      </c>
      <c r="HF185" s="48">
        <v>0</v>
      </c>
      <c r="HG185" s="48">
        <v>0</v>
      </c>
      <c r="HH185" s="48">
        <v>0</v>
      </c>
      <c r="HI185" s="48">
        <v>0</v>
      </c>
      <c r="HJ185" s="48">
        <v>0</v>
      </c>
      <c r="HK185" s="48">
        <v>0</v>
      </c>
      <c r="HL185" s="48">
        <v>0</v>
      </c>
      <c r="HM185" s="48">
        <v>0</v>
      </c>
      <c r="HN185" s="48">
        <v>0</v>
      </c>
      <c r="HO185" s="48">
        <v>0</v>
      </c>
      <c r="HP185" s="48">
        <v>0</v>
      </c>
      <c r="HQ185" s="48">
        <v>0</v>
      </c>
      <c r="HR185" s="48">
        <v>0</v>
      </c>
      <c r="HS185" s="48">
        <v>0</v>
      </c>
      <c r="HT185" s="48">
        <v>0</v>
      </c>
      <c r="HU185" s="48">
        <v>0</v>
      </c>
      <c r="HV185" s="48">
        <v>2696.0917113489254</v>
      </c>
      <c r="HW185" s="48">
        <v>9.5721341518756309E-4</v>
      </c>
      <c r="HX185" s="48">
        <v>324.4769152714519</v>
      </c>
      <c r="HY185" s="48">
        <v>274.04683764357173</v>
      </c>
      <c r="HZ185" s="48">
        <v>407.37800056626878</v>
      </c>
      <c r="IA185" s="48">
        <v>114.82124845719746</v>
      </c>
      <c r="IB185" s="48">
        <v>6.1813060927391117</v>
      </c>
      <c r="IC185" s="48">
        <v>0</v>
      </c>
      <c r="ID185" s="48">
        <v>0</v>
      </c>
      <c r="IE185" s="48">
        <v>0</v>
      </c>
      <c r="IF185" s="48">
        <v>0</v>
      </c>
      <c r="IG185" s="48">
        <v>5029.3570374912379</v>
      </c>
      <c r="IH185" s="48">
        <v>361.46161445592435</v>
      </c>
      <c r="II185" s="48">
        <v>110.90499004877475</v>
      </c>
      <c r="IJ185" s="48">
        <v>0</v>
      </c>
      <c r="IK185" s="48">
        <v>4.3428376179623136</v>
      </c>
      <c r="IL185" s="48">
        <v>5.5787001945165038</v>
      </c>
      <c r="IM185" s="48">
        <v>6.1843795055200212</v>
      </c>
      <c r="IN185" s="48">
        <v>3.8670825050309254</v>
      </c>
      <c r="IO185" s="48">
        <v>0</v>
      </c>
      <c r="IP185" s="23">
        <v>554571.00000000081</v>
      </c>
      <c r="IQ185" s="25">
        <v>0</v>
      </c>
      <c r="IR185" s="25">
        <v>0</v>
      </c>
      <c r="IS185" s="26">
        <v>0</v>
      </c>
      <c r="IT185" s="26">
        <v>0</v>
      </c>
      <c r="IU185" s="26">
        <v>0</v>
      </c>
      <c r="IV185" s="9">
        <v>6000</v>
      </c>
      <c r="IW185" s="38">
        <f t="shared" si="13"/>
        <v>560571.00000000081</v>
      </c>
    </row>
    <row r="186" spans="1:257" ht="30" customHeight="1" x14ac:dyDescent="0.25">
      <c r="A186" s="112" t="b">
        <v>0</v>
      </c>
      <c r="B186" s="113" t="str">
        <f>IFERROR(VLOOKUP(C186,'Bridge matrix'!$D$3:$E$727,2,FALSE)='symmetric IOT 245 2012'!D186,"FALSCH")</f>
        <v>FALSCH</v>
      </c>
      <c r="C186" s="108">
        <v>175</v>
      </c>
      <c r="D186" s="49" t="s">
        <v>1493</v>
      </c>
      <c r="E186" s="48">
        <v>0</v>
      </c>
      <c r="F186" s="48">
        <v>0</v>
      </c>
      <c r="G186" s="48">
        <v>0</v>
      </c>
      <c r="H186" s="48">
        <v>0</v>
      </c>
      <c r="I186" s="48">
        <v>0</v>
      </c>
      <c r="J186" s="48">
        <v>0</v>
      </c>
      <c r="K186" s="48">
        <v>0</v>
      </c>
      <c r="L186" s="48">
        <v>0</v>
      </c>
      <c r="M186" s="48">
        <v>0</v>
      </c>
      <c r="N186" s="48">
        <v>0</v>
      </c>
      <c r="O186" s="48">
        <v>0</v>
      </c>
      <c r="P186" s="48">
        <v>0</v>
      </c>
      <c r="Q186" s="48">
        <v>0</v>
      </c>
      <c r="R186" s="48">
        <v>0</v>
      </c>
      <c r="S186" s="48">
        <v>0</v>
      </c>
      <c r="T186" s="48">
        <v>0</v>
      </c>
      <c r="U186" s="48">
        <v>0</v>
      </c>
      <c r="V186" s="48">
        <v>0</v>
      </c>
      <c r="W186" s="48">
        <v>0</v>
      </c>
      <c r="X186" s="48">
        <v>0</v>
      </c>
      <c r="Y186" s="48">
        <v>0</v>
      </c>
      <c r="Z186" s="48">
        <v>0</v>
      </c>
      <c r="AA186" s="48">
        <v>0</v>
      </c>
      <c r="AB186" s="48">
        <v>0</v>
      </c>
      <c r="AC186" s="48">
        <v>0</v>
      </c>
      <c r="AD186" s="48">
        <v>0</v>
      </c>
      <c r="AE186" s="48">
        <v>0</v>
      </c>
      <c r="AF186" s="48">
        <v>0</v>
      </c>
      <c r="AG186" s="48">
        <v>0</v>
      </c>
      <c r="AH186" s="48">
        <v>0</v>
      </c>
      <c r="AI186" s="48">
        <v>0</v>
      </c>
      <c r="AJ186" s="48">
        <v>0</v>
      </c>
      <c r="AK186" s="48">
        <v>0</v>
      </c>
      <c r="AL186" s="48">
        <v>0</v>
      </c>
      <c r="AM186" s="48">
        <v>0</v>
      </c>
      <c r="AN186" s="48">
        <v>0</v>
      </c>
      <c r="AO186" s="48">
        <v>0</v>
      </c>
      <c r="AP186" s="48">
        <v>0</v>
      </c>
      <c r="AQ186" s="48">
        <v>0</v>
      </c>
      <c r="AR186" s="48">
        <v>0</v>
      </c>
      <c r="AS186" s="48">
        <v>0</v>
      </c>
      <c r="AT186" s="48">
        <v>0</v>
      </c>
      <c r="AU186" s="48">
        <v>0</v>
      </c>
      <c r="AV186" s="48">
        <v>0</v>
      </c>
      <c r="AW186" s="48">
        <v>0</v>
      </c>
      <c r="AX186" s="48">
        <v>0</v>
      </c>
      <c r="AY186" s="48">
        <v>0</v>
      </c>
      <c r="AZ186" s="48">
        <v>0</v>
      </c>
      <c r="BA186" s="48">
        <v>0</v>
      </c>
      <c r="BB186" s="48">
        <v>0</v>
      </c>
      <c r="BC186" s="48">
        <v>0</v>
      </c>
      <c r="BD186" s="48">
        <v>0</v>
      </c>
      <c r="BE186" s="48">
        <v>0</v>
      </c>
      <c r="BF186" s="48">
        <v>0</v>
      </c>
      <c r="BG186" s="48">
        <v>0</v>
      </c>
      <c r="BH186" s="48">
        <v>0</v>
      </c>
      <c r="BI186" s="48">
        <v>0</v>
      </c>
      <c r="BJ186" s="48">
        <v>0</v>
      </c>
      <c r="BK186" s="48">
        <v>0</v>
      </c>
      <c r="BL186" s="48">
        <v>0</v>
      </c>
      <c r="BM186" s="48">
        <v>0</v>
      </c>
      <c r="BN186" s="48">
        <v>0</v>
      </c>
      <c r="BO186" s="48">
        <v>0</v>
      </c>
      <c r="BP186" s="48">
        <v>0</v>
      </c>
      <c r="BQ186" s="48">
        <v>0</v>
      </c>
      <c r="BR186" s="48">
        <v>0</v>
      </c>
      <c r="BS186" s="48">
        <v>0</v>
      </c>
      <c r="BT186" s="48">
        <v>0</v>
      </c>
      <c r="BU186" s="48">
        <v>0</v>
      </c>
      <c r="BV186" s="48">
        <v>0</v>
      </c>
      <c r="BW186" s="48">
        <v>0</v>
      </c>
      <c r="BX186" s="48">
        <v>0</v>
      </c>
      <c r="BY186" s="48">
        <v>0</v>
      </c>
      <c r="BZ186" s="48">
        <v>0</v>
      </c>
      <c r="CA186" s="48">
        <v>64661.881466594496</v>
      </c>
      <c r="CB186" s="48">
        <v>221.78684725335904</v>
      </c>
      <c r="CC186" s="48">
        <v>0</v>
      </c>
      <c r="CD186" s="48">
        <v>0</v>
      </c>
      <c r="CE186" s="48">
        <v>0</v>
      </c>
      <c r="CF186" s="48">
        <v>0</v>
      </c>
      <c r="CG186" s="48">
        <v>0</v>
      </c>
      <c r="CH186" s="48">
        <v>0</v>
      </c>
      <c r="CI186" s="48">
        <v>1.8255194711524206E-4</v>
      </c>
      <c r="CJ186" s="48">
        <v>0</v>
      </c>
      <c r="CK186" s="48">
        <v>0</v>
      </c>
      <c r="CL186" s="48">
        <v>7.9743966379761013E-4</v>
      </c>
      <c r="CM186" s="48">
        <v>0</v>
      </c>
      <c r="CN186" s="48">
        <v>1.1858090111807787E-3</v>
      </c>
      <c r="CO186" s="48">
        <v>0</v>
      </c>
      <c r="CP186" s="48">
        <v>0</v>
      </c>
      <c r="CQ186" s="48">
        <v>0</v>
      </c>
      <c r="CR186" s="48">
        <v>0</v>
      </c>
      <c r="CS186" s="48">
        <v>0</v>
      </c>
      <c r="CT186" s="48">
        <v>1.5873657630111205E-6</v>
      </c>
      <c r="CU186" s="48">
        <v>0</v>
      </c>
      <c r="CV186" s="48">
        <v>0.12468024005616385</v>
      </c>
      <c r="CW186" s="48">
        <v>0</v>
      </c>
      <c r="CX186" s="48">
        <v>1.4774921519874807E-7</v>
      </c>
      <c r="CY186" s="48">
        <v>0.64606067920711907</v>
      </c>
      <c r="CZ186" s="48">
        <v>4.8132826423868048E-2</v>
      </c>
      <c r="DA186" s="48">
        <v>0</v>
      </c>
      <c r="DB186" s="48">
        <v>0</v>
      </c>
      <c r="DC186" s="48">
        <v>7.10899642759944E-7</v>
      </c>
      <c r="DD186" s="48">
        <v>0.20603779479951809</v>
      </c>
      <c r="DE186" s="48">
        <v>0</v>
      </c>
      <c r="DF186" s="48">
        <v>5206.5289166786642</v>
      </c>
      <c r="DG186" s="48">
        <v>0</v>
      </c>
      <c r="DH186" s="48">
        <v>0</v>
      </c>
      <c r="DI186" s="48">
        <v>1.3161514535650807</v>
      </c>
      <c r="DJ186" s="48">
        <v>0</v>
      </c>
      <c r="DK186" s="48">
        <v>0.90362324043691622</v>
      </c>
      <c r="DL186" s="48">
        <v>0</v>
      </c>
      <c r="DM186" s="48">
        <v>0</v>
      </c>
      <c r="DN186" s="48">
        <v>0</v>
      </c>
      <c r="DO186" s="48">
        <v>0</v>
      </c>
      <c r="DP186" s="48">
        <v>98.177420210893558</v>
      </c>
      <c r="DQ186" s="48">
        <v>171.52371792499105</v>
      </c>
      <c r="DR186" s="48">
        <v>130.77155554597789</v>
      </c>
      <c r="DS186" s="48">
        <v>0</v>
      </c>
      <c r="DT186" s="48">
        <v>0</v>
      </c>
      <c r="DU186" s="48">
        <v>0</v>
      </c>
      <c r="DV186" s="48">
        <v>0</v>
      </c>
      <c r="DW186" s="48">
        <v>0</v>
      </c>
      <c r="DX186" s="48">
        <v>0</v>
      </c>
      <c r="DY186" s="48">
        <v>2.8735408961782377E-8</v>
      </c>
      <c r="DZ186" s="48">
        <v>0</v>
      </c>
      <c r="EA186" s="48">
        <v>0</v>
      </c>
      <c r="EB186" s="48">
        <v>8.6774323333293157E-2</v>
      </c>
      <c r="EC186" s="48">
        <v>2.5097134825586443E-3</v>
      </c>
      <c r="ED186" s="48">
        <v>0</v>
      </c>
      <c r="EE186" s="48">
        <v>0</v>
      </c>
      <c r="EF186" s="48">
        <v>0</v>
      </c>
      <c r="EG186" s="48">
        <v>0</v>
      </c>
      <c r="EH186" s="48">
        <v>0</v>
      </c>
      <c r="EI186" s="48">
        <v>32.060369332441283</v>
      </c>
      <c r="EJ186" s="48">
        <v>30.112343776828261</v>
      </c>
      <c r="EK186" s="48">
        <v>11.643417565784791</v>
      </c>
      <c r="EL186" s="48">
        <v>0</v>
      </c>
      <c r="EM186" s="48">
        <v>0</v>
      </c>
      <c r="EN186" s="48">
        <v>0</v>
      </c>
      <c r="EO186" s="48">
        <v>0</v>
      </c>
      <c r="EP186" s="48">
        <v>0</v>
      </c>
      <c r="EQ186" s="48">
        <v>0</v>
      </c>
      <c r="ER186" s="48">
        <v>2.1654946747364846E-3</v>
      </c>
      <c r="ES186" s="48">
        <v>0</v>
      </c>
      <c r="ET186" s="48">
        <v>0</v>
      </c>
      <c r="EU186" s="48">
        <v>0</v>
      </c>
      <c r="EV186" s="48">
        <v>0</v>
      </c>
      <c r="EW186" s="48">
        <v>0</v>
      </c>
      <c r="EX186" s="48">
        <v>3180.4478673103545</v>
      </c>
      <c r="EY186" s="48">
        <v>231.99377506718307</v>
      </c>
      <c r="EZ186" s="48">
        <v>217.44397085550688</v>
      </c>
      <c r="FA186" s="48">
        <v>5.2514867185550382E-7</v>
      </c>
      <c r="FB186" s="48">
        <v>1.4397292253992784E-8</v>
      </c>
      <c r="FC186" s="48">
        <v>0</v>
      </c>
      <c r="FD186" s="48">
        <v>0</v>
      </c>
      <c r="FE186" s="48">
        <v>0</v>
      </c>
      <c r="FF186" s="48">
        <v>0</v>
      </c>
      <c r="FG186" s="48">
        <v>0</v>
      </c>
      <c r="FH186" s="48">
        <v>1.0248615565251674E-4</v>
      </c>
      <c r="FI186" s="48">
        <v>9.1747010835558892E-5</v>
      </c>
      <c r="FJ186" s="48">
        <v>0</v>
      </c>
      <c r="FK186" s="48">
        <v>0</v>
      </c>
      <c r="FL186" s="48">
        <v>0</v>
      </c>
      <c r="FM186" s="48">
        <v>2.8693878498249406E-3</v>
      </c>
      <c r="FN186" s="48">
        <v>0</v>
      </c>
      <c r="FO186" s="48">
        <v>0</v>
      </c>
      <c r="FP186" s="48">
        <v>0.12259044636822675</v>
      </c>
      <c r="FQ186" s="48">
        <v>2.8006005387583167E-2</v>
      </c>
      <c r="FR186" s="48">
        <v>0</v>
      </c>
      <c r="FS186" s="48">
        <v>0</v>
      </c>
      <c r="FT186" s="48">
        <v>0</v>
      </c>
      <c r="FU186" s="48">
        <v>0</v>
      </c>
      <c r="FV186" s="48">
        <v>9.4565715105034322E-8</v>
      </c>
      <c r="FW186" s="48">
        <v>0</v>
      </c>
      <c r="FX186" s="48">
        <v>754447.13577440113</v>
      </c>
      <c r="FY186" s="48">
        <v>0</v>
      </c>
      <c r="FZ186" s="48">
        <v>0</v>
      </c>
      <c r="GA186" s="48">
        <v>0</v>
      </c>
      <c r="GB186" s="48">
        <v>0</v>
      </c>
      <c r="GC186" s="48">
        <v>0</v>
      </c>
      <c r="GD186" s="48">
        <v>0</v>
      </c>
      <c r="GE186" s="48">
        <v>0</v>
      </c>
      <c r="GF186" s="48">
        <v>0</v>
      </c>
      <c r="GG186" s="48">
        <v>0</v>
      </c>
      <c r="GH186" s="48">
        <v>0</v>
      </c>
      <c r="GI186" s="48">
        <v>0</v>
      </c>
      <c r="GJ186" s="48">
        <v>0</v>
      </c>
      <c r="GK186" s="48">
        <v>0</v>
      </c>
      <c r="GL186" s="48">
        <v>0</v>
      </c>
      <c r="GM186" s="48">
        <v>0</v>
      </c>
      <c r="GN186" s="48">
        <v>0</v>
      </c>
      <c r="GO186" s="48">
        <v>0</v>
      </c>
      <c r="GP186" s="48">
        <v>0</v>
      </c>
      <c r="GQ186" s="48">
        <v>0</v>
      </c>
      <c r="GR186" s="48">
        <v>0</v>
      </c>
      <c r="GS186" s="48">
        <v>0</v>
      </c>
      <c r="GT186" s="48">
        <v>0</v>
      </c>
      <c r="GU186" s="48">
        <v>0</v>
      </c>
      <c r="GV186" s="48">
        <v>0</v>
      </c>
      <c r="GW186" s="48">
        <v>0</v>
      </c>
      <c r="GX186" s="48">
        <v>0</v>
      </c>
      <c r="GY186" s="48">
        <v>0</v>
      </c>
      <c r="GZ186" s="48">
        <v>0</v>
      </c>
      <c r="HA186" s="48">
        <v>0</v>
      </c>
      <c r="HB186" s="48">
        <v>0</v>
      </c>
      <c r="HC186" s="48">
        <v>0</v>
      </c>
      <c r="HD186" s="48">
        <v>0</v>
      </c>
      <c r="HE186" s="48">
        <v>0</v>
      </c>
      <c r="HF186" s="48">
        <v>0</v>
      </c>
      <c r="HG186" s="48">
        <v>0</v>
      </c>
      <c r="HH186" s="48">
        <v>0</v>
      </c>
      <c r="HI186" s="48">
        <v>0</v>
      </c>
      <c r="HJ186" s="48">
        <v>0</v>
      </c>
      <c r="HK186" s="48">
        <v>0</v>
      </c>
      <c r="HL186" s="48">
        <v>0</v>
      </c>
      <c r="HM186" s="48">
        <v>0</v>
      </c>
      <c r="HN186" s="48">
        <v>0</v>
      </c>
      <c r="HO186" s="48">
        <v>0</v>
      </c>
      <c r="HP186" s="48">
        <v>0</v>
      </c>
      <c r="HQ186" s="48">
        <v>0</v>
      </c>
      <c r="HR186" s="48">
        <v>0</v>
      </c>
      <c r="HS186" s="48">
        <v>0</v>
      </c>
      <c r="HT186" s="48">
        <v>0</v>
      </c>
      <c r="HU186" s="48">
        <v>0</v>
      </c>
      <c r="HV186" s="48">
        <v>0</v>
      </c>
      <c r="HW186" s="48">
        <v>0</v>
      </c>
      <c r="HX186" s="48">
        <v>0</v>
      </c>
      <c r="HY186" s="48">
        <v>0</v>
      </c>
      <c r="HZ186" s="48">
        <v>0</v>
      </c>
      <c r="IA186" s="48">
        <v>0</v>
      </c>
      <c r="IB186" s="48">
        <v>0</v>
      </c>
      <c r="IC186" s="48">
        <v>0</v>
      </c>
      <c r="ID186" s="48">
        <v>0</v>
      </c>
      <c r="IE186" s="48">
        <v>0</v>
      </c>
      <c r="IF186" s="48">
        <v>0</v>
      </c>
      <c r="IG186" s="48">
        <v>0</v>
      </c>
      <c r="IH186" s="48">
        <v>0</v>
      </c>
      <c r="II186" s="48">
        <v>0</v>
      </c>
      <c r="IJ186" s="48">
        <v>0</v>
      </c>
      <c r="IK186" s="48">
        <v>5.9273227020525802E-4</v>
      </c>
      <c r="IL186" s="48">
        <v>0</v>
      </c>
      <c r="IM186" s="48">
        <v>0</v>
      </c>
      <c r="IN186" s="48">
        <v>0</v>
      </c>
      <c r="IO186" s="48">
        <v>0</v>
      </c>
      <c r="IP186" s="23">
        <v>828644.99999999802</v>
      </c>
      <c r="IQ186" s="25">
        <v>0</v>
      </c>
      <c r="IR186" s="25">
        <v>0</v>
      </c>
      <c r="IS186" s="26">
        <v>0</v>
      </c>
      <c r="IT186" s="26">
        <v>0</v>
      </c>
      <c r="IU186" s="26">
        <v>0</v>
      </c>
      <c r="IV186" s="9">
        <v>6952</v>
      </c>
      <c r="IW186" s="38">
        <f t="shared" si="13"/>
        <v>835596.99999999802</v>
      </c>
    </row>
    <row r="187" spans="1:257" ht="30" customHeight="1" x14ac:dyDescent="0.25">
      <c r="A187" s="112" t="b">
        <v>0</v>
      </c>
      <c r="B187" s="113" t="b">
        <f>IFERROR(VLOOKUP(C187,'Bridge matrix'!$D$3:$E$727,2,FALSE)='symmetric IOT 245 2012'!D187,"FALSCH")</f>
        <v>1</v>
      </c>
      <c r="C187" s="108">
        <v>176</v>
      </c>
      <c r="D187" s="49" t="s">
        <v>1494</v>
      </c>
      <c r="E187" s="48">
        <v>4242.6293342500458</v>
      </c>
      <c r="F187" s="48">
        <v>526.32870275335438</v>
      </c>
      <c r="G187" s="48">
        <v>844.94391609782281</v>
      </c>
      <c r="H187" s="48">
        <v>5.9216912797661463</v>
      </c>
      <c r="I187" s="48">
        <v>58.138694736559707</v>
      </c>
      <c r="J187" s="48">
        <v>207.94242137368255</v>
      </c>
      <c r="K187" s="48">
        <v>460.29867325737592</v>
      </c>
      <c r="L187" s="48">
        <v>15.776962488764166</v>
      </c>
      <c r="M187" s="48">
        <v>0.99074179354513781</v>
      </c>
      <c r="N187" s="48">
        <v>2.9937656060400482</v>
      </c>
      <c r="O187" s="48">
        <v>3036.1303486406732</v>
      </c>
      <c r="P187" s="48">
        <v>442.73034827086411</v>
      </c>
      <c r="Q187" s="48">
        <v>41.137626398838883</v>
      </c>
      <c r="R187" s="48">
        <v>2203.2107992703213</v>
      </c>
      <c r="S187" s="48">
        <v>8.0409706049941772</v>
      </c>
      <c r="T187" s="48">
        <v>303.76003873318768</v>
      </c>
      <c r="U187" s="48">
        <v>37.866264130215527</v>
      </c>
      <c r="V187" s="48">
        <v>82.462032955081099</v>
      </c>
      <c r="W187" s="48">
        <v>127.06750827019511</v>
      </c>
      <c r="X187" s="48">
        <v>1.9524900353645909</v>
      </c>
      <c r="Y187" s="48">
        <v>57.245349610969072</v>
      </c>
      <c r="Z187" s="48">
        <v>154.2749044559844</v>
      </c>
      <c r="AA187" s="48">
        <v>10.653656144567588</v>
      </c>
      <c r="AB187" s="48">
        <v>9.6849130572721815</v>
      </c>
      <c r="AC187" s="48">
        <v>2.9223449047498411</v>
      </c>
      <c r="AD187" s="48">
        <v>37.843755131089964</v>
      </c>
      <c r="AE187" s="48">
        <v>56.319122027902367</v>
      </c>
      <c r="AF187" s="48">
        <v>27.185607892111673</v>
      </c>
      <c r="AG187" s="48">
        <v>61.196294855432868</v>
      </c>
      <c r="AH187" s="48">
        <v>104.77398835728808</v>
      </c>
      <c r="AI187" s="48">
        <v>89.272036333027771</v>
      </c>
      <c r="AJ187" s="48">
        <v>57.267961936345138</v>
      </c>
      <c r="AK187" s="48">
        <v>165.77041730685488</v>
      </c>
      <c r="AL187" s="48">
        <v>55.302073792276389</v>
      </c>
      <c r="AM187" s="48">
        <v>4.8396661323101382</v>
      </c>
      <c r="AN187" s="48">
        <v>60.163002059193204</v>
      </c>
      <c r="AO187" s="48">
        <v>38.822587535239144</v>
      </c>
      <c r="AP187" s="48">
        <v>143.67229660584121</v>
      </c>
      <c r="AQ187" s="48">
        <v>57.236695774492205</v>
      </c>
      <c r="AR187" s="48">
        <v>93.150991032703473</v>
      </c>
      <c r="AS187" s="48">
        <v>81.87637409642555</v>
      </c>
      <c r="AT187" s="48">
        <v>1329.1972170248655</v>
      </c>
      <c r="AU187" s="48">
        <v>169.60792877128688</v>
      </c>
      <c r="AV187" s="48">
        <v>80.299315132124988</v>
      </c>
      <c r="AW187" s="48">
        <v>50.45487765379405</v>
      </c>
      <c r="AX187" s="48">
        <v>2673.6464428601198</v>
      </c>
      <c r="AY187" s="48">
        <v>440.10726770413731</v>
      </c>
      <c r="AZ187" s="48">
        <v>69.108112320227704</v>
      </c>
      <c r="BA187" s="48">
        <v>126.03606074852249</v>
      </c>
      <c r="BB187" s="48">
        <v>2778.5978489832264</v>
      </c>
      <c r="BC187" s="48">
        <v>462.75249196561037</v>
      </c>
      <c r="BD187" s="48">
        <v>1122.4778639380622</v>
      </c>
      <c r="BE187" s="48">
        <v>16632.618391941662</v>
      </c>
      <c r="BF187" s="48">
        <v>538.90061975576373</v>
      </c>
      <c r="BG187" s="48">
        <v>36.297290568943872</v>
      </c>
      <c r="BH187" s="48">
        <v>3360.6764330074502</v>
      </c>
      <c r="BI187" s="48">
        <v>407.97126187192259</v>
      </c>
      <c r="BJ187" s="48">
        <v>2591.4253731318809</v>
      </c>
      <c r="BK187" s="48">
        <v>514.39753022019363</v>
      </c>
      <c r="BL187" s="48">
        <v>5.1924146538227243</v>
      </c>
      <c r="BM187" s="48">
        <v>1479.5576724457337</v>
      </c>
      <c r="BN187" s="48">
        <v>129.03372133239793</v>
      </c>
      <c r="BO187" s="48">
        <v>0</v>
      </c>
      <c r="BP187" s="48">
        <v>56.632419774083658</v>
      </c>
      <c r="BQ187" s="48">
        <v>7.4691642296403673</v>
      </c>
      <c r="BR187" s="48">
        <v>0</v>
      </c>
      <c r="BS187" s="48">
        <v>0.92925204057020228</v>
      </c>
      <c r="BT187" s="48">
        <v>222.95536981264851</v>
      </c>
      <c r="BU187" s="48">
        <v>1268.5702674723423</v>
      </c>
      <c r="BV187" s="48">
        <v>772.29464631034273</v>
      </c>
      <c r="BW187" s="48">
        <v>395.21963665506661</v>
      </c>
      <c r="BX187" s="48">
        <v>35.536288554253368</v>
      </c>
      <c r="BY187" s="48">
        <v>1237.1404484247403</v>
      </c>
      <c r="BZ187" s="48">
        <v>896.63708133348996</v>
      </c>
      <c r="CA187" s="48">
        <v>17090.594811729359</v>
      </c>
      <c r="CB187" s="48">
        <v>75.984001520485023</v>
      </c>
      <c r="CC187" s="48">
        <v>3856.199288966312</v>
      </c>
      <c r="CD187" s="48">
        <v>2634.3065292499514</v>
      </c>
      <c r="CE187" s="48">
        <v>191.55418030359129</v>
      </c>
      <c r="CF187" s="48">
        <v>29.390258453356527</v>
      </c>
      <c r="CG187" s="48">
        <v>2063.9101842119362</v>
      </c>
      <c r="CH187" s="48">
        <v>189.31956364871471</v>
      </c>
      <c r="CI187" s="48">
        <v>6560.4024205703463</v>
      </c>
      <c r="CJ187" s="48">
        <v>5908.2619046823766</v>
      </c>
      <c r="CK187" s="48">
        <v>546.34123129089267</v>
      </c>
      <c r="CL187" s="48">
        <v>2839.8641003289272</v>
      </c>
      <c r="CM187" s="48">
        <v>2323.3424299064845</v>
      </c>
      <c r="CN187" s="48">
        <v>9018.9041247277382</v>
      </c>
      <c r="CO187" s="48">
        <v>3140.3568318831326</v>
      </c>
      <c r="CP187" s="48">
        <v>307.19876729135586</v>
      </c>
      <c r="CQ187" s="48">
        <v>1197.0227589119379</v>
      </c>
      <c r="CR187" s="48">
        <v>2692.4662549539908</v>
      </c>
      <c r="CS187" s="48">
        <v>288.6589807861364</v>
      </c>
      <c r="CT187" s="48">
        <v>1360.2889124177318</v>
      </c>
      <c r="CU187" s="48">
        <v>1107.1674962152142</v>
      </c>
      <c r="CV187" s="48">
        <v>1349.4640356614891</v>
      </c>
      <c r="CW187" s="48">
        <v>198.22127804716976</v>
      </c>
      <c r="CX187" s="48">
        <v>1292.9270138966258</v>
      </c>
      <c r="CY187" s="48">
        <v>1122.3078759315038</v>
      </c>
      <c r="CZ187" s="48">
        <v>500.81216182166816</v>
      </c>
      <c r="DA187" s="48">
        <v>1533.1845168516109</v>
      </c>
      <c r="DB187" s="48">
        <v>124.16354514979795</v>
      </c>
      <c r="DC187" s="48">
        <v>6.8588282117293655</v>
      </c>
      <c r="DD187" s="48">
        <v>1705.3074247768654</v>
      </c>
      <c r="DE187" s="48">
        <v>646.33148970103935</v>
      </c>
      <c r="DF187" s="48">
        <v>1506.8921739272114</v>
      </c>
      <c r="DG187" s="48">
        <v>527.68017107470359</v>
      </c>
      <c r="DH187" s="48">
        <v>268.54871127158361</v>
      </c>
      <c r="DI187" s="48">
        <v>0</v>
      </c>
      <c r="DJ187" s="48">
        <v>702.86132900439702</v>
      </c>
      <c r="DK187" s="48">
        <v>1543.3069942219561</v>
      </c>
      <c r="DL187" s="48">
        <v>8379.4053530137389</v>
      </c>
      <c r="DM187" s="48">
        <v>2727.5856482141535</v>
      </c>
      <c r="DN187" s="48">
        <v>1517.0994626490403</v>
      </c>
      <c r="DO187" s="48">
        <v>35.573165234426654</v>
      </c>
      <c r="DP187" s="48">
        <v>2834.6898255540887</v>
      </c>
      <c r="DQ187" s="48">
        <v>4927.4988339155752</v>
      </c>
      <c r="DR187" s="48">
        <v>3736.9238400174986</v>
      </c>
      <c r="DS187" s="48">
        <v>2817.6854051860605</v>
      </c>
      <c r="DT187" s="48">
        <v>253.13157062659695</v>
      </c>
      <c r="DU187" s="48">
        <v>126.29092021985444</v>
      </c>
      <c r="DV187" s="48">
        <v>1870.9986605669451</v>
      </c>
      <c r="DW187" s="48">
        <v>3829.6990663271172</v>
      </c>
      <c r="DX187" s="48">
        <v>1907.1929252011371</v>
      </c>
      <c r="DY187" s="48">
        <v>270.93401690947911</v>
      </c>
      <c r="DZ187" s="48">
        <v>241.07737404216613</v>
      </c>
      <c r="EA187" s="48">
        <v>2952.976574031688</v>
      </c>
      <c r="EB187" s="48">
        <v>1976.5680963862153</v>
      </c>
      <c r="EC187" s="48">
        <v>8585.3624024751825</v>
      </c>
      <c r="ED187" s="48">
        <v>1149.4794638301053</v>
      </c>
      <c r="EE187" s="48">
        <v>323.45600247965052</v>
      </c>
      <c r="EF187" s="48">
        <v>1112.3458326389755</v>
      </c>
      <c r="EG187" s="48">
        <v>390.44834461472033</v>
      </c>
      <c r="EH187" s="48">
        <v>53.866472620960963</v>
      </c>
      <c r="EI187" s="48">
        <v>1318.8931346655411</v>
      </c>
      <c r="EJ187" s="48">
        <v>1301.7040394824601</v>
      </c>
      <c r="EK187" s="48">
        <v>521.30180880313014</v>
      </c>
      <c r="EL187" s="48">
        <v>524.17888825113141</v>
      </c>
      <c r="EM187" s="48">
        <v>1243.1378795886421</v>
      </c>
      <c r="EN187" s="48">
        <v>1229.5457848648864</v>
      </c>
      <c r="EO187" s="48">
        <v>165.11602666651717</v>
      </c>
      <c r="EP187" s="48">
        <v>368.10347077158701</v>
      </c>
      <c r="EQ187" s="48">
        <v>384.63960812031718</v>
      </c>
      <c r="ER187" s="48">
        <v>1221.7673516743</v>
      </c>
      <c r="ES187" s="48">
        <v>140.63130747035393</v>
      </c>
      <c r="ET187" s="48">
        <v>9760.4282330431415</v>
      </c>
      <c r="EU187" s="48">
        <v>1183.1996374286625</v>
      </c>
      <c r="EV187" s="48">
        <v>1052.1891977472203</v>
      </c>
      <c r="EW187" s="48">
        <v>4464.0996791151374</v>
      </c>
      <c r="EX187" s="48">
        <v>23431.507988142435</v>
      </c>
      <c r="EY187" s="48">
        <v>1585.7190660157664</v>
      </c>
      <c r="EZ187" s="48">
        <v>1617.9199063836077</v>
      </c>
      <c r="FA187" s="48">
        <v>2988.9171229283443</v>
      </c>
      <c r="FB187" s="48">
        <v>2331.2713896371906</v>
      </c>
      <c r="FC187" s="48">
        <v>2110.191441650617</v>
      </c>
      <c r="FD187" s="48">
        <v>3451.1702317439635</v>
      </c>
      <c r="FE187" s="48">
        <v>401.96905307407735</v>
      </c>
      <c r="FF187" s="48">
        <v>18.663511454746075</v>
      </c>
      <c r="FG187" s="48">
        <v>2126.0612240616674</v>
      </c>
      <c r="FH187" s="48">
        <v>1464.5344629946899</v>
      </c>
      <c r="FI187" s="48">
        <v>538.65298225761785</v>
      </c>
      <c r="FJ187" s="48">
        <v>961.60873983788952</v>
      </c>
      <c r="FK187" s="48">
        <v>290.89667365168134</v>
      </c>
      <c r="FL187" s="48">
        <v>10.166344536919368</v>
      </c>
      <c r="FM187" s="48">
        <v>928.43727385650095</v>
      </c>
      <c r="FN187" s="48">
        <v>226.3110157479594</v>
      </c>
      <c r="FO187" s="48">
        <v>130.52881710579871</v>
      </c>
      <c r="FP187" s="48">
        <v>7917.1678280535762</v>
      </c>
      <c r="FQ187" s="48">
        <v>240.50369578457392</v>
      </c>
      <c r="FR187" s="48">
        <v>3002.3784834404264</v>
      </c>
      <c r="FS187" s="48">
        <v>1372.5512493581325</v>
      </c>
      <c r="FT187" s="48">
        <v>352.6770203422663</v>
      </c>
      <c r="FU187" s="48">
        <v>2663.6491523803475</v>
      </c>
      <c r="FV187" s="48">
        <v>9918.24501877488</v>
      </c>
      <c r="FW187" s="48">
        <v>50677.187074618079</v>
      </c>
      <c r="FX187" s="48">
        <v>54221.918045157894</v>
      </c>
      <c r="FY187" s="48">
        <v>2775.7137568738895</v>
      </c>
      <c r="FZ187" s="48">
        <v>69.586612457680573</v>
      </c>
      <c r="GA187" s="48">
        <v>1206.2118440418571</v>
      </c>
      <c r="GB187" s="48">
        <v>17049.021000715744</v>
      </c>
      <c r="GC187" s="48">
        <v>93225.380932919492</v>
      </c>
      <c r="GD187" s="48">
        <v>715.04693964707803</v>
      </c>
      <c r="GE187" s="48">
        <v>11890.853054162759</v>
      </c>
      <c r="GF187" s="48">
        <v>16095.577466636558</v>
      </c>
      <c r="GG187" s="48">
        <v>12200.252077751904</v>
      </c>
      <c r="GH187" s="48">
        <v>10707.29284572809</v>
      </c>
      <c r="GI187" s="48">
        <v>19.209738961138047</v>
      </c>
      <c r="GJ187" s="48">
        <v>1373.2113883495897</v>
      </c>
      <c r="GK187" s="48">
        <v>2862.3221833684793</v>
      </c>
      <c r="GL187" s="48">
        <v>2864.1184267762442</v>
      </c>
      <c r="GM187" s="48">
        <v>2110.1937981756787</v>
      </c>
      <c r="GN187" s="48">
        <v>86.044712244241509</v>
      </c>
      <c r="GO187" s="48">
        <v>708.80930199061879</v>
      </c>
      <c r="GP187" s="48">
        <v>309.78837158182466</v>
      </c>
      <c r="GQ187" s="48">
        <v>2296.110167558822</v>
      </c>
      <c r="GR187" s="48">
        <v>683.99672973400152</v>
      </c>
      <c r="GS187" s="48">
        <v>87186.895943945827</v>
      </c>
      <c r="GT187" s="48">
        <v>337.8209916303698</v>
      </c>
      <c r="GU187" s="48">
        <v>19697.590772734802</v>
      </c>
      <c r="GV187" s="48">
        <v>112.48089418664632</v>
      </c>
      <c r="GW187" s="48">
        <v>29.66773898930451</v>
      </c>
      <c r="GX187" s="48">
        <v>1631.5061073863178</v>
      </c>
      <c r="GY187" s="48">
        <v>92.883432062270828</v>
      </c>
      <c r="GZ187" s="48">
        <v>144.78194461477247</v>
      </c>
      <c r="HA187" s="48">
        <v>1415.4489990532802</v>
      </c>
      <c r="HB187" s="48">
        <v>1672.9257822863181</v>
      </c>
      <c r="HC187" s="48">
        <v>3774.4035210452257</v>
      </c>
      <c r="HD187" s="48">
        <v>1276.2370705340866</v>
      </c>
      <c r="HE187" s="48">
        <v>327.73801707860446</v>
      </c>
      <c r="HF187" s="48">
        <v>1660.597707920834</v>
      </c>
      <c r="HG187" s="48">
        <v>1586.6710820086748</v>
      </c>
      <c r="HH187" s="48">
        <v>2987.5169100489338</v>
      </c>
      <c r="HI187" s="48">
        <v>4359.4096878677556</v>
      </c>
      <c r="HJ187" s="48">
        <v>4958.5335552026418</v>
      </c>
      <c r="HK187" s="48">
        <v>234.68824493622864</v>
      </c>
      <c r="HL187" s="48">
        <v>373.28163213479667</v>
      </c>
      <c r="HM187" s="48">
        <v>1710.9321608692421</v>
      </c>
      <c r="HN187" s="48">
        <v>500.93691528047555</v>
      </c>
      <c r="HO187" s="48">
        <v>2108.3234335576485</v>
      </c>
      <c r="HP187" s="48">
        <v>3614.1076555196837</v>
      </c>
      <c r="HQ187" s="48">
        <v>564.05621395476669</v>
      </c>
      <c r="HR187" s="48">
        <v>1202.8581787245937</v>
      </c>
      <c r="HS187" s="48">
        <v>2019.5914180892844</v>
      </c>
      <c r="HT187" s="48">
        <v>1236.5728904078367</v>
      </c>
      <c r="HU187" s="48">
        <v>1635.9712407366171</v>
      </c>
      <c r="HV187" s="48">
        <v>55587.807720749443</v>
      </c>
      <c r="HW187" s="48">
        <v>741.99279750760491</v>
      </c>
      <c r="HX187" s="48">
        <v>571.80809791377317</v>
      </c>
      <c r="HY187" s="48">
        <v>484.64697112086054</v>
      </c>
      <c r="HZ187" s="48">
        <v>717.67940316501733</v>
      </c>
      <c r="IA187" s="48">
        <v>203.09265831787815</v>
      </c>
      <c r="IB187" s="48">
        <v>9.9989555239336081</v>
      </c>
      <c r="IC187" s="48">
        <v>5922.0400068134604</v>
      </c>
      <c r="ID187" s="48">
        <v>3674.8028764268934</v>
      </c>
      <c r="IE187" s="48">
        <v>2487.3474501926635</v>
      </c>
      <c r="IF187" s="48">
        <v>320.30381569618157</v>
      </c>
      <c r="IG187" s="48">
        <v>1071.0114687171231</v>
      </c>
      <c r="IH187" s="48">
        <v>76.510864318197434</v>
      </c>
      <c r="II187" s="48">
        <v>23.090426086647742</v>
      </c>
      <c r="IJ187" s="48">
        <v>11446.662998551099</v>
      </c>
      <c r="IK187" s="48">
        <v>3409.7072448266163</v>
      </c>
      <c r="IL187" s="48">
        <v>6138.2294326741185</v>
      </c>
      <c r="IM187" s="48">
        <v>7378.824874040607</v>
      </c>
      <c r="IN187" s="48">
        <v>3918.2996652048305</v>
      </c>
      <c r="IO187" s="48">
        <v>0</v>
      </c>
      <c r="IP187" s="23">
        <v>814128.99999999744</v>
      </c>
      <c r="IQ187" s="25">
        <v>948266</v>
      </c>
      <c r="IR187" s="25">
        <v>0</v>
      </c>
      <c r="IS187" s="26">
        <v>0</v>
      </c>
      <c r="IT187" s="26">
        <v>0</v>
      </c>
      <c r="IU187" s="26">
        <v>0</v>
      </c>
      <c r="IV187" s="9">
        <v>0</v>
      </c>
      <c r="IW187" s="38">
        <f t="shared" si="13"/>
        <v>1762394.9999999974</v>
      </c>
    </row>
    <row r="188" spans="1:257" ht="30" customHeight="1" x14ac:dyDescent="0.25">
      <c r="A188" s="112" t="b">
        <v>0</v>
      </c>
      <c r="B188" s="113" t="b">
        <f>IFERROR(VLOOKUP(C188,'Bridge matrix'!$D$3:$E$727,2,FALSE)='symmetric IOT 245 2012'!D188,"FALSCH")</f>
        <v>1</v>
      </c>
      <c r="C188" s="108">
        <v>177</v>
      </c>
      <c r="D188" s="49" t="s">
        <v>1495</v>
      </c>
      <c r="E188" s="48">
        <v>839.77070867176315</v>
      </c>
      <c r="F188" s="48">
        <v>104.71508642467464</v>
      </c>
      <c r="G188" s="48">
        <v>167.82830129643327</v>
      </c>
      <c r="H188" s="48">
        <v>82.263387733965573</v>
      </c>
      <c r="I188" s="48">
        <v>844.28408497529028</v>
      </c>
      <c r="J188" s="48">
        <v>3006.1097008340612</v>
      </c>
      <c r="K188" s="48">
        <v>6671.0114325520626</v>
      </c>
      <c r="L188" s="48">
        <v>223.45485389349332</v>
      </c>
      <c r="M188" s="48">
        <v>13.193124424459359</v>
      </c>
      <c r="N188" s="48">
        <v>45.287752628263632</v>
      </c>
      <c r="O188" s="48">
        <v>7367.5048083473057</v>
      </c>
      <c r="P188" s="48">
        <v>1073.2705911181042</v>
      </c>
      <c r="Q188" s="48">
        <v>100.10083674433564</v>
      </c>
      <c r="R188" s="48">
        <v>5345.8198361206214</v>
      </c>
      <c r="S188" s="48">
        <v>18.212929325010613</v>
      </c>
      <c r="T188" s="48">
        <v>158.55762232777997</v>
      </c>
      <c r="U188" s="48">
        <v>19.060286764069854</v>
      </c>
      <c r="V188" s="48">
        <v>43.147053535532066</v>
      </c>
      <c r="W188" s="48">
        <v>66.201096302137472</v>
      </c>
      <c r="X188" s="48">
        <v>1.0031536505886305</v>
      </c>
      <c r="Y188" s="48">
        <v>30.111284948255257</v>
      </c>
      <c r="Z188" s="48">
        <v>80.769845930217585</v>
      </c>
      <c r="AA188" s="48">
        <v>6.0232517340984195</v>
      </c>
      <c r="AB188" s="48">
        <v>5.0120753157802858</v>
      </c>
      <c r="AC188" s="48">
        <v>0.99682313435963987</v>
      </c>
      <c r="AD188" s="48">
        <v>19.046446571378329</v>
      </c>
      <c r="AE188" s="48">
        <v>29.108862822329314</v>
      </c>
      <c r="AF188" s="48">
        <v>14.044934063462096</v>
      </c>
      <c r="AG188" s="48">
        <v>32.146944007888294</v>
      </c>
      <c r="AH188" s="48">
        <v>54.164081561350159</v>
      </c>
      <c r="AI188" s="48">
        <v>46.142651702855559</v>
      </c>
      <c r="AJ188" s="48">
        <v>30.107180334171957</v>
      </c>
      <c r="AK188" s="48">
        <v>88.284025109360201</v>
      </c>
      <c r="AL188" s="48">
        <v>29.094366826611662</v>
      </c>
      <c r="AM188" s="48">
        <v>3.0123669502538291</v>
      </c>
      <c r="AN188" s="48">
        <v>31.099185664112984</v>
      </c>
      <c r="AO188" s="48">
        <v>20.059934041466782</v>
      </c>
      <c r="AP188" s="48">
        <v>75.314520762690677</v>
      </c>
      <c r="AQ188" s="48">
        <v>30.101400432687054</v>
      </c>
      <c r="AR188" s="48">
        <v>48.148499276727627</v>
      </c>
      <c r="AS188" s="48">
        <v>42.837892929325797</v>
      </c>
      <c r="AT188" s="48">
        <v>342.06162343152249</v>
      </c>
      <c r="AU188" s="48">
        <v>43.660166007922221</v>
      </c>
      <c r="AV188" s="48">
        <v>20.32239036695437</v>
      </c>
      <c r="AW188" s="48">
        <v>12.856908591834813</v>
      </c>
      <c r="AX188" s="48">
        <v>687.79490177912817</v>
      </c>
      <c r="AY188" s="48">
        <v>112.79153613579449</v>
      </c>
      <c r="AZ188" s="48">
        <v>17.270751984991005</v>
      </c>
      <c r="BA188" s="48">
        <v>32.517218107784608</v>
      </c>
      <c r="BB188" s="48">
        <v>713.52392760638827</v>
      </c>
      <c r="BC188" s="48">
        <v>118.99130752319715</v>
      </c>
      <c r="BD188" s="48">
        <v>2419.9490046836158</v>
      </c>
      <c r="BE188" s="48">
        <v>21558.848501290879</v>
      </c>
      <c r="BF188" s="48">
        <v>698.17856188161511</v>
      </c>
      <c r="BG188" s="48">
        <v>46.615278598497639</v>
      </c>
      <c r="BH188" s="48">
        <v>4355.5869294660142</v>
      </c>
      <c r="BI188" s="48">
        <v>527.83278707406282</v>
      </c>
      <c r="BJ188" s="48">
        <v>3358.5292820241225</v>
      </c>
      <c r="BK188" s="48">
        <v>666.98502486324389</v>
      </c>
      <c r="BL188" s="48">
        <v>6.2206012372738648</v>
      </c>
      <c r="BM188" s="48">
        <v>1917.4064418888379</v>
      </c>
      <c r="BN188" s="48">
        <v>166.8642556343149</v>
      </c>
      <c r="BO188" s="48">
        <v>0</v>
      </c>
      <c r="BP188" s="48">
        <v>392.50995635235449</v>
      </c>
      <c r="BQ188" s="48">
        <v>53.183094410962113</v>
      </c>
      <c r="BR188" s="48">
        <v>2.0645060400248112</v>
      </c>
      <c r="BS188" s="48">
        <v>4.1364540124578051</v>
      </c>
      <c r="BT188" s="48">
        <v>496.18312186292314</v>
      </c>
      <c r="BU188" s="48">
        <v>2827.0287686301094</v>
      </c>
      <c r="BV188" s="48">
        <v>383.27765050405628</v>
      </c>
      <c r="BW188" s="48">
        <v>196.66569256521373</v>
      </c>
      <c r="BX188" s="48">
        <v>18.057681754158821</v>
      </c>
      <c r="BY188" s="48">
        <v>835.80825648094071</v>
      </c>
      <c r="BZ188" s="48">
        <v>605.78836636225503</v>
      </c>
      <c r="CA188" s="48">
        <v>315.64785033186331</v>
      </c>
      <c r="CB188" s="48">
        <v>3.0307314861298651</v>
      </c>
      <c r="CC188" s="48">
        <v>2457.6654789224517</v>
      </c>
      <c r="CD188" s="48">
        <v>28.991984845108512</v>
      </c>
      <c r="CE188" s="48">
        <v>1.99829753377721</v>
      </c>
      <c r="CF188" s="48">
        <v>0</v>
      </c>
      <c r="CG188" s="48">
        <v>101.22408098473309</v>
      </c>
      <c r="CH188" s="48">
        <v>9.5428282415525789</v>
      </c>
      <c r="CI188" s="48">
        <v>5381.5786704827551</v>
      </c>
      <c r="CJ188" s="48">
        <v>4845.2370078959402</v>
      </c>
      <c r="CK188" s="48">
        <v>448.20411412556939</v>
      </c>
      <c r="CL188" s="48">
        <v>2087.0751399306182</v>
      </c>
      <c r="CM188" s="48">
        <v>1906.1682501951782</v>
      </c>
      <c r="CN188" s="48">
        <v>3468.7186250695904</v>
      </c>
      <c r="CO188" s="48">
        <v>1337.918347779623</v>
      </c>
      <c r="CP188" s="48">
        <v>131.67075940753702</v>
      </c>
      <c r="CQ188" s="48">
        <v>512.13485969999385</v>
      </c>
      <c r="CR188" s="48">
        <v>1014.9287179221777</v>
      </c>
      <c r="CS188" s="48">
        <v>70.086835729413863</v>
      </c>
      <c r="CT188" s="48">
        <v>330.21597215821794</v>
      </c>
      <c r="CU188" s="48">
        <v>267.89990172011329</v>
      </c>
      <c r="CV188" s="48">
        <v>322.08727913583255</v>
      </c>
      <c r="CW188" s="48">
        <v>47.388419324754409</v>
      </c>
      <c r="CX188" s="48">
        <v>589.5943892307231</v>
      </c>
      <c r="CY188" s="48">
        <v>562.92125294444156</v>
      </c>
      <c r="CZ188" s="48">
        <v>173.85879264868794</v>
      </c>
      <c r="DA188" s="48">
        <v>526.64307847272096</v>
      </c>
      <c r="DB188" s="48">
        <v>42.039981338667587</v>
      </c>
      <c r="DC188" s="48">
        <v>3.5406592101982532</v>
      </c>
      <c r="DD188" s="48">
        <v>549.45698420222914</v>
      </c>
      <c r="DE188" s="48">
        <v>123.15250747035381</v>
      </c>
      <c r="DF188" s="48">
        <v>88.691055239190533</v>
      </c>
      <c r="DG188" s="48">
        <v>68.241692978537202</v>
      </c>
      <c r="DH188" s="48">
        <v>35.334770761476271</v>
      </c>
      <c r="DI188" s="48">
        <v>0</v>
      </c>
      <c r="DJ188" s="48">
        <v>112.84848485651085</v>
      </c>
      <c r="DK188" s="48">
        <v>1337.3801748083881</v>
      </c>
      <c r="DL188" s="48">
        <v>2047.7875317414837</v>
      </c>
      <c r="DM188" s="48">
        <v>4267.6855259931908</v>
      </c>
      <c r="DN188" s="48">
        <v>3615.4580877881804</v>
      </c>
      <c r="DO188" s="48">
        <v>24.323777136513225</v>
      </c>
      <c r="DP188" s="48">
        <v>301.02869475303413</v>
      </c>
      <c r="DQ188" s="48">
        <v>524.03385618576203</v>
      </c>
      <c r="DR188" s="48">
        <v>396.56713914953485</v>
      </c>
      <c r="DS188" s="48">
        <v>653.98751015272592</v>
      </c>
      <c r="DT188" s="48">
        <v>33.185765563296385</v>
      </c>
      <c r="DU188" s="48">
        <v>16.515722924562809</v>
      </c>
      <c r="DV188" s="48">
        <v>247.41661346074576</v>
      </c>
      <c r="DW188" s="48">
        <v>1183.1761498088501</v>
      </c>
      <c r="DX188" s="48">
        <v>588.99969590736885</v>
      </c>
      <c r="DY188" s="48">
        <v>83.674360342246729</v>
      </c>
      <c r="DZ188" s="48">
        <v>74.589494002690358</v>
      </c>
      <c r="EA188" s="48">
        <v>893.45582247380207</v>
      </c>
      <c r="EB188" s="48">
        <v>598.21117264709915</v>
      </c>
      <c r="EC188" s="48">
        <v>2415.9158052066487</v>
      </c>
      <c r="ED188" s="48">
        <v>79.802051579553776</v>
      </c>
      <c r="EE188" s="48">
        <v>22.313930924878751</v>
      </c>
      <c r="EF188" s="48">
        <v>76.531871406641486</v>
      </c>
      <c r="EG188" s="48">
        <v>26.499573216626569</v>
      </c>
      <c r="EH188" s="48">
        <v>4.0538527314656223</v>
      </c>
      <c r="EI188" s="48">
        <v>179.31967226797465</v>
      </c>
      <c r="EJ188" s="48">
        <v>189.87207604890139</v>
      </c>
      <c r="EK188" s="48">
        <v>75.466789374129561</v>
      </c>
      <c r="EL188" s="48">
        <v>172.18685776243942</v>
      </c>
      <c r="EM188" s="48">
        <v>365.4075954981426</v>
      </c>
      <c r="EN188" s="48">
        <v>362.7434202985072</v>
      </c>
      <c r="EO188" s="48">
        <v>47.230350443121885</v>
      </c>
      <c r="EP188" s="48">
        <v>111.74720043917389</v>
      </c>
      <c r="EQ188" s="48">
        <v>110.92599957366771</v>
      </c>
      <c r="ER188" s="48">
        <v>119.90963332852684</v>
      </c>
      <c r="ES188" s="48">
        <v>14.679306715935287</v>
      </c>
      <c r="ET188" s="48">
        <v>663.00789144811506</v>
      </c>
      <c r="EU188" s="48">
        <v>96.442417672560978</v>
      </c>
      <c r="EV188" s="48">
        <v>85.227921767901648</v>
      </c>
      <c r="EW188" s="48">
        <v>365.57290219618005</v>
      </c>
      <c r="EX188" s="48">
        <v>1148.907420259073</v>
      </c>
      <c r="EY188" s="48">
        <v>72.809186996554004</v>
      </c>
      <c r="EZ188" s="48">
        <v>79.987523319235777</v>
      </c>
      <c r="FA188" s="48">
        <v>295.24529192439053</v>
      </c>
      <c r="FB188" s="48">
        <v>255.31316619023684</v>
      </c>
      <c r="FC188" s="48">
        <v>231.42089928446771</v>
      </c>
      <c r="FD188" s="48">
        <v>1337.2239542920345</v>
      </c>
      <c r="FE188" s="48">
        <v>155.85721412416871</v>
      </c>
      <c r="FF188" s="48">
        <v>6.9627515357705994</v>
      </c>
      <c r="FG188" s="48">
        <v>921.33727434642844</v>
      </c>
      <c r="FH188" s="48">
        <v>855.77643362383867</v>
      </c>
      <c r="FI188" s="48">
        <v>374.59235190903826</v>
      </c>
      <c r="FJ188" s="48">
        <v>566.31564492695918</v>
      </c>
      <c r="FK188" s="48">
        <v>166.67567724850809</v>
      </c>
      <c r="FL188" s="48">
        <v>5.8276012945863966</v>
      </c>
      <c r="FM188" s="48">
        <v>534.48506786202438</v>
      </c>
      <c r="FN188" s="48">
        <v>128.96679222596612</v>
      </c>
      <c r="FO188" s="48">
        <v>74.303229647468186</v>
      </c>
      <c r="FP188" s="48">
        <v>714.0253583273261</v>
      </c>
      <c r="FQ188" s="48">
        <v>22.219010448339994</v>
      </c>
      <c r="FR188" s="48">
        <v>1027.6809449167574</v>
      </c>
      <c r="FS188" s="48">
        <v>22.232643474741185</v>
      </c>
      <c r="FT188" s="48">
        <v>5.43664371666517</v>
      </c>
      <c r="FU188" s="48">
        <v>43.989315694628736</v>
      </c>
      <c r="FV188" s="48">
        <v>160.59878059832511</v>
      </c>
      <c r="FW188" s="48">
        <v>4603.5974530036183</v>
      </c>
      <c r="FX188" s="48">
        <v>9674.5546237592625</v>
      </c>
      <c r="FY188" s="48">
        <v>2706.0741018013141</v>
      </c>
      <c r="FZ188" s="48">
        <v>68.694161181458639</v>
      </c>
      <c r="GA188" s="48">
        <v>1195.417788097941</v>
      </c>
      <c r="GB188" s="48">
        <v>1979.0158841142259</v>
      </c>
      <c r="GC188" s="48">
        <v>12652.795183934413</v>
      </c>
      <c r="GD188" s="48">
        <v>490.96378784231837</v>
      </c>
      <c r="GE188" s="48">
        <v>4999.2346817768585</v>
      </c>
      <c r="GF188" s="48">
        <v>8274.0947122376037</v>
      </c>
      <c r="GG188" s="48">
        <v>617.30896186869313</v>
      </c>
      <c r="GH188" s="48">
        <v>477.08929885023008</v>
      </c>
      <c r="GI188" s="48">
        <v>0.99680874697901911</v>
      </c>
      <c r="GJ188" s="48">
        <v>70.009691697880285</v>
      </c>
      <c r="GK188" s="48">
        <v>144.48792054879505</v>
      </c>
      <c r="GL188" s="48">
        <v>144.47400575485256</v>
      </c>
      <c r="GM188" s="48">
        <v>93.662424984784849</v>
      </c>
      <c r="GN188" s="48">
        <v>3.9824547200761837</v>
      </c>
      <c r="GO188" s="48">
        <v>34.429562283533585</v>
      </c>
      <c r="GP188" s="48">
        <v>15.964757308717667</v>
      </c>
      <c r="GQ188" s="48">
        <v>115.697492953313</v>
      </c>
      <c r="GR188" s="48">
        <v>833.62265670908334</v>
      </c>
      <c r="GS188" s="48">
        <v>3034.921227268761</v>
      </c>
      <c r="GT188" s="48">
        <v>36.146596812731971</v>
      </c>
      <c r="GU188" s="48">
        <v>2149.754015746912</v>
      </c>
      <c r="GV188" s="48">
        <v>12.125574828623648</v>
      </c>
      <c r="GW188" s="48">
        <v>2.5878315170279205</v>
      </c>
      <c r="GX188" s="48">
        <v>148.93869725422752</v>
      </c>
      <c r="GY188" s="48">
        <v>22.052240221002709</v>
      </c>
      <c r="GZ188" s="48">
        <v>0</v>
      </c>
      <c r="HA188" s="48">
        <v>110.33864292874345</v>
      </c>
      <c r="HB188" s="48">
        <v>886.24156631682058</v>
      </c>
      <c r="HC188" s="48">
        <v>2000.0264089144405</v>
      </c>
      <c r="HD188" s="48">
        <v>676.10201521282397</v>
      </c>
      <c r="HE188" s="48">
        <v>183.48475772449231</v>
      </c>
      <c r="HF188" s="48">
        <v>907.61103094889222</v>
      </c>
      <c r="HG188" s="48">
        <v>866.59253571543775</v>
      </c>
      <c r="HH188" s="48">
        <v>1632.7445350205182</v>
      </c>
      <c r="HI188" s="48">
        <v>2382.9807436384194</v>
      </c>
      <c r="HJ188" s="48">
        <v>2711.0371414364577</v>
      </c>
      <c r="HK188" s="48">
        <v>128.08517488549438</v>
      </c>
      <c r="HL188" s="48">
        <v>204.08162882440052</v>
      </c>
      <c r="HM188" s="48">
        <v>934.97471012609105</v>
      </c>
      <c r="HN188" s="48">
        <v>274.18624006159655</v>
      </c>
      <c r="HO188" s="48">
        <v>1152.7966628533948</v>
      </c>
      <c r="HP188" s="48">
        <v>1975.3448990726224</v>
      </c>
      <c r="HQ188" s="48">
        <v>308.21240891646534</v>
      </c>
      <c r="HR188" s="48">
        <v>657.08500672893479</v>
      </c>
      <c r="HS188" s="48">
        <v>1106.3805905077927</v>
      </c>
      <c r="HT188" s="48">
        <v>676.45800868490278</v>
      </c>
      <c r="HU188" s="48">
        <v>893.60757960588228</v>
      </c>
      <c r="HV188" s="48">
        <v>31571.065752982475</v>
      </c>
      <c r="HW188" s="48">
        <v>166.96400905220651</v>
      </c>
      <c r="HX188" s="48">
        <v>1209.2680435387838</v>
      </c>
      <c r="HY188" s="48">
        <v>1025.5815626073929</v>
      </c>
      <c r="HZ188" s="48">
        <v>1520.1299505788143</v>
      </c>
      <c r="IA188" s="48">
        <v>429.21419304441548</v>
      </c>
      <c r="IB188" s="48">
        <v>22.158287724918672</v>
      </c>
      <c r="IC188" s="48">
        <v>2681.9870714724889</v>
      </c>
      <c r="ID188" s="48">
        <v>1664.9799500465231</v>
      </c>
      <c r="IE188" s="48">
        <v>1126.5767951592118</v>
      </c>
      <c r="IF188" s="48">
        <v>145.54685662326563</v>
      </c>
      <c r="IG188" s="48">
        <v>1167.5957859383614</v>
      </c>
      <c r="IH188" s="48">
        <v>83.442783280556014</v>
      </c>
      <c r="II188" s="48">
        <v>25.543172190884075</v>
      </c>
      <c r="IJ188" s="48">
        <v>5298.822527811295</v>
      </c>
      <c r="IK188" s="48">
        <v>556.95952187713726</v>
      </c>
      <c r="IL188" s="48">
        <v>1011.3713525640825</v>
      </c>
      <c r="IM188" s="48">
        <v>1216.4720984326011</v>
      </c>
      <c r="IN188" s="48">
        <v>646.05703297607727</v>
      </c>
      <c r="IO188" s="48">
        <v>0</v>
      </c>
      <c r="IP188" s="23">
        <v>257032.99999999892</v>
      </c>
      <c r="IQ188" s="25">
        <v>174769</v>
      </c>
      <c r="IR188" s="25">
        <v>0</v>
      </c>
      <c r="IS188" s="26">
        <v>0</v>
      </c>
      <c r="IT188" s="26">
        <v>0</v>
      </c>
      <c r="IU188" s="26">
        <v>0</v>
      </c>
      <c r="IV188" s="9">
        <v>0</v>
      </c>
      <c r="IW188" s="38">
        <f t="shared" si="13"/>
        <v>431801.99999999895</v>
      </c>
    </row>
    <row r="189" spans="1:257" ht="30" customHeight="1" x14ac:dyDescent="0.25">
      <c r="A189" s="112" t="b">
        <v>0</v>
      </c>
      <c r="B189" s="113" t="str">
        <f>IFERROR(VLOOKUP(C189,'Bridge matrix'!$D$3:$E$727,2,FALSE)='symmetric IOT 245 2012'!D189,"FALSCH")</f>
        <v>FALSCH</v>
      </c>
      <c r="C189" s="108">
        <v>178</v>
      </c>
      <c r="D189" s="49" t="s">
        <v>1496</v>
      </c>
      <c r="E189" s="48">
        <v>0</v>
      </c>
      <c r="F189" s="48">
        <v>0</v>
      </c>
      <c r="G189" s="48">
        <v>0</v>
      </c>
      <c r="H189" s="48">
        <v>0</v>
      </c>
      <c r="I189" s="48">
        <v>0</v>
      </c>
      <c r="J189" s="48">
        <v>0</v>
      </c>
      <c r="K189" s="48">
        <v>0</v>
      </c>
      <c r="L189" s="48">
        <v>0</v>
      </c>
      <c r="M189" s="48">
        <v>0</v>
      </c>
      <c r="N189" s="48">
        <v>0</v>
      </c>
      <c r="O189" s="48">
        <v>0</v>
      </c>
      <c r="P189" s="48">
        <v>0</v>
      </c>
      <c r="Q189" s="48">
        <v>0</v>
      </c>
      <c r="R189" s="48">
        <v>0</v>
      </c>
      <c r="S189" s="48">
        <v>0</v>
      </c>
      <c r="T189" s="48">
        <v>0</v>
      </c>
      <c r="U189" s="48">
        <v>0</v>
      </c>
      <c r="V189" s="48">
        <v>0</v>
      </c>
      <c r="W189" s="48">
        <v>0</v>
      </c>
      <c r="X189" s="48">
        <v>0</v>
      </c>
      <c r="Y189" s="48">
        <v>0</v>
      </c>
      <c r="Z189" s="48">
        <v>0</v>
      </c>
      <c r="AA189" s="48">
        <v>0</v>
      </c>
      <c r="AB189" s="48">
        <v>0</v>
      </c>
      <c r="AC189" s="48">
        <v>0</v>
      </c>
      <c r="AD189" s="48">
        <v>0</v>
      </c>
      <c r="AE189" s="48">
        <v>0</v>
      </c>
      <c r="AF189" s="48">
        <v>0</v>
      </c>
      <c r="AG189" s="48">
        <v>0</v>
      </c>
      <c r="AH189" s="48">
        <v>0</v>
      </c>
      <c r="AI189" s="48">
        <v>0</v>
      </c>
      <c r="AJ189" s="48">
        <v>0</v>
      </c>
      <c r="AK189" s="48">
        <v>0</v>
      </c>
      <c r="AL189" s="48">
        <v>0</v>
      </c>
      <c r="AM189" s="48">
        <v>0</v>
      </c>
      <c r="AN189" s="48">
        <v>0</v>
      </c>
      <c r="AO189" s="48">
        <v>0</v>
      </c>
      <c r="AP189" s="48">
        <v>0</v>
      </c>
      <c r="AQ189" s="48">
        <v>0</v>
      </c>
      <c r="AR189" s="48">
        <v>0</v>
      </c>
      <c r="AS189" s="48">
        <v>0</v>
      </c>
      <c r="AT189" s="48">
        <v>0</v>
      </c>
      <c r="AU189" s="48">
        <v>0</v>
      </c>
      <c r="AV189" s="48">
        <v>0</v>
      </c>
      <c r="AW189" s="48">
        <v>0</v>
      </c>
      <c r="AX189" s="48">
        <v>0</v>
      </c>
      <c r="AY189" s="48">
        <v>0</v>
      </c>
      <c r="AZ189" s="48">
        <v>0</v>
      </c>
      <c r="BA189" s="48">
        <v>0</v>
      </c>
      <c r="BB189" s="48">
        <v>0</v>
      </c>
      <c r="BC189" s="48">
        <v>0</v>
      </c>
      <c r="BD189" s="48">
        <v>0</v>
      </c>
      <c r="BE189" s="48">
        <v>0</v>
      </c>
      <c r="BF189" s="48">
        <v>0</v>
      </c>
      <c r="BG189" s="48">
        <v>0</v>
      </c>
      <c r="BH189" s="48">
        <v>0</v>
      </c>
      <c r="BI189" s="48">
        <v>0</v>
      </c>
      <c r="BJ189" s="48">
        <v>0</v>
      </c>
      <c r="BK189" s="48">
        <v>0</v>
      </c>
      <c r="BL189" s="48">
        <v>0</v>
      </c>
      <c r="BM189" s="48">
        <v>0</v>
      </c>
      <c r="BN189" s="48">
        <v>0</v>
      </c>
      <c r="BO189" s="48">
        <v>0</v>
      </c>
      <c r="BP189" s="48">
        <v>0</v>
      </c>
      <c r="BQ189" s="48">
        <v>0</v>
      </c>
      <c r="BR189" s="48">
        <v>0</v>
      </c>
      <c r="BS189" s="48">
        <v>0</v>
      </c>
      <c r="BT189" s="48">
        <v>0</v>
      </c>
      <c r="BU189" s="48">
        <v>0</v>
      </c>
      <c r="BV189" s="48">
        <v>0</v>
      </c>
      <c r="BW189" s="48">
        <v>0</v>
      </c>
      <c r="BX189" s="48">
        <v>0</v>
      </c>
      <c r="BY189" s="48">
        <v>0</v>
      </c>
      <c r="BZ189" s="48">
        <v>0</v>
      </c>
      <c r="CA189" s="48">
        <v>0</v>
      </c>
      <c r="CB189" s="48">
        <v>0</v>
      </c>
      <c r="CC189" s="48">
        <v>0</v>
      </c>
      <c r="CD189" s="48">
        <v>0</v>
      </c>
      <c r="CE189" s="48">
        <v>0</v>
      </c>
      <c r="CF189" s="48">
        <v>0</v>
      </c>
      <c r="CG189" s="48">
        <v>0</v>
      </c>
      <c r="CH189" s="48">
        <v>0</v>
      </c>
      <c r="CI189" s="48">
        <v>0</v>
      </c>
      <c r="CJ189" s="48">
        <v>0</v>
      </c>
      <c r="CK189" s="48">
        <v>0</v>
      </c>
      <c r="CL189" s="48">
        <v>0</v>
      </c>
      <c r="CM189" s="48">
        <v>1.0973632678037109E-7</v>
      </c>
      <c r="CN189" s="48">
        <v>0</v>
      </c>
      <c r="CO189" s="48">
        <v>0</v>
      </c>
      <c r="CP189" s="48">
        <v>0</v>
      </c>
      <c r="CQ189" s="48">
        <v>0</v>
      </c>
      <c r="CR189" s="48">
        <v>2.5612388447181317E-12</v>
      </c>
      <c r="CS189" s="48">
        <v>0</v>
      </c>
      <c r="CT189" s="48">
        <v>0</v>
      </c>
      <c r="CU189" s="48">
        <v>2.6549455329669205E-6</v>
      </c>
      <c r="CV189" s="48">
        <v>6.2230709435969582E-6</v>
      </c>
      <c r="CW189" s="48">
        <v>0</v>
      </c>
      <c r="CX189" s="48">
        <v>0</v>
      </c>
      <c r="CY189" s="48">
        <v>0</v>
      </c>
      <c r="CZ189" s="48">
        <v>0</v>
      </c>
      <c r="DA189" s="48">
        <v>9.1101170078626638E-8</v>
      </c>
      <c r="DB189" s="48">
        <v>0</v>
      </c>
      <c r="DC189" s="48">
        <v>0</v>
      </c>
      <c r="DD189" s="48">
        <v>0</v>
      </c>
      <c r="DE189" s="48">
        <v>1.8525243225495739E-4</v>
      </c>
      <c r="DF189" s="48">
        <v>0</v>
      </c>
      <c r="DG189" s="48">
        <v>0</v>
      </c>
      <c r="DH189" s="48">
        <v>0</v>
      </c>
      <c r="DI189" s="48">
        <v>0</v>
      </c>
      <c r="DJ189" s="48">
        <v>5.3265678414078077E-10</v>
      </c>
      <c r="DK189" s="48">
        <v>0</v>
      </c>
      <c r="DL189" s="48">
        <v>9.8806555265319979E-2</v>
      </c>
      <c r="DM189" s="48">
        <v>0</v>
      </c>
      <c r="DN189" s="48">
        <v>0</v>
      </c>
      <c r="DO189" s="48">
        <v>0</v>
      </c>
      <c r="DP189" s="48">
        <v>0</v>
      </c>
      <c r="DQ189" s="48">
        <v>0</v>
      </c>
      <c r="DR189" s="48">
        <v>5.7994406189286384E-13</v>
      </c>
      <c r="DS189" s="48">
        <v>0</v>
      </c>
      <c r="DT189" s="48">
        <v>0</v>
      </c>
      <c r="DU189" s="48">
        <v>0</v>
      </c>
      <c r="DV189" s="48">
        <v>0</v>
      </c>
      <c r="DW189" s="48">
        <v>0</v>
      </c>
      <c r="DX189" s="48">
        <v>0</v>
      </c>
      <c r="DY189" s="48">
        <v>2.2139518355843531E-18</v>
      </c>
      <c r="DZ189" s="48">
        <v>0</v>
      </c>
      <c r="EA189" s="48">
        <v>0</v>
      </c>
      <c r="EB189" s="48">
        <v>6.1628096171686638E-12</v>
      </c>
      <c r="EC189" s="48">
        <v>1.7824266358706654E-13</v>
      </c>
      <c r="ED189" s="48">
        <v>0</v>
      </c>
      <c r="EE189" s="48">
        <v>0</v>
      </c>
      <c r="EF189" s="48">
        <v>0</v>
      </c>
      <c r="EG189" s="48">
        <v>0</v>
      </c>
      <c r="EH189" s="48">
        <v>0</v>
      </c>
      <c r="EI189" s="48">
        <v>6.5449979666320712E-9</v>
      </c>
      <c r="EJ189" s="48">
        <v>1.2161933487024786E-7</v>
      </c>
      <c r="EK189" s="48">
        <v>0</v>
      </c>
      <c r="EL189" s="48">
        <v>0</v>
      </c>
      <c r="EM189" s="48">
        <v>0</v>
      </c>
      <c r="EN189" s="48">
        <v>0</v>
      </c>
      <c r="EO189" s="48">
        <v>0</v>
      </c>
      <c r="EP189" s="48">
        <v>0</v>
      </c>
      <c r="EQ189" s="48">
        <v>0</v>
      </c>
      <c r="ER189" s="48">
        <v>1.5380727119844461E-13</v>
      </c>
      <c r="ES189" s="48">
        <v>2.6895589372140352E-15</v>
      </c>
      <c r="ET189" s="48">
        <v>0</v>
      </c>
      <c r="EU189" s="48">
        <v>0</v>
      </c>
      <c r="EV189" s="48">
        <v>0</v>
      </c>
      <c r="EW189" s="48">
        <v>3.4836459703927965E-2</v>
      </c>
      <c r="EX189" s="48">
        <v>0</v>
      </c>
      <c r="EY189" s="48">
        <v>0</v>
      </c>
      <c r="EZ189" s="48">
        <v>0</v>
      </c>
      <c r="FA189" s="48">
        <v>3.8972982469854242E-17</v>
      </c>
      <c r="FB189" s="48">
        <v>1.0684696519286236E-18</v>
      </c>
      <c r="FC189" s="48">
        <v>0</v>
      </c>
      <c r="FD189" s="48">
        <v>0</v>
      </c>
      <c r="FE189" s="48">
        <v>0</v>
      </c>
      <c r="FF189" s="48">
        <v>0</v>
      </c>
      <c r="FG189" s="48">
        <v>0</v>
      </c>
      <c r="FH189" s="48">
        <v>0</v>
      </c>
      <c r="FI189" s="48">
        <v>0</v>
      </c>
      <c r="FJ189" s="48">
        <v>0</v>
      </c>
      <c r="FK189" s="48">
        <v>0</v>
      </c>
      <c r="FL189" s="48">
        <v>0</v>
      </c>
      <c r="FM189" s="48">
        <v>2.0378947476429261E-13</v>
      </c>
      <c r="FN189" s="48">
        <v>0</v>
      </c>
      <c r="FO189" s="48">
        <v>0</v>
      </c>
      <c r="FP189" s="48">
        <v>8.6730795700033402E-12</v>
      </c>
      <c r="FQ189" s="48">
        <v>0</v>
      </c>
      <c r="FR189" s="48">
        <v>0</v>
      </c>
      <c r="FS189" s="48">
        <v>0</v>
      </c>
      <c r="FT189" s="48">
        <v>0</v>
      </c>
      <c r="FU189" s="48">
        <v>0</v>
      </c>
      <c r="FV189" s="48">
        <v>7.238018280871853E-18</v>
      </c>
      <c r="FW189" s="48">
        <v>2940.6311952659557</v>
      </c>
      <c r="FX189" s="48">
        <v>6194.2349672590544</v>
      </c>
      <c r="FY189" s="48">
        <v>0</v>
      </c>
      <c r="FZ189" s="48">
        <v>0</v>
      </c>
      <c r="GA189" s="48">
        <v>0</v>
      </c>
      <c r="GB189" s="48">
        <v>0</v>
      </c>
      <c r="GC189" s="48">
        <v>0</v>
      </c>
      <c r="GD189" s="48">
        <v>0</v>
      </c>
      <c r="GE189" s="48">
        <v>0</v>
      </c>
      <c r="GF189" s="48">
        <v>0</v>
      </c>
      <c r="GG189" s="48">
        <v>0</v>
      </c>
      <c r="GH189" s="48">
        <v>0</v>
      </c>
      <c r="GI189" s="48">
        <v>0</v>
      </c>
      <c r="GJ189" s="48">
        <v>0</v>
      </c>
      <c r="GK189" s="48">
        <v>0</v>
      </c>
      <c r="GL189" s="48">
        <v>0</v>
      </c>
      <c r="GM189" s="48">
        <v>0</v>
      </c>
      <c r="GN189" s="48">
        <v>0</v>
      </c>
      <c r="GO189" s="48">
        <v>0</v>
      </c>
      <c r="GP189" s="48">
        <v>0</v>
      </c>
      <c r="GQ189" s="48">
        <v>0</v>
      </c>
      <c r="GR189" s="48">
        <v>0</v>
      </c>
      <c r="GS189" s="48">
        <v>0</v>
      </c>
      <c r="GT189" s="48">
        <v>0</v>
      </c>
      <c r="GU189" s="48">
        <v>0</v>
      </c>
      <c r="GV189" s="48">
        <v>0</v>
      </c>
      <c r="GW189" s="48">
        <v>0</v>
      </c>
      <c r="GX189" s="48">
        <v>0</v>
      </c>
      <c r="GY189" s="48">
        <v>0</v>
      </c>
      <c r="GZ189" s="48">
        <v>0</v>
      </c>
      <c r="HA189" s="48">
        <v>0</v>
      </c>
      <c r="HB189" s="48">
        <v>0</v>
      </c>
      <c r="HC189" s="48">
        <v>0</v>
      </c>
      <c r="HD189" s="48">
        <v>0</v>
      </c>
      <c r="HE189" s="48">
        <v>0</v>
      </c>
      <c r="HF189" s="48">
        <v>0</v>
      </c>
      <c r="HG189" s="48">
        <v>0</v>
      </c>
      <c r="HH189" s="48">
        <v>0</v>
      </c>
      <c r="HI189" s="48">
        <v>0</v>
      </c>
      <c r="HJ189" s="48">
        <v>0</v>
      </c>
      <c r="HK189" s="48">
        <v>0</v>
      </c>
      <c r="HL189" s="48">
        <v>0</v>
      </c>
      <c r="HM189" s="48">
        <v>0</v>
      </c>
      <c r="HN189" s="48">
        <v>0</v>
      </c>
      <c r="HO189" s="48">
        <v>0</v>
      </c>
      <c r="HP189" s="48">
        <v>0</v>
      </c>
      <c r="HQ189" s="48">
        <v>0</v>
      </c>
      <c r="HR189" s="48">
        <v>0</v>
      </c>
      <c r="HS189" s="48">
        <v>0</v>
      </c>
      <c r="HT189" s="48">
        <v>0</v>
      </c>
      <c r="HU189" s="48">
        <v>0</v>
      </c>
      <c r="HV189" s="48">
        <v>0</v>
      </c>
      <c r="HW189" s="48">
        <v>0</v>
      </c>
      <c r="HX189" s="48">
        <v>0</v>
      </c>
      <c r="HY189" s="48">
        <v>0</v>
      </c>
      <c r="HZ189" s="48">
        <v>0</v>
      </c>
      <c r="IA189" s="48">
        <v>0</v>
      </c>
      <c r="IB189" s="48">
        <v>0</v>
      </c>
      <c r="IC189" s="48">
        <v>0</v>
      </c>
      <c r="ID189" s="48">
        <v>0</v>
      </c>
      <c r="IE189" s="48">
        <v>0</v>
      </c>
      <c r="IF189" s="48">
        <v>0</v>
      </c>
      <c r="IG189" s="48">
        <v>0</v>
      </c>
      <c r="IH189" s="48">
        <v>0</v>
      </c>
      <c r="II189" s="48">
        <v>0</v>
      </c>
      <c r="IJ189" s="48">
        <v>0</v>
      </c>
      <c r="IK189" s="48">
        <v>0</v>
      </c>
      <c r="IL189" s="48">
        <v>0</v>
      </c>
      <c r="IM189" s="48">
        <v>0</v>
      </c>
      <c r="IN189" s="48">
        <v>0</v>
      </c>
      <c r="IO189" s="48">
        <v>0</v>
      </c>
      <c r="IP189" s="23">
        <v>9134.9999999999818</v>
      </c>
      <c r="IQ189" s="25">
        <v>0</v>
      </c>
      <c r="IR189" s="25">
        <v>0</v>
      </c>
      <c r="IS189" s="26">
        <v>0</v>
      </c>
      <c r="IT189" s="26">
        <v>0</v>
      </c>
      <c r="IU189" s="26">
        <v>0</v>
      </c>
      <c r="IV189" s="9">
        <v>0</v>
      </c>
      <c r="IW189" s="38">
        <f t="shared" si="13"/>
        <v>9134.9999999999818</v>
      </c>
    </row>
    <row r="190" spans="1:257" ht="30" customHeight="1" x14ac:dyDescent="0.25">
      <c r="A190" s="112" t="b">
        <v>1</v>
      </c>
      <c r="B190" s="113" t="str">
        <f>IFERROR(VLOOKUP(C190,'Bridge matrix'!$D$3:$E$727,2,FALSE)='symmetric IOT 245 2012'!D190,"FALSCH")</f>
        <v>FALSCH</v>
      </c>
      <c r="C190" s="108">
        <v>179</v>
      </c>
      <c r="D190" s="49" t="s">
        <v>1497</v>
      </c>
      <c r="E190" s="48">
        <v>0</v>
      </c>
      <c r="F190" s="48">
        <v>0</v>
      </c>
      <c r="G190" s="48">
        <v>0</v>
      </c>
      <c r="H190" s="48">
        <v>0</v>
      </c>
      <c r="I190" s="48">
        <v>0</v>
      </c>
      <c r="J190" s="48">
        <v>0</v>
      </c>
      <c r="K190" s="48">
        <v>0</v>
      </c>
      <c r="L190" s="48">
        <v>0</v>
      </c>
      <c r="M190" s="48">
        <v>0</v>
      </c>
      <c r="N190" s="48">
        <v>0</v>
      </c>
      <c r="O190" s="48">
        <v>0</v>
      </c>
      <c r="P190" s="48">
        <v>0</v>
      </c>
      <c r="Q190" s="48">
        <v>0</v>
      </c>
      <c r="R190" s="48">
        <v>0</v>
      </c>
      <c r="S190" s="48">
        <v>0</v>
      </c>
      <c r="T190" s="48">
        <v>0</v>
      </c>
      <c r="U190" s="48">
        <v>0</v>
      </c>
      <c r="V190" s="48">
        <v>0</v>
      </c>
      <c r="W190" s="48">
        <v>0</v>
      </c>
      <c r="X190" s="48">
        <v>0</v>
      </c>
      <c r="Y190" s="48">
        <v>0</v>
      </c>
      <c r="Z190" s="48">
        <v>0</v>
      </c>
      <c r="AA190" s="48">
        <v>0</v>
      </c>
      <c r="AB190" s="48">
        <v>0</v>
      </c>
      <c r="AC190" s="48">
        <v>0</v>
      </c>
      <c r="AD190" s="48">
        <v>0</v>
      </c>
      <c r="AE190" s="48">
        <v>0</v>
      </c>
      <c r="AF190" s="48">
        <v>0</v>
      </c>
      <c r="AG190" s="48">
        <v>0</v>
      </c>
      <c r="AH190" s="48">
        <v>0</v>
      </c>
      <c r="AI190" s="48">
        <v>0</v>
      </c>
      <c r="AJ190" s="48">
        <v>0</v>
      </c>
      <c r="AK190" s="48">
        <v>0</v>
      </c>
      <c r="AL190" s="48">
        <v>0</v>
      </c>
      <c r="AM190" s="48">
        <v>0</v>
      </c>
      <c r="AN190" s="48">
        <v>0</v>
      </c>
      <c r="AO190" s="48">
        <v>0</v>
      </c>
      <c r="AP190" s="48">
        <v>0</v>
      </c>
      <c r="AQ190" s="48">
        <v>0</v>
      </c>
      <c r="AR190" s="48">
        <v>0</v>
      </c>
      <c r="AS190" s="48">
        <v>0</v>
      </c>
      <c r="AT190" s="48">
        <v>0</v>
      </c>
      <c r="AU190" s="48">
        <v>0</v>
      </c>
      <c r="AV190" s="48">
        <v>0</v>
      </c>
      <c r="AW190" s="48">
        <v>0</v>
      </c>
      <c r="AX190" s="48">
        <v>0</v>
      </c>
      <c r="AY190" s="48">
        <v>0</v>
      </c>
      <c r="AZ190" s="48">
        <v>0</v>
      </c>
      <c r="BA190" s="48">
        <v>0</v>
      </c>
      <c r="BB190" s="48">
        <v>0</v>
      </c>
      <c r="BC190" s="48">
        <v>0</v>
      </c>
      <c r="BD190" s="48">
        <v>0</v>
      </c>
      <c r="BE190" s="48">
        <v>0</v>
      </c>
      <c r="BF190" s="48">
        <v>0</v>
      </c>
      <c r="BG190" s="48">
        <v>0</v>
      </c>
      <c r="BH190" s="48">
        <v>0</v>
      </c>
      <c r="BI190" s="48">
        <v>0</v>
      </c>
      <c r="BJ190" s="48">
        <v>0</v>
      </c>
      <c r="BK190" s="48">
        <v>0</v>
      </c>
      <c r="BL190" s="48">
        <v>0</v>
      </c>
      <c r="BM190" s="48">
        <v>0</v>
      </c>
      <c r="BN190" s="48">
        <v>0</v>
      </c>
      <c r="BO190" s="48">
        <v>0</v>
      </c>
      <c r="BP190" s="48">
        <v>0</v>
      </c>
      <c r="BQ190" s="48">
        <v>0</v>
      </c>
      <c r="BR190" s="48">
        <v>0</v>
      </c>
      <c r="BS190" s="48">
        <v>0</v>
      </c>
      <c r="BT190" s="48">
        <v>0</v>
      </c>
      <c r="BU190" s="48">
        <v>0</v>
      </c>
      <c r="BV190" s="48">
        <v>0</v>
      </c>
      <c r="BW190" s="48">
        <v>0</v>
      </c>
      <c r="BX190" s="48">
        <v>0</v>
      </c>
      <c r="BY190" s="48">
        <v>0</v>
      </c>
      <c r="BZ190" s="48">
        <v>0</v>
      </c>
      <c r="CA190" s="48">
        <v>86639.404955950144</v>
      </c>
      <c r="CB190" s="48">
        <v>297.59504405045038</v>
      </c>
      <c r="CC190" s="48">
        <v>0</v>
      </c>
      <c r="CD190" s="48">
        <v>0</v>
      </c>
      <c r="CE190" s="48">
        <v>0</v>
      </c>
      <c r="CF190" s="48">
        <v>0</v>
      </c>
      <c r="CG190" s="48">
        <v>0</v>
      </c>
      <c r="CH190" s="48">
        <v>0</v>
      </c>
      <c r="CI190" s="48">
        <v>0</v>
      </c>
      <c r="CJ190" s="48">
        <v>0</v>
      </c>
      <c r="CK190" s="48">
        <v>0</v>
      </c>
      <c r="CL190" s="48">
        <v>0</v>
      </c>
      <c r="CM190" s="48">
        <v>0</v>
      </c>
      <c r="CN190" s="48">
        <v>0</v>
      </c>
      <c r="CO190" s="48">
        <v>0</v>
      </c>
      <c r="CP190" s="48">
        <v>0</v>
      </c>
      <c r="CQ190" s="48">
        <v>0</v>
      </c>
      <c r="CR190" s="48">
        <v>0</v>
      </c>
      <c r="CS190" s="48">
        <v>0</v>
      </c>
      <c r="CT190" s="48">
        <v>0</v>
      </c>
      <c r="CU190" s="48">
        <v>0</v>
      </c>
      <c r="CV190" s="48">
        <v>0</v>
      </c>
      <c r="CW190" s="48">
        <v>0</v>
      </c>
      <c r="CX190" s="48">
        <v>0</v>
      </c>
      <c r="CY190" s="48">
        <v>0</v>
      </c>
      <c r="CZ190" s="48">
        <v>0</v>
      </c>
      <c r="DA190" s="48">
        <v>0</v>
      </c>
      <c r="DB190" s="48">
        <v>0</v>
      </c>
      <c r="DC190" s="48">
        <v>0</v>
      </c>
      <c r="DD190" s="48">
        <v>0</v>
      </c>
      <c r="DE190" s="48">
        <v>0</v>
      </c>
      <c r="DF190" s="48">
        <v>0</v>
      </c>
      <c r="DG190" s="48">
        <v>0</v>
      </c>
      <c r="DH190" s="48">
        <v>0</v>
      </c>
      <c r="DI190" s="48">
        <v>0</v>
      </c>
      <c r="DJ190" s="48">
        <v>0</v>
      </c>
      <c r="DK190" s="48">
        <v>0</v>
      </c>
      <c r="DL190" s="48">
        <v>0</v>
      </c>
      <c r="DM190" s="48">
        <v>0</v>
      </c>
      <c r="DN190" s="48">
        <v>0</v>
      </c>
      <c r="DO190" s="48">
        <v>0</v>
      </c>
      <c r="DP190" s="48">
        <v>0</v>
      </c>
      <c r="DQ190" s="48">
        <v>0</v>
      </c>
      <c r="DR190" s="48">
        <v>0</v>
      </c>
      <c r="DS190" s="48">
        <v>0</v>
      </c>
      <c r="DT190" s="48">
        <v>0</v>
      </c>
      <c r="DU190" s="48">
        <v>0</v>
      </c>
      <c r="DV190" s="48">
        <v>0</v>
      </c>
      <c r="DW190" s="48">
        <v>0</v>
      </c>
      <c r="DX190" s="48">
        <v>0</v>
      </c>
      <c r="DY190" s="48">
        <v>0</v>
      </c>
      <c r="DZ190" s="48">
        <v>0</v>
      </c>
      <c r="EA190" s="48">
        <v>0</v>
      </c>
      <c r="EB190" s="48">
        <v>0</v>
      </c>
      <c r="EC190" s="48">
        <v>0</v>
      </c>
      <c r="ED190" s="48">
        <v>0</v>
      </c>
      <c r="EE190" s="48">
        <v>0</v>
      </c>
      <c r="EF190" s="48">
        <v>0</v>
      </c>
      <c r="EG190" s="48">
        <v>0</v>
      </c>
      <c r="EH190" s="48">
        <v>0</v>
      </c>
      <c r="EI190" s="48">
        <v>0</v>
      </c>
      <c r="EJ190" s="48">
        <v>0</v>
      </c>
      <c r="EK190" s="48">
        <v>0</v>
      </c>
      <c r="EL190" s="48">
        <v>0</v>
      </c>
      <c r="EM190" s="48">
        <v>0</v>
      </c>
      <c r="EN190" s="48">
        <v>0</v>
      </c>
      <c r="EO190" s="48">
        <v>0</v>
      </c>
      <c r="EP190" s="48">
        <v>0</v>
      </c>
      <c r="EQ190" s="48">
        <v>0</v>
      </c>
      <c r="ER190" s="48">
        <v>0</v>
      </c>
      <c r="ES190" s="48">
        <v>0</v>
      </c>
      <c r="ET190" s="48">
        <v>0</v>
      </c>
      <c r="EU190" s="48">
        <v>0</v>
      </c>
      <c r="EV190" s="48">
        <v>0</v>
      </c>
      <c r="EW190" s="48">
        <v>0</v>
      </c>
      <c r="EX190" s="48">
        <v>0</v>
      </c>
      <c r="EY190" s="48">
        <v>0</v>
      </c>
      <c r="EZ190" s="48">
        <v>0</v>
      </c>
      <c r="FA190" s="48">
        <v>0</v>
      </c>
      <c r="FB190" s="48">
        <v>0</v>
      </c>
      <c r="FC190" s="48">
        <v>0</v>
      </c>
      <c r="FD190" s="48">
        <v>0</v>
      </c>
      <c r="FE190" s="48">
        <v>0</v>
      </c>
      <c r="FF190" s="48">
        <v>0</v>
      </c>
      <c r="FG190" s="48">
        <v>0</v>
      </c>
      <c r="FH190" s="48">
        <v>0</v>
      </c>
      <c r="FI190" s="48">
        <v>0</v>
      </c>
      <c r="FJ190" s="48">
        <v>0</v>
      </c>
      <c r="FK190" s="48">
        <v>0</v>
      </c>
      <c r="FL190" s="48">
        <v>0</v>
      </c>
      <c r="FM190" s="48">
        <v>0</v>
      </c>
      <c r="FN190" s="48">
        <v>0</v>
      </c>
      <c r="FO190" s="48">
        <v>0</v>
      </c>
      <c r="FP190" s="48">
        <v>0</v>
      </c>
      <c r="FQ190" s="48">
        <v>0</v>
      </c>
      <c r="FR190" s="48">
        <v>0</v>
      </c>
      <c r="FS190" s="48">
        <v>0</v>
      </c>
      <c r="FT190" s="48">
        <v>0</v>
      </c>
      <c r="FU190" s="48">
        <v>0</v>
      </c>
      <c r="FV190" s="48">
        <v>0</v>
      </c>
      <c r="FW190" s="48">
        <v>0</v>
      </c>
      <c r="FX190" s="48">
        <v>0</v>
      </c>
      <c r="FY190" s="48">
        <v>0</v>
      </c>
      <c r="FZ190" s="48">
        <v>0</v>
      </c>
      <c r="GA190" s="48">
        <v>0</v>
      </c>
      <c r="GB190" s="48">
        <v>0</v>
      </c>
      <c r="GC190" s="48">
        <v>0</v>
      </c>
      <c r="GD190" s="48">
        <v>0</v>
      </c>
      <c r="GE190" s="48">
        <v>0</v>
      </c>
      <c r="GF190" s="48">
        <v>0</v>
      </c>
      <c r="GG190" s="48">
        <v>0</v>
      </c>
      <c r="GH190" s="48">
        <v>0</v>
      </c>
      <c r="GI190" s="48">
        <v>0</v>
      </c>
      <c r="GJ190" s="48">
        <v>0</v>
      </c>
      <c r="GK190" s="48">
        <v>0</v>
      </c>
      <c r="GL190" s="48">
        <v>0</v>
      </c>
      <c r="GM190" s="48">
        <v>0</v>
      </c>
      <c r="GN190" s="48">
        <v>0</v>
      </c>
      <c r="GO190" s="48">
        <v>0</v>
      </c>
      <c r="GP190" s="48">
        <v>0</v>
      </c>
      <c r="GQ190" s="48">
        <v>0</v>
      </c>
      <c r="GR190" s="48">
        <v>0</v>
      </c>
      <c r="GS190" s="48">
        <v>0</v>
      </c>
      <c r="GT190" s="48">
        <v>0</v>
      </c>
      <c r="GU190" s="48">
        <v>0</v>
      </c>
      <c r="GV190" s="48">
        <v>0</v>
      </c>
      <c r="GW190" s="48">
        <v>0</v>
      </c>
      <c r="GX190" s="48">
        <v>0</v>
      </c>
      <c r="GY190" s="48">
        <v>0</v>
      </c>
      <c r="GZ190" s="48">
        <v>0</v>
      </c>
      <c r="HA190" s="48">
        <v>0</v>
      </c>
      <c r="HB190" s="48">
        <v>0</v>
      </c>
      <c r="HC190" s="48">
        <v>0</v>
      </c>
      <c r="HD190" s="48">
        <v>0</v>
      </c>
      <c r="HE190" s="48">
        <v>0</v>
      </c>
      <c r="HF190" s="48">
        <v>0</v>
      </c>
      <c r="HG190" s="48">
        <v>0</v>
      </c>
      <c r="HH190" s="48">
        <v>0</v>
      </c>
      <c r="HI190" s="48">
        <v>0</v>
      </c>
      <c r="HJ190" s="48">
        <v>0</v>
      </c>
      <c r="HK190" s="48">
        <v>0</v>
      </c>
      <c r="HL190" s="48">
        <v>0</v>
      </c>
      <c r="HM190" s="48">
        <v>0</v>
      </c>
      <c r="HN190" s="48">
        <v>0</v>
      </c>
      <c r="HO190" s="48">
        <v>0</v>
      </c>
      <c r="HP190" s="48">
        <v>0</v>
      </c>
      <c r="HQ190" s="48">
        <v>0</v>
      </c>
      <c r="HR190" s="48">
        <v>0</v>
      </c>
      <c r="HS190" s="48">
        <v>0</v>
      </c>
      <c r="HT190" s="48">
        <v>0</v>
      </c>
      <c r="HU190" s="48">
        <v>0</v>
      </c>
      <c r="HV190" s="48">
        <v>0</v>
      </c>
      <c r="HW190" s="48">
        <v>0</v>
      </c>
      <c r="HX190" s="48">
        <v>0</v>
      </c>
      <c r="HY190" s="48">
        <v>0</v>
      </c>
      <c r="HZ190" s="48">
        <v>0</v>
      </c>
      <c r="IA190" s="48">
        <v>0</v>
      </c>
      <c r="IB190" s="48">
        <v>0</v>
      </c>
      <c r="IC190" s="48">
        <v>0</v>
      </c>
      <c r="ID190" s="48">
        <v>0</v>
      </c>
      <c r="IE190" s="48">
        <v>0</v>
      </c>
      <c r="IF190" s="48">
        <v>0</v>
      </c>
      <c r="IG190" s="48">
        <v>0</v>
      </c>
      <c r="IH190" s="48">
        <v>0</v>
      </c>
      <c r="II190" s="48">
        <v>0</v>
      </c>
      <c r="IJ190" s="48">
        <v>0</v>
      </c>
      <c r="IK190" s="48">
        <v>0</v>
      </c>
      <c r="IL190" s="48">
        <v>0</v>
      </c>
      <c r="IM190" s="48">
        <v>0</v>
      </c>
      <c r="IN190" s="48">
        <v>0</v>
      </c>
      <c r="IO190" s="48">
        <v>0</v>
      </c>
      <c r="IP190" s="23">
        <v>86937.000000000597</v>
      </c>
      <c r="IQ190" s="25">
        <v>0</v>
      </c>
      <c r="IR190" s="25">
        <v>0</v>
      </c>
      <c r="IS190" s="26">
        <v>0</v>
      </c>
      <c r="IT190" s="26">
        <v>0</v>
      </c>
      <c r="IU190" s="26">
        <v>0</v>
      </c>
      <c r="IV190" s="9">
        <v>0</v>
      </c>
      <c r="IW190" s="38">
        <f t="shared" si="13"/>
        <v>86937.000000000597</v>
      </c>
    </row>
    <row r="191" spans="1:257" ht="30" customHeight="1" x14ac:dyDescent="0.25">
      <c r="A191" s="112" t="b">
        <v>1</v>
      </c>
      <c r="B191" s="113" t="b">
        <f>IFERROR(VLOOKUP(C191,'Bridge matrix'!$D$3:$E$727,2,FALSE)='symmetric IOT 245 2012'!D191,"FALSCH")</f>
        <v>1</v>
      </c>
      <c r="C191" s="108">
        <v>180</v>
      </c>
      <c r="D191" s="49" t="s">
        <v>1498</v>
      </c>
      <c r="E191" s="48">
        <v>645.28197656352995</v>
      </c>
      <c r="F191" s="48">
        <v>80.187217123244409</v>
      </c>
      <c r="G191" s="48">
        <v>128.07187174950133</v>
      </c>
      <c r="H191" s="48">
        <v>0</v>
      </c>
      <c r="I191" s="48">
        <v>0</v>
      </c>
      <c r="J191" s="48">
        <v>0.99743523619122887</v>
      </c>
      <c r="K191" s="48">
        <v>0.99765823095241546</v>
      </c>
      <c r="L191" s="48">
        <v>0</v>
      </c>
      <c r="M191" s="48">
        <v>0</v>
      </c>
      <c r="N191" s="48">
        <v>0</v>
      </c>
      <c r="O191" s="48">
        <v>181.75969692143616</v>
      </c>
      <c r="P191" s="48">
        <v>26.823371191441222</v>
      </c>
      <c r="Q191" s="48">
        <v>1.9860510774800533</v>
      </c>
      <c r="R191" s="48">
        <v>131.35273481762067</v>
      </c>
      <c r="S191" s="48">
        <v>0</v>
      </c>
      <c r="T191" s="48">
        <v>0</v>
      </c>
      <c r="U191" s="48">
        <v>0</v>
      </c>
      <c r="V191" s="48">
        <v>0</v>
      </c>
      <c r="W191" s="48">
        <v>0</v>
      </c>
      <c r="X191" s="48">
        <v>0</v>
      </c>
      <c r="Y191" s="48">
        <v>0</v>
      </c>
      <c r="Z191" s="48">
        <v>0</v>
      </c>
      <c r="AA191" s="48">
        <v>0</v>
      </c>
      <c r="AB191" s="48">
        <v>0</v>
      </c>
      <c r="AC191" s="48">
        <v>0</v>
      </c>
      <c r="AD191" s="48">
        <v>0</v>
      </c>
      <c r="AE191" s="48">
        <v>0</v>
      </c>
      <c r="AF191" s="48">
        <v>0</v>
      </c>
      <c r="AG191" s="48">
        <v>0</v>
      </c>
      <c r="AH191" s="48">
        <v>0</v>
      </c>
      <c r="AI191" s="48">
        <v>0</v>
      </c>
      <c r="AJ191" s="48">
        <v>0</v>
      </c>
      <c r="AK191" s="48">
        <v>0</v>
      </c>
      <c r="AL191" s="48">
        <v>0</v>
      </c>
      <c r="AM191" s="48">
        <v>0</v>
      </c>
      <c r="AN191" s="48">
        <v>0</v>
      </c>
      <c r="AO191" s="48">
        <v>0</v>
      </c>
      <c r="AP191" s="48">
        <v>0</v>
      </c>
      <c r="AQ191" s="48">
        <v>0</v>
      </c>
      <c r="AR191" s="48">
        <v>0</v>
      </c>
      <c r="AS191" s="48">
        <v>0</v>
      </c>
      <c r="AT191" s="48">
        <v>0</v>
      </c>
      <c r="AU191" s="48">
        <v>0</v>
      </c>
      <c r="AV191" s="48">
        <v>0</v>
      </c>
      <c r="AW191" s="48">
        <v>0</v>
      </c>
      <c r="AX191" s="48">
        <v>0</v>
      </c>
      <c r="AY191" s="48">
        <v>0</v>
      </c>
      <c r="AZ191" s="48">
        <v>0</v>
      </c>
      <c r="BA191" s="48">
        <v>0</v>
      </c>
      <c r="BB191" s="48">
        <v>0</v>
      </c>
      <c r="BC191" s="48">
        <v>0</v>
      </c>
      <c r="BD191" s="48">
        <v>0</v>
      </c>
      <c r="BE191" s="48">
        <v>10.236629006603774</v>
      </c>
      <c r="BF191" s="48">
        <v>0</v>
      </c>
      <c r="BG191" s="48">
        <v>0</v>
      </c>
      <c r="BH191" s="48">
        <v>2.0356397478878008</v>
      </c>
      <c r="BI191" s="48">
        <v>0</v>
      </c>
      <c r="BJ191" s="48">
        <v>1.5144941933540192</v>
      </c>
      <c r="BK191" s="48">
        <v>0</v>
      </c>
      <c r="BL191" s="48">
        <v>0</v>
      </c>
      <c r="BM191" s="48">
        <v>1.1883264792327901</v>
      </c>
      <c r="BN191" s="48">
        <v>0</v>
      </c>
      <c r="BO191" s="48">
        <v>0</v>
      </c>
      <c r="BP191" s="48">
        <v>5.0108754001909608</v>
      </c>
      <c r="BQ191" s="48">
        <v>0.98896511739276172</v>
      </c>
      <c r="BR191" s="48">
        <v>0</v>
      </c>
      <c r="BS191" s="48">
        <v>0</v>
      </c>
      <c r="BT191" s="48">
        <v>0</v>
      </c>
      <c r="BU191" s="48">
        <v>0</v>
      </c>
      <c r="BV191" s="48">
        <v>0</v>
      </c>
      <c r="BW191" s="48">
        <v>0</v>
      </c>
      <c r="BX191" s="48">
        <v>0</v>
      </c>
      <c r="BY191" s="48">
        <v>0</v>
      </c>
      <c r="BZ191" s="48">
        <v>0</v>
      </c>
      <c r="CA191" s="48">
        <v>12813.745188361425</v>
      </c>
      <c r="CB191" s="48">
        <v>75.357334548747787</v>
      </c>
      <c r="CC191" s="48">
        <v>0</v>
      </c>
      <c r="CD191" s="48">
        <v>0</v>
      </c>
      <c r="CE191" s="48">
        <v>0</v>
      </c>
      <c r="CF191" s="48">
        <v>0</v>
      </c>
      <c r="CG191" s="48">
        <v>0</v>
      </c>
      <c r="CH191" s="48">
        <v>0</v>
      </c>
      <c r="CI191" s="48">
        <v>1.2502054966699411E-7</v>
      </c>
      <c r="CJ191" s="48">
        <v>0</v>
      </c>
      <c r="CK191" s="48">
        <v>0</v>
      </c>
      <c r="CL191" s="48">
        <v>0</v>
      </c>
      <c r="CM191" s="48">
        <v>1.0674543818191581E-9</v>
      </c>
      <c r="CN191" s="48">
        <v>4.1688184509747143E-11</v>
      </c>
      <c r="CO191" s="48">
        <v>0</v>
      </c>
      <c r="CP191" s="48">
        <v>0</v>
      </c>
      <c r="CQ191" s="48">
        <v>0</v>
      </c>
      <c r="CR191" s="48">
        <v>0</v>
      </c>
      <c r="CS191" s="48">
        <v>0</v>
      </c>
      <c r="CT191" s="48">
        <v>5.580527402719703E-14</v>
      </c>
      <c r="CU191" s="48">
        <v>1.3590116051238103E-8</v>
      </c>
      <c r="CV191" s="48">
        <v>6.4613493578627634E-8</v>
      </c>
      <c r="CW191" s="48">
        <v>0</v>
      </c>
      <c r="CX191" s="48">
        <v>5.1942568207020695E-15</v>
      </c>
      <c r="CY191" s="48">
        <v>0</v>
      </c>
      <c r="CZ191" s="48">
        <v>0</v>
      </c>
      <c r="DA191" s="48">
        <v>8.8618030508517566E-10</v>
      </c>
      <c r="DB191" s="48">
        <v>0</v>
      </c>
      <c r="DC191" s="48">
        <v>2.4992317646312571E-14</v>
      </c>
      <c r="DD191" s="48">
        <v>0</v>
      </c>
      <c r="DE191" s="48">
        <v>0</v>
      </c>
      <c r="DF191" s="48">
        <v>0</v>
      </c>
      <c r="DG191" s="48">
        <v>0</v>
      </c>
      <c r="DH191" s="48">
        <v>0</v>
      </c>
      <c r="DI191" s="48">
        <v>0</v>
      </c>
      <c r="DJ191" s="48">
        <v>0</v>
      </c>
      <c r="DK191" s="48">
        <v>0</v>
      </c>
      <c r="DL191" s="48">
        <v>9.6113390436001925E-4</v>
      </c>
      <c r="DM191" s="48">
        <v>0</v>
      </c>
      <c r="DN191" s="48">
        <v>0</v>
      </c>
      <c r="DO191" s="48">
        <v>0</v>
      </c>
      <c r="DP191" s="48">
        <v>0</v>
      </c>
      <c r="DQ191" s="48">
        <v>0</v>
      </c>
      <c r="DR191" s="48">
        <v>2.3567331633516923E-2</v>
      </c>
      <c r="DS191" s="48">
        <v>0</v>
      </c>
      <c r="DT191" s="48">
        <v>0</v>
      </c>
      <c r="DU191" s="48">
        <v>0</v>
      </c>
      <c r="DV191" s="48">
        <v>0</v>
      </c>
      <c r="DW191" s="48">
        <v>0</v>
      </c>
      <c r="DX191" s="48">
        <v>0</v>
      </c>
      <c r="DY191" s="48">
        <v>8.8596025032198322E-8</v>
      </c>
      <c r="DZ191" s="48">
        <v>0</v>
      </c>
      <c r="EA191" s="48">
        <v>0</v>
      </c>
      <c r="EB191" s="48">
        <v>0.2466180463607161</v>
      </c>
      <c r="EC191" s="48">
        <v>0</v>
      </c>
      <c r="ED191" s="48">
        <v>6456.4742995746219</v>
      </c>
      <c r="EE191" s="48">
        <v>1837.6839846469325</v>
      </c>
      <c r="EF191" s="48">
        <v>6311.7381727122074</v>
      </c>
      <c r="EG191" s="48">
        <v>2214.7712556845468</v>
      </c>
      <c r="EH191" s="48">
        <v>304.37931337169607</v>
      </c>
      <c r="EI191" s="48">
        <v>1.3767998137490829E-6</v>
      </c>
      <c r="EJ191" s="48">
        <v>1.2627608111653056E-9</v>
      </c>
      <c r="EK191" s="48">
        <v>0</v>
      </c>
      <c r="EL191" s="48">
        <v>0</v>
      </c>
      <c r="EM191" s="48">
        <v>0</v>
      </c>
      <c r="EN191" s="48">
        <v>0</v>
      </c>
      <c r="EO191" s="48">
        <v>0</v>
      </c>
      <c r="EP191" s="48">
        <v>0</v>
      </c>
      <c r="EQ191" s="48">
        <v>0</v>
      </c>
      <c r="ER191" s="48">
        <v>0</v>
      </c>
      <c r="ES191" s="48">
        <v>1.0664375805496251E-4</v>
      </c>
      <c r="ET191" s="48">
        <v>0</v>
      </c>
      <c r="EU191" s="48">
        <v>0</v>
      </c>
      <c r="EV191" s="48">
        <v>0</v>
      </c>
      <c r="EW191" s="48">
        <v>3.2111704082122675E-2</v>
      </c>
      <c r="EX191" s="48">
        <v>0</v>
      </c>
      <c r="EY191" s="48">
        <v>0</v>
      </c>
      <c r="EZ191" s="48">
        <v>0</v>
      </c>
      <c r="FA191" s="48">
        <v>1.5595874275812875E-6</v>
      </c>
      <c r="FB191" s="48">
        <v>4.2757103262214355E-8</v>
      </c>
      <c r="FC191" s="48">
        <v>0</v>
      </c>
      <c r="FD191" s="48">
        <v>0</v>
      </c>
      <c r="FE191" s="48">
        <v>0</v>
      </c>
      <c r="FF191" s="48">
        <v>0</v>
      </c>
      <c r="FG191" s="48">
        <v>0</v>
      </c>
      <c r="FH191" s="48">
        <v>0</v>
      </c>
      <c r="FI191" s="48">
        <v>0</v>
      </c>
      <c r="FJ191" s="48">
        <v>0</v>
      </c>
      <c r="FK191" s="48">
        <v>0</v>
      </c>
      <c r="FL191" s="48">
        <v>0</v>
      </c>
      <c r="FM191" s="48">
        <v>8.1550729710482897E-3</v>
      </c>
      <c r="FN191" s="48">
        <v>0</v>
      </c>
      <c r="FO191" s="48">
        <v>0</v>
      </c>
      <c r="FP191" s="48">
        <v>0.34707188447048076</v>
      </c>
      <c r="FQ191" s="48">
        <v>0</v>
      </c>
      <c r="FR191" s="48">
        <v>0</v>
      </c>
      <c r="FS191" s="48">
        <v>0</v>
      </c>
      <c r="FT191" s="48">
        <v>0</v>
      </c>
      <c r="FU191" s="48">
        <v>0</v>
      </c>
      <c r="FV191" s="48">
        <v>2.8964480720606783E-7</v>
      </c>
      <c r="FW191" s="48">
        <v>36.274025615350681</v>
      </c>
      <c r="FX191" s="48">
        <v>75.462779726048566</v>
      </c>
      <c r="FY191" s="48">
        <v>0</v>
      </c>
      <c r="FZ191" s="48">
        <v>0</v>
      </c>
      <c r="GA191" s="48">
        <v>0</v>
      </c>
      <c r="GB191" s="48">
        <v>4169.6860197198648</v>
      </c>
      <c r="GC191" s="48">
        <v>0</v>
      </c>
      <c r="GD191" s="48">
        <v>0</v>
      </c>
      <c r="GE191" s="48">
        <v>1471.8635450151937</v>
      </c>
      <c r="GF191" s="48">
        <v>2062.9958515194726</v>
      </c>
      <c r="GG191" s="48">
        <v>459.59767125582573</v>
      </c>
      <c r="GH191" s="48">
        <v>0</v>
      </c>
      <c r="GI191" s="48">
        <v>0.99653675508502471</v>
      </c>
      <c r="GJ191" s="48">
        <v>51.43368441605287</v>
      </c>
      <c r="GK191" s="48">
        <v>107.68029731440582</v>
      </c>
      <c r="GL191" s="48">
        <v>107.67199868970059</v>
      </c>
      <c r="GM191" s="48">
        <v>0</v>
      </c>
      <c r="GN191" s="48">
        <v>2.99367471849181</v>
      </c>
      <c r="GO191" s="48">
        <v>0</v>
      </c>
      <c r="GP191" s="48">
        <v>11.97586405644919</v>
      </c>
      <c r="GQ191" s="48">
        <v>86.825937584313337</v>
      </c>
      <c r="GR191" s="48">
        <v>0</v>
      </c>
      <c r="GS191" s="48">
        <v>0</v>
      </c>
      <c r="GT191" s="48">
        <v>819.33449906717294</v>
      </c>
      <c r="GU191" s="48">
        <v>49674.859773311495</v>
      </c>
      <c r="GV191" s="48">
        <v>284.63527211156583</v>
      </c>
      <c r="GW191" s="48">
        <v>25.878540837142776</v>
      </c>
      <c r="GX191" s="48">
        <v>4279.3826250408756</v>
      </c>
      <c r="GY191" s="48">
        <v>0</v>
      </c>
      <c r="GZ191" s="48">
        <v>0</v>
      </c>
      <c r="HA191" s="48">
        <v>0</v>
      </c>
      <c r="HB191" s="48">
        <v>222223.4404330606</v>
      </c>
      <c r="HC191" s="48">
        <v>273474.97912085109</v>
      </c>
      <c r="HD191" s="48">
        <v>116207.54424145813</v>
      </c>
      <c r="HE191" s="48">
        <v>80.459525751467467</v>
      </c>
      <c r="HF191" s="48">
        <v>395.16645304144259</v>
      </c>
      <c r="HG191" s="48">
        <v>377.38886383785433</v>
      </c>
      <c r="HH191" s="48">
        <v>710.87547614819778</v>
      </c>
      <c r="HI191" s="48">
        <v>1038.1140798840029</v>
      </c>
      <c r="HJ191" s="48">
        <v>1170.4271765892308</v>
      </c>
      <c r="HK191" s="48">
        <v>56.311584102508483</v>
      </c>
      <c r="HL191" s="48">
        <v>88.528056582924648</v>
      </c>
      <c r="HM191" s="48">
        <v>407.6816996910523</v>
      </c>
      <c r="HN191" s="48">
        <v>119.53774870408975</v>
      </c>
      <c r="HO191" s="48">
        <v>501.86895017447182</v>
      </c>
      <c r="HP191" s="48">
        <v>860.48043367449941</v>
      </c>
      <c r="HQ191" s="48">
        <v>134.35930118703493</v>
      </c>
      <c r="HR191" s="48">
        <v>286.06293857949146</v>
      </c>
      <c r="HS191" s="48">
        <v>483.53208990772555</v>
      </c>
      <c r="HT191" s="48">
        <v>294.39851686494887</v>
      </c>
      <c r="HU191" s="48">
        <v>389.24218988608953</v>
      </c>
      <c r="HV191" s="48">
        <v>33853.134736156127</v>
      </c>
      <c r="HW191" s="48">
        <v>3668.5812644788571</v>
      </c>
      <c r="HX191" s="48">
        <v>0</v>
      </c>
      <c r="HY191" s="48">
        <v>0</v>
      </c>
      <c r="HZ191" s="48">
        <v>0</v>
      </c>
      <c r="IA191" s="48">
        <v>0</v>
      </c>
      <c r="IB191" s="48">
        <v>0</v>
      </c>
      <c r="IC191" s="48">
        <v>6262.612111213748</v>
      </c>
      <c r="ID191" s="48">
        <v>3885.0978607297611</v>
      </c>
      <c r="IE191" s="48">
        <v>2629.5610351824926</v>
      </c>
      <c r="IF191" s="48">
        <v>339.27524646091791</v>
      </c>
      <c r="IG191" s="48">
        <v>0</v>
      </c>
      <c r="IH191" s="48">
        <v>0</v>
      </c>
      <c r="II191" s="48">
        <v>0</v>
      </c>
      <c r="IJ191" s="48">
        <v>20481.003003586738</v>
      </c>
      <c r="IK191" s="48">
        <v>26622.471734918352</v>
      </c>
      <c r="IL191" s="48">
        <v>50352.595676586032</v>
      </c>
      <c r="IM191" s="48">
        <v>13276.51162727673</v>
      </c>
      <c r="IN191" s="48">
        <v>30587.967139544511</v>
      </c>
      <c r="IO191" s="48">
        <v>0</v>
      </c>
      <c r="IP191" s="23">
        <v>906222.00000000279</v>
      </c>
      <c r="IQ191" s="25">
        <v>334398</v>
      </c>
      <c r="IR191" s="25">
        <v>0</v>
      </c>
      <c r="IS191" s="26">
        <v>0</v>
      </c>
      <c r="IT191" s="26">
        <v>14714484</v>
      </c>
      <c r="IU191" s="26">
        <v>-11334</v>
      </c>
      <c r="IV191" s="9">
        <v>0</v>
      </c>
      <c r="IW191" s="38">
        <f t="shared" si="13"/>
        <v>15943770.000000004</v>
      </c>
    </row>
    <row r="192" spans="1:257" ht="30" customHeight="1" x14ac:dyDescent="0.25">
      <c r="A192" s="112" t="b">
        <v>1</v>
      </c>
      <c r="B192" s="113" t="str">
        <f>IFERROR(VLOOKUP(C192,'Bridge matrix'!$D$3:$E$727,2,FALSE)='symmetric IOT 245 2012'!D192,"FALSCH")</f>
        <v>FALSCH</v>
      </c>
      <c r="C192" s="108">
        <v>181</v>
      </c>
      <c r="D192" s="49" t="s">
        <v>1499</v>
      </c>
      <c r="E192" s="48">
        <v>73600.317504280669</v>
      </c>
      <c r="F192" s="48">
        <v>22152.592891215805</v>
      </c>
      <c r="G192" s="48">
        <v>14658.425992561459</v>
      </c>
      <c r="H192" s="48">
        <v>82.069037044078271</v>
      </c>
      <c r="I192" s="48">
        <v>845.60425098542407</v>
      </c>
      <c r="J192" s="48">
        <v>3022.2221091843385</v>
      </c>
      <c r="K192" s="48">
        <v>6782.2515996228885</v>
      </c>
      <c r="L192" s="48">
        <v>221.71211079812321</v>
      </c>
      <c r="M192" s="48">
        <v>12.714295792635758</v>
      </c>
      <c r="N192" s="48">
        <v>44.118749897913041</v>
      </c>
      <c r="O192" s="48">
        <v>8436.1743885916312</v>
      </c>
      <c r="P192" s="48">
        <v>1152.0860991509062</v>
      </c>
      <c r="Q192" s="48">
        <v>119.30510959936987</v>
      </c>
      <c r="R192" s="48">
        <v>3129.4946556967739</v>
      </c>
      <c r="S192" s="48">
        <v>58.978886464416064</v>
      </c>
      <c r="T192" s="48">
        <v>795.42636135228156</v>
      </c>
      <c r="U192" s="48">
        <v>98.538921661956749</v>
      </c>
      <c r="V192" s="48">
        <v>220.95914381047305</v>
      </c>
      <c r="W192" s="48">
        <v>325.66540012620783</v>
      </c>
      <c r="X192" s="48">
        <v>4.727936791356238</v>
      </c>
      <c r="Y192" s="48">
        <v>156.64776006868044</v>
      </c>
      <c r="Z192" s="48">
        <v>409.07193447354246</v>
      </c>
      <c r="AA192" s="48">
        <v>29.495035708485283</v>
      </c>
      <c r="AB192" s="48">
        <v>26.416179589336636</v>
      </c>
      <c r="AC192" s="48">
        <v>6.5547801683659479</v>
      </c>
      <c r="AD192" s="48">
        <v>100.43666308951667</v>
      </c>
      <c r="AE192" s="48">
        <v>151.19528832292508</v>
      </c>
      <c r="AF192" s="48">
        <v>66.004239001554794</v>
      </c>
      <c r="AG192" s="48">
        <v>170.40528692574767</v>
      </c>
      <c r="AH192" s="48">
        <v>277.60717106948152</v>
      </c>
      <c r="AI192" s="48">
        <v>232.93902245347235</v>
      </c>
      <c r="AJ192" s="48">
        <v>146.02881116834848</v>
      </c>
      <c r="AK192" s="48">
        <v>433.45640557970933</v>
      </c>
      <c r="AL192" s="48">
        <v>142.41039489185462</v>
      </c>
      <c r="AM192" s="48">
        <v>12.786947378091982</v>
      </c>
      <c r="AN192" s="48">
        <v>165.73272633278521</v>
      </c>
      <c r="AO192" s="48">
        <v>101.56329580976316</v>
      </c>
      <c r="AP192" s="48">
        <v>388.57679300536199</v>
      </c>
      <c r="AQ192" s="48">
        <v>147.65177440710647</v>
      </c>
      <c r="AR192" s="48">
        <v>239.93116135471865</v>
      </c>
      <c r="AS192" s="48">
        <v>218.02605556356929</v>
      </c>
      <c r="AT192" s="48">
        <v>4188.2255968534901</v>
      </c>
      <c r="AU192" s="48">
        <v>558.14659521296142</v>
      </c>
      <c r="AV192" s="48">
        <v>250.93950787345327</v>
      </c>
      <c r="AW192" s="48">
        <v>772.43524194589168</v>
      </c>
      <c r="AX192" s="48">
        <v>8414.6497029805614</v>
      </c>
      <c r="AY192" s="48">
        <v>1385.2964101355024</v>
      </c>
      <c r="AZ192" s="48">
        <v>214.84594945566658</v>
      </c>
      <c r="BA192" s="48">
        <v>393.71154308971524</v>
      </c>
      <c r="BB192" s="48">
        <v>8751.494060253739</v>
      </c>
      <c r="BC192" s="48">
        <v>1539.915644073169</v>
      </c>
      <c r="BD192" s="48">
        <v>5869.4904766071832</v>
      </c>
      <c r="BE192" s="48">
        <v>58854.549477851404</v>
      </c>
      <c r="BF192" s="48">
        <v>3029.5039798503203</v>
      </c>
      <c r="BG192" s="48">
        <v>107.28686770185668</v>
      </c>
      <c r="BH192" s="48">
        <v>11216.440333419367</v>
      </c>
      <c r="BI192" s="48">
        <v>1075.8323179774547</v>
      </c>
      <c r="BJ192" s="48">
        <v>14191.959594028389</v>
      </c>
      <c r="BK192" s="48">
        <v>2493.0784843232973</v>
      </c>
      <c r="BL192" s="48">
        <v>12.18917651762564</v>
      </c>
      <c r="BM192" s="48">
        <v>1647.0481000120112</v>
      </c>
      <c r="BN192" s="48">
        <v>1254.7699808420621</v>
      </c>
      <c r="BO192" s="48">
        <v>0</v>
      </c>
      <c r="BP192" s="48">
        <v>7917.5219796035271</v>
      </c>
      <c r="BQ192" s="48">
        <v>1177.1716033871503</v>
      </c>
      <c r="BR192" s="48">
        <v>5.1000465647311355</v>
      </c>
      <c r="BS192" s="48">
        <v>8.475132071104758</v>
      </c>
      <c r="BT192" s="48">
        <v>4493.8203075120437</v>
      </c>
      <c r="BU192" s="48">
        <v>64980.723002196712</v>
      </c>
      <c r="BV192" s="48">
        <v>8415.6300434433233</v>
      </c>
      <c r="BW192" s="48">
        <v>11576.805146230681</v>
      </c>
      <c r="BX192" s="48">
        <v>454.77710453918451</v>
      </c>
      <c r="BY192" s="48">
        <v>3091.9800141289452</v>
      </c>
      <c r="BZ192" s="48">
        <v>2124.8595475799134</v>
      </c>
      <c r="CA192" s="48">
        <v>66594.243502652913</v>
      </c>
      <c r="CB192" s="48">
        <v>260.32611064783845</v>
      </c>
      <c r="CC192" s="48">
        <v>57750.551911889052</v>
      </c>
      <c r="CD192" s="48">
        <v>6847.0964510075428</v>
      </c>
      <c r="CE192" s="48">
        <v>489.06746341347184</v>
      </c>
      <c r="CF192" s="48">
        <v>82.613426746091207</v>
      </c>
      <c r="CG192" s="48">
        <v>9135.8289921992327</v>
      </c>
      <c r="CH192" s="48">
        <v>769.17162562125475</v>
      </c>
      <c r="CI192" s="48">
        <v>169947.55140117058</v>
      </c>
      <c r="CJ192" s="48">
        <v>106164.1595624133</v>
      </c>
      <c r="CK192" s="48">
        <v>7284.9889590787388</v>
      </c>
      <c r="CL192" s="48">
        <v>17211.699912430282</v>
      </c>
      <c r="CM192" s="48">
        <v>19551.226714919729</v>
      </c>
      <c r="CN192" s="48">
        <v>225463.56486162686</v>
      </c>
      <c r="CO192" s="48">
        <v>64069.939465127049</v>
      </c>
      <c r="CP192" s="48">
        <v>5853.8349345316319</v>
      </c>
      <c r="CQ192" s="48">
        <v>22703.340913079846</v>
      </c>
      <c r="CR192" s="48">
        <v>76215.600158949863</v>
      </c>
      <c r="CS192" s="48">
        <v>9221.8503189566582</v>
      </c>
      <c r="CT192" s="48">
        <v>5931.9562814096525</v>
      </c>
      <c r="CU192" s="48">
        <v>29191.072463965895</v>
      </c>
      <c r="CV192" s="48">
        <v>45085.283269799686</v>
      </c>
      <c r="CW192" s="48">
        <v>8245.1881686336674</v>
      </c>
      <c r="CX192" s="48">
        <v>83964.764302729222</v>
      </c>
      <c r="CY192" s="48">
        <v>93649.234697555163</v>
      </c>
      <c r="CZ192" s="48">
        <v>13015.358516832448</v>
      </c>
      <c r="DA192" s="48">
        <v>205157.93449051504</v>
      </c>
      <c r="DB192" s="48">
        <v>7510.8906040573956</v>
      </c>
      <c r="DC192" s="48">
        <v>578.23630070409195</v>
      </c>
      <c r="DD192" s="48">
        <v>96240.912544429419</v>
      </c>
      <c r="DE192" s="48">
        <v>12621.17039619366</v>
      </c>
      <c r="DF192" s="48">
        <v>5878.3845168773005</v>
      </c>
      <c r="DG192" s="48">
        <v>30195.206133295596</v>
      </c>
      <c r="DH192" s="48">
        <v>19328.564661686978</v>
      </c>
      <c r="DI192" s="48">
        <v>13694.512084359108</v>
      </c>
      <c r="DJ192" s="48">
        <v>84158.440010264792</v>
      </c>
      <c r="DK192" s="48">
        <v>16320.628111177066</v>
      </c>
      <c r="DL192" s="48">
        <v>76647.500181212046</v>
      </c>
      <c r="DM192" s="48">
        <v>23293.742859099577</v>
      </c>
      <c r="DN192" s="48">
        <v>48414.156602748706</v>
      </c>
      <c r="DO192" s="48">
        <v>1282.8275101145139</v>
      </c>
      <c r="DP192" s="48">
        <v>26676.226698918792</v>
      </c>
      <c r="DQ192" s="48">
        <v>46164.563167423563</v>
      </c>
      <c r="DR192" s="48">
        <v>27741.014838365598</v>
      </c>
      <c r="DS192" s="48">
        <v>87498.771586202027</v>
      </c>
      <c r="DT192" s="48">
        <v>9232.00001524656</v>
      </c>
      <c r="DU192" s="48">
        <v>2349.8032457842378</v>
      </c>
      <c r="DV192" s="48">
        <v>32059.699588478848</v>
      </c>
      <c r="DW192" s="48">
        <v>138370.34551530916</v>
      </c>
      <c r="DX192" s="48">
        <v>70673.193676508279</v>
      </c>
      <c r="DY192" s="48">
        <v>3666.0869726932997</v>
      </c>
      <c r="DZ192" s="48">
        <v>8247.5429090806247</v>
      </c>
      <c r="EA192" s="48">
        <v>16584.097716795372</v>
      </c>
      <c r="EB192" s="48">
        <v>16734.795199034426</v>
      </c>
      <c r="EC192" s="48">
        <v>41422.111705103838</v>
      </c>
      <c r="ED192" s="48">
        <v>14247.890375482561</v>
      </c>
      <c r="EE192" s="48">
        <v>21568.847003776744</v>
      </c>
      <c r="EF192" s="48">
        <v>18547.31425066687</v>
      </c>
      <c r="EG192" s="48">
        <v>10241.450077902708</v>
      </c>
      <c r="EH192" s="48">
        <v>7400.3309818996777</v>
      </c>
      <c r="EI192" s="48">
        <v>8944.0563546167105</v>
      </c>
      <c r="EJ192" s="48">
        <v>15054.630917412514</v>
      </c>
      <c r="EK192" s="48">
        <v>3530.4485553739796</v>
      </c>
      <c r="EL192" s="48">
        <v>12386.124521503458</v>
      </c>
      <c r="EM192" s="48">
        <v>44697.23379246195</v>
      </c>
      <c r="EN192" s="48">
        <v>21227.930056298886</v>
      </c>
      <c r="EO192" s="48">
        <v>2416.5420783198683</v>
      </c>
      <c r="EP192" s="48">
        <v>4561.6068668849239</v>
      </c>
      <c r="EQ192" s="48">
        <v>11255.803518767096</v>
      </c>
      <c r="ER192" s="48">
        <v>11989.681432001933</v>
      </c>
      <c r="ES192" s="48">
        <v>2235.3303813107582</v>
      </c>
      <c r="ET192" s="48">
        <v>38127.897327422317</v>
      </c>
      <c r="EU192" s="48">
        <v>3636.7561037814976</v>
      </c>
      <c r="EV192" s="48">
        <v>3007.986464475071</v>
      </c>
      <c r="EW192" s="48">
        <v>11074.507244922303</v>
      </c>
      <c r="EX192" s="48">
        <v>70925.973597052929</v>
      </c>
      <c r="EY192" s="48">
        <v>6052.3475987180809</v>
      </c>
      <c r="EZ192" s="48">
        <v>2452.9569707046858</v>
      </c>
      <c r="FA192" s="48">
        <v>35809.403035530762</v>
      </c>
      <c r="FB192" s="48">
        <v>52058.874520168953</v>
      </c>
      <c r="FC192" s="48">
        <v>25033.349454514802</v>
      </c>
      <c r="FD192" s="48">
        <v>60417.78268216765</v>
      </c>
      <c r="FE192" s="48">
        <v>7413.6270062688891</v>
      </c>
      <c r="FF192" s="48">
        <v>328.71465707047884</v>
      </c>
      <c r="FG192" s="48">
        <v>32837.360620343505</v>
      </c>
      <c r="FH192" s="48">
        <v>28617.504601989753</v>
      </c>
      <c r="FI192" s="48">
        <v>9584.6866210085354</v>
      </c>
      <c r="FJ192" s="48">
        <v>25608.350395307662</v>
      </c>
      <c r="FK192" s="48">
        <v>4055.9556124296437</v>
      </c>
      <c r="FL192" s="48">
        <v>126.40268376420963</v>
      </c>
      <c r="FM192" s="48">
        <v>17863.853319902526</v>
      </c>
      <c r="FN192" s="48">
        <v>6246.5307407012324</v>
      </c>
      <c r="FO192" s="48">
        <v>3372.9508883323342</v>
      </c>
      <c r="FP192" s="48">
        <v>75813.001212653384</v>
      </c>
      <c r="FQ192" s="48">
        <v>2606.2686047226116</v>
      </c>
      <c r="FR192" s="48">
        <v>115564.30619417095</v>
      </c>
      <c r="FS192" s="48">
        <v>5490.4829033609112</v>
      </c>
      <c r="FT192" s="48">
        <v>1034.2270044298107</v>
      </c>
      <c r="FU192" s="48">
        <v>12221.494933795397</v>
      </c>
      <c r="FV192" s="48">
        <v>32384.703155913252</v>
      </c>
      <c r="FW192" s="48">
        <v>87793.69669153115</v>
      </c>
      <c r="FX192" s="48">
        <v>25579.62366061594</v>
      </c>
      <c r="FY192" s="48">
        <v>3764.8118071815566</v>
      </c>
      <c r="FZ192" s="48">
        <v>90.280119666814528</v>
      </c>
      <c r="GA192" s="48">
        <v>1380.4896755167176</v>
      </c>
      <c r="GB192" s="48">
        <v>1223680.7254975769</v>
      </c>
      <c r="GC192" s="48">
        <v>175705.42115355076</v>
      </c>
      <c r="GD192" s="48">
        <v>12662.509185278484</v>
      </c>
      <c r="GE192" s="48">
        <v>22760.944157977316</v>
      </c>
      <c r="GF192" s="48">
        <v>192325.89610517843</v>
      </c>
      <c r="GG192" s="48">
        <v>125495.66117609812</v>
      </c>
      <c r="GH192" s="48">
        <v>136892.49094289658</v>
      </c>
      <c r="GI192" s="48">
        <v>206.8024508798467</v>
      </c>
      <c r="GJ192" s="48">
        <v>4689.9458058127148</v>
      </c>
      <c r="GK192" s="48">
        <v>26372.06721527964</v>
      </c>
      <c r="GL192" s="48">
        <v>25001.677969700202</v>
      </c>
      <c r="GM192" s="48">
        <v>16066.105745126168</v>
      </c>
      <c r="GN192" s="48">
        <v>386.20021728129478</v>
      </c>
      <c r="GO192" s="48">
        <v>5198.3359588943476</v>
      </c>
      <c r="GP192" s="48">
        <v>1394.9601985956156</v>
      </c>
      <c r="GQ192" s="48">
        <v>10288.634972898049</v>
      </c>
      <c r="GR192" s="48">
        <v>1407.0670245711956</v>
      </c>
      <c r="GS192" s="48">
        <v>37281.066002182095</v>
      </c>
      <c r="GT192" s="48">
        <v>303.55531957067541</v>
      </c>
      <c r="GU192" s="48">
        <v>20613.576975591415</v>
      </c>
      <c r="GV192" s="48">
        <v>119.45219520453033</v>
      </c>
      <c r="GW192" s="48">
        <v>29.899546497778726</v>
      </c>
      <c r="GX192" s="48">
        <v>1596.8054080569598</v>
      </c>
      <c r="GY192" s="48">
        <v>583.89425871363528</v>
      </c>
      <c r="GZ192" s="48">
        <v>82.857821823882233</v>
      </c>
      <c r="HA192" s="48">
        <v>3149.3567272837245</v>
      </c>
      <c r="HB192" s="48">
        <v>4604.5566655264001</v>
      </c>
      <c r="HC192" s="48">
        <v>10392.662291542752</v>
      </c>
      <c r="HD192" s="48">
        <v>3512.7188891356986</v>
      </c>
      <c r="HE192" s="48">
        <v>1031.1431722526781</v>
      </c>
      <c r="HF192" s="48">
        <v>5163.043190679793</v>
      </c>
      <c r="HG192" s="48">
        <v>4934.3287475270954</v>
      </c>
      <c r="HH192" s="48">
        <v>9292.1924361398851</v>
      </c>
      <c r="HI192" s="48">
        <v>13552.677528560815</v>
      </c>
      <c r="HJ192" s="48">
        <v>15422.549581073366</v>
      </c>
      <c r="HK192" s="48">
        <v>730.18405057276163</v>
      </c>
      <c r="HL192" s="48">
        <v>1155.1216848817505</v>
      </c>
      <c r="HM192" s="48">
        <v>5319.4659209121601</v>
      </c>
      <c r="HN192" s="48">
        <v>1556.1230256014871</v>
      </c>
      <c r="HO192" s="48">
        <v>6555.6761695991527</v>
      </c>
      <c r="HP192" s="48">
        <v>11238.005300274908</v>
      </c>
      <c r="HQ192" s="48">
        <v>1752.4896793456139</v>
      </c>
      <c r="HR192" s="48">
        <v>3742.6149241392727</v>
      </c>
      <c r="HS192" s="48">
        <v>6232.5311323259721</v>
      </c>
      <c r="HT192" s="48">
        <v>3847.925328902907</v>
      </c>
      <c r="HU192" s="48">
        <v>5083.979835207836</v>
      </c>
      <c r="HV192" s="48">
        <v>92878.314996414876</v>
      </c>
      <c r="HW192" s="48">
        <v>558.65240794793749</v>
      </c>
      <c r="HX192" s="48">
        <v>17791.438648944229</v>
      </c>
      <c r="HY192" s="48">
        <v>15666.658521715732</v>
      </c>
      <c r="HZ192" s="48">
        <v>28207.904575251359</v>
      </c>
      <c r="IA192" s="48">
        <v>9021.977170173217</v>
      </c>
      <c r="IB192" s="48">
        <v>491.01211977107704</v>
      </c>
      <c r="IC192" s="48">
        <v>7538.4922381006099</v>
      </c>
      <c r="ID192" s="48">
        <v>4677.1227256906677</v>
      </c>
      <c r="IE192" s="48">
        <v>3165.6579813152275</v>
      </c>
      <c r="IF192" s="48">
        <v>407.77122704601737</v>
      </c>
      <c r="IG192" s="48">
        <v>62965.068792751445</v>
      </c>
      <c r="IH192" s="48">
        <v>2980.4595864614676</v>
      </c>
      <c r="II192" s="48">
        <v>1363.9017018929223</v>
      </c>
      <c r="IJ192" s="48">
        <v>99644.849456843716</v>
      </c>
      <c r="IK192" s="48">
        <v>17278.188470221543</v>
      </c>
      <c r="IL192" s="48">
        <v>18774.55819497578</v>
      </c>
      <c r="IM192" s="48">
        <v>20463.537798713893</v>
      </c>
      <c r="IN192" s="48">
        <v>10264.860321471542</v>
      </c>
      <c r="IO192" s="48">
        <v>0</v>
      </c>
      <c r="IP192" s="23">
        <v>6275536.5761655625</v>
      </c>
      <c r="IQ192" s="25">
        <v>5718142</v>
      </c>
      <c r="IR192" s="25">
        <v>0</v>
      </c>
      <c r="IS192" s="26">
        <v>0</v>
      </c>
      <c r="IT192" s="26">
        <v>899392</v>
      </c>
      <c r="IU192" s="26">
        <v>0</v>
      </c>
      <c r="IV192" s="9">
        <v>692988</v>
      </c>
      <c r="IW192" s="38">
        <f t="shared" si="13"/>
        <v>13586058.576165562</v>
      </c>
    </row>
    <row r="193" spans="1:257" ht="30" customHeight="1" x14ac:dyDescent="0.25">
      <c r="A193" s="112" t="b">
        <v>1</v>
      </c>
      <c r="B193" s="113" t="b">
        <f>IFERROR(VLOOKUP(C193,'Bridge matrix'!$D$3:$E$727,2,FALSE)='symmetric IOT 245 2012'!D193,"FALSCH")</f>
        <v>1</v>
      </c>
      <c r="C193" s="108">
        <v>182</v>
      </c>
      <c r="D193" s="49" t="s">
        <v>1500</v>
      </c>
      <c r="E193" s="48">
        <v>0</v>
      </c>
      <c r="F193" s="48">
        <v>0</v>
      </c>
      <c r="G193" s="48">
        <v>0</v>
      </c>
      <c r="H193" s="48">
        <v>0</v>
      </c>
      <c r="I193" s="48">
        <v>0</v>
      </c>
      <c r="J193" s="48">
        <v>0</v>
      </c>
      <c r="K193" s="48">
        <v>0</v>
      </c>
      <c r="L193" s="48">
        <v>0</v>
      </c>
      <c r="M193" s="48">
        <v>0</v>
      </c>
      <c r="N193" s="48">
        <v>0</v>
      </c>
      <c r="O193" s="48">
        <v>0</v>
      </c>
      <c r="P193" s="48">
        <v>0</v>
      </c>
      <c r="Q193" s="48">
        <v>0</v>
      </c>
      <c r="R193" s="48">
        <v>0</v>
      </c>
      <c r="S193" s="48">
        <v>0</v>
      </c>
      <c r="T193" s="48">
        <v>0</v>
      </c>
      <c r="U193" s="48">
        <v>0</v>
      </c>
      <c r="V193" s="48">
        <v>0</v>
      </c>
      <c r="W193" s="48">
        <v>0</v>
      </c>
      <c r="X193" s="48">
        <v>0</v>
      </c>
      <c r="Y193" s="48">
        <v>0</v>
      </c>
      <c r="Z193" s="48">
        <v>0</v>
      </c>
      <c r="AA193" s="48">
        <v>0</v>
      </c>
      <c r="AB193" s="48">
        <v>0</v>
      </c>
      <c r="AC193" s="48">
        <v>0</v>
      </c>
      <c r="AD193" s="48">
        <v>0</v>
      </c>
      <c r="AE193" s="48">
        <v>0</v>
      </c>
      <c r="AF193" s="48">
        <v>0</v>
      </c>
      <c r="AG193" s="48">
        <v>0</v>
      </c>
      <c r="AH193" s="48">
        <v>0</v>
      </c>
      <c r="AI193" s="48">
        <v>0</v>
      </c>
      <c r="AJ193" s="48">
        <v>0</v>
      </c>
      <c r="AK193" s="48">
        <v>0</v>
      </c>
      <c r="AL193" s="48">
        <v>0</v>
      </c>
      <c r="AM193" s="48">
        <v>0</v>
      </c>
      <c r="AN193" s="48">
        <v>0</v>
      </c>
      <c r="AO193" s="48">
        <v>0</v>
      </c>
      <c r="AP193" s="48">
        <v>0</v>
      </c>
      <c r="AQ193" s="48">
        <v>0</v>
      </c>
      <c r="AR193" s="48">
        <v>0</v>
      </c>
      <c r="AS193" s="48">
        <v>0</v>
      </c>
      <c r="AT193" s="48">
        <v>0</v>
      </c>
      <c r="AU193" s="48">
        <v>0</v>
      </c>
      <c r="AV193" s="48">
        <v>0</v>
      </c>
      <c r="AW193" s="48">
        <v>0</v>
      </c>
      <c r="AX193" s="48">
        <v>0</v>
      </c>
      <c r="AY193" s="48">
        <v>0</v>
      </c>
      <c r="AZ193" s="48">
        <v>0</v>
      </c>
      <c r="BA193" s="48">
        <v>0</v>
      </c>
      <c r="BB193" s="48">
        <v>0</v>
      </c>
      <c r="BC193" s="48">
        <v>0</v>
      </c>
      <c r="BD193" s="48">
        <v>0</v>
      </c>
      <c r="BE193" s="48">
        <v>0</v>
      </c>
      <c r="BF193" s="48">
        <v>0</v>
      </c>
      <c r="BG193" s="48">
        <v>0</v>
      </c>
      <c r="BH193" s="48">
        <v>0</v>
      </c>
      <c r="BI193" s="48">
        <v>0</v>
      </c>
      <c r="BJ193" s="48">
        <v>0</v>
      </c>
      <c r="BK193" s="48">
        <v>0</v>
      </c>
      <c r="BL193" s="48">
        <v>0</v>
      </c>
      <c r="BM193" s="48">
        <v>0</v>
      </c>
      <c r="BN193" s="48">
        <v>0</v>
      </c>
      <c r="BO193" s="48">
        <v>0</v>
      </c>
      <c r="BP193" s="48">
        <v>0</v>
      </c>
      <c r="BQ193" s="48">
        <v>0</v>
      </c>
      <c r="BR193" s="48">
        <v>0</v>
      </c>
      <c r="BS193" s="48">
        <v>0</v>
      </c>
      <c r="BT193" s="48">
        <v>0</v>
      </c>
      <c r="BU193" s="48">
        <v>0</v>
      </c>
      <c r="BV193" s="48">
        <v>0</v>
      </c>
      <c r="BW193" s="48">
        <v>0</v>
      </c>
      <c r="BX193" s="48">
        <v>0</v>
      </c>
      <c r="BY193" s="48">
        <v>0</v>
      </c>
      <c r="BZ193" s="48">
        <v>0</v>
      </c>
      <c r="CA193" s="48">
        <v>204099.15145408886</v>
      </c>
      <c r="CB193" s="48">
        <v>703.66803571762307</v>
      </c>
      <c r="CC193" s="48">
        <v>12652.873271753439</v>
      </c>
      <c r="CD193" s="48">
        <v>0</v>
      </c>
      <c r="CE193" s="48">
        <v>0</v>
      </c>
      <c r="CF193" s="48">
        <v>0</v>
      </c>
      <c r="CG193" s="48">
        <v>0</v>
      </c>
      <c r="CH193" s="48">
        <v>0</v>
      </c>
      <c r="CI193" s="48">
        <v>0</v>
      </c>
      <c r="CJ193" s="48">
        <v>0</v>
      </c>
      <c r="CK193" s="48">
        <v>0</v>
      </c>
      <c r="CL193" s="48">
        <v>0</v>
      </c>
      <c r="CM193" s="48">
        <v>0</v>
      </c>
      <c r="CN193" s="48">
        <v>0</v>
      </c>
      <c r="CO193" s="48">
        <v>0</v>
      </c>
      <c r="CP193" s="48">
        <v>0</v>
      </c>
      <c r="CQ193" s="48">
        <v>0</v>
      </c>
      <c r="CR193" s="48">
        <v>0</v>
      </c>
      <c r="CS193" s="48">
        <v>0</v>
      </c>
      <c r="CT193" s="48">
        <v>0</v>
      </c>
      <c r="CU193" s="48">
        <v>0</v>
      </c>
      <c r="CV193" s="48">
        <v>0</v>
      </c>
      <c r="CW193" s="48">
        <v>0</v>
      </c>
      <c r="CX193" s="48">
        <v>0</v>
      </c>
      <c r="CY193" s="48">
        <v>0</v>
      </c>
      <c r="CZ193" s="48">
        <v>0</v>
      </c>
      <c r="DA193" s="48">
        <v>0</v>
      </c>
      <c r="DB193" s="48">
        <v>0</v>
      </c>
      <c r="DC193" s="48">
        <v>0</v>
      </c>
      <c r="DD193" s="48">
        <v>0.96588756894610783</v>
      </c>
      <c r="DE193" s="48">
        <v>0</v>
      </c>
      <c r="DF193" s="48">
        <v>0</v>
      </c>
      <c r="DG193" s="48">
        <v>0</v>
      </c>
      <c r="DH193" s="48">
        <v>0</v>
      </c>
      <c r="DI193" s="48">
        <v>0</v>
      </c>
      <c r="DJ193" s="48">
        <v>0</v>
      </c>
      <c r="DK193" s="48">
        <v>4.4375859747971376</v>
      </c>
      <c r="DL193" s="48">
        <v>0</v>
      </c>
      <c r="DM193" s="48">
        <v>0</v>
      </c>
      <c r="DN193" s="48">
        <v>0</v>
      </c>
      <c r="DO193" s="48">
        <v>0</v>
      </c>
      <c r="DP193" s="48">
        <v>0</v>
      </c>
      <c r="DQ193" s="48">
        <v>0</v>
      </c>
      <c r="DR193" s="48">
        <v>0</v>
      </c>
      <c r="DS193" s="48">
        <v>0</v>
      </c>
      <c r="DT193" s="48">
        <v>0</v>
      </c>
      <c r="DU193" s="48">
        <v>0</v>
      </c>
      <c r="DV193" s="48">
        <v>0</v>
      </c>
      <c r="DW193" s="48">
        <v>0</v>
      </c>
      <c r="DX193" s="48">
        <v>0</v>
      </c>
      <c r="DY193" s="48">
        <v>0</v>
      </c>
      <c r="DZ193" s="48">
        <v>0</v>
      </c>
      <c r="EA193" s="48">
        <v>0</v>
      </c>
      <c r="EB193" s="48">
        <v>0</v>
      </c>
      <c r="EC193" s="48">
        <v>0</v>
      </c>
      <c r="ED193" s="48">
        <v>1762.9198502091901</v>
      </c>
      <c r="EE193" s="48">
        <v>496.8793605828817</v>
      </c>
      <c r="EF193" s="48">
        <v>1705.1206364299153</v>
      </c>
      <c r="EG193" s="48">
        <v>598.25427479226369</v>
      </c>
      <c r="EH193" s="48">
        <v>82.145586158664088</v>
      </c>
      <c r="EI193" s="48">
        <v>0</v>
      </c>
      <c r="EJ193" s="48">
        <v>0</v>
      </c>
      <c r="EK193" s="48">
        <v>0</v>
      </c>
      <c r="EL193" s="48">
        <v>0</v>
      </c>
      <c r="EM193" s="48">
        <v>0</v>
      </c>
      <c r="EN193" s="48">
        <v>0</v>
      </c>
      <c r="EO193" s="48">
        <v>0</v>
      </c>
      <c r="EP193" s="48">
        <v>0</v>
      </c>
      <c r="EQ193" s="48">
        <v>0</v>
      </c>
      <c r="ER193" s="48">
        <v>0</v>
      </c>
      <c r="ES193" s="48">
        <v>0</v>
      </c>
      <c r="ET193" s="48">
        <v>0.54773277045162738</v>
      </c>
      <c r="EU193" s="48">
        <v>0</v>
      </c>
      <c r="EV193" s="48">
        <v>0</v>
      </c>
      <c r="EW193" s="48">
        <v>0</v>
      </c>
      <c r="EX193" s="48">
        <v>0</v>
      </c>
      <c r="EY193" s="48">
        <v>0</v>
      </c>
      <c r="EZ193" s="48">
        <v>0</v>
      </c>
      <c r="FA193" s="48">
        <v>5.1722720814190302</v>
      </c>
      <c r="FB193" s="48">
        <v>2.8336285325652177</v>
      </c>
      <c r="FC193" s="48">
        <v>2.4389270876957561</v>
      </c>
      <c r="FD193" s="48">
        <v>0</v>
      </c>
      <c r="FE193" s="48">
        <v>0</v>
      </c>
      <c r="FF193" s="48">
        <v>0</v>
      </c>
      <c r="FG193" s="48">
        <v>0</v>
      </c>
      <c r="FH193" s="48">
        <v>0</v>
      </c>
      <c r="FI193" s="48">
        <v>0</v>
      </c>
      <c r="FJ193" s="48">
        <v>0</v>
      </c>
      <c r="FK193" s="48">
        <v>0</v>
      </c>
      <c r="FL193" s="48">
        <v>0</v>
      </c>
      <c r="FM193" s="48">
        <v>0</v>
      </c>
      <c r="FN193" s="48">
        <v>0</v>
      </c>
      <c r="FO193" s="48">
        <v>0</v>
      </c>
      <c r="FP193" s="48">
        <v>0</v>
      </c>
      <c r="FQ193" s="48">
        <v>0</v>
      </c>
      <c r="FR193" s="48">
        <v>0</v>
      </c>
      <c r="FS193" s="48">
        <v>0</v>
      </c>
      <c r="FT193" s="48">
        <v>0</v>
      </c>
      <c r="FU193" s="48">
        <v>0</v>
      </c>
      <c r="FV193" s="48">
        <v>0.33317943925811999</v>
      </c>
      <c r="FW193" s="48">
        <v>3431.7919649091614</v>
      </c>
      <c r="FX193" s="48">
        <v>6947.7943462397761</v>
      </c>
      <c r="FY193" s="48">
        <v>934.01096426700531</v>
      </c>
      <c r="FZ193" s="48">
        <v>19.507142368667719</v>
      </c>
      <c r="GA193" s="48">
        <v>161.34332074168429</v>
      </c>
      <c r="GB193" s="48">
        <v>0</v>
      </c>
      <c r="GC193" s="48">
        <v>76942.340120289242</v>
      </c>
      <c r="GD193" s="48">
        <v>0</v>
      </c>
      <c r="GE193" s="48">
        <v>0</v>
      </c>
      <c r="GF193" s="48">
        <v>0</v>
      </c>
      <c r="GG193" s="48">
        <v>43740.999794355812</v>
      </c>
      <c r="GH193" s="48">
        <v>38695.14814302056</v>
      </c>
      <c r="GI193" s="48">
        <v>67.714539342509994</v>
      </c>
      <c r="GJ193" s="48">
        <v>4922.6083393156059</v>
      </c>
      <c r="GK193" s="48">
        <v>10258.943382284602</v>
      </c>
      <c r="GL193" s="48">
        <v>10268.088091321786</v>
      </c>
      <c r="GM193" s="48">
        <v>7629.1075145065788</v>
      </c>
      <c r="GN193" s="48">
        <v>309.19921943618857</v>
      </c>
      <c r="GO193" s="48">
        <v>2554.4199009615863</v>
      </c>
      <c r="GP193" s="48">
        <v>1112.1364285057882</v>
      </c>
      <c r="GQ193" s="48">
        <v>8228.975593687308</v>
      </c>
      <c r="GR193" s="48">
        <v>368.87996304397711</v>
      </c>
      <c r="GS193" s="48">
        <v>34006.301423155484</v>
      </c>
      <c r="GT193" s="48">
        <v>661.05375952075451</v>
      </c>
      <c r="GU193" s="48">
        <v>39373.807002298941</v>
      </c>
      <c r="GV193" s="48">
        <v>224.10693780933087</v>
      </c>
      <c r="GW193" s="48">
        <v>61.36870029228529</v>
      </c>
      <c r="GX193" s="48">
        <v>3202.767951940792</v>
      </c>
      <c r="GY193" s="48">
        <v>135.78691813738041</v>
      </c>
      <c r="GZ193" s="48">
        <v>0</v>
      </c>
      <c r="HA193" s="48">
        <v>474.08284861973226</v>
      </c>
      <c r="HB193" s="48">
        <v>0</v>
      </c>
      <c r="HC193" s="48">
        <v>0</v>
      </c>
      <c r="HD193" s="48">
        <v>0</v>
      </c>
      <c r="HE193" s="48">
        <v>878.15061873940067</v>
      </c>
      <c r="HF193" s="48">
        <v>4353.4709801942981</v>
      </c>
      <c r="HG193" s="48">
        <v>4158.6345124789996</v>
      </c>
      <c r="HH193" s="48">
        <v>7831.7916445899709</v>
      </c>
      <c r="HI193" s="48">
        <v>11427.744934507045</v>
      </c>
      <c r="HJ193" s="48">
        <v>12998.478574743454</v>
      </c>
      <c r="HK193" s="48">
        <v>616.72192478830391</v>
      </c>
      <c r="HL193" s="48">
        <v>977.58204016708078</v>
      </c>
      <c r="HM193" s="48">
        <v>4483.1027900546223</v>
      </c>
      <c r="HN193" s="48">
        <v>1314.411236683447</v>
      </c>
      <c r="HO193" s="48">
        <v>5528.2539590044298</v>
      </c>
      <c r="HP193" s="48">
        <v>9474.1187557125013</v>
      </c>
      <c r="HQ193" s="48">
        <v>1479.0680590873851</v>
      </c>
      <c r="HR193" s="48">
        <v>3154.1226353039383</v>
      </c>
      <c r="HS193" s="48">
        <v>5288.3082811798049</v>
      </c>
      <c r="HT193" s="48">
        <v>3241.9622849518842</v>
      </c>
      <c r="HU193" s="48">
        <v>4287.6540128342585</v>
      </c>
      <c r="HV193" s="48">
        <v>26354.985265113013</v>
      </c>
      <c r="HW193" s="48">
        <v>101.38864025485553</v>
      </c>
      <c r="HX193" s="48">
        <v>0</v>
      </c>
      <c r="HY193" s="48">
        <v>0</v>
      </c>
      <c r="HZ193" s="48">
        <v>0</v>
      </c>
      <c r="IA193" s="48">
        <v>0</v>
      </c>
      <c r="IB193" s="48">
        <v>0</v>
      </c>
      <c r="IC193" s="48">
        <v>699.26781229852543</v>
      </c>
      <c r="ID193" s="48">
        <v>433.74422274666387</v>
      </c>
      <c r="IE193" s="48">
        <v>294.02159144182053</v>
      </c>
      <c r="IF193" s="48">
        <v>37.811551079979807</v>
      </c>
      <c r="IG193" s="48">
        <v>0</v>
      </c>
      <c r="IH193" s="48">
        <v>0</v>
      </c>
      <c r="II193" s="48">
        <v>0</v>
      </c>
      <c r="IJ193" s="48">
        <v>2450.1776784852273</v>
      </c>
      <c r="IK193" s="48">
        <v>0</v>
      </c>
      <c r="IL193" s="48">
        <v>0</v>
      </c>
      <c r="IM193" s="48">
        <v>0</v>
      </c>
      <c r="IN193" s="48">
        <v>0</v>
      </c>
      <c r="IO193" s="48">
        <v>0</v>
      </c>
      <c r="IP193" s="23">
        <v>628715.00000000175</v>
      </c>
      <c r="IQ193" s="25">
        <v>438329</v>
      </c>
      <c r="IR193" s="25">
        <v>0</v>
      </c>
      <c r="IS193" s="26">
        <v>0</v>
      </c>
      <c r="IT193" s="26">
        <v>0</v>
      </c>
      <c r="IU193" s="26">
        <v>0</v>
      </c>
      <c r="IV193" s="9">
        <v>0</v>
      </c>
      <c r="IW193" s="38">
        <f t="shared" si="13"/>
        <v>1067044.0000000019</v>
      </c>
    </row>
    <row r="194" spans="1:257" ht="30" customHeight="1" x14ac:dyDescent="0.25">
      <c r="A194" s="112" t="b">
        <v>1</v>
      </c>
      <c r="B194" s="113" t="b">
        <f>IFERROR(VLOOKUP(C194,'Bridge matrix'!$D$3:$E$727,2,FALSE)='symmetric IOT 245 2012'!D194,"FALSCH")</f>
        <v>1</v>
      </c>
      <c r="C194" s="108">
        <v>183</v>
      </c>
      <c r="D194" s="49" t="s">
        <v>1501</v>
      </c>
      <c r="E194" s="48">
        <v>0</v>
      </c>
      <c r="F194" s="48">
        <v>0</v>
      </c>
      <c r="G194" s="48">
        <v>0</v>
      </c>
      <c r="H194" s="48">
        <v>0</v>
      </c>
      <c r="I194" s="48">
        <v>0</v>
      </c>
      <c r="J194" s="48">
        <v>0</v>
      </c>
      <c r="K194" s="48">
        <v>0</v>
      </c>
      <c r="L194" s="48">
        <v>0</v>
      </c>
      <c r="M194" s="48">
        <v>0</v>
      </c>
      <c r="N194" s="48">
        <v>0</v>
      </c>
      <c r="O194" s="48">
        <v>0</v>
      </c>
      <c r="P194" s="48">
        <v>0</v>
      </c>
      <c r="Q194" s="48">
        <v>0</v>
      </c>
      <c r="R194" s="48">
        <v>0</v>
      </c>
      <c r="S194" s="48">
        <v>0</v>
      </c>
      <c r="T194" s="48">
        <v>0</v>
      </c>
      <c r="U194" s="48">
        <v>0</v>
      </c>
      <c r="V194" s="48">
        <v>0</v>
      </c>
      <c r="W194" s="48">
        <v>0</v>
      </c>
      <c r="X194" s="48">
        <v>0</v>
      </c>
      <c r="Y194" s="48">
        <v>0</v>
      </c>
      <c r="Z194" s="48">
        <v>0</v>
      </c>
      <c r="AA194" s="48">
        <v>0</v>
      </c>
      <c r="AB194" s="48">
        <v>0</v>
      </c>
      <c r="AC194" s="48">
        <v>0</v>
      </c>
      <c r="AD194" s="48">
        <v>0</v>
      </c>
      <c r="AE194" s="48">
        <v>0</v>
      </c>
      <c r="AF194" s="48">
        <v>0</v>
      </c>
      <c r="AG194" s="48">
        <v>0</v>
      </c>
      <c r="AH194" s="48">
        <v>0</v>
      </c>
      <c r="AI194" s="48">
        <v>0</v>
      </c>
      <c r="AJ194" s="48">
        <v>0</v>
      </c>
      <c r="AK194" s="48">
        <v>0</v>
      </c>
      <c r="AL194" s="48">
        <v>0</v>
      </c>
      <c r="AM194" s="48">
        <v>0</v>
      </c>
      <c r="AN194" s="48">
        <v>0</v>
      </c>
      <c r="AO194" s="48">
        <v>0</v>
      </c>
      <c r="AP194" s="48">
        <v>0</v>
      </c>
      <c r="AQ194" s="48">
        <v>0</v>
      </c>
      <c r="AR194" s="48">
        <v>0</v>
      </c>
      <c r="AS194" s="48">
        <v>0</v>
      </c>
      <c r="AT194" s="48">
        <v>0</v>
      </c>
      <c r="AU194" s="48">
        <v>0</v>
      </c>
      <c r="AV194" s="48">
        <v>0</v>
      </c>
      <c r="AW194" s="48">
        <v>0</v>
      </c>
      <c r="AX194" s="48">
        <v>0</v>
      </c>
      <c r="AY194" s="48">
        <v>0</v>
      </c>
      <c r="AZ194" s="48">
        <v>0</v>
      </c>
      <c r="BA194" s="48">
        <v>0</v>
      </c>
      <c r="BB194" s="48">
        <v>0</v>
      </c>
      <c r="BC194" s="48">
        <v>0</v>
      </c>
      <c r="BD194" s="48">
        <v>0</v>
      </c>
      <c r="BE194" s="48">
        <v>0</v>
      </c>
      <c r="BF194" s="48">
        <v>0</v>
      </c>
      <c r="BG194" s="48">
        <v>0</v>
      </c>
      <c r="BH194" s="48">
        <v>0</v>
      </c>
      <c r="BI194" s="48">
        <v>0</v>
      </c>
      <c r="BJ194" s="48">
        <v>0</v>
      </c>
      <c r="BK194" s="48">
        <v>0</v>
      </c>
      <c r="BL194" s="48">
        <v>0</v>
      </c>
      <c r="BM194" s="48">
        <v>0</v>
      </c>
      <c r="BN194" s="48">
        <v>0</v>
      </c>
      <c r="BO194" s="48">
        <v>0</v>
      </c>
      <c r="BP194" s="48">
        <v>0</v>
      </c>
      <c r="BQ194" s="48">
        <v>0</v>
      </c>
      <c r="BR194" s="48">
        <v>0</v>
      </c>
      <c r="BS194" s="48">
        <v>0</v>
      </c>
      <c r="BT194" s="48">
        <v>0</v>
      </c>
      <c r="BU194" s="48">
        <v>0</v>
      </c>
      <c r="BV194" s="48">
        <v>0</v>
      </c>
      <c r="BW194" s="48">
        <v>0</v>
      </c>
      <c r="BX194" s="48">
        <v>0</v>
      </c>
      <c r="BY194" s="48">
        <v>0</v>
      </c>
      <c r="BZ194" s="48">
        <v>0</v>
      </c>
      <c r="CA194" s="48">
        <v>15050.921049070736</v>
      </c>
      <c r="CB194" s="48">
        <v>52.056197311093968</v>
      </c>
      <c r="CC194" s="48">
        <v>3884.0726078784242</v>
      </c>
      <c r="CD194" s="48">
        <v>0</v>
      </c>
      <c r="CE194" s="48">
        <v>0</v>
      </c>
      <c r="CF194" s="48">
        <v>0</v>
      </c>
      <c r="CG194" s="48">
        <v>0</v>
      </c>
      <c r="CH194" s="48">
        <v>0</v>
      </c>
      <c r="CI194" s="48">
        <v>0</v>
      </c>
      <c r="CJ194" s="48">
        <v>0</v>
      </c>
      <c r="CK194" s="48">
        <v>0</v>
      </c>
      <c r="CL194" s="48">
        <v>2.2791735808567781E-6</v>
      </c>
      <c r="CM194" s="48">
        <v>6.9160424715050008E-10</v>
      </c>
      <c r="CN194" s="48">
        <v>3.3909811304985701E-6</v>
      </c>
      <c r="CO194" s="48">
        <v>0</v>
      </c>
      <c r="CP194" s="48">
        <v>0</v>
      </c>
      <c r="CQ194" s="48">
        <v>0</v>
      </c>
      <c r="CR194" s="48">
        <v>0</v>
      </c>
      <c r="CS194" s="48">
        <v>0</v>
      </c>
      <c r="CT194" s="48">
        <v>4.5392869330704813E-9</v>
      </c>
      <c r="CU194" s="48">
        <v>0</v>
      </c>
      <c r="CV194" s="48">
        <v>6.4576840350220681E-4</v>
      </c>
      <c r="CW194" s="48">
        <v>0</v>
      </c>
      <c r="CX194" s="48">
        <v>4.2250884928428437E-10</v>
      </c>
      <c r="CY194" s="48">
        <v>0</v>
      </c>
      <c r="CZ194" s="48">
        <v>0</v>
      </c>
      <c r="DA194" s="48">
        <v>5.6970570378328979E-10</v>
      </c>
      <c r="DB194" s="48">
        <v>0</v>
      </c>
      <c r="DC194" s="48">
        <v>2.032913607121868E-9</v>
      </c>
      <c r="DD194" s="48">
        <v>0</v>
      </c>
      <c r="DE194" s="48">
        <v>7.1872976085548502E-6</v>
      </c>
      <c r="DF194" s="48">
        <v>0</v>
      </c>
      <c r="DG194" s="48">
        <v>0</v>
      </c>
      <c r="DH194" s="48">
        <v>0</v>
      </c>
      <c r="DI194" s="48">
        <v>0</v>
      </c>
      <c r="DJ194" s="48">
        <v>0</v>
      </c>
      <c r="DK194" s="48">
        <v>0</v>
      </c>
      <c r="DL194" s="48">
        <v>6.1789171376447523E-4</v>
      </c>
      <c r="DM194" s="48">
        <v>0</v>
      </c>
      <c r="DN194" s="48">
        <v>0</v>
      </c>
      <c r="DO194" s="48">
        <v>0</v>
      </c>
      <c r="DP194" s="48">
        <v>0</v>
      </c>
      <c r="DQ194" s="48">
        <v>0</v>
      </c>
      <c r="DR194" s="48">
        <v>0</v>
      </c>
      <c r="DS194" s="48">
        <v>0</v>
      </c>
      <c r="DT194" s="48">
        <v>0</v>
      </c>
      <c r="DU194" s="48">
        <v>0</v>
      </c>
      <c r="DV194" s="48">
        <v>0</v>
      </c>
      <c r="DW194" s="48">
        <v>0</v>
      </c>
      <c r="DX194" s="48">
        <v>0</v>
      </c>
      <c r="DY194" s="48">
        <v>0</v>
      </c>
      <c r="DZ194" s="48">
        <v>0</v>
      </c>
      <c r="EA194" s="48">
        <v>0</v>
      </c>
      <c r="EB194" s="48">
        <v>0</v>
      </c>
      <c r="EC194" s="48">
        <v>0</v>
      </c>
      <c r="ED194" s="48">
        <v>227.58806691757914</v>
      </c>
      <c r="EE194" s="48">
        <v>64.560964610029686</v>
      </c>
      <c r="EF194" s="48">
        <v>220.32250744964711</v>
      </c>
      <c r="EG194" s="48">
        <v>77.232990735971839</v>
      </c>
      <c r="EH194" s="48">
        <v>10.239624572146912</v>
      </c>
      <c r="EI194" s="48">
        <v>0.21794519206736601</v>
      </c>
      <c r="EJ194" s="48">
        <v>1.2620444861707641E-5</v>
      </c>
      <c r="EK194" s="48">
        <v>0</v>
      </c>
      <c r="EL194" s="48">
        <v>0</v>
      </c>
      <c r="EM194" s="48">
        <v>0</v>
      </c>
      <c r="EN194" s="48">
        <v>0</v>
      </c>
      <c r="EO194" s="48">
        <v>0</v>
      </c>
      <c r="EP194" s="48">
        <v>0</v>
      </c>
      <c r="EQ194" s="48">
        <v>0</v>
      </c>
      <c r="ER194" s="48">
        <v>0</v>
      </c>
      <c r="ES194" s="48">
        <v>0</v>
      </c>
      <c r="ET194" s="48">
        <v>0.7804708639054847</v>
      </c>
      <c r="EU194" s="48">
        <v>0</v>
      </c>
      <c r="EV194" s="48">
        <v>0</v>
      </c>
      <c r="EW194" s="48">
        <v>0</v>
      </c>
      <c r="EX194" s="48">
        <v>374.28814050128369</v>
      </c>
      <c r="EY194" s="48">
        <v>26.572501094198028</v>
      </c>
      <c r="EZ194" s="48">
        <v>25.113794321700485</v>
      </c>
      <c r="FA194" s="48">
        <v>262.39384328785042</v>
      </c>
      <c r="FB194" s="48">
        <v>196.68050797812916</v>
      </c>
      <c r="FC194" s="48">
        <v>178.53883627286459</v>
      </c>
      <c r="FD194" s="48">
        <v>5.5197893388459034E-3</v>
      </c>
      <c r="FE194" s="48">
        <v>0</v>
      </c>
      <c r="FF194" s="48">
        <v>0</v>
      </c>
      <c r="FG194" s="48">
        <v>0</v>
      </c>
      <c r="FH194" s="48">
        <v>0</v>
      </c>
      <c r="FI194" s="48">
        <v>0</v>
      </c>
      <c r="FJ194" s="48">
        <v>0</v>
      </c>
      <c r="FK194" s="48">
        <v>0</v>
      </c>
      <c r="FL194" s="48">
        <v>0</v>
      </c>
      <c r="FM194" s="48">
        <v>3.7877398074865954E-3</v>
      </c>
      <c r="FN194" s="48">
        <v>0</v>
      </c>
      <c r="FO194" s="48">
        <v>0</v>
      </c>
      <c r="FP194" s="48">
        <v>0</v>
      </c>
      <c r="FQ194" s="48">
        <v>7.4844884706877071E-2</v>
      </c>
      <c r="FR194" s="48">
        <v>1.2317418534130485E-3</v>
      </c>
      <c r="FS194" s="48">
        <v>0</v>
      </c>
      <c r="FT194" s="48">
        <v>0</v>
      </c>
      <c r="FU194" s="48">
        <v>0</v>
      </c>
      <c r="FV194" s="48">
        <v>4.4131776583006724E-2</v>
      </c>
      <c r="FW194" s="48">
        <v>30.339572169645812</v>
      </c>
      <c r="FX194" s="48">
        <v>0</v>
      </c>
      <c r="FY194" s="48">
        <v>197.70448724392952</v>
      </c>
      <c r="FZ194" s="48">
        <v>4.0856545993161042</v>
      </c>
      <c r="GA194" s="48">
        <v>39.829806070156778</v>
      </c>
      <c r="GB194" s="48">
        <v>0</v>
      </c>
      <c r="GC194" s="48">
        <v>0</v>
      </c>
      <c r="GD194" s="48">
        <v>0</v>
      </c>
      <c r="GE194" s="48">
        <v>0</v>
      </c>
      <c r="GF194" s="48">
        <v>0</v>
      </c>
      <c r="GG194" s="48">
        <v>12282.557387491797</v>
      </c>
      <c r="GH194" s="48">
        <v>10863.175771454673</v>
      </c>
      <c r="GI194" s="48">
        <v>19.491140390538835</v>
      </c>
      <c r="GJ194" s="48">
        <v>1382.2438551937464</v>
      </c>
      <c r="GK194" s="48">
        <v>2881.0130831724005</v>
      </c>
      <c r="GL194" s="48">
        <v>2882.8436278612489</v>
      </c>
      <c r="GM194" s="48">
        <v>2141.6023976847182</v>
      </c>
      <c r="GN194" s="48">
        <v>87.31575389060832</v>
      </c>
      <c r="GO194" s="48">
        <v>716.75102219396842</v>
      </c>
      <c r="GP194" s="48">
        <v>312.31261189470547</v>
      </c>
      <c r="GQ194" s="48">
        <v>2310.5214881238003</v>
      </c>
      <c r="GR194" s="48">
        <v>0</v>
      </c>
      <c r="GS194" s="48">
        <v>16640.892777149376</v>
      </c>
      <c r="GT194" s="48">
        <v>164.97659583917866</v>
      </c>
      <c r="GU194" s="48">
        <v>9602.6555254043342</v>
      </c>
      <c r="GV194" s="48">
        <v>54.109437253366018</v>
      </c>
      <c r="GW194" s="48">
        <v>14.973320646677754</v>
      </c>
      <c r="GX194" s="48">
        <v>816.04798428532581</v>
      </c>
      <c r="GY194" s="48">
        <v>456.98227245943605</v>
      </c>
      <c r="GZ194" s="48">
        <v>47.58767541901365</v>
      </c>
      <c r="HA194" s="48">
        <v>1958.5166735788373</v>
      </c>
      <c r="HB194" s="48">
        <v>169.666690277903</v>
      </c>
      <c r="HC194" s="48">
        <v>381.78993677494503</v>
      </c>
      <c r="HD194" s="48">
        <v>129.81841750606006</v>
      </c>
      <c r="HE194" s="48">
        <v>23.231742180942497</v>
      </c>
      <c r="HF194" s="48">
        <v>114.91820884537061</v>
      </c>
      <c r="HG194" s="48">
        <v>109.83475878172491</v>
      </c>
      <c r="HH194" s="48">
        <v>207.28690827716119</v>
      </c>
      <c r="HI194" s="48">
        <v>302.85209020944922</v>
      </c>
      <c r="HJ194" s="48">
        <v>344.77668634403773</v>
      </c>
      <c r="HK194" s="48">
        <v>16.271710130377159</v>
      </c>
      <c r="HL194" s="48">
        <v>25.139882694088154</v>
      </c>
      <c r="HM194" s="48">
        <v>118.77551817306716</v>
      </c>
      <c r="HN194" s="48">
        <v>34.577130291470759</v>
      </c>
      <c r="HO194" s="48">
        <v>146.44664764386636</v>
      </c>
      <c r="HP194" s="48">
        <v>251.19449935706751</v>
      </c>
      <c r="HQ194" s="48">
        <v>38.645840041526306</v>
      </c>
      <c r="HR194" s="48">
        <v>83.473899621716399</v>
      </c>
      <c r="HS194" s="48">
        <v>134.28317637798483</v>
      </c>
      <c r="HT194" s="48">
        <v>85.425782786936239</v>
      </c>
      <c r="HU194" s="48">
        <v>113.9021797913659</v>
      </c>
      <c r="HV194" s="48">
        <v>100143.53497404057</v>
      </c>
      <c r="HW194" s="48">
        <v>935.22418577938686</v>
      </c>
      <c r="HX194" s="48">
        <v>0</v>
      </c>
      <c r="HY194" s="48">
        <v>0</v>
      </c>
      <c r="HZ194" s="48">
        <v>0</v>
      </c>
      <c r="IA194" s="48">
        <v>0</v>
      </c>
      <c r="IB194" s="48">
        <v>0</v>
      </c>
      <c r="IC194" s="48">
        <v>9629.8608942978899</v>
      </c>
      <c r="ID194" s="48">
        <v>5975.5870358535049</v>
      </c>
      <c r="IE194" s="48">
        <v>4044.0438515385954</v>
      </c>
      <c r="IF194" s="48">
        <v>520.81870341262061</v>
      </c>
      <c r="IG194" s="48">
        <v>0</v>
      </c>
      <c r="IH194" s="48">
        <v>0</v>
      </c>
      <c r="II194" s="48">
        <v>0</v>
      </c>
      <c r="IJ194" s="48">
        <v>15096.37787436323</v>
      </c>
      <c r="IK194" s="48">
        <v>0</v>
      </c>
      <c r="IL194" s="48">
        <v>0</v>
      </c>
      <c r="IM194" s="48">
        <v>0</v>
      </c>
      <c r="IN194" s="48">
        <v>0</v>
      </c>
      <c r="IO194" s="48">
        <v>0</v>
      </c>
      <c r="IP194" s="23">
        <v>225737.99999999983</v>
      </c>
      <c r="IQ194" s="25">
        <v>243420</v>
      </c>
      <c r="IR194" s="25">
        <v>0</v>
      </c>
      <c r="IS194" s="26">
        <v>0</v>
      </c>
      <c r="IT194" s="26">
        <v>0</v>
      </c>
      <c r="IU194" s="26">
        <v>0</v>
      </c>
      <c r="IV194" s="9">
        <v>12830</v>
      </c>
      <c r="IW194" s="38">
        <f t="shared" si="13"/>
        <v>481987.99999999983</v>
      </c>
    </row>
    <row r="195" spans="1:257" ht="30" customHeight="1" x14ac:dyDescent="0.25">
      <c r="A195" s="112" t="b">
        <v>1</v>
      </c>
      <c r="B195" s="113" t="b">
        <f>IFERROR(VLOOKUP(C195,'Bridge matrix'!$D$3:$E$727,2,FALSE)='symmetric IOT 245 2012'!D195,"FALSCH")</f>
        <v>1</v>
      </c>
      <c r="C195" s="108">
        <v>184</v>
      </c>
      <c r="D195" s="49" t="s">
        <v>1502</v>
      </c>
      <c r="E195" s="48">
        <v>0</v>
      </c>
      <c r="F195" s="48">
        <v>0</v>
      </c>
      <c r="G195" s="48">
        <v>0</v>
      </c>
      <c r="H195" s="48">
        <v>0</v>
      </c>
      <c r="I195" s="48">
        <v>0</v>
      </c>
      <c r="J195" s="48">
        <v>0</v>
      </c>
      <c r="K195" s="48">
        <v>0</v>
      </c>
      <c r="L195" s="48">
        <v>0</v>
      </c>
      <c r="M195" s="48">
        <v>0</v>
      </c>
      <c r="N195" s="48">
        <v>0</v>
      </c>
      <c r="O195" s="48">
        <v>0</v>
      </c>
      <c r="P195" s="48">
        <v>0</v>
      </c>
      <c r="Q195" s="48">
        <v>0</v>
      </c>
      <c r="R195" s="48">
        <v>0</v>
      </c>
      <c r="S195" s="48">
        <v>0</v>
      </c>
      <c r="T195" s="48">
        <v>0</v>
      </c>
      <c r="U195" s="48">
        <v>0</v>
      </c>
      <c r="V195" s="48">
        <v>0</v>
      </c>
      <c r="W195" s="48">
        <v>0</v>
      </c>
      <c r="X195" s="48">
        <v>0</v>
      </c>
      <c r="Y195" s="48">
        <v>0</v>
      </c>
      <c r="Z195" s="48">
        <v>0</v>
      </c>
      <c r="AA195" s="48">
        <v>0</v>
      </c>
      <c r="AB195" s="48">
        <v>0</v>
      </c>
      <c r="AC195" s="48">
        <v>0</v>
      </c>
      <c r="AD195" s="48">
        <v>0</v>
      </c>
      <c r="AE195" s="48">
        <v>0</v>
      </c>
      <c r="AF195" s="48">
        <v>0</v>
      </c>
      <c r="AG195" s="48">
        <v>0</v>
      </c>
      <c r="AH195" s="48">
        <v>0</v>
      </c>
      <c r="AI195" s="48">
        <v>0</v>
      </c>
      <c r="AJ195" s="48">
        <v>0</v>
      </c>
      <c r="AK195" s="48">
        <v>0</v>
      </c>
      <c r="AL195" s="48">
        <v>0</v>
      </c>
      <c r="AM195" s="48">
        <v>0</v>
      </c>
      <c r="AN195" s="48">
        <v>0</v>
      </c>
      <c r="AO195" s="48">
        <v>0</v>
      </c>
      <c r="AP195" s="48">
        <v>0</v>
      </c>
      <c r="AQ195" s="48">
        <v>0</v>
      </c>
      <c r="AR195" s="48">
        <v>0</v>
      </c>
      <c r="AS195" s="48">
        <v>0</v>
      </c>
      <c r="AT195" s="48">
        <v>0</v>
      </c>
      <c r="AU195" s="48">
        <v>0</v>
      </c>
      <c r="AV195" s="48">
        <v>0</v>
      </c>
      <c r="AW195" s="48">
        <v>0</v>
      </c>
      <c r="AX195" s="48">
        <v>0</v>
      </c>
      <c r="AY195" s="48">
        <v>0</v>
      </c>
      <c r="AZ195" s="48">
        <v>0</v>
      </c>
      <c r="BA195" s="48">
        <v>0</v>
      </c>
      <c r="BB195" s="48">
        <v>0</v>
      </c>
      <c r="BC195" s="48">
        <v>0</v>
      </c>
      <c r="BD195" s="48">
        <v>0</v>
      </c>
      <c r="BE195" s="48">
        <v>0</v>
      </c>
      <c r="BF195" s="48">
        <v>0</v>
      </c>
      <c r="BG195" s="48">
        <v>0</v>
      </c>
      <c r="BH195" s="48">
        <v>0</v>
      </c>
      <c r="BI195" s="48">
        <v>0</v>
      </c>
      <c r="BJ195" s="48">
        <v>0</v>
      </c>
      <c r="BK195" s="48">
        <v>0</v>
      </c>
      <c r="BL195" s="48">
        <v>0</v>
      </c>
      <c r="BM195" s="48">
        <v>0</v>
      </c>
      <c r="BN195" s="48">
        <v>0</v>
      </c>
      <c r="BO195" s="48">
        <v>0</v>
      </c>
      <c r="BP195" s="48">
        <v>0</v>
      </c>
      <c r="BQ195" s="48">
        <v>0</v>
      </c>
      <c r="BR195" s="48">
        <v>0</v>
      </c>
      <c r="BS195" s="48">
        <v>0</v>
      </c>
      <c r="BT195" s="48">
        <v>245.03875492841101</v>
      </c>
      <c r="BU195" s="48">
        <v>1397.7630251423309</v>
      </c>
      <c r="BV195" s="48">
        <v>295.54225817143521</v>
      </c>
      <c r="BW195" s="48">
        <v>151.36852538801324</v>
      </c>
      <c r="BX195" s="48">
        <v>14.118064089648282</v>
      </c>
      <c r="BY195" s="48">
        <v>0</v>
      </c>
      <c r="BZ195" s="48">
        <v>0</v>
      </c>
      <c r="CA195" s="48">
        <v>58256.900953763048</v>
      </c>
      <c r="CB195" s="48">
        <v>200.67313829177456</v>
      </c>
      <c r="CC195" s="48">
        <v>0</v>
      </c>
      <c r="CD195" s="48">
        <v>0</v>
      </c>
      <c r="CE195" s="48">
        <v>0</v>
      </c>
      <c r="CF195" s="48">
        <v>0</v>
      </c>
      <c r="CG195" s="48">
        <v>0</v>
      </c>
      <c r="CH195" s="48">
        <v>0</v>
      </c>
      <c r="CI195" s="48">
        <v>0</v>
      </c>
      <c r="CJ195" s="48">
        <v>0</v>
      </c>
      <c r="CK195" s="48">
        <v>0</v>
      </c>
      <c r="CL195" s="48">
        <v>1.694469857767601E-6</v>
      </c>
      <c r="CM195" s="48">
        <v>2.0816103335318439E-9</v>
      </c>
      <c r="CN195" s="48">
        <v>0</v>
      </c>
      <c r="CO195" s="48">
        <v>0</v>
      </c>
      <c r="CP195" s="48">
        <v>0</v>
      </c>
      <c r="CQ195" s="48">
        <v>0</v>
      </c>
      <c r="CR195" s="48">
        <v>0.51483864947000457</v>
      </c>
      <c r="CS195" s="48">
        <v>0</v>
      </c>
      <c r="CT195" s="48">
        <v>3.3748198038952622E-9</v>
      </c>
      <c r="CU195" s="48">
        <v>0</v>
      </c>
      <c r="CV195" s="48">
        <v>4.8019811472648904E-4</v>
      </c>
      <c r="CW195" s="48">
        <v>0</v>
      </c>
      <c r="CX195" s="48">
        <v>3.1412229561815624E-10</v>
      </c>
      <c r="CY195" s="48">
        <v>0</v>
      </c>
      <c r="CZ195" s="48">
        <v>0</v>
      </c>
      <c r="DA195" s="48">
        <v>1.7248063999413058E-9</v>
      </c>
      <c r="DB195" s="48">
        <v>0</v>
      </c>
      <c r="DC195" s="48">
        <v>1.5114085542687404E-9</v>
      </c>
      <c r="DD195" s="48">
        <v>0</v>
      </c>
      <c r="DE195" s="48">
        <v>7.9895989300299416E-6</v>
      </c>
      <c r="DF195" s="48">
        <v>0</v>
      </c>
      <c r="DG195" s="48">
        <v>0</v>
      </c>
      <c r="DH195" s="48">
        <v>0</v>
      </c>
      <c r="DI195" s="48">
        <v>0</v>
      </c>
      <c r="DJ195" s="48">
        <v>0</v>
      </c>
      <c r="DK195" s="48">
        <v>0</v>
      </c>
      <c r="DL195" s="48">
        <v>1.8706914382185427E-3</v>
      </c>
      <c r="DM195" s="48">
        <v>0</v>
      </c>
      <c r="DN195" s="48">
        <v>0</v>
      </c>
      <c r="DO195" s="48">
        <v>0</v>
      </c>
      <c r="DP195" s="48">
        <v>0</v>
      </c>
      <c r="DQ195" s="48">
        <v>0</v>
      </c>
      <c r="DR195" s="48">
        <v>3.1301189334319768E-4</v>
      </c>
      <c r="DS195" s="48">
        <v>0</v>
      </c>
      <c r="DT195" s="48">
        <v>0</v>
      </c>
      <c r="DU195" s="48">
        <v>0</v>
      </c>
      <c r="DV195" s="48">
        <v>0</v>
      </c>
      <c r="DW195" s="48">
        <v>0</v>
      </c>
      <c r="DX195" s="48">
        <v>0</v>
      </c>
      <c r="DY195" s="48">
        <v>0</v>
      </c>
      <c r="DZ195" s="48">
        <v>0</v>
      </c>
      <c r="EA195" s="48">
        <v>0</v>
      </c>
      <c r="EB195" s="48">
        <v>0</v>
      </c>
      <c r="EC195" s="48">
        <v>0</v>
      </c>
      <c r="ED195" s="48">
        <v>13.048909285171328</v>
      </c>
      <c r="EE195" s="48">
        <v>4.0497046886212154</v>
      </c>
      <c r="EF195" s="48">
        <v>13.604193024055496</v>
      </c>
      <c r="EG195" s="48">
        <v>5.0868097606408682</v>
      </c>
      <c r="EH195" s="48">
        <v>1.0116212331520209</v>
      </c>
      <c r="EI195" s="48">
        <v>0.16203564193249481</v>
      </c>
      <c r="EJ195" s="48">
        <v>9.3846552366678431E-6</v>
      </c>
      <c r="EK195" s="48">
        <v>0</v>
      </c>
      <c r="EL195" s="48">
        <v>0</v>
      </c>
      <c r="EM195" s="48">
        <v>0</v>
      </c>
      <c r="EN195" s="48">
        <v>0</v>
      </c>
      <c r="EO195" s="48">
        <v>0</v>
      </c>
      <c r="EP195" s="48">
        <v>0</v>
      </c>
      <c r="EQ195" s="48">
        <v>0</v>
      </c>
      <c r="ER195" s="48">
        <v>0</v>
      </c>
      <c r="ES195" s="48">
        <v>0</v>
      </c>
      <c r="ET195" s="48">
        <v>6.6363857579937541E-2</v>
      </c>
      <c r="EU195" s="48">
        <v>0</v>
      </c>
      <c r="EV195" s="48">
        <v>0</v>
      </c>
      <c r="EW195" s="48">
        <v>0</v>
      </c>
      <c r="EX195" s="48">
        <v>73.776636165215535</v>
      </c>
      <c r="EY195" s="48">
        <v>4.6225468024686558</v>
      </c>
      <c r="EZ195" s="48">
        <v>5.7256413144026936</v>
      </c>
      <c r="FA195" s="48">
        <v>194.42349413769924</v>
      </c>
      <c r="FB195" s="48">
        <v>145.97906258621583</v>
      </c>
      <c r="FC195" s="48">
        <v>131.78339939624982</v>
      </c>
      <c r="FD195" s="48">
        <v>4.085730846303425E-3</v>
      </c>
      <c r="FE195" s="48">
        <v>0</v>
      </c>
      <c r="FF195" s="48">
        <v>0</v>
      </c>
      <c r="FG195" s="48">
        <v>0</v>
      </c>
      <c r="FH195" s="48">
        <v>0</v>
      </c>
      <c r="FI195" s="48">
        <v>0</v>
      </c>
      <c r="FJ195" s="48">
        <v>0</v>
      </c>
      <c r="FK195" s="48">
        <v>0</v>
      </c>
      <c r="FL195" s="48">
        <v>0</v>
      </c>
      <c r="FM195" s="48">
        <v>3.0709665396223725E-3</v>
      </c>
      <c r="FN195" s="48">
        <v>0</v>
      </c>
      <c r="FO195" s="48">
        <v>0</v>
      </c>
      <c r="FP195" s="48">
        <v>0</v>
      </c>
      <c r="FQ195" s="48">
        <v>5.3665072321443574E-2</v>
      </c>
      <c r="FR195" s="48">
        <v>9.1243694009077105E-4</v>
      </c>
      <c r="FS195" s="48">
        <v>0</v>
      </c>
      <c r="FT195" s="48">
        <v>0</v>
      </c>
      <c r="FU195" s="48">
        <v>0</v>
      </c>
      <c r="FV195" s="48">
        <v>3.2699016987196232E-2</v>
      </c>
      <c r="FW195" s="48">
        <v>64.55918419729764</v>
      </c>
      <c r="FX195" s="48">
        <v>0</v>
      </c>
      <c r="FY195" s="48">
        <v>1.0673315301876045</v>
      </c>
      <c r="FZ195" s="48">
        <v>0</v>
      </c>
      <c r="GA195" s="48">
        <v>0</v>
      </c>
      <c r="GB195" s="48">
        <v>0</v>
      </c>
      <c r="GC195" s="48">
        <v>0</v>
      </c>
      <c r="GD195" s="48">
        <v>0</v>
      </c>
      <c r="GE195" s="48">
        <v>0</v>
      </c>
      <c r="GF195" s="48">
        <v>0</v>
      </c>
      <c r="GG195" s="48">
        <v>19140.668671200823</v>
      </c>
      <c r="GH195" s="48">
        <v>16926.240399354258</v>
      </c>
      <c r="GI195" s="48">
        <v>29.391080277671975</v>
      </c>
      <c r="GJ195" s="48">
        <v>2153.5500870154015</v>
      </c>
      <c r="GK195" s="48">
        <v>4488.9652375440255</v>
      </c>
      <c r="GL195" s="48">
        <v>4492.6749612094536</v>
      </c>
      <c r="GM195" s="48">
        <v>3337.4624372367416</v>
      </c>
      <c r="GN195" s="48">
        <v>134.97683045233794</v>
      </c>
      <c r="GO195" s="48">
        <v>1116.8663179835817</v>
      </c>
      <c r="GP195" s="48">
        <v>486.16686353683247</v>
      </c>
      <c r="GQ195" s="48">
        <v>3601.1239503166225</v>
      </c>
      <c r="GR195" s="48">
        <v>0</v>
      </c>
      <c r="GS195" s="48">
        <v>34511.480807145686</v>
      </c>
      <c r="GT195" s="48">
        <v>587.68221414091477</v>
      </c>
      <c r="GU195" s="48">
        <v>34107.970590079691</v>
      </c>
      <c r="GV195" s="48">
        <v>193.65658929794657</v>
      </c>
      <c r="GW195" s="48">
        <v>53.366356888204962</v>
      </c>
      <c r="GX195" s="48">
        <v>2908.2120303442298</v>
      </c>
      <c r="GY195" s="48">
        <v>119.36565879545681</v>
      </c>
      <c r="GZ195" s="48">
        <v>7.154323953824794</v>
      </c>
      <c r="HA195" s="48">
        <v>525.84252211796547</v>
      </c>
      <c r="HB195" s="48">
        <v>282.41732955928586</v>
      </c>
      <c r="HC195" s="48">
        <v>638.47531875385414</v>
      </c>
      <c r="HD195" s="48">
        <v>215.87271855024917</v>
      </c>
      <c r="HE195" s="48">
        <v>38.918173763740363</v>
      </c>
      <c r="HF195" s="48">
        <v>190.89647464449141</v>
      </c>
      <c r="HG195" s="48">
        <v>182.86110317734162</v>
      </c>
      <c r="HH195" s="48">
        <v>344.41719041972806</v>
      </c>
      <c r="HI195" s="48">
        <v>501.69222578171485</v>
      </c>
      <c r="HJ195" s="48">
        <v>570.71642528209395</v>
      </c>
      <c r="HK195" s="48">
        <v>27.12756938091978</v>
      </c>
      <c r="HL195" s="48">
        <v>43.46455103693031</v>
      </c>
      <c r="HM195" s="48">
        <v>196.87713193326204</v>
      </c>
      <c r="HN195" s="48">
        <v>57.268892884119801</v>
      </c>
      <c r="HO195" s="48">
        <v>243.14548575531802</v>
      </c>
      <c r="HP195" s="48">
        <v>415.95602115031141</v>
      </c>
      <c r="HQ195" s="48">
        <v>65.308004559577441</v>
      </c>
      <c r="HR195" s="48">
        <v>138.59178204454403</v>
      </c>
      <c r="HS195" s="48">
        <v>223.63834561385264</v>
      </c>
      <c r="HT195" s="48">
        <v>142.66975906306601</v>
      </c>
      <c r="HU195" s="48">
        <v>187.88388063222337</v>
      </c>
      <c r="HV195" s="48">
        <v>47698.306136597748</v>
      </c>
      <c r="HW195" s="48">
        <v>1810.7182897880655</v>
      </c>
      <c r="HX195" s="48">
        <v>0</v>
      </c>
      <c r="HY195" s="48">
        <v>0</v>
      </c>
      <c r="HZ195" s="48">
        <v>0</v>
      </c>
      <c r="IA195" s="48">
        <v>0</v>
      </c>
      <c r="IB195" s="48">
        <v>0</v>
      </c>
      <c r="IC195" s="48">
        <v>1991.4243948143335</v>
      </c>
      <c r="ID195" s="48">
        <v>1235.3722721454933</v>
      </c>
      <c r="IE195" s="48">
        <v>836.34344876774719</v>
      </c>
      <c r="IF195" s="48">
        <v>107.95284096607864</v>
      </c>
      <c r="IG195" s="48">
        <v>0</v>
      </c>
      <c r="IH195" s="48">
        <v>0</v>
      </c>
      <c r="II195" s="48">
        <v>0</v>
      </c>
      <c r="IJ195" s="48">
        <v>23979.882695794651</v>
      </c>
      <c r="IK195" s="48">
        <v>0</v>
      </c>
      <c r="IL195" s="48">
        <v>0</v>
      </c>
      <c r="IM195" s="48">
        <v>0</v>
      </c>
      <c r="IN195" s="48">
        <v>0</v>
      </c>
      <c r="IO195" s="48">
        <v>0</v>
      </c>
      <c r="IP195" s="23">
        <v>272512.00000000017</v>
      </c>
      <c r="IQ195" s="25">
        <v>2204564</v>
      </c>
      <c r="IR195" s="25">
        <v>0</v>
      </c>
      <c r="IS195" s="26">
        <v>0</v>
      </c>
      <c r="IT195" s="26">
        <v>0</v>
      </c>
      <c r="IU195" s="26">
        <v>0</v>
      </c>
      <c r="IV195" s="9">
        <v>0</v>
      </c>
      <c r="IW195" s="38">
        <f t="shared" si="13"/>
        <v>2477076</v>
      </c>
    </row>
    <row r="196" spans="1:257" ht="30" customHeight="1" x14ac:dyDescent="0.25">
      <c r="A196" s="112" t="b">
        <v>1</v>
      </c>
      <c r="B196" s="113" t="b">
        <f>IFERROR(VLOOKUP(C196,'Bridge matrix'!$D$3:$E$727,2,FALSE)='symmetric IOT 245 2012'!D196,"FALSCH")</f>
        <v>1</v>
      </c>
      <c r="C196" s="108">
        <v>185</v>
      </c>
      <c r="D196" s="49" t="s">
        <v>1503</v>
      </c>
      <c r="E196" s="48">
        <v>0</v>
      </c>
      <c r="F196" s="48">
        <v>0</v>
      </c>
      <c r="G196" s="48">
        <v>0</v>
      </c>
      <c r="H196" s="48">
        <v>0</v>
      </c>
      <c r="I196" s="48">
        <v>0</v>
      </c>
      <c r="J196" s="48">
        <v>0</v>
      </c>
      <c r="K196" s="48">
        <v>0</v>
      </c>
      <c r="L196" s="48">
        <v>0</v>
      </c>
      <c r="M196" s="48">
        <v>0</v>
      </c>
      <c r="N196" s="48">
        <v>0</v>
      </c>
      <c r="O196" s="48">
        <v>0</v>
      </c>
      <c r="P196" s="48">
        <v>0</v>
      </c>
      <c r="Q196" s="48">
        <v>0</v>
      </c>
      <c r="R196" s="48">
        <v>0</v>
      </c>
      <c r="S196" s="48">
        <v>0</v>
      </c>
      <c r="T196" s="48">
        <v>0</v>
      </c>
      <c r="U196" s="48">
        <v>0</v>
      </c>
      <c r="V196" s="48">
        <v>0</v>
      </c>
      <c r="W196" s="48">
        <v>0</v>
      </c>
      <c r="X196" s="48">
        <v>0</v>
      </c>
      <c r="Y196" s="48">
        <v>0</v>
      </c>
      <c r="Z196" s="48">
        <v>0</v>
      </c>
      <c r="AA196" s="48">
        <v>0</v>
      </c>
      <c r="AB196" s="48">
        <v>0</v>
      </c>
      <c r="AC196" s="48">
        <v>0</v>
      </c>
      <c r="AD196" s="48">
        <v>0</v>
      </c>
      <c r="AE196" s="48">
        <v>0</v>
      </c>
      <c r="AF196" s="48">
        <v>0</v>
      </c>
      <c r="AG196" s="48">
        <v>0</v>
      </c>
      <c r="AH196" s="48">
        <v>0</v>
      </c>
      <c r="AI196" s="48">
        <v>0</v>
      </c>
      <c r="AJ196" s="48">
        <v>0</v>
      </c>
      <c r="AK196" s="48">
        <v>0</v>
      </c>
      <c r="AL196" s="48">
        <v>0</v>
      </c>
      <c r="AM196" s="48">
        <v>0</v>
      </c>
      <c r="AN196" s="48">
        <v>0</v>
      </c>
      <c r="AO196" s="48">
        <v>0</v>
      </c>
      <c r="AP196" s="48">
        <v>0</v>
      </c>
      <c r="AQ196" s="48">
        <v>0</v>
      </c>
      <c r="AR196" s="48">
        <v>0</v>
      </c>
      <c r="AS196" s="48">
        <v>0</v>
      </c>
      <c r="AT196" s="48">
        <v>0</v>
      </c>
      <c r="AU196" s="48">
        <v>0</v>
      </c>
      <c r="AV196" s="48">
        <v>0</v>
      </c>
      <c r="AW196" s="48">
        <v>0</v>
      </c>
      <c r="AX196" s="48">
        <v>0</v>
      </c>
      <c r="AY196" s="48">
        <v>0</v>
      </c>
      <c r="AZ196" s="48">
        <v>0</v>
      </c>
      <c r="BA196" s="48">
        <v>0</v>
      </c>
      <c r="BB196" s="48">
        <v>0</v>
      </c>
      <c r="BC196" s="48">
        <v>0</v>
      </c>
      <c r="BD196" s="48">
        <v>0</v>
      </c>
      <c r="BE196" s="48">
        <v>0</v>
      </c>
      <c r="BF196" s="48">
        <v>0</v>
      </c>
      <c r="BG196" s="48">
        <v>0</v>
      </c>
      <c r="BH196" s="48">
        <v>0</v>
      </c>
      <c r="BI196" s="48">
        <v>0</v>
      </c>
      <c r="BJ196" s="48">
        <v>0</v>
      </c>
      <c r="BK196" s="48">
        <v>0</v>
      </c>
      <c r="BL196" s="48">
        <v>0</v>
      </c>
      <c r="BM196" s="48">
        <v>0</v>
      </c>
      <c r="BN196" s="48">
        <v>0</v>
      </c>
      <c r="BO196" s="48">
        <v>0</v>
      </c>
      <c r="BP196" s="48">
        <v>0</v>
      </c>
      <c r="BQ196" s="48">
        <v>0</v>
      </c>
      <c r="BR196" s="48">
        <v>0</v>
      </c>
      <c r="BS196" s="48">
        <v>0</v>
      </c>
      <c r="BT196" s="48">
        <v>0</v>
      </c>
      <c r="BU196" s="48">
        <v>0</v>
      </c>
      <c r="BV196" s="48">
        <v>0</v>
      </c>
      <c r="BW196" s="48">
        <v>0</v>
      </c>
      <c r="BX196" s="48">
        <v>0</v>
      </c>
      <c r="BY196" s="48">
        <v>0</v>
      </c>
      <c r="BZ196" s="48">
        <v>0</v>
      </c>
      <c r="CA196" s="48">
        <v>5475.2649199496464</v>
      </c>
      <c r="CB196" s="48">
        <v>23.954123833624436</v>
      </c>
      <c r="CC196" s="48">
        <v>0</v>
      </c>
      <c r="CD196" s="48">
        <v>0</v>
      </c>
      <c r="CE196" s="48">
        <v>0</v>
      </c>
      <c r="CF196" s="48">
        <v>0</v>
      </c>
      <c r="CG196" s="48">
        <v>0</v>
      </c>
      <c r="CH196" s="48">
        <v>0</v>
      </c>
      <c r="CI196" s="48">
        <v>0</v>
      </c>
      <c r="CJ196" s="48">
        <v>0</v>
      </c>
      <c r="CK196" s="48">
        <v>0</v>
      </c>
      <c r="CL196" s="48">
        <v>6.9747342704889281E-7</v>
      </c>
      <c r="CM196" s="48">
        <v>0</v>
      </c>
      <c r="CN196" s="48">
        <v>1.0390417935720871E-6</v>
      </c>
      <c r="CO196" s="48">
        <v>0</v>
      </c>
      <c r="CP196" s="48">
        <v>0</v>
      </c>
      <c r="CQ196" s="48">
        <v>0</v>
      </c>
      <c r="CR196" s="48">
        <v>0</v>
      </c>
      <c r="CS196" s="48">
        <v>0</v>
      </c>
      <c r="CT196" s="48">
        <v>1.3908979893917743E-9</v>
      </c>
      <c r="CU196" s="48">
        <v>0</v>
      </c>
      <c r="CV196" s="48">
        <v>2.0102531365486133E-4</v>
      </c>
      <c r="CW196" s="48">
        <v>0</v>
      </c>
      <c r="CX196" s="48">
        <v>1.2946234015046735E-10</v>
      </c>
      <c r="CY196" s="48">
        <v>0</v>
      </c>
      <c r="CZ196" s="48">
        <v>0</v>
      </c>
      <c r="DA196" s="48">
        <v>4.6080324003242148E-8</v>
      </c>
      <c r="DB196" s="48">
        <v>0</v>
      </c>
      <c r="DC196" s="48">
        <v>6.2291181201897548E-10</v>
      </c>
      <c r="DD196" s="48">
        <v>0.9677553799988301</v>
      </c>
      <c r="DE196" s="48">
        <v>1.3713331197976841E-4</v>
      </c>
      <c r="DF196" s="48">
        <v>0</v>
      </c>
      <c r="DG196" s="48">
        <v>0</v>
      </c>
      <c r="DH196" s="48">
        <v>0</v>
      </c>
      <c r="DI196" s="48">
        <v>0</v>
      </c>
      <c r="DJ196" s="48">
        <v>0</v>
      </c>
      <c r="DK196" s="48">
        <v>0</v>
      </c>
      <c r="DL196" s="48">
        <v>4.9977822198557988E-2</v>
      </c>
      <c r="DM196" s="48">
        <v>0</v>
      </c>
      <c r="DN196" s="48">
        <v>0</v>
      </c>
      <c r="DO196" s="48">
        <v>0</v>
      </c>
      <c r="DP196" s="48">
        <v>0</v>
      </c>
      <c r="DQ196" s="48">
        <v>0</v>
      </c>
      <c r="DR196" s="48">
        <v>5.3901338002461281E-3</v>
      </c>
      <c r="DS196" s="48">
        <v>0</v>
      </c>
      <c r="DT196" s="48">
        <v>0</v>
      </c>
      <c r="DU196" s="48">
        <v>0</v>
      </c>
      <c r="DV196" s="48">
        <v>0</v>
      </c>
      <c r="DW196" s="48">
        <v>0</v>
      </c>
      <c r="DX196" s="48">
        <v>0</v>
      </c>
      <c r="DY196" s="48">
        <v>0</v>
      </c>
      <c r="DZ196" s="48">
        <v>0</v>
      </c>
      <c r="EA196" s="48">
        <v>0</v>
      </c>
      <c r="EB196" s="48">
        <v>5.8393842660303605E-3</v>
      </c>
      <c r="EC196" s="48">
        <v>0</v>
      </c>
      <c r="ED196" s="48">
        <v>459.01073019736333</v>
      </c>
      <c r="EE196" s="48">
        <v>131.27062158109953</v>
      </c>
      <c r="EF196" s="48">
        <v>451.59466718443753</v>
      </c>
      <c r="EG196" s="48">
        <v>158.09132030575677</v>
      </c>
      <c r="EH196" s="48">
        <v>22.02792045726698</v>
      </c>
      <c r="EI196" s="48">
        <v>6.678721163996014E-2</v>
      </c>
      <c r="EJ196" s="48">
        <v>3.9286977700202504E-6</v>
      </c>
      <c r="EK196" s="48">
        <v>0</v>
      </c>
      <c r="EL196" s="48">
        <v>0</v>
      </c>
      <c r="EM196" s="48">
        <v>0</v>
      </c>
      <c r="EN196" s="48">
        <v>0</v>
      </c>
      <c r="EO196" s="48">
        <v>0</v>
      </c>
      <c r="EP196" s="48">
        <v>0</v>
      </c>
      <c r="EQ196" s="48">
        <v>0</v>
      </c>
      <c r="ER196" s="48">
        <v>0</v>
      </c>
      <c r="ES196" s="48">
        <v>0</v>
      </c>
      <c r="ET196" s="48">
        <v>0</v>
      </c>
      <c r="EU196" s="48">
        <v>0</v>
      </c>
      <c r="EV196" s="48">
        <v>0</v>
      </c>
      <c r="EW196" s="48">
        <v>0</v>
      </c>
      <c r="EX196" s="48">
        <v>106.6546914360858</v>
      </c>
      <c r="EY196" s="48">
        <v>7.690982750977061</v>
      </c>
      <c r="EZ196" s="48">
        <v>7.556066249403802</v>
      </c>
      <c r="FA196" s="48">
        <v>80.73379654598277</v>
      </c>
      <c r="FB196" s="48">
        <v>60.527614084998667</v>
      </c>
      <c r="FC196" s="48">
        <v>55.183968077046629</v>
      </c>
      <c r="FD196" s="48">
        <v>1.6932841281722345E-3</v>
      </c>
      <c r="FE196" s="48">
        <v>0</v>
      </c>
      <c r="FF196" s="48">
        <v>0</v>
      </c>
      <c r="FG196" s="48">
        <v>0</v>
      </c>
      <c r="FH196" s="48">
        <v>0</v>
      </c>
      <c r="FI196" s="48">
        <v>0</v>
      </c>
      <c r="FJ196" s="48">
        <v>0</v>
      </c>
      <c r="FK196" s="48">
        <v>0</v>
      </c>
      <c r="FL196" s="48">
        <v>0</v>
      </c>
      <c r="FM196" s="48">
        <v>1.4826192325676981E-3</v>
      </c>
      <c r="FN196" s="48">
        <v>0</v>
      </c>
      <c r="FO196" s="48">
        <v>0</v>
      </c>
      <c r="FP196" s="48">
        <v>0</v>
      </c>
      <c r="FQ196" s="48">
        <v>2.2954936424362037E-2</v>
      </c>
      <c r="FR196" s="48">
        <v>3.7741045641857975E-4</v>
      </c>
      <c r="FS196" s="48">
        <v>0</v>
      </c>
      <c r="FT196" s="48">
        <v>0</v>
      </c>
      <c r="FU196" s="48">
        <v>0</v>
      </c>
      <c r="FV196" s="48">
        <v>1.357899841616673E-2</v>
      </c>
      <c r="FW196" s="48">
        <v>1573.5014788917711</v>
      </c>
      <c r="FX196" s="48">
        <v>3178.5122955229926</v>
      </c>
      <c r="FY196" s="48">
        <v>377.13812515867369</v>
      </c>
      <c r="FZ196" s="48">
        <v>7.9902143335863265</v>
      </c>
      <c r="GA196" s="48">
        <v>40.222561083564813</v>
      </c>
      <c r="GB196" s="48">
        <v>5831.9952713103439</v>
      </c>
      <c r="GC196" s="48">
        <v>0</v>
      </c>
      <c r="GD196" s="48">
        <v>0</v>
      </c>
      <c r="GE196" s="48">
        <v>389.26827368889394</v>
      </c>
      <c r="GF196" s="48">
        <v>22.93837971818758</v>
      </c>
      <c r="GG196" s="48">
        <v>16744.038631099273</v>
      </c>
      <c r="GH196" s="48">
        <v>14079.121397547709</v>
      </c>
      <c r="GI196" s="48">
        <v>26.080972519420609</v>
      </c>
      <c r="GJ196" s="48">
        <v>1884.7636602860402</v>
      </c>
      <c r="GK196" s="48">
        <v>3927.1677317195313</v>
      </c>
      <c r="GL196" s="48">
        <v>3930.8792490367437</v>
      </c>
      <c r="GM196" s="48">
        <v>2773.1490550521198</v>
      </c>
      <c r="GN196" s="48">
        <v>118.52841436008399</v>
      </c>
      <c r="GO196" s="48">
        <v>931.41666113945723</v>
      </c>
      <c r="GP196" s="48">
        <v>425.94015074541227</v>
      </c>
      <c r="GQ196" s="48">
        <v>3150.3832905802474</v>
      </c>
      <c r="GR196" s="48">
        <v>33.745144843066505</v>
      </c>
      <c r="GS196" s="48">
        <v>16341.56161000165</v>
      </c>
      <c r="GT196" s="48">
        <v>116.04259991109451</v>
      </c>
      <c r="GU196" s="48">
        <v>7001.9396239600719</v>
      </c>
      <c r="GV196" s="48">
        <v>39.932263097760469</v>
      </c>
      <c r="GW196" s="48">
        <v>4.0951522299459731</v>
      </c>
      <c r="GX196" s="48">
        <v>393.73969408169398</v>
      </c>
      <c r="GY196" s="48">
        <v>507.53329026363315</v>
      </c>
      <c r="GZ196" s="48">
        <v>6.0695248565347297</v>
      </c>
      <c r="HA196" s="48">
        <v>2182.6976971863528</v>
      </c>
      <c r="HB196" s="48">
        <v>29270.932148658878</v>
      </c>
      <c r="HC196" s="48">
        <v>33271.527865964934</v>
      </c>
      <c r="HD196" s="48">
        <v>14662.353773324252</v>
      </c>
      <c r="HE196" s="48">
        <v>1058.8038543879375</v>
      </c>
      <c r="HF196" s="48">
        <v>5197.92118161915</v>
      </c>
      <c r="HG196" s="48">
        <v>4965.2874538016449</v>
      </c>
      <c r="HH196" s="48">
        <v>9350.4922781877067</v>
      </c>
      <c r="HI196" s="48">
        <v>13643.388247084878</v>
      </c>
      <c r="HJ196" s="48">
        <v>15515.493320453768</v>
      </c>
      <c r="HK196" s="48">
        <v>735.88799988228891</v>
      </c>
      <c r="HL196" s="48">
        <v>1167.6794614905507</v>
      </c>
      <c r="HM196" s="48">
        <v>5352.9101898160006</v>
      </c>
      <c r="HN196" s="48">
        <v>1569.2199222608035</v>
      </c>
      <c r="HO196" s="48">
        <v>6600.1764319811546</v>
      </c>
      <c r="HP196" s="48">
        <v>11311.790729129114</v>
      </c>
      <c r="HQ196" s="48">
        <v>1766.155351892751</v>
      </c>
      <c r="HR196" s="48">
        <v>3766.0373194998238</v>
      </c>
      <c r="HS196" s="48">
        <v>6331.3846226030246</v>
      </c>
      <c r="HT196" s="48">
        <v>3871.3360312160753</v>
      </c>
      <c r="HU196" s="48">
        <v>5119.4032035795235</v>
      </c>
      <c r="HV196" s="48">
        <v>2374.224464403067</v>
      </c>
      <c r="HW196" s="48">
        <v>209.68747774472007</v>
      </c>
      <c r="HX196" s="48">
        <v>26.922048853207855</v>
      </c>
      <c r="HY196" s="48">
        <v>22.930654311892273</v>
      </c>
      <c r="HZ196" s="48">
        <v>33.884203505860441</v>
      </c>
      <c r="IA196" s="48">
        <v>9.9610254964567666</v>
      </c>
      <c r="IB196" s="48">
        <v>0</v>
      </c>
      <c r="IC196" s="48">
        <v>464.77498729173573</v>
      </c>
      <c r="ID196" s="48">
        <v>287.46642692905624</v>
      </c>
      <c r="IE196" s="48">
        <v>194.47960368069289</v>
      </c>
      <c r="IF196" s="48">
        <v>24.964518237091248</v>
      </c>
      <c r="IG196" s="48">
        <v>56.170359560587684</v>
      </c>
      <c r="IH196" s="48">
        <v>4.2389151758644275</v>
      </c>
      <c r="II196" s="48">
        <v>0.98568567358045811</v>
      </c>
      <c r="IJ196" s="48">
        <v>147.08539891484421</v>
      </c>
      <c r="IK196" s="48">
        <v>1230.7228073231918</v>
      </c>
      <c r="IL196" s="48">
        <v>2230.8145056915428</v>
      </c>
      <c r="IM196" s="48">
        <v>2682.1317450675983</v>
      </c>
      <c r="IN196" s="48">
        <v>1424.2837673728352</v>
      </c>
      <c r="IO196" s="48">
        <v>0</v>
      </c>
      <c r="IP196" s="23">
        <v>279035.00000000012</v>
      </c>
      <c r="IQ196" s="25">
        <v>2417010</v>
      </c>
      <c r="IR196" s="25">
        <v>0</v>
      </c>
      <c r="IS196" s="26">
        <v>0</v>
      </c>
      <c r="IT196" s="26">
        <v>0</v>
      </c>
      <c r="IU196" s="26">
        <v>0</v>
      </c>
      <c r="IV196" s="9">
        <v>0</v>
      </c>
      <c r="IW196" s="38">
        <f t="shared" si="13"/>
        <v>2696045</v>
      </c>
    </row>
    <row r="197" spans="1:257" ht="30" customHeight="1" x14ac:dyDescent="0.25">
      <c r="A197" s="112" t="b">
        <v>1</v>
      </c>
      <c r="B197" s="113" t="str">
        <f>IFERROR(VLOOKUP(C197,'Bridge matrix'!$D$3:$E$727,2,FALSE)='symmetric IOT 245 2012'!D197,"FALSCH")</f>
        <v>FALSCH</v>
      </c>
      <c r="C197" s="108">
        <v>186</v>
      </c>
      <c r="D197" s="49" t="s">
        <v>1504</v>
      </c>
      <c r="E197" s="48">
        <v>0</v>
      </c>
      <c r="F197" s="48">
        <v>0</v>
      </c>
      <c r="G197" s="48">
        <v>0</v>
      </c>
      <c r="H197" s="48">
        <v>272.19378877769418</v>
      </c>
      <c r="I197" s="48">
        <v>2793.4300421310181</v>
      </c>
      <c r="J197" s="48">
        <v>9942.563714747168</v>
      </c>
      <c r="K197" s="48">
        <v>22061.293817192</v>
      </c>
      <c r="L197" s="48">
        <v>740.08189698504964</v>
      </c>
      <c r="M197" s="48">
        <v>41.63876255866635</v>
      </c>
      <c r="N197" s="48">
        <v>149.22707664784554</v>
      </c>
      <c r="O197" s="48">
        <v>0</v>
      </c>
      <c r="P197" s="48">
        <v>0</v>
      </c>
      <c r="Q197" s="48">
        <v>0</v>
      </c>
      <c r="R197" s="48">
        <v>0</v>
      </c>
      <c r="S197" s="48">
        <v>0</v>
      </c>
      <c r="T197" s="48">
        <v>3733.8177379105209</v>
      </c>
      <c r="U197" s="48">
        <v>460.36192455712205</v>
      </c>
      <c r="V197" s="48">
        <v>1019.349990787142</v>
      </c>
      <c r="W197" s="48">
        <v>1564.6353968881856</v>
      </c>
      <c r="X197" s="48">
        <v>20.649500706702678</v>
      </c>
      <c r="Y197" s="48">
        <v>710.47141788552744</v>
      </c>
      <c r="Z197" s="48">
        <v>1892.3199879174088</v>
      </c>
      <c r="AA197" s="48">
        <v>136.22040057110149</v>
      </c>
      <c r="AB197" s="48">
        <v>123.02313955815077</v>
      </c>
      <c r="AC197" s="48">
        <v>30.914915211739942</v>
      </c>
      <c r="AD197" s="48">
        <v>460.06921221178374</v>
      </c>
      <c r="AE197" s="48">
        <v>687.93736693935489</v>
      </c>
      <c r="AF197" s="48">
        <v>328.7299909669967</v>
      </c>
      <c r="AG197" s="48">
        <v>753.33456604089724</v>
      </c>
      <c r="AH197" s="48">
        <v>1288.6411143452974</v>
      </c>
      <c r="AI197" s="48">
        <v>1093.2964166062341</v>
      </c>
      <c r="AJ197" s="48">
        <v>699.89450905246588</v>
      </c>
      <c r="AK197" s="48">
        <v>2069.1212976649476</v>
      </c>
      <c r="AL197" s="48">
        <v>679.06833051707292</v>
      </c>
      <c r="AM197" s="48">
        <v>60.014108784364922</v>
      </c>
      <c r="AN197" s="48">
        <v>738.34857836045012</v>
      </c>
      <c r="AO197" s="48">
        <v>472.39210752524025</v>
      </c>
      <c r="AP197" s="48">
        <v>1778.8197103287921</v>
      </c>
      <c r="AQ197" s="48">
        <v>706.41986854286608</v>
      </c>
      <c r="AR197" s="48">
        <v>1140.2142573748192</v>
      </c>
      <c r="AS197" s="48">
        <v>1002.6032444740872</v>
      </c>
      <c r="AT197" s="48">
        <v>9665.3113490851611</v>
      </c>
      <c r="AU197" s="48">
        <v>1228.557651896409</v>
      </c>
      <c r="AV197" s="48">
        <v>580.78740185228492</v>
      </c>
      <c r="AW197" s="48">
        <v>363.93347731721127</v>
      </c>
      <c r="AX197" s="48">
        <v>19419.203347209434</v>
      </c>
      <c r="AY197" s="48">
        <v>3198.1852577021732</v>
      </c>
      <c r="AZ197" s="48">
        <v>499.12719944788006</v>
      </c>
      <c r="BA197" s="48">
        <v>911.94237992953742</v>
      </c>
      <c r="BB197" s="48">
        <v>20193.866555443514</v>
      </c>
      <c r="BC197" s="48">
        <v>3357.9244689699344</v>
      </c>
      <c r="BD197" s="48">
        <v>6893.7246322611854</v>
      </c>
      <c r="BE197" s="48">
        <v>66749.261375837144</v>
      </c>
      <c r="BF197" s="48">
        <v>2160.9772499667283</v>
      </c>
      <c r="BG197" s="48">
        <v>143.53700237483676</v>
      </c>
      <c r="BH197" s="48">
        <v>13486.645257932467</v>
      </c>
      <c r="BI197" s="48">
        <v>1635.8911204168064</v>
      </c>
      <c r="BJ197" s="48">
        <v>10400.978584513086</v>
      </c>
      <c r="BK197" s="48">
        <v>2066.0800511590737</v>
      </c>
      <c r="BL197" s="48">
        <v>18.843428080966618</v>
      </c>
      <c r="BM197" s="48">
        <v>5936.871149688146</v>
      </c>
      <c r="BN197" s="48">
        <v>516.5232096261816</v>
      </c>
      <c r="BO197" s="48">
        <v>0.98080307677808187</v>
      </c>
      <c r="BP197" s="48">
        <v>38196.379397683086</v>
      </c>
      <c r="BQ197" s="48">
        <v>0</v>
      </c>
      <c r="BR197" s="48">
        <v>2161.030569811559</v>
      </c>
      <c r="BS197" s="48">
        <v>2162.5516049464809</v>
      </c>
      <c r="BT197" s="48">
        <v>0</v>
      </c>
      <c r="BU197" s="48">
        <v>0</v>
      </c>
      <c r="BV197" s="48">
        <v>0</v>
      </c>
      <c r="BW197" s="48">
        <v>0</v>
      </c>
      <c r="BX197" s="48">
        <v>0</v>
      </c>
      <c r="BY197" s="48">
        <v>0</v>
      </c>
      <c r="BZ197" s="48">
        <v>0</v>
      </c>
      <c r="CA197" s="48">
        <v>156790.0049320524</v>
      </c>
      <c r="CB197" s="48">
        <v>551.69542265517418</v>
      </c>
      <c r="CC197" s="48">
        <v>30909.779594396892</v>
      </c>
      <c r="CD197" s="48">
        <v>0</v>
      </c>
      <c r="CE197" s="48">
        <v>0</v>
      </c>
      <c r="CF197" s="48">
        <v>0</v>
      </c>
      <c r="CG197" s="48">
        <v>0</v>
      </c>
      <c r="CH197" s="48">
        <v>0</v>
      </c>
      <c r="CI197" s="48">
        <v>5963.2225991467121</v>
      </c>
      <c r="CJ197" s="48">
        <v>5367.4015250730636</v>
      </c>
      <c r="CK197" s="48">
        <v>496.79433521217692</v>
      </c>
      <c r="CL197" s="48">
        <v>691.56395912855567</v>
      </c>
      <c r="CM197" s="48">
        <v>2111.2102682164896</v>
      </c>
      <c r="CN197" s="48">
        <v>34394.477371479246</v>
      </c>
      <c r="CO197" s="48">
        <v>20213.00217068331</v>
      </c>
      <c r="CP197" s="48">
        <v>1966.3085606781881</v>
      </c>
      <c r="CQ197" s="48">
        <v>7675.9605956089572</v>
      </c>
      <c r="CR197" s="48">
        <v>2343.1473400903915</v>
      </c>
      <c r="CS197" s="48">
        <v>3184.9754994984178</v>
      </c>
      <c r="CT197" s="48">
        <v>5997.0677200971359</v>
      </c>
      <c r="CU197" s="48">
        <v>1583.2532415502033</v>
      </c>
      <c r="CV197" s="48">
        <v>6852.5997594422633</v>
      </c>
      <c r="CW197" s="48">
        <v>2768.2655134467091</v>
      </c>
      <c r="CX197" s="48">
        <v>3056.7899614248577</v>
      </c>
      <c r="CY197" s="48">
        <v>3248.0047962386134</v>
      </c>
      <c r="CZ197" s="48">
        <v>0</v>
      </c>
      <c r="DA197" s="48">
        <v>0</v>
      </c>
      <c r="DB197" s="48">
        <v>0</v>
      </c>
      <c r="DC197" s="48">
        <v>0</v>
      </c>
      <c r="DD197" s="48">
        <v>0</v>
      </c>
      <c r="DE197" s="48">
        <v>0</v>
      </c>
      <c r="DF197" s="48">
        <v>0</v>
      </c>
      <c r="DG197" s="48">
        <v>0</v>
      </c>
      <c r="DH197" s="48">
        <v>0</v>
      </c>
      <c r="DI197" s="48">
        <v>0</v>
      </c>
      <c r="DJ197" s="48">
        <v>0</v>
      </c>
      <c r="DK197" s="48">
        <v>54.49847213322122</v>
      </c>
      <c r="DL197" s="48">
        <v>0</v>
      </c>
      <c r="DM197" s="48">
        <v>0</v>
      </c>
      <c r="DN197" s="48">
        <v>0</v>
      </c>
      <c r="DO197" s="48">
        <v>0</v>
      </c>
      <c r="DP197" s="48">
        <v>378.56569815905368</v>
      </c>
      <c r="DQ197" s="48">
        <v>659.59790105567674</v>
      </c>
      <c r="DR197" s="48">
        <v>496.05006856469157</v>
      </c>
      <c r="DS197" s="48">
        <v>1163.8430789654756</v>
      </c>
      <c r="DT197" s="48">
        <v>185.31050424978093</v>
      </c>
      <c r="DU197" s="48">
        <v>93.125017513664815</v>
      </c>
      <c r="DV197" s="48">
        <v>1374.766214176806</v>
      </c>
      <c r="DW197" s="48">
        <v>0</v>
      </c>
      <c r="DX197" s="48">
        <v>0</v>
      </c>
      <c r="DY197" s="48">
        <v>0</v>
      </c>
      <c r="DZ197" s="48">
        <v>0</v>
      </c>
      <c r="EA197" s="48">
        <v>8079.1882735403096</v>
      </c>
      <c r="EB197" s="48">
        <v>5616.3370723325152</v>
      </c>
      <c r="EC197" s="48">
        <v>23424.343453340996</v>
      </c>
      <c r="ED197" s="48">
        <v>15996.794654102712</v>
      </c>
      <c r="EE197" s="48">
        <v>4511.9476298347672</v>
      </c>
      <c r="EF197" s="48">
        <v>15495.339713504249</v>
      </c>
      <c r="EG197" s="48">
        <v>5437.7985399955296</v>
      </c>
      <c r="EH197" s="48">
        <v>747.01634497027646</v>
      </c>
      <c r="EI197" s="48">
        <v>0</v>
      </c>
      <c r="EJ197" s="48">
        <v>0</v>
      </c>
      <c r="EK197" s="48">
        <v>0</v>
      </c>
      <c r="EL197" s="48">
        <v>0</v>
      </c>
      <c r="EM197" s="48">
        <v>0</v>
      </c>
      <c r="EN197" s="48">
        <v>0</v>
      </c>
      <c r="EO197" s="48">
        <v>0</v>
      </c>
      <c r="EP197" s="48">
        <v>0</v>
      </c>
      <c r="EQ197" s="48">
        <v>0</v>
      </c>
      <c r="ER197" s="48">
        <v>409.64877470229851</v>
      </c>
      <c r="ES197" s="48">
        <v>52.036430643323044</v>
      </c>
      <c r="ET197" s="48">
        <v>2390.2749423242531</v>
      </c>
      <c r="EU197" s="48">
        <v>1320.3072403581032</v>
      </c>
      <c r="EV197" s="48">
        <v>1173.9731953762082</v>
      </c>
      <c r="EW197" s="48">
        <v>4956.3280300277956</v>
      </c>
      <c r="EX197" s="48">
        <v>36836.477618103963</v>
      </c>
      <c r="EY197" s="48">
        <v>2555.0839343022562</v>
      </c>
      <c r="EZ197" s="48">
        <v>2519.6742808823069</v>
      </c>
      <c r="FA197" s="48">
        <v>0</v>
      </c>
      <c r="FB197" s="48">
        <v>0</v>
      </c>
      <c r="FC197" s="48">
        <v>0</v>
      </c>
      <c r="FD197" s="48">
        <v>8893.1825863954436</v>
      </c>
      <c r="FE197" s="48">
        <v>1025.9992509868155</v>
      </c>
      <c r="FF197" s="48">
        <v>46.753070305731583</v>
      </c>
      <c r="FG197" s="48">
        <v>6435.8549423439699</v>
      </c>
      <c r="FH197" s="48">
        <v>0</v>
      </c>
      <c r="FI197" s="48">
        <v>0</v>
      </c>
      <c r="FJ197" s="48">
        <v>0</v>
      </c>
      <c r="FK197" s="48">
        <v>0</v>
      </c>
      <c r="FL197" s="48">
        <v>0</v>
      </c>
      <c r="FM197" s="48">
        <v>0</v>
      </c>
      <c r="FN197" s="48">
        <v>0</v>
      </c>
      <c r="FO197" s="48">
        <v>0</v>
      </c>
      <c r="FP197" s="48">
        <v>0</v>
      </c>
      <c r="FQ197" s="48">
        <v>0</v>
      </c>
      <c r="FR197" s="48">
        <v>0</v>
      </c>
      <c r="FS197" s="48">
        <v>0</v>
      </c>
      <c r="FT197" s="48">
        <v>0</v>
      </c>
      <c r="FU197" s="48">
        <v>0</v>
      </c>
      <c r="FV197" s="48">
        <v>0</v>
      </c>
      <c r="FW197" s="48">
        <v>1966.4122470778125</v>
      </c>
      <c r="FX197" s="48">
        <v>4143.019974689134</v>
      </c>
      <c r="FY197" s="48">
        <v>393.72673988687689</v>
      </c>
      <c r="FZ197" s="48">
        <v>8.2067713835104357</v>
      </c>
      <c r="GA197" s="48">
        <v>85.194819173018587</v>
      </c>
      <c r="GB197" s="48">
        <v>260278.00136571465</v>
      </c>
      <c r="GC197" s="48">
        <v>873183.75154938316</v>
      </c>
      <c r="GD197" s="48">
        <v>0</v>
      </c>
      <c r="GE197" s="48">
        <v>0</v>
      </c>
      <c r="GF197" s="48">
        <v>0</v>
      </c>
      <c r="GG197" s="48">
        <v>106816.65787417482</v>
      </c>
      <c r="GH197" s="48">
        <v>93221.38020624427</v>
      </c>
      <c r="GI197" s="48">
        <v>166.33061713287518</v>
      </c>
      <c r="GJ197" s="48">
        <v>12024.765289881096</v>
      </c>
      <c r="GK197" s="48">
        <v>25058.611653859654</v>
      </c>
      <c r="GL197" s="48">
        <v>25080.860808979418</v>
      </c>
      <c r="GM197" s="48">
        <v>18374.185449823191</v>
      </c>
      <c r="GN197" s="48">
        <v>755.29613650151623</v>
      </c>
      <c r="GO197" s="48">
        <v>6155.7244395688349</v>
      </c>
      <c r="GP197" s="48">
        <v>2715.4015053937487</v>
      </c>
      <c r="GQ197" s="48">
        <v>20101.227237189723</v>
      </c>
      <c r="GR197" s="48">
        <v>0</v>
      </c>
      <c r="GS197" s="48">
        <v>0</v>
      </c>
      <c r="GT197" s="48">
        <v>89.208594537144563</v>
      </c>
      <c r="GU197" s="48">
        <v>3333.9476930283854</v>
      </c>
      <c r="GV197" s="48">
        <v>30.063787427455079</v>
      </c>
      <c r="GW197" s="48">
        <v>0</v>
      </c>
      <c r="GX197" s="48">
        <v>458.73786815481805</v>
      </c>
      <c r="GY197" s="48">
        <v>0</v>
      </c>
      <c r="GZ197" s="48">
        <v>225.03858682538097</v>
      </c>
      <c r="HA197" s="48">
        <v>0</v>
      </c>
      <c r="HB197" s="48">
        <v>49777.362328103147</v>
      </c>
      <c r="HC197" s="48">
        <v>64555.659590381212</v>
      </c>
      <c r="HD197" s="48">
        <v>26804.372049179477</v>
      </c>
      <c r="HE197" s="48">
        <v>0</v>
      </c>
      <c r="HF197" s="48">
        <v>0</v>
      </c>
      <c r="HG197" s="48">
        <v>0</v>
      </c>
      <c r="HH197" s="48">
        <v>0</v>
      </c>
      <c r="HI197" s="48">
        <v>0</v>
      </c>
      <c r="HJ197" s="48">
        <v>0</v>
      </c>
      <c r="HK197" s="48">
        <v>0</v>
      </c>
      <c r="HL197" s="48">
        <v>0</v>
      </c>
      <c r="HM197" s="48">
        <v>0</v>
      </c>
      <c r="HN197" s="48">
        <v>0</v>
      </c>
      <c r="HO197" s="48">
        <v>0</v>
      </c>
      <c r="HP197" s="48">
        <v>0</v>
      </c>
      <c r="HQ197" s="48">
        <v>0</v>
      </c>
      <c r="HR197" s="48">
        <v>0</v>
      </c>
      <c r="HS197" s="48">
        <v>0</v>
      </c>
      <c r="HT197" s="48">
        <v>0</v>
      </c>
      <c r="HU197" s="48">
        <v>0</v>
      </c>
      <c r="HV197" s="48">
        <v>0</v>
      </c>
      <c r="HW197" s="48">
        <v>0</v>
      </c>
      <c r="HX197" s="48">
        <v>0</v>
      </c>
      <c r="HY197" s="48">
        <v>0</v>
      </c>
      <c r="HZ197" s="48">
        <v>0</v>
      </c>
      <c r="IA197" s="48">
        <v>0</v>
      </c>
      <c r="IB197" s="48">
        <v>0</v>
      </c>
      <c r="IC197" s="48">
        <v>0</v>
      </c>
      <c r="ID197" s="48">
        <v>0</v>
      </c>
      <c r="IE197" s="48">
        <v>0</v>
      </c>
      <c r="IF197" s="48">
        <v>0</v>
      </c>
      <c r="IG197" s="48">
        <v>0</v>
      </c>
      <c r="IH197" s="48">
        <v>0</v>
      </c>
      <c r="II197" s="48">
        <v>0</v>
      </c>
      <c r="IJ197" s="48">
        <v>0</v>
      </c>
      <c r="IK197" s="48">
        <v>0</v>
      </c>
      <c r="IL197" s="48">
        <v>0</v>
      </c>
      <c r="IM197" s="48">
        <v>0</v>
      </c>
      <c r="IN197" s="48">
        <v>0</v>
      </c>
      <c r="IO197" s="48">
        <v>0</v>
      </c>
      <c r="IP197" s="23">
        <v>2315899.0000000037</v>
      </c>
      <c r="IQ197" s="25">
        <v>10099</v>
      </c>
      <c r="IR197" s="25">
        <v>0</v>
      </c>
      <c r="IS197" s="26">
        <v>0</v>
      </c>
      <c r="IT197" s="26">
        <v>0</v>
      </c>
      <c r="IU197" s="26">
        <v>0</v>
      </c>
      <c r="IV197" s="9">
        <v>0</v>
      </c>
      <c r="IW197" s="38">
        <f t="shared" si="13"/>
        <v>2325998.0000000037</v>
      </c>
    </row>
    <row r="198" spans="1:257" ht="30" customHeight="1" x14ac:dyDescent="0.25">
      <c r="A198" s="112" t="b">
        <v>1</v>
      </c>
      <c r="B198" s="113" t="b">
        <f>IFERROR(VLOOKUP(C198,'Bridge matrix'!$D$3:$E$727,2,FALSE)='symmetric IOT 245 2012'!D198,"FALSCH")</f>
        <v>1</v>
      </c>
      <c r="C198" s="108">
        <v>187</v>
      </c>
      <c r="D198" s="49" t="s">
        <v>1505</v>
      </c>
      <c r="E198" s="48">
        <v>0</v>
      </c>
      <c r="F198" s="48">
        <v>0</v>
      </c>
      <c r="G198" s="48">
        <v>0</v>
      </c>
      <c r="H198" s="48">
        <v>0</v>
      </c>
      <c r="I198" s="48">
        <v>0</v>
      </c>
      <c r="J198" s="48">
        <v>0</v>
      </c>
      <c r="K198" s="48">
        <v>0</v>
      </c>
      <c r="L198" s="48">
        <v>0</v>
      </c>
      <c r="M198" s="48">
        <v>0</v>
      </c>
      <c r="N198" s="48">
        <v>0</v>
      </c>
      <c r="O198" s="48">
        <v>0</v>
      </c>
      <c r="P198" s="48">
        <v>0</v>
      </c>
      <c r="Q198" s="48">
        <v>0</v>
      </c>
      <c r="R198" s="48">
        <v>0</v>
      </c>
      <c r="S198" s="48">
        <v>0</v>
      </c>
      <c r="T198" s="48">
        <v>0</v>
      </c>
      <c r="U198" s="48">
        <v>0</v>
      </c>
      <c r="V198" s="48">
        <v>0</v>
      </c>
      <c r="W198" s="48">
        <v>0</v>
      </c>
      <c r="X198" s="48">
        <v>0</v>
      </c>
      <c r="Y198" s="48">
        <v>0</v>
      </c>
      <c r="Z198" s="48">
        <v>0</v>
      </c>
      <c r="AA198" s="48">
        <v>0</v>
      </c>
      <c r="AB198" s="48">
        <v>0</v>
      </c>
      <c r="AC198" s="48">
        <v>0</v>
      </c>
      <c r="AD198" s="48">
        <v>0</v>
      </c>
      <c r="AE198" s="48">
        <v>0</v>
      </c>
      <c r="AF198" s="48">
        <v>0</v>
      </c>
      <c r="AG198" s="48">
        <v>0</v>
      </c>
      <c r="AH198" s="48">
        <v>0</v>
      </c>
      <c r="AI198" s="48">
        <v>0</v>
      </c>
      <c r="AJ198" s="48">
        <v>0</v>
      </c>
      <c r="AK198" s="48">
        <v>0</v>
      </c>
      <c r="AL198" s="48">
        <v>0</v>
      </c>
      <c r="AM198" s="48">
        <v>0</v>
      </c>
      <c r="AN198" s="48">
        <v>0</v>
      </c>
      <c r="AO198" s="48">
        <v>0</v>
      </c>
      <c r="AP198" s="48">
        <v>0</v>
      </c>
      <c r="AQ198" s="48">
        <v>0</v>
      </c>
      <c r="AR198" s="48">
        <v>0</v>
      </c>
      <c r="AS198" s="48">
        <v>0</v>
      </c>
      <c r="AT198" s="48">
        <v>0</v>
      </c>
      <c r="AU198" s="48">
        <v>0</v>
      </c>
      <c r="AV198" s="48">
        <v>0</v>
      </c>
      <c r="AW198" s="48">
        <v>0</v>
      </c>
      <c r="AX198" s="48">
        <v>0</v>
      </c>
      <c r="AY198" s="48">
        <v>0</v>
      </c>
      <c r="AZ198" s="48">
        <v>0</v>
      </c>
      <c r="BA198" s="48">
        <v>0</v>
      </c>
      <c r="BB198" s="48">
        <v>0</v>
      </c>
      <c r="BC198" s="48">
        <v>0</v>
      </c>
      <c r="BD198" s="48">
        <v>0</v>
      </c>
      <c r="BE198" s="48">
        <v>0</v>
      </c>
      <c r="BF198" s="48">
        <v>0</v>
      </c>
      <c r="BG198" s="48">
        <v>0</v>
      </c>
      <c r="BH198" s="48">
        <v>0</v>
      </c>
      <c r="BI198" s="48">
        <v>0</v>
      </c>
      <c r="BJ198" s="48">
        <v>0</v>
      </c>
      <c r="BK198" s="48">
        <v>0</v>
      </c>
      <c r="BL198" s="48">
        <v>0</v>
      </c>
      <c r="BM198" s="48">
        <v>0</v>
      </c>
      <c r="BN198" s="48">
        <v>0</v>
      </c>
      <c r="BO198" s="48">
        <v>0</v>
      </c>
      <c r="BP198" s="48">
        <v>0</v>
      </c>
      <c r="BQ198" s="48">
        <v>0</v>
      </c>
      <c r="BR198" s="48">
        <v>0</v>
      </c>
      <c r="BS198" s="48">
        <v>0</v>
      </c>
      <c r="BT198" s="48">
        <v>0</v>
      </c>
      <c r="BU198" s="48">
        <v>0</v>
      </c>
      <c r="BV198" s="48">
        <v>0</v>
      </c>
      <c r="BW198" s="48">
        <v>0</v>
      </c>
      <c r="BX198" s="48">
        <v>0</v>
      </c>
      <c r="BY198" s="48">
        <v>0</v>
      </c>
      <c r="BZ198" s="48">
        <v>0</v>
      </c>
      <c r="CA198" s="48">
        <v>0</v>
      </c>
      <c r="CB198" s="48">
        <v>0</v>
      </c>
      <c r="CC198" s="48">
        <v>0</v>
      </c>
      <c r="CD198" s="48">
        <v>0</v>
      </c>
      <c r="CE198" s="48">
        <v>0</v>
      </c>
      <c r="CF198" s="48">
        <v>0</v>
      </c>
      <c r="CG198" s="48">
        <v>0</v>
      </c>
      <c r="CH198" s="48">
        <v>0</v>
      </c>
      <c r="CI198" s="48">
        <v>0</v>
      </c>
      <c r="CJ198" s="48">
        <v>0</v>
      </c>
      <c r="CK198" s="48">
        <v>0</v>
      </c>
      <c r="CL198" s="48">
        <v>0</v>
      </c>
      <c r="CM198" s="48">
        <v>0</v>
      </c>
      <c r="CN198" s="48">
        <v>0</v>
      </c>
      <c r="CO198" s="48">
        <v>0</v>
      </c>
      <c r="CP198" s="48">
        <v>0</v>
      </c>
      <c r="CQ198" s="48">
        <v>0</v>
      </c>
      <c r="CR198" s="48">
        <v>0</v>
      </c>
      <c r="CS198" s="48">
        <v>0</v>
      </c>
      <c r="CT198" s="48">
        <v>0</v>
      </c>
      <c r="CU198" s="48">
        <v>0</v>
      </c>
      <c r="CV198" s="48">
        <v>0</v>
      </c>
      <c r="CW198" s="48">
        <v>0</v>
      </c>
      <c r="CX198" s="48">
        <v>0</v>
      </c>
      <c r="CY198" s="48">
        <v>0</v>
      </c>
      <c r="CZ198" s="48">
        <v>0</v>
      </c>
      <c r="DA198" s="48">
        <v>0</v>
      </c>
      <c r="DB198" s="48">
        <v>0</v>
      </c>
      <c r="DC198" s="48">
        <v>0</v>
      </c>
      <c r="DD198" s="48">
        <v>0</v>
      </c>
      <c r="DE198" s="48">
        <v>0</v>
      </c>
      <c r="DF198" s="48">
        <v>0</v>
      </c>
      <c r="DG198" s="48">
        <v>0</v>
      </c>
      <c r="DH198" s="48">
        <v>0</v>
      </c>
      <c r="DI198" s="48">
        <v>0</v>
      </c>
      <c r="DJ198" s="48">
        <v>0</v>
      </c>
      <c r="DK198" s="48">
        <v>0</v>
      </c>
      <c r="DL198" s="48">
        <v>0</v>
      </c>
      <c r="DM198" s="48">
        <v>0</v>
      </c>
      <c r="DN198" s="48">
        <v>0</v>
      </c>
      <c r="DO198" s="48">
        <v>0</v>
      </c>
      <c r="DP198" s="48">
        <v>0</v>
      </c>
      <c r="DQ198" s="48">
        <v>0</v>
      </c>
      <c r="DR198" s="48">
        <v>0</v>
      </c>
      <c r="DS198" s="48">
        <v>0</v>
      </c>
      <c r="DT198" s="48">
        <v>0</v>
      </c>
      <c r="DU198" s="48">
        <v>0</v>
      </c>
      <c r="DV198" s="48">
        <v>0</v>
      </c>
      <c r="DW198" s="48">
        <v>0</v>
      </c>
      <c r="DX198" s="48">
        <v>0</v>
      </c>
      <c r="DY198" s="48">
        <v>0</v>
      </c>
      <c r="DZ198" s="48">
        <v>0</v>
      </c>
      <c r="EA198" s="48">
        <v>0</v>
      </c>
      <c r="EB198" s="48">
        <v>0</v>
      </c>
      <c r="EC198" s="48">
        <v>0</v>
      </c>
      <c r="ED198" s="48">
        <v>0</v>
      </c>
      <c r="EE198" s="48">
        <v>0</v>
      </c>
      <c r="EF198" s="48">
        <v>0</v>
      </c>
      <c r="EG198" s="48">
        <v>0</v>
      </c>
      <c r="EH198" s="48">
        <v>0</v>
      </c>
      <c r="EI198" s="48">
        <v>0</v>
      </c>
      <c r="EJ198" s="48">
        <v>0</v>
      </c>
      <c r="EK198" s="48">
        <v>0</v>
      </c>
      <c r="EL198" s="48">
        <v>0</v>
      </c>
      <c r="EM198" s="48">
        <v>0</v>
      </c>
      <c r="EN198" s="48">
        <v>0</v>
      </c>
      <c r="EO198" s="48">
        <v>0</v>
      </c>
      <c r="EP198" s="48">
        <v>0</v>
      </c>
      <c r="EQ198" s="48">
        <v>0</v>
      </c>
      <c r="ER198" s="48">
        <v>0</v>
      </c>
      <c r="ES198" s="48">
        <v>0</v>
      </c>
      <c r="ET198" s="48">
        <v>0</v>
      </c>
      <c r="EU198" s="48">
        <v>0</v>
      </c>
      <c r="EV198" s="48">
        <v>0</v>
      </c>
      <c r="EW198" s="48">
        <v>0</v>
      </c>
      <c r="EX198" s="48">
        <v>0</v>
      </c>
      <c r="EY198" s="48">
        <v>0</v>
      </c>
      <c r="EZ198" s="48">
        <v>0</v>
      </c>
      <c r="FA198" s="48">
        <v>0</v>
      </c>
      <c r="FB198" s="48">
        <v>0</v>
      </c>
      <c r="FC198" s="48">
        <v>0</v>
      </c>
      <c r="FD198" s="48">
        <v>0</v>
      </c>
      <c r="FE198" s="48">
        <v>0</v>
      </c>
      <c r="FF198" s="48">
        <v>0</v>
      </c>
      <c r="FG198" s="48">
        <v>0</v>
      </c>
      <c r="FH198" s="48">
        <v>0</v>
      </c>
      <c r="FI198" s="48">
        <v>0</v>
      </c>
      <c r="FJ198" s="48">
        <v>0</v>
      </c>
      <c r="FK198" s="48">
        <v>0</v>
      </c>
      <c r="FL198" s="48">
        <v>0</v>
      </c>
      <c r="FM198" s="48">
        <v>0</v>
      </c>
      <c r="FN198" s="48">
        <v>0</v>
      </c>
      <c r="FO198" s="48">
        <v>0</v>
      </c>
      <c r="FP198" s="48">
        <v>0</v>
      </c>
      <c r="FQ198" s="48">
        <v>0</v>
      </c>
      <c r="FR198" s="48">
        <v>0</v>
      </c>
      <c r="FS198" s="48">
        <v>0</v>
      </c>
      <c r="FT198" s="48">
        <v>0</v>
      </c>
      <c r="FU198" s="48">
        <v>0</v>
      </c>
      <c r="FV198" s="48">
        <v>0</v>
      </c>
      <c r="FW198" s="48">
        <v>0</v>
      </c>
      <c r="FX198" s="48">
        <v>0</v>
      </c>
      <c r="FY198" s="48">
        <v>0</v>
      </c>
      <c r="FZ198" s="48">
        <v>0</v>
      </c>
      <c r="GA198" s="48">
        <v>0</v>
      </c>
      <c r="GB198" s="48">
        <v>0</v>
      </c>
      <c r="GC198" s="48">
        <v>0</v>
      </c>
      <c r="GD198" s="48">
        <v>0</v>
      </c>
      <c r="GE198" s="48">
        <v>0</v>
      </c>
      <c r="GF198" s="48">
        <v>0</v>
      </c>
      <c r="GG198" s="48">
        <v>0</v>
      </c>
      <c r="GH198" s="48">
        <v>0</v>
      </c>
      <c r="GI198" s="48">
        <v>0</v>
      </c>
      <c r="GJ198" s="48">
        <v>0</v>
      </c>
      <c r="GK198" s="48">
        <v>0</v>
      </c>
      <c r="GL198" s="48">
        <v>0</v>
      </c>
      <c r="GM198" s="48">
        <v>0</v>
      </c>
      <c r="GN198" s="48">
        <v>0</v>
      </c>
      <c r="GO198" s="48">
        <v>0</v>
      </c>
      <c r="GP198" s="48">
        <v>0</v>
      </c>
      <c r="GQ198" s="48">
        <v>0</v>
      </c>
      <c r="GR198" s="48">
        <v>0</v>
      </c>
      <c r="GS198" s="48">
        <v>0</v>
      </c>
      <c r="GT198" s="48">
        <v>0</v>
      </c>
      <c r="GU198" s="48">
        <v>0</v>
      </c>
      <c r="GV198" s="48">
        <v>0</v>
      </c>
      <c r="GW198" s="48">
        <v>0</v>
      </c>
      <c r="GX198" s="48">
        <v>0</v>
      </c>
      <c r="GY198" s="48">
        <v>0</v>
      </c>
      <c r="GZ198" s="48">
        <v>0</v>
      </c>
      <c r="HA198" s="48">
        <v>0</v>
      </c>
      <c r="HB198" s="48">
        <v>0</v>
      </c>
      <c r="HC198" s="48">
        <v>0</v>
      </c>
      <c r="HD198" s="48">
        <v>0</v>
      </c>
      <c r="HE198" s="48">
        <v>0</v>
      </c>
      <c r="HF198" s="48">
        <v>0</v>
      </c>
      <c r="HG198" s="48">
        <v>0</v>
      </c>
      <c r="HH198" s="48">
        <v>0</v>
      </c>
      <c r="HI198" s="48">
        <v>0</v>
      </c>
      <c r="HJ198" s="48">
        <v>0</v>
      </c>
      <c r="HK198" s="48">
        <v>0</v>
      </c>
      <c r="HL198" s="48">
        <v>0</v>
      </c>
      <c r="HM198" s="48">
        <v>0</v>
      </c>
      <c r="HN198" s="48">
        <v>0</v>
      </c>
      <c r="HO198" s="48">
        <v>0</v>
      </c>
      <c r="HP198" s="48">
        <v>0</v>
      </c>
      <c r="HQ198" s="48">
        <v>0</v>
      </c>
      <c r="HR198" s="48">
        <v>0</v>
      </c>
      <c r="HS198" s="48">
        <v>0</v>
      </c>
      <c r="HT198" s="48">
        <v>0</v>
      </c>
      <c r="HU198" s="48">
        <v>0</v>
      </c>
      <c r="HV198" s="48">
        <v>0</v>
      </c>
      <c r="HW198" s="48">
        <v>0</v>
      </c>
      <c r="HX198" s="48">
        <v>0</v>
      </c>
      <c r="HY198" s="48">
        <v>0</v>
      </c>
      <c r="HZ198" s="48">
        <v>0</v>
      </c>
      <c r="IA198" s="48">
        <v>0</v>
      </c>
      <c r="IB198" s="48">
        <v>0</v>
      </c>
      <c r="IC198" s="48">
        <v>0</v>
      </c>
      <c r="ID198" s="48">
        <v>0</v>
      </c>
      <c r="IE198" s="48">
        <v>0</v>
      </c>
      <c r="IF198" s="48">
        <v>0</v>
      </c>
      <c r="IG198" s="48">
        <v>0</v>
      </c>
      <c r="IH198" s="48">
        <v>0</v>
      </c>
      <c r="II198" s="48">
        <v>0</v>
      </c>
      <c r="IJ198" s="48">
        <v>0</v>
      </c>
      <c r="IK198" s="48">
        <v>0</v>
      </c>
      <c r="IL198" s="48">
        <v>0</v>
      </c>
      <c r="IM198" s="48">
        <v>0</v>
      </c>
      <c r="IN198" s="48">
        <v>0</v>
      </c>
      <c r="IO198" s="48">
        <v>0</v>
      </c>
      <c r="IP198" s="23">
        <v>0</v>
      </c>
      <c r="IQ198" s="25">
        <v>4194</v>
      </c>
      <c r="IR198" s="25">
        <v>0</v>
      </c>
      <c r="IS198" s="26">
        <v>0</v>
      </c>
      <c r="IT198" s="26">
        <v>0</v>
      </c>
      <c r="IU198" s="26">
        <v>0</v>
      </c>
      <c r="IV198" s="9">
        <v>0</v>
      </c>
      <c r="IW198" s="38">
        <f t="shared" si="13"/>
        <v>4194</v>
      </c>
    </row>
    <row r="199" spans="1:257" ht="30" customHeight="1" x14ac:dyDescent="0.25">
      <c r="A199" s="112" t="b">
        <v>1</v>
      </c>
      <c r="B199" s="113" t="str">
        <f>IFERROR(VLOOKUP(C199,'Bridge matrix'!$D$3:$E$727,2,FALSE)='symmetric IOT 245 2012'!D199,"FALSCH")</f>
        <v>FALSCH</v>
      </c>
      <c r="C199" s="108">
        <v>188</v>
      </c>
      <c r="D199" s="49" t="s">
        <v>1506</v>
      </c>
      <c r="E199" s="48">
        <v>0</v>
      </c>
      <c r="F199" s="48">
        <v>0</v>
      </c>
      <c r="G199" s="48">
        <v>0</v>
      </c>
      <c r="H199" s="48">
        <v>0</v>
      </c>
      <c r="I199" s="48">
        <v>0</v>
      </c>
      <c r="J199" s="48">
        <v>0</v>
      </c>
      <c r="K199" s="48">
        <v>0</v>
      </c>
      <c r="L199" s="48">
        <v>0</v>
      </c>
      <c r="M199" s="48">
        <v>0</v>
      </c>
      <c r="N199" s="48">
        <v>0</v>
      </c>
      <c r="O199" s="48">
        <v>0</v>
      </c>
      <c r="P199" s="48">
        <v>0</v>
      </c>
      <c r="Q199" s="48">
        <v>0</v>
      </c>
      <c r="R199" s="48">
        <v>0</v>
      </c>
      <c r="S199" s="48">
        <v>0</v>
      </c>
      <c r="T199" s="48">
        <v>0</v>
      </c>
      <c r="U199" s="48">
        <v>0</v>
      </c>
      <c r="V199" s="48">
        <v>0</v>
      </c>
      <c r="W199" s="48">
        <v>0</v>
      </c>
      <c r="X199" s="48">
        <v>0</v>
      </c>
      <c r="Y199" s="48">
        <v>0</v>
      </c>
      <c r="Z199" s="48">
        <v>0</v>
      </c>
      <c r="AA199" s="48">
        <v>0</v>
      </c>
      <c r="AB199" s="48">
        <v>0</v>
      </c>
      <c r="AC199" s="48">
        <v>0</v>
      </c>
      <c r="AD199" s="48">
        <v>0</v>
      </c>
      <c r="AE199" s="48">
        <v>0</v>
      </c>
      <c r="AF199" s="48">
        <v>0</v>
      </c>
      <c r="AG199" s="48">
        <v>0</v>
      </c>
      <c r="AH199" s="48">
        <v>0</v>
      </c>
      <c r="AI199" s="48">
        <v>0</v>
      </c>
      <c r="AJ199" s="48">
        <v>0</v>
      </c>
      <c r="AK199" s="48">
        <v>0</v>
      </c>
      <c r="AL199" s="48">
        <v>0</v>
      </c>
      <c r="AM199" s="48">
        <v>0</v>
      </c>
      <c r="AN199" s="48">
        <v>0</v>
      </c>
      <c r="AO199" s="48">
        <v>0</v>
      </c>
      <c r="AP199" s="48">
        <v>0</v>
      </c>
      <c r="AQ199" s="48">
        <v>0</v>
      </c>
      <c r="AR199" s="48">
        <v>0</v>
      </c>
      <c r="AS199" s="48">
        <v>0</v>
      </c>
      <c r="AT199" s="48">
        <v>0</v>
      </c>
      <c r="AU199" s="48">
        <v>0</v>
      </c>
      <c r="AV199" s="48">
        <v>0</v>
      </c>
      <c r="AW199" s="48">
        <v>0</v>
      </c>
      <c r="AX199" s="48">
        <v>0</v>
      </c>
      <c r="AY199" s="48">
        <v>0</v>
      </c>
      <c r="AZ199" s="48">
        <v>0</v>
      </c>
      <c r="BA199" s="48">
        <v>0</v>
      </c>
      <c r="BB199" s="48">
        <v>0</v>
      </c>
      <c r="BC199" s="48">
        <v>0</v>
      </c>
      <c r="BD199" s="48">
        <v>0</v>
      </c>
      <c r="BE199" s="48">
        <v>0</v>
      </c>
      <c r="BF199" s="48">
        <v>0</v>
      </c>
      <c r="BG199" s="48">
        <v>0</v>
      </c>
      <c r="BH199" s="48">
        <v>0</v>
      </c>
      <c r="BI199" s="48">
        <v>0</v>
      </c>
      <c r="BJ199" s="48">
        <v>0</v>
      </c>
      <c r="BK199" s="48">
        <v>0</v>
      </c>
      <c r="BL199" s="48">
        <v>0</v>
      </c>
      <c r="BM199" s="48">
        <v>0</v>
      </c>
      <c r="BN199" s="48">
        <v>0</v>
      </c>
      <c r="BO199" s="48">
        <v>0</v>
      </c>
      <c r="BP199" s="48">
        <v>0</v>
      </c>
      <c r="BQ199" s="48">
        <v>0</v>
      </c>
      <c r="BR199" s="48">
        <v>0</v>
      </c>
      <c r="BS199" s="48">
        <v>0</v>
      </c>
      <c r="BT199" s="48">
        <v>0</v>
      </c>
      <c r="BU199" s="48">
        <v>0</v>
      </c>
      <c r="BV199" s="48">
        <v>0</v>
      </c>
      <c r="BW199" s="48">
        <v>0</v>
      </c>
      <c r="BX199" s="48">
        <v>0</v>
      </c>
      <c r="BY199" s="48">
        <v>0</v>
      </c>
      <c r="BZ199" s="48">
        <v>0</v>
      </c>
      <c r="CA199" s="48">
        <v>301876.27394143929</v>
      </c>
      <c r="CB199" s="48">
        <v>1036.5522419001436</v>
      </c>
      <c r="CC199" s="48">
        <v>0</v>
      </c>
      <c r="CD199" s="48">
        <v>0</v>
      </c>
      <c r="CE199" s="48">
        <v>0</v>
      </c>
      <c r="CF199" s="48">
        <v>0</v>
      </c>
      <c r="CG199" s="48">
        <v>0</v>
      </c>
      <c r="CH199" s="48">
        <v>0</v>
      </c>
      <c r="CI199" s="48">
        <v>0</v>
      </c>
      <c r="CJ199" s="48">
        <v>0</v>
      </c>
      <c r="CK199" s="48">
        <v>0</v>
      </c>
      <c r="CL199" s="48">
        <v>0</v>
      </c>
      <c r="CM199" s="48">
        <v>0</v>
      </c>
      <c r="CN199" s="48">
        <v>0</v>
      </c>
      <c r="CO199" s="48">
        <v>0</v>
      </c>
      <c r="CP199" s="48">
        <v>0</v>
      </c>
      <c r="CQ199" s="48">
        <v>0</v>
      </c>
      <c r="CR199" s="48">
        <v>0</v>
      </c>
      <c r="CS199" s="48">
        <v>0</v>
      </c>
      <c r="CT199" s="48">
        <v>0</v>
      </c>
      <c r="CU199" s="48">
        <v>0</v>
      </c>
      <c r="CV199" s="48">
        <v>0</v>
      </c>
      <c r="CW199" s="48">
        <v>0</v>
      </c>
      <c r="CX199" s="48">
        <v>0</v>
      </c>
      <c r="CY199" s="48">
        <v>0</v>
      </c>
      <c r="CZ199" s="48">
        <v>0</v>
      </c>
      <c r="DA199" s="48">
        <v>0</v>
      </c>
      <c r="DB199" s="48">
        <v>0</v>
      </c>
      <c r="DC199" s="48">
        <v>0</v>
      </c>
      <c r="DD199" s="48">
        <v>0</v>
      </c>
      <c r="DE199" s="48">
        <v>0</v>
      </c>
      <c r="DF199" s="48">
        <v>0</v>
      </c>
      <c r="DG199" s="48">
        <v>0</v>
      </c>
      <c r="DH199" s="48">
        <v>0</v>
      </c>
      <c r="DI199" s="48">
        <v>0</v>
      </c>
      <c r="DJ199" s="48">
        <v>0</v>
      </c>
      <c r="DK199" s="48">
        <v>0</v>
      </c>
      <c r="DL199" s="48">
        <v>0</v>
      </c>
      <c r="DM199" s="48">
        <v>0</v>
      </c>
      <c r="DN199" s="48">
        <v>0</v>
      </c>
      <c r="DO199" s="48">
        <v>0</v>
      </c>
      <c r="DP199" s="48">
        <v>0</v>
      </c>
      <c r="DQ199" s="48">
        <v>0</v>
      </c>
      <c r="DR199" s="48">
        <v>0</v>
      </c>
      <c r="DS199" s="48">
        <v>0</v>
      </c>
      <c r="DT199" s="48">
        <v>0</v>
      </c>
      <c r="DU199" s="48">
        <v>0</v>
      </c>
      <c r="DV199" s="48">
        <v>0</v>
      </c>
      <c r="DW199" s="48">
        <v>0</v>
      </c>
      <c r="DX199" s="48">
        <v>0</v>
      </c>
      <c r="DY199" s="48">
        <v>0</v>
      </c>
      <c r="DZ199" s="48">
        <v>0</v>
      </c>
      <c r="EA199" s="48">
        <v>0</v>
      </c>
      <c r="EB199" s="48">
        <v>0</v>
      </c>
      <c r="EC199" s="48">
        <v>0</v>
      </c>
      <c r="ED199" s="48">
        <v>37.373899160302628</v>
      </c>
      <c r="EE199" s="48">
        <v>10.093916955130267</v>
      </c>
      <c r="EF199" s="48">
        <v>36.516894869491857</v>
      </c>
      <c r="EG199" s="48">
        <v>12.171752181668074</v>
      </c>
      <c r="EH199" s="48">
        <v>2.0171783381981925</v>
      </c>
      <c r="EI199" s="48">
        <v>0</v>
      </c>
      <c r="EJ199" s="48">
        <v>0</v>
      </c>
      <c r="EK199" s="48">
        <v>0</v>
      </c>
      <c r="EL199" s="48">
        <v>0</v>
      </c>
      <c r="EM199" s="48">
        <v>0</v>
      </c>
      <c r="EN199" s="48">
        <v>0</v>
      </c>
      <c r="EO199" s="48">
        <v>0</v>
      </c>
      <c r="EP199" s="48">
        <v>0</v>
      </c>
      <c r="EQ199" s="48">
        <v>0</v>
      </c>
      <c r="ER199" s="48">
        <v>0</v>
      </c>
      <c r="ES199" s="48">
        <v>0</v>
      </c>
      <c r="ET199" s="48">
        <v>0</v>
      </c>
      <c r="EU199" s="48">
        <v>0</v>
      </c>
      <c r="EV199" s="48">
        <v>0</v>
      </c>
      <c r="EW199" s="48">
        <v>1.7515793382840694E-4</v>
      </c>
      <c r="EX199" s="48">
        <v>0</v>
      </c>
      <c r="EY199" s="48">
        <v>0</v>
      </c>
      <c r="EZ199" s="48">
        <v>0</v>
      </c>
      <c r="FA199" s="48">
        <v>0</v>
      </c>
      <c r="FB199" s="48">
        <v>0</v>
      </c>
      <c r="FC199" s="48">
        <v>0</v>
      </c>
      <c r="FD199" s="48">
        <v>0</v>
      </c>
      <c r="FE199" s="48">
        <v>0</v>
      </c>
      <c r="FF199" s="48">
        <v>0</v>
      </c>
      <c r="FG199" s="48">
        <v>0</v>
      </c>
      <c r="FH199" s="48">
        <v>0</v>
      </c>
      <c r="FI199" s="48">
        <v>0</v>
      </c>
      <c r="FJ199" s="48">
        <v>0</v>
      </c>
      <c r="FK199" s="48">
        <v>0</v>
      </c>
      <c r="FL199" s="48">
        <v>0</v>
      </c>
      <c r="FM199" s="48">
        <v>0</v>
      </c>
      <c r="FN199" s="48">
        <v>0</v>
      </c>
      <c r="FO199" s="48">
        <v>0</v>
      </c>
      <c r="FP199" s="48">
        <v>0</v>
      </c>
      <c r="FQ199" s="48">
        <v>0</v>
      </c>
      <c r="FR199" s="48">
        <v>0</v>
      </c>
      <c r="FS199" s="48">
        <v>0</v>
      </c>
      <c r="FT199" s="48">
        <v>0</v>
      </c>
      <c r="FU199" s="48">
        <v>0</v>
      </c>
      <c r="FV199" s="48">
        <v>0</v>
      </c>
      <c r="FW199" s="48">
        <v>0</v>
      </c>
      <c r="FX199" s="48">
        <v>0</v>
      </c>
      <c r="FY199" s="48">
        <v>0</v>
      </c>
      <c r="FZ199" s="48">
        <v>0</v>
      </c>
      <c r="GA199" s="48">
        <v>0</v>
      </c>
      <c r="GB199" s="48">
        <v>0</v>
      </c>
      <c r="GC199" s="48">
        <v>0</v>
      </c>
      <c r="GD199" s="48">
        <v>0</v>
      </c>
      <c r="GE199" s="48">
        <v>0</v>
      </c>
      <c r="GF199" s="48">
        <v>0</v>
      </c>
      <c r="GG199" s="48">
        <v>0</v>
      </c>
      <c r="GH199" s="48">
        <v>0</v>
      </c>
      <c r="GI199" s="48">
        <v>0</v>
      </c>
      <c r="GJ199" s="48">
        <v>0</v>
      </c>
      <c r="GK199" s="48">
        <v>0</v>
      </c>
      <c r="GL199" s="48">
        <v>0</v>
      </c>
      <c r="GM199" s="48">
        <v>0</v>
      </c>
      <c r="GN199" s="48">
        <v>0</v>
      </c>
      <c r="GO199" s="48">
        <v>0</v>
      </c>
      <c r="GP199" s="48">
        <v>0</v>
      </c>
      <c r="GQ199" s="48">
        <v>0</v>
      </c>
      <c r="GR199" s="48">
        <v>0</v>
      </c>
      <c r="GS199" s="48">
        <v>0</v>
      </c>
      <c r="GT199" s="48">
        <v>0</v>
      </c>
      <c r="GU199" s="48">
        <v>0</v>
      </c>
      <c r="GV199" s="48">
        <v>0</v>
      </c>
      <c r="GW199" s="48">
        <v>0</v>
      </c>
      <c r="GX199" s="48">
        <v>0</v>
      </c>
      <c r="GY199" s="48">
        <v>0</v>
      </c>
      <c r="GZ199" s="48">
        <v>0</v>
      </c>
      <c r="HA199" s="48">
        <v>0</v>
      </c>
      <c r="HB199" s="48">
        <v>0</v>
      </c>
      <c r="HC199" s="48">
        <v>0</v>
      </c>
      <c r="HD199" s="48">
        <v>0</v>
      </c>
      <c r="HE199" s="48">
        <v>0</v>
      </c>
      <c r="HF199" s="48">
        <v>0</v>
      </c>
      <c r="HG199" s="48">
        <v>0</v>
      </c>
      <c r="HH199" s="48">
        <v>0</v>
      </c>
      <c r="HI199" s="48">
        <v>0</v>
      </c>
      <c r="HJ199" s="48">
        <v>0</v>
      </c>
      <c r="HK199" s="48">
        <v>0</v>
      </c>
      <c r="HL199" s="48">
        <v>0</v>
      </c>
      <c r="HM199" s="48">
        <v>0</v>
      </c>
      <c r="HN199" s="48">
        <v>0</v>
      </c>
      <c r="HO199" s="48">
        <v>0</v>
      </c>
      <c r="HP199" s="48">
        <v>0</v>
      </c>
      <c r="HQ199" s="48">
        <v>0</v>
      </c>
      <c r="HR199" s="48">
        <v>0</v>
      </c>
      <c r="HS199" s="48">
        <v>0</v>
      </c>
      <c r="HT199" s="48">
        <v>0</v>
      </c>
      <c r="HU199" s="48">
        <v>0</v>
      </c>
      <c r="HV199" s="48">
        <v>0</v>
      </c>
      <c r="HW199" s="48">
        <v>0</v>
      </c>
      <c r="HX199" s="48">
        <v>0</v>
      </c>
      <c r="HY199" s="48">
        <v>0</v>
      </c>
      <c r="HZ199" s="48">
        <v>0</v>
      </c>
      <c r="IA199" s="48">
        <v>0</v>
      </c>
      <c r="IB199" s="48">
        <v>0</v>
      </c>
      <c r="IC199" s="48">
        <v>0</v>
      </c>
      <c r="ID199" s="48">
        <v>0</v>
      </c>
      <c r="IE199" s="48">
        <v>0</v>
      </c>
      <c r="IF199" s="48">
        <v>0</v>
      </c>
      <c r="IG199" s="48">
        <v>0</v>
      </c>
      <c r="IH199" s="48">
        <v>0</v>
      </c>
      <c r="II199" s="48">
        <v>0</v>
      </c>
      <c r="IJ199" s="48">
        <v>0</v>
      </c>
      <c r="IK199" s="48">
        <v>0</v>
      </c>
      <c r="IL199" s="48">
        <v>0</v>
      </c>
      <c r="IM199" s="48">
        <v>0</v>
      </c>
      <c r="IN199" s="48">
        <v>0</v>
      </c>
      <c r="IO199" s="48">
        <v>0</v>
      </c>
      <c r="IP199" s="23">
        <v>303011.0000000021</v>
      </c>
      <c r="IQ199" s="25">
        <v>0</v>
      </c>
      <c r="IR199" s="25">
        <v>0</v>
      </c>
      <c r="IS199" s="26">
        <v>0</v>
      </c>
      <c r="IT199" s="26">
        <v>0</v>
      </c>
      <c r="IU199" s="26">
        <v>0</v>
      </c>
      <c r="IV199" s="9">
        <v>0</v>
      </c>
      <c r="IW199" s="38">
        <f t="shared" ref="IW199:IW256" si="34">SUM(IP199:IV199)</f>
        <v>303011.0000000021</v>
      </c>
    </row>
    <row r="200" spans="1:257" ht="30" customHeight="1" x14ac:dyDescent="0.25">
      <c r="A200" s="112" t="b">
        <v>1</v>
      </c>
      <c r="B200" s="113" t="b">
        <f>IFERROR(VLOOKUP(C200,'Bridge matrix'!$D$3:$E$727,2,FALSE)='symmetric IOT 245 2012'!D200,"FALSCH")</f>
        <v>1</v>
      </c>
      <c r="C200" s="108">
        <v>189</v>
      </c>
      <c r="D200" s="49" t="s">
        <v>1507</v>
      </c>
      <c r="E200" s="48">
        <v>46584.532159821872</v>
      </c>
      <c r="F200" s="48">
        <v>5781.0703591692181</v>
      </c>
      <c r="G200" s="48">
        <v>9278.2956761575915</v>
      </c>
      <c r="H200" s="48">
        <v>0</v>
      </c>
      <c r="I200" s="48">
        <v>0</v>
      </c>
      <c r="J200" s="48">
        <v>0</v>
      </c>
      <c r="K200" s="48">
        <v>0</v>
      </c>
      <c r="L200" s="48">
        <v>0</v>
      </c>
      <c r="M200" s="48">
        <v>0</v>
      </c>
      <c r="N200" s="48">
        <v>0</v>
      </c>
      <c r="O200" s="48">
        <v>0</v>
      </c>
      <c r="P200" s="48">
        <v>0</v>
      </c>
      <c r="Q200" s="48">
        <v>0</v>
      </c>
      <c r="R200" s="48">
        <v>0</v>
      </c>
      <c r="S200" s="48">
        <v>0</v>
      </c>
      <c r="T200" s="48">
        <v>0</v>
      </c>
      <c r="U200" s="48">
        <v>0</v>
      </c>
      <c r="V200" s="48">
        <v>0</v>
      </c>
      <c r="W200" s="48">
        <v>0</v>
      </c>
      <c r="X200" s="48">
        <v>0</v>
      </c>
      <c r="Y200" s="48">
        <v>0</v>
      </c>
      <c r="Z200" s="48">
        <v>0</v>
      </c>
      <c r="AA200" s="48">
        <v>0</v>
      </c>
      <c r="AB200" s="48">
        <v>0</v>
      </c>
      <c r="AC200" s="48">
        <v>0</v>
      </c>
      <c r="AD200" s="48">
        <v>0</v>
      </c>
      <c r="AE200" s="48">
        <v>0</v>
      </c>
      <c r="AF200" s="48">
        <v>0</v>
      </c>
      <c r="AG200" s="48">
        <v>0</v>
      </c>
      <c r="AH200" s="48">
        <v>0</v>
      </c>
      <c r="AI200" s="48">
        <v>0</v>
      </c>
      <c r="AJ200" s="48">
        <v>0</v>
      </c>
      <c r="AK200" s="48">
        <v>0</v>
      </c>
      <c r="AL200" s="48">
        <v>0</v>
      </c>
      <c r="AM200" s="48">
        <v>0</v>
      </c>
      <c r="AN200" s="48">
        <v>0</v>
      </c>
      <c r="AO200" s="48">
        <v>0</v>
      </c>
      <c r="AP200" s="48">
        <v>0</v>
      </c>
      <c r="AQ200" s="48">
        <v>0</v>
      </c>
      <c r="AR200" s="48">
        <v>0</v>
      </c>
      <c r="AS200" s="48">
        <v>0</v>
      </c>
      <c r="AT200" s="48">
        <v>0</v>
      </c>
      <c r="AU200" s="48">
        <v>0</v>
      </c>
      <c r="AV200" s="48">
        <v>0</v>
      </c>
      <c r="AW200" s="48">
        <v>0</v>
      </c>
      <c r="AX200" s="48">
        <v>0</v>
      </c>
      <c r="AY200" s="48">
        <v>0</v>
      </c>
      <c r="AZ200" s="48">
        <v>0</v>
      </c>
      <c r="BA200" s="48">
        <v>0</v>
      </c>
      <c r="BB200" s="48">
        <v>0</v>
      </c>
      <c r="BC200" s="48">
        <v>0</v>
      </c>
      <c r="BD200" s="48">
        <v>0</v>
      </c>
      <c r="BE200" s="48">
        <v>0</v>
      </c>
      <c r="BF200" s="48">
        <v>0</v>
      </c>
      <c r="BG200" s="48">
        <v>0</v>
      </c>
      <c r="BH200" s="48">
        <v>0</v>
      </c>
      <c r="BI200" s="48">
        <v>0</v>
      </c>
      <c r="BJ200" s="48">
        <v>0</v>
      </c>
      <c r="BK200" s="48">
        <v>0</v>
      </c>
      <c r="BL200" s="48">
        <v>0</v>
      </c>
      <c r="BM200" s="48">
        <v>0</v>
      </c>
      <c r="BN200" s="48">
        <v>0</v>
      </c>
      <c r="BO200" s="48">
        <v>0</v>
      </c>
      <c r="BP200" s="48">
        <v>0</v>
      </c>
      <c r="BQ200" s="48">
        <v>0</v>
      </c>
      <c r="BR200" s="48">
        <v>0</v>
      </c>
      <c r="BS200" s="48">
        <v>0</v>
      </c>
      <c r="BT200" s="48">
        <v>0</v>
      </c>
      <c r="BU200" s="48">
        <v>0</v>
      </c>
      <c r="BV200" s="48">
        <v>0</v>
      </c>
      <c r="BW200" s="48">
        <v>0</v>
      </c>
      <c r="BX200" s="48">
        <v>0</v>
      </c>
      <c r="BY200" s="48">
        <v>0</v>
      </c>
      <c r="BZ200" s="48">
        <v>0</v>
      </c>
      <c r="CA200" s="48">
        <v>72546.550678112078</v>
      </c>
      <c r="CB200" s="48">
        <v>250.21416890456129</v>
      </c>
      <c r="CC200" s="48">
        <v>0</v>
      </c>
      <c r="CD200" s="48">
        <v>0</v>
      </c>
      <c r="CE200" s="48">
        <v>0</v>
      </c>
      <c r="CF200" s="48">
        <v>0</v>
      </c>
      <c r="CG200" s="48">
        <v>0</v>
      </c>
      <c r="CH200" s="48">
        <v>0</v>
      </c>
      <c r="CI200" s="48">
        <v>0</v>
      </c>
      <c r="CJ200" s="48">
        <v>0</v>
      </c>
      <c r="CK200" s="48">
        <v>0</v>
      </c>
      <c r="CL200" s="48">
        <v>0</v>
      </c>
      <c r="CM200" s="48">
        <v>0</v>
      </c>
      <c r="CN200" s="48">
        <v>0</v>
      </c>
      <c r="CO200" s="48">
        <v>0</v>
      </c>
      <c r="CP200" s="48">
        <v>0</v>
      </c>
      <c r="CQ200" s="48">
        <v>0</v>
      </c>
      <c r="CR200" s="48">
        <v>0</v>
      </c>
      <c r="CS200" s="48">
        <v>0</v>
      </c>
      <c r="CT200" s="48">
        <v>0</v>
      </c>
      <c r="CU200" s="48">
        <v>0</v>
      </c>
      <c r="CV200" s="48">
        <v>0</v>
      </c>
      <c r="CW200" s="48">
        <v>0</v>
      </c>
      <c r="CX200" s="48">
        <v>0</v>
      </c>
      <c r="CY200" s="48">
        <v>0</v>
      </c>
      <c r="CZ200" s="48">
        <v>0</v>
      </c>
      <c r="DA200" s="48">
        <v>0</v>
      </c>
      <c r="DB200" s="48">
        <v>0</v>
      </c>
      <c r="DC200" s="48">
        <v>0</v>
      </c>
      <c r="DD200" s="48">
        <v>1.4002415705307303</v>
      </c>
      <c r="DE200" s="48">
        <v>0</v>
      </c>
      <c r="DF200" s="48">
        <v>0</v>
      </c>
      <c r="DG200" s="48">
        <v>0</v>
      </c>
      <c r="DH200" s="48">
        <v>0</v>
      </c>
      <c r="DI200" s="48">
        <v>0</v>
      </c>
      <c r="DJ200" s="48">
        <v>0</v>
      </c>
      <c r="DK200" s="48">
        <v>6.4328351882195234</v>
      </c>
      <c r="DL200" s="48">
        <v>0</v>
      </c>
      <c r="DM200" s="48">
        <v>0</v>
      </c>
      <c r="DN200" s="48">
        <v>0</v>
      </c>
      <c r="DO200" s="48">
        <v>0</v>
      </c>
      <c r="DP200" s="48">
        <v>233.71079886768777</v>
      </c>
      <c r="DQ200" s="48">
        <v>409.35114521371696</v>
      </c>
      <c r="DR200" s="48">
        <v>305.9088144680984</v>
      </c>
      <c r="DS200" s="48">
        <v>534.75460565094068</v>
      </c>
      <c r="DT200" s="48">
        <v>233.38171888746677</v>
      </c>
      <c r="DU200" s="48">
        <v>116.75824838242463</v>
      </c>
      <c r="DV200" s="48">
        <v>1728.0501757380571</v>
      </c>
      <c r="DW200" s="48">
        <v>0</v>
      </c>
      <c r="DX200" s="48">
        <v>0</v>
      </c>
      <c r="DY200" s="48">
        <v>0</v>
      </c>
      <c r="DZ200" s="48">
        <v>0</v>
      </c>
      <c r="EA200" s="48">
        <v>0</v>
      </c>
      <c r="EB200" s="48">
        <v>0</v>
      </c>
      <c r="EC200" s="48">
        <v>0</v>
      </c>
      <c r="ED200" s="48">
        <v>56.105310638799061</v>
      </c>
      <c r="EE200" s="48">
        <v>15.824331136723181</v>
      </c>
      <c r="EF200" s="48">
        <v>56.225605178071532</v>
      </c>
      <c r="EG200" s="48">
        <v>19.876847392865713</v>
      </c>
      <c r="EH200" s="48">
        <v>2.9647030973611681</v>
      </c>
      <c r="EI200" s="48">
        <v>0</v>
      </c>
      <c r="EJ200" s="48">
        <v>0</v>
      </c>
      <c r="EK200" s="48">
        <v>0</v>
      </c>
      <c r="EL200" s="48">
        <v>0</v>
      </c>
      <c r="EM200" s="48">
        <v>0</v>
      </c>
      <c r="EN200" s="48">
        <v>0</v>
      </c>
      <c r="EO200" s="48">
        <v>0</v>
      </c>
      <c r="EP200" s="48">
        <v>0</v>
      </c>
      <c r="EQ200" s="48">
        <v>0</v>
      </c>
      <c r="ER200" s="48">
        <v>795.12558200076137</v>
      </c>
      <c r="ES200" s="48">
        <v>95.676453363195435</v>
      </c>
      <c r="ET200" s="48">
        <v>2889.4622791230972</v>
      </c>
      <c r="EU200" s="48">
        <v>678.80318675757985</v>
      </c>
      <c r="EV200" s="48">
        <v>603.23110861520183</v>
      </c>
      <c r="EW200" s="48">
        <v>2596.8228647750275</v>
      </c>
      <c r="EX200" s="48">
        <v>2027.9215650934393</v>
      </c>
      <c r="EY200" s="48">
        <v>72.71540651744435</v>
      </c>
      <c r="EZ200" s="48">
        <v>138.90107630883995</v>
      </c>
      <c r="FA200" s="48">
        <v>38.31211946880385</v>
      </c>
      <c r="FB200" s="48">
        <v>27.335536624709988</v>
      </c>
      <c r="FC200" s="48">
        <v>24.344197393837124</v>
      </c>
      <c r="FD200" s="48">
        <v>0</v>
      </c>
      <c r="FE200" s="48">
        <v>0</v>
      </c>
      <c r="FF200" s="48">
        <v>0</v>
      </c>
      <c r="FG200" s="48">
        <v>0</v>
      </c>
      <c r="FH200" s="48">
        <v>0</v>
      </c>
      <c r="FI200" s="48">
        <v>0</v>
      </c>
      <c r="FJ200" s="48">
        <v>0</v>
      </c>
      <c r="FK200" s="48">
        <v>0</v>
      </c>
      <c r="FL200" s="48">
        <v>0</v>
      </c>
      <c r="FM200" s="48">
        <v>0</v>
      </c>
      <c r="FN200" s="48">
        <v>0</v>
      </c>
      <c r="FO200" s="48">
        <v>0</v>
      </c>
      <c r="FP200" s="48">
        <v>0</v>
      </c>
      <c r="FQ200" s="48">
        <v>0</v>
      </c>
      <c r="FR200" s="48">
        <v>0</v>
      </c>
      <c r="FS200" s="48">
        <v>0</v>
      </c>
      <c r="FT200" s="48">
        <v>0</v>
      </c>
      <c r="FU200" s="48">
        <v>0</v>
      </c>
      <c r="FV200" s="48">
        <v>0.48763072624952286</v>
      </c>
      <c r="FW200" s="48">
        <v>0</v>
      </c>
      <c r="FX200" s="48">
        <v>0</v>
      </c>
      <c r="FY200" s="48">
        <v>0</v>
      </c>
      <c r="FZ200" s="48">
        <v>0</v>
      </c>
      <c r="GA200" s="48">
        <v>0</v>
      </c>
      <c r="GB200" s="48">
        <v>0</v>
      </c>
      <c r="GC200" s="48">
        <v>111425.50237396581</v>
      </c>
      <c r="GD200" s="48">
        <v>0</v>
      </c>
      <c r="GE200" s="48">
        <v>0</v>
      </c>
      <c r="GF200" s="48">
        <v>0</v>
      </c>
      <c r="GG200" s="48">
        <v>14327.402911828356</v>
      </c>
      <c r="GH200" s="48">
        <v>12570.442828545363</v>
      </c>
      <c r="GI200" s="48">
        <v>22.608164761459737</v>
      </c>
      <c r="GJ200" s="48">
        <v>1613.5129349372155</v>
      </c>
      <c r="GK200" s="48">
        <v>3360.9776638796766</v>
      </c>
      <c r="GL200" s="48">
        <v>3364.6560810680676</v>
      </c>
      <c r="GM200" s="48">
        <v>2478.0613390864969</v>
      </c>
      <c r="GN200" s="48">
        <v>101.37118765615581</v>
      </c>
      <c r="GO200" s="48">
        <v>830.03271482225102</v>
      </c>
      <c r="GP200" s="48">
        <v>364.17531976875711</v>
      </c>
      <c r="GQ200" s="48">
        <v>2696.886167836336</v>
      </c>
      <c r="GR200" s="48">
        <v>0</v>
      </c>
      <c r="GS200" s="48">
        <v>0</v>
      </c>
      <c r="GT200" s="48">
        <v>0</v>
      </c>
      <c r="GU200" s="48">
        <v>0</v>
      </c>
      <c r="GV200" s="48">
        <v>0</v>
      </c>
      <c r="GW200" s="48">
        <v>0</v>
      </c>
      <c r="GX200" s="48">
        <v>0</v>
      </c>
      <c r="GY200" s="48">
        <v>0</v>
      </c>
      <c r="GZ200" s="48">
        <v>0</v>
      </c>
      <c r="HA200" s="48">
        <v>0</v>
      </c>
      <c r="HB200" s="48">
        <v>3012.9553533653216</v>
      </c>
      <c r="HC200" s="48">
        <v>6794.7595224122233</v>
      </c>
      <c r="HD200" s="48">
        <v>2298.7284662343418</v>
      </c>
      <c r="HE200" s="48">
        <v>63.12068813617217</v>
      </c>
      <c r="HF200" s="48">
        <v>371.19730259180147</v>
      </c>
      <c r="HG200" s="48">
        <v>354.65570679722708</v>
      </c>
      <c r="HH200" s="48">
        <v>667.32339858424029</v>
      </c>
      <c r="HI200" s="48">
        <v>974.14843943436858</v>
      </c>
      <c r="HJ200" s="48">
        <v>1105.398867914158</v>
      </c>
      <c r="HK200" s="48">
        <v>52.251927185343277</v>
      </c>
      <c r="HL200" s="48">
        <v>83.487540519520735</v>
      </c>
      <c r="HM200" s="48">
        <v>382.18803660750024</v>
      </c>
      <c r="HN200" s="48">
        <v>112.45522320236016</v>
      </c>
      <c r="HO200" s="48">
        <v>471.43076023187285</v>
      </c>
      <c r="HP200" s="48">
        <v>806.77518715153349</v>
      </c>
      <c r="HQ200" s="48">
        <v>126.37491452774552</v>
      </c>
      <c r="HR200" s="48">
        <v>269.24050751259915</v>
      </c>
      <c r="HS200" s="48">
        <v>445.76982580244618</v>
      </c>
      <c r="HT200" s="48">
        <v>276.1964486544386</v>
      </c>
      <c r="HU200" s="48">
        <v>365.04138740734902</v>
      </c>
      <c r="HV200" s="48">
        <v>0</v>
      </c>
      <c r="HW200" s="48">
        <v>0</v>
      </c>
      <c r="HX200" s="48">
        <v>0</v>
      </c>
      <c r="HY200" s="48">
        <v>0</v>
      </c>
      <c r="HZ200" s="48">
        <v>0</v>
      </c>
      <c r="IA200" s="48">
        <v>0</v>
      </c>
      <c r="IB200" s="48">
        <v>0</v>
      </c>
      <c r="IC200" s="48">
        <v>0</v>
      </c>
      <c r="ID200" s="48">
        <v>0</v>
      </c>
      <c r="IE200" s="48">
        <v>0</v>
      </c>
      <c r="IF200" s="48">
        <v>0</v>
      </c>
      <c r="IG200" s="48">
        <v>0</v>
      </c>
      <c r="IH200" s="48">
        <v>0</v>
      </c>
      <c r="II200" s="48">
        <v>0</v>
      </c>
      <c r="IJ200" s="48">
        <v>0.32337722688985737</v>
      </c>
      <c r="IK200" s="48">
        <v>0</v>
      </c>
      <c r="IL200" s="48">
        <v>0</v>
      </c>
      <c r="IM200" s="48">
        <v>0</v>
      </c>
      <c r="IN200" s="48">
        <v>0</v>
      </c>
      <c r="IO200" s="48">
        <v>0</v>
      </c>
      <c r="IP200" s="23">
        <v>320339.99999999971</v>
      </c>
      <c r="IQ200" s="25">
        <v>15</v>
      </c>
      <c r="IR200" s="25">
        <v>0</v>
      </c>
      <c r="IS200" s="26">
        <v>0</v>
      </c>
      <c r="IT200" s="26">
        <v>0</v>
      </c>
      <c r="IU200" s="26">
        <v>0</v>
      </c>
      <c r="IV200" s="9">
        <v>311803</v>
      </c>
      <c r="IW200" s="38">
        <f t="shared" si="34"/>
        <v>632157.99999999977</v>
      </c>
    </row>
    <row r="201" spans="1:257" ht="30" customHeight="1" x14ac:dyDescent="0.25">
      <c r="A201" s="112" t="b">
        <v>1</v>
      </c>
      <c r="B201" s="113" t="b">
        <f>IFERROR(VLOOKUP(C201,'Bridge matrix'!$D$3:$E$727,2,FALSE)='symmetric IOT 245 2012'!D201,"FALSCH")</f>
        <v>1</v>
      </c>
      <c r="C201" s="108">
        <v>190</v>
      </c>
      <c r="D201" s="49" t="s">
        <v>1508</v>
      </c>
      <c r="E201" s="48">
        <v>317.23413899596733</v>
      </c>
      <c r="F201" s="48">
        <v>39.623056630067836</v>
      </c>
      <c r="G201" s="48">
        <v>63.595728473414432</v>
      </c>
      <c r="H201" s="48">
        <v>0.91893052266657815</v>
      </c>
      <c r="I201" s="48">
        <v>11.04027810934916</v>
      </c>
      <c r="J201" s="48">
        <v>39.559935545802205</v>
      </c>
      <c r="K201" s="48">
        <v>87.417481797170211</v>
      </c>
      <c r="L201" s="48">
        <v>2.7584972686009825</v>
      </c>
      <c r="M201" s="48">
        <v>0</v>
      </c>
      <c r="N201" s="48">
        <v>0.93394057247742013</v>
      </c>
      <c r="O201" s="48">
        <v>503.68573019520198</v>
      </c>
      <c r="P201" s="48">
        <v>73.548496749517</v>
      </c>
      <c r="Q201" s="48">
        <v>6.4317434126008113</v>
      </c>
      <c r="R201" s="48">
        <v>364.66239229911628</v>
      </c>
      <c r="S201" s="48">
        <v>0.91899118378764322</v>
      </c>
      <c r="T201" s="48">
        <v>163.32697456702951</v>
      </c>
      <c r="U201" s="48">
        <v>20.300803874547466</v>
      </c>
      <c r="V201" s="48">
        <v>44.288382574611312</v>
      </c>
      <c r="W201" s="48">
        <v>68.253419683261569</v>
      </c>
      <c r="X201" s="48">
        <v>0.92063419726012186</v>
      </c>
      <c r="Y201" s="48">
        <v>31.380491763396858</v>
      </c>
      <c r="Z201" s="48">
        <v>82.617257844368439</v>
      </c>
      <c r="AA201" s="48">
        <v>5.5342790504361092</v>
      </c>
      <c r="AB201" s="48">
        <v>5.5336265207432112</v>
      </c>
      <c r="AC201" s="48">
        <v>0.91936497788840099</v>
      </c>
      <c r="AD201" s="48">
        <v>20.285276726912496</v>
      </c>
      <c r="AE201" s="48">
        <v>30.460195499297207</v>
      </c>
      <c r="AF201" s="48">
        <v>14.758931758795432</v>
      </c>
      <c r="AG201" s="48">
        <v>33.253018516202559</v>
      </c>
      <c r="AH201" s="48">
        <v>56.267182960960319</v>
      </c>
      <c r="AI201" s="48">
        <v>47.966350821754574</v>
      </c>
      <c r="AJ201" s="48">
        <v>30.446432848721006</v>
      </c>
      <c r="AK201" s="48">
        <v>90.396250744646096</v>
      </c>
      <c r="AL201" s="48">
        <v>29.51548512440727</v>
      </c>
      <c r="AM201" s="48">
        <v>2.7652189237966205</v>
      </c>
      <c r="AN201" s="48">
        <v>32.288779502115915</v>
      </c>
      <c r="AO201" s="48">
        <v>20.287936473117906</v>
      </c>
      <c r="AP201" s="48">
        <v>77.566154642670796</v>
      </c>
      <c r="AQ201" s="48">
        <v>30.44353478270882</v>
      </c>
      <c r="AR201" s="48">
        <v>49.810443120950978</v>
      </c>
      <c r="AS201" s="48">
        <v>44.076041360914438</v>
      </c>
      <c r="AT201" s="48">
        <v>29.113099346020277</v>
      </c>
      <c r="AU201" s="48">
        <v>3.679476123940026</v>
      </c>
      <c r="AV201" s="48">
        <v>1.841995850992489</v>
      </c>
      <c r="AW201" s="48">
        <v>0.89460855802551609</v>
      </c>
      <c r="AX201" s="48">
        <v>58.912638667995367</v>
      </c>
      <c r="AY201" s="48">
        <v>9.2033505433616885</v>
      </c>
      <c r="AZ201" s="48">
        <v>1.8435181165280221</v>
      </c>
      <c r="BA201" s="48">
        <v>2.7619944779038526</v>
      </c>
      <c r="BB201" s="48">
        <v>60.778760699013617</v>
      </c>
      <c r="BC201" s="48">
        <v>10.223977069335119</v>
      </c>
      <c r="BD201" s="48">
        <v>331.77639600122239</v>
      </c>
      <c r="BE201" s="48">
        <v>0</v>
      </c>
      <c r="BF201" s="48">
        <v>0</v>
      </c>
      <c r="BG201" s="48">
        <v>0</v>
      </c>
      <c r="BH201" s="48">
        <v>0</v>
      </c>
      <c r="BI201" s="48">
        <v>0</v>
      </c>
      <c r="BJ201" s="48">
        <v>0</v>
      </c>
      <c r="BK201" s="48">
        <v>0</v>
      </c>
      <c r="BL201" s="48">
        <v>0</v>
      </c>
      <c r="BM201" s="48">
        <v>0</v>
      </c>
      <c r="BN201" s="48">
        <v>0</v>
      </c>
      <c r="BO201" s="48">
        <v>0</v>
      </c>
      <c r="BP201" s="48">
        <v>16.374272086163124</v>
      </c>
      <c r="BQ201" s="48">
        <v>2.7031968106713586</v>
      </c>
      <c r="BR201" s="48">
        <v>0</v>
      </c>
      <c r="BS201" s="48">
        <v>0</v>
      </c>
      <c r="BT201" s="48">
        <v>0</v>
      </c>
      <c r="BU201" s="48">
        <v>0</v>
      </c>
      <c r="BV201" s="48">
        <v>0</v>
      </c>
      <c r="BW201" s="48">
        <v>0</v>
      </c>
      <c r="BX201" s="48">
        <v>0</v>
      </c>
      <c r="BY201" s="48">
        <v>0</v>
      </c>
      <c r="BZ201" s="48">
        <v>0</v>
      </c>
      <c r="CA201" s="48">
        <v>7217.5018655312633</v>
      </c>
      <c r="CB201" s="48">
        <v>26.662288392411028</v>
      </c>
      <c r="CC201" s="48">
        <v>9631.448757672104</v>
      </c>
      <c r="CD201" s="48">
        <v>0</v>
      </c>
      <c r="CE201" s="48">
        <v>0</v>
      </c>
      <c r="CF201" s="48">
        <v>0</v>
      </c>
      <c r="CG201" s="48">
        <v>19.127051737611168</v>
      </c>
      <c r="CH201" s="48">
        <v>1.9286149181794323</v>
      </c>
      <c r="CI201" s="48">
        <v>631.19172875235381</v>
      </c>
      <c r="CJ201" s="48">
        <v>568.94712201673303</v>
      </c>
      <c r="CK201" s="48">
        <v>52.343269722536668</v>
      </c>
      <c r="CL201" s="48">
        <v>350.7456596557787</v>
      </c>
      <c r="CM201" s="48">
        <v>223.32864627473512</v>
      </c>
      <c r="CN201" s="48">
        <v>3392.3801393075896</v>
      </c>
      <c r="CO201" s="48">
        <v>1942.5444269083175</v>
      </c>
      <c r="CP201" s="48">
        <v>188.93590534081144</v>
      </c>
      <c r="CQ201" s="48">
        <v>736.86012469646312</v>
      </c>
      <c r="CR201" s="48">
        <v>298.68836242538657</v>
      </c>
      <c r="CS201" s="48">
        <v>539.32255948158809</v>
      </c>
      <c r="CT201" s="48">
        <v>2586.1164390912568</v>
      </c>
      <c r="CU201" s="48">
        <v>2219.1936539982426</v>
      </c>
      <c r="CV201" s="48">
        <v>2789.2204707129376</v>
      </c>
      <c r="CW201" s="48">
        <v>377.72033051285769</v>
      </c>
      <c r="CX201" s="48">
        <v>2462.8867662158709</v>
      </c>
      <c r="CY201" s="48">
        <v>2544.7900690774259</v>
      </c>
      <c r="CZ201" s="48">
        <v>208.98479259355776</v>
      </c>
      <c r="DA201" s="48">
        <v>628.39921744440903</v>
      </c>
      <c r="DB201" s="48">
        <v>51.080430094818787</v>
      </c>
      <c r="DC201" s="48">
        <v>3.2673048205424808</v>
      </c>
      <c r="DD201" s="48">
        <v>2849.0950208445543</v>
      </c>
      <c r="DE201" s="48">
        <v>255.18247093948759</v>
      </c>
      <c r="DF201" s="48">
        <v>9418.2043649897005</v>
      </c>
      <c r="DG201" s="48">
        <v>1505.614667412236</v>
      </c>
      <c r="DH201" s="48">
        <v>752.90771904097801</v>
      </c>
      <c r="DI201" s="48">
        <v>686.70015132851404</v>
      </c>
      <c r="DJ201" s="48">
        <v>0</v>
      </c>
      <c r="DK201" s="48">
        <v>0</v>
      </c>
      <c r="DL201" s="48">
        <v>1418.6516116630598</v>
      </c>
      <c r="DM201" s="48">
        <v>0</v>
      </c>
      <c r="DN201" s="48">
        <v>0</v>
      </c>
      <c r="DO201" s="48">
        <v>0</v>
      </c>
      <c r="DP201" s="48">
        <v>31.794562112756442</v>
      </c>
      <c r="DQ201" s="48">
        <v>52.336676574291594</v>
      </c>
      <c r="DR201" s="48">
        <v>41.113369276344443</v>
      </c>
      <c r="DS201" s="48">
        <v>82.092723741757069</v>
      </c>
      <c r="DT201" s="48">
        <v>14.64303502702856</v>
      </c>
      <c r="DU201" s="48">
        <v>7.5152046280330786</v>
      </c>
      <c r="DV201" s="48">
        <v>106.65739794375615</v>
      </c>
      <c r="DW201" s="48">
        <v>18.749726347927023</v>
      </c>
      <c r="DX201" s="48">
        <v>9.8450034011714394</v>
      </c>
      <c r="DY201" s="48">
        <v>1.5455337070290101</v>
      </c>
      <c r="DZ201" s="48">
        <v>0.89286739702369844</v>
      </c>
      <c r="EA201" s="48">
        <v>0</v>
      </c>
      <c r="EB201" s="48">
        <v>0</v>
      </c>
      <c r="EC201" s="48">
        <v>0</v>
      </c>
      <c r="ED201" s="48">
        <v>103.76799743261115</v>
      </c>
      <c r="EE201" s="48">
        <v>29.537694843937107</v>
      </c>
      <c r="EF201" s="48">
        <v>102.08841668529966</v>
      </c>
      <c r="EG201" s="48">
        <v>35.247015200414566</v>
      </c>
      <c r="EH201" s="48">
        <v>4.611595409421251</v>
      </c>
      <c r="EI201" s="48">
        <v>0</v>
      </c>
      <c r="EJ201" s="48">
        <v>2.9070190066592012</v>
      </c>
      <c r="EK201" s="48">
        <v>0.81822541488110923</v>
      </c>
      <c r="EL201" s="48">
        <v>0</v>
      </c>
      <c r="EM201" s="48">
        <v>0</v>
      </c>
      <c r="EN201" s="48">
        <v>0</v>
      </c>
      <c r="EO201" s="48">
        <v>0</v>
      </c>
      <c r="EP201" s="48">
        <v>0</v>
      </c>
      <c r="EQ201" s="48">
        <v>0</v>
      </c>
      <c r="ER201" s="48">
        <v>46.197313152449482</v>
      </c>
      <c r="ES201" s="48">
        <v>5.9167729417672303</v>
      </c>
      <c r="ET201" s="48">
        <v>418.34072373398743</v>
      </c>
      <c r="EU201" s="48">
        <v>112.7799524291673</v>
      </c>
      <c r="EV201" s="48">
        <v>100.28943744887455</v>
      </c>
      <c r="EW201" s="48">
        <v>422.72363609349838</v>
      </c>
      <c r="EX201" s="48">
        <v>3452.208619741778</v>
      </c>
      <c r="EY201" s="48">
        <v>240.16312921551179</v>
      </c>
      <c r="EZ201" s="48">
        <v>236.58042429924348</v>
      </c>
      <c r="FA201" s="48">
        <v>114.1619596175928</v>
      </c>
      <c r="FB201" s="48">
        <v>96.305856851036481</v>
      </c>
      <c r="FC201" s="48">
        <v>87.642142323040133</v>
      </c>
      <c r="FD201" s="48">
        <v>428.3683224803039</v>
      </c>
      <c r="FE201" s="48">
        <v>49.551315296816902</v>
      </c>
      <c r="FF201" s="48">
        <v>2.726461453070927</v>
      </c>
      <c r="FG201" s="48">
        <v>291.51913039381571</v>
      </c>
      <c r="FH201" s="48">
        <v>53.319487000950716</v>
      </c>
      <c r="FI201" s="48">
        <v>0</v>
      </c>
      <c r="FJ201" s="48">
        <v>34.302930954897718</v>
      </c>
      <c r="FK201" s="48">
        <v>10.228694770676006</v>
      </c>
      <c r="FL201" s="48">
        <v>0</v>
      </c>
      <c r="FM201" s="48">
        <v>33.466101330185076</v>
      </c>
      <c r="FN201" s="48">
        <v>8.131268529764041</v>
      </c>
      <c r="FO201" s="48">
        <v>4.2574187929823761</v>
      </c>
      <c r="FP201" s="48">
        <v>0</v>
      </c>
      <c r="FQ201" s="48">
        <v>0</v>
      </c>
      <c r="FR201" s="48">
        <v>0.23245017810393923</v>
      </c>
      <c r="FS201" s="48">
        <v>0</v>
      </c>
      <c r="FT201" s="48">
        <v>0</v>
      </c>
      <c r="FU201" s="48">
        <v>0</v>
      </c>
      <c r="FV201" s="48">
        <v>0</v>
      </c>
      <c r="FW201" s="48">
        <v>4388.2336581050367</v>
      </c>
      <c r="FX201" s="48">
        <v>2762.7964431138516</v>
      </c>
      <c r="FY201" s="48">
        <v>363.42378847329979</v>
      </c>
      <c r="FZ201" s="48">
        <v>7.3493963005836669</v>
      </c>
      <c r="GA201" s="48">
        <v>54.739694835314943</v>
      </c>
      <c r="GB201" s="48">
        <v>7373.2497167398233</v>
      </c>
      <c r="GC201" s="48">
        <v>2741.7844971467471</v>
      </c>
      <c r="GD201" s="48">
        <v>0</v>
      </c>
      <c r="GE201" s="48">
        <v>3213.3057652651614</v>
      </c>
      <c r="GF201" s="48">
        <v>4601.3156992869299</v>
      </c>
      <c r="GG201" s="48">
        <v>1456.017618714799</v>
      </c>
      <c r="GH201" s="48">
        <v>1146.5893858718925</v>
      </c>
      <c r="GI201" s="48">
        <v>1.8440239726036445</v>
      </c>
      <c r="GJ201" s="48">
        <v>164.08903199624714</v>
      </c>
      <c r="GK201" s="48">
        <v>341.45076186136663</v>
      </c>
      <c r="GL201" s="48">
        <v>341.42384488676407</v>
      </c>
      <c r="GM201" s="48">
        <v>225.34342524775056</v>
      </c>
      <c r="GN201" s="48">
        <v>10.159738477331334</v>
      </c>
      <c r="GO201" s="48">
        <v>76.472388745198643</v>
      </c>
      <c r="GP201" s="48">
        <v>36.948683042442404</v>
      </c>
      <c r="GQ201" s="48">
        <v>273.42259894716744</v>
      </c>
      <c r="GR201" s="48">
        <v>91.310253180928029</v>
      </c>
      <c r="GS201" s="48">
        <v>25614.430291869314</v>
      </c>
      <c r="GT201" s="48">
        <v>288.50516407047309</v>
      </c>
      <c r="GU201" s="48">
        <v>17108.333608643203</v>
      </c>
      <c r="GV201" s="48">
        <v>97.47655519431693</v>
      </c>
      <c r="GW201" s="48">
        <v>25.824932289051809</v>
      </c>
      <c r="GX201" s="48">
        <v>1351.8274201290164</v>
      </c>
      <c r="GY201" s="48">
        <v>186.38003421579512</v>
      </c>
      <c r="GZ201" s="48">
        <v>81.068674398023234</v>
      </c>
      <c r="HA201" s="48">
        <v>929.54712979488261</v>
      </c>
      <c r="HB201" s="48">
        <v>3560.3526853210478</v>
      </c>
      <c r="HC201" s="48">
        <v>8028.8696222365079</v>
      </c>
      <c r="HD201" s="48">
        <v>2716.5231407493243</v>
      </c>
      <c r="HE201" s="48">
        <v>562.63919876960529</v>
      </c>
      <c r="HF201" s="48">
        <v>2765.2425365101649</v>
      </c>
      <c r="HG201" s="48">
        <v>2641.6651270600105</v>
      </c>
      <c r="HH201" s="48">
        <v>4974.9873734049361</v>
      </c>
      <c r="HI201" s="48">
        <v>7258.4990419431097</v>
      </c>
      <c r="HJ201" s="48">
        <v>8255.0835511997939</v>
      </c>
      <c r="HK201" s="48">
        <v>391.898117801144</v>
      </c>
      <c r="HL201" s="48">
        <v>621.04602072780574</v>
      </c>
      <c r="HM201" s="48">
        <v>2848.1861777177542</v>
      </c>
      <c r="HN201" s="48">
        <v>835.06618269942499</v>
      </c>
      <c r="HO201" s="48">
        <v>3511.5450307405818</v>
      </c>
      <c r="HP201" s="48">
        <v>6017.6458557543319</v>
      </c>
      <c r="HQ201" s="48">
        <v>939.46877392431588</v>
      </c>
      <c r="HR201" s="48">
        <v>2003.1297540739474</v>
      </c>
      <c r="HS201" s="48">
        <v>3372.0118244716718</v>
      </c>
      <c r="HT201" s="48">
        <v>2059.2782793535171</v>
      </c>
      <c r="HU201" s="48">
        <v>2724.0615263229138</v>
      </c>
      <c r="HV201" s="48">
        <v>13547.129947299576</v>
      </c>
      <c r="HW201" s="48">
        <v>95.276229266468476</v>
      </c>
      <c r="HX201" s="48">
        <v>2682.7311288211527</v>
      </c>
      <c r="HY201" s="48">
        <v>1357.2031310579266</v>
      </c>
      <c r="HZ201" s="48">
        <v>3371.636337988793</v>
      </c>
      <c r="IA201" s="48">
        <v>1594.6555415398514</v>
      </c>
      <c r="IB201" s="48">
        <v>323.77652256563357</v>
      </c>
      <c r="IC201" s="48">
        <v>1208.88474151636</v>
      </c>
      <c r="ID201" s="48">
        <v>750.26584655420095</v>
      </c>
      <c r="IE201" s="48">
        <v>508.03654733902397</v>
      </c>
      <c r="IF201" s="48">
        <v>65.308830173839183</v>
      </c>
      <c r="IG201" s="48">
        <v>1788.8114653758614</v>
      </c>
      <c r="IH201" s="48">
        <v>128.57363872196535</v>
      </c>
      <c r="II201" s="48">
        <v>38.95649211259834</v>
      </c>
      <c r="IJ201" s="48">
        <v>227.05570659667896</v>
      </c>
      <c r="IK201" s="48">
        <v>3103.0222491121631</v>
      </c>
      <c r="IL201" s="48">
        <v>8207.7564055426919</v>
      </c>
      <c r="IM201" s="48">
        <v>3827.8315168188087</v>
      </c>
      <c r="IN201" s="48">
        <v>3479.5749642350484</v>
      </c>
      <c r="IO201" s="48">
        <v>0</v>
      </c>
      <c r="IP201" s="23">
        <v>254299.99999999843</v>
      </c>
      <c r="IQ201" s="25">
        <v>372221</v>
      </c>
      <c r="IR201" s="25">
        <v>0</v>
      </c>
      <c r="IS201" s="26">
        <v>0</v>
      </c>
      <c r="IT201" s="26">
        <v>0</v>
      </c>
      <c r="IU201" s="26">
        <v>0</v>
      </c>
      <c r="IV201" s="9">
        <v>6231</v>
      </c>
      <c r="IW201" s="38">
        <f t="shared" si="34"/>
        <v>632751.99999999837</v>
      </c>
    </row>
    <row r="202" spans="1:257" ht="30" customHeight="1" x14ac:dyDescent="0.25">
      <c r="A202" s="112" t="b">
        <v>0</v>
      </c>
      <c r="B202" s="113" t="str">
        <f>IFERROR(VLOOKUP(C202,'Bridge matrix'!$D$3:$E$727,2,FALSE)='symmetric IOT 245 2012'!D202,"FALSCH")</f>
        <v>FALSCH</v>
      </c>
      <c r="C202" s="108">
        <v>191</v>
      </c>
      <c r="D202" s="49" t="s">
        <v>1509</v>
      </c>
      <c r="E202" s="48">
        <v>7158.6280818956584</v>
      </c>
      <c r="F202" s="48">
        <v>888.69643980021419</v>
      </c>
      <c r="G202" s="48">
        <v>1425.4051574968241</v>
      </c>
      <c r="H202" s="48">
        <v>28.387090180591468</v>
      </c>
      <c r="I202" s="48">
        <v>290.81875337196539</v>
      </c>
      <c r="J202" s="48">
        <v>1034.9357877958576</v>
      </c>
      <c r="K202" s="48">
        <v>2296.5631321821429</v>
      </c>
      <c r="L202" s="48">
        <v>77.336433636457969</v>
      </c>
      <c r="M202" s="48">
        <v>3.9120224191429114</v>
      </c>
      <c r="N202" s="48">
        <v>15.874040328906617</v>
      </c>
      <c r="O202" s="48">
        <v>19519.509916846011</v>
      </c>
      <c r="P202" s="48">
        <v>2843.7671870462955</v>
      </c>
      <c r="Q202" s="48">
        <v>265.78346791366113</v>
      </c>
      <c r="R202" s="48">
        <v>14162.972403840626</v>
      </c>
      <c r="S202" s="48">
        <v>48.892256248432851</v>
      </c>
      <c r="T202" s="48">
        <v>141.14840497089415</v>
      </c>
      <c r="U202" s="48">
        <v>17.777571225818626</v>
      </c>
      <c r="V202" s="48">
        <v>38.311262868819277</v>
      </c>
      <c r="W202" s="48">
        <v>58.849902954719944</v>
      </c>
      <c r="X202" s="48">
        <v>0.941824570118583</v>
      </c>
      <c r="Y202" s="48">
        <v>27.12768027266166</v>
      </c>
      <c r="Z202" s="48">
        <v>69.488712649915087</v>
      </c>
      <c r="AA202" s="48">
        <v>4.6489492880382022</v>
      </c>
      <c r="AB202" s="48">
        <v>4.6727920599608375</v>
      </c>
      <c r="AC202" s="48">
        <v>0.91947722760301176</v>
      </c>
      <c r="AD202" s="48">
        <v>17.767015148731613</v>
      </c>
      <c r="AE202" s="48">
        <v>26.188795308237172</v>
      </c>
      <c r="AF202" s="48">
        <v>12.133483868455915</v>
      </c>
      <c r="AG202" s="48">
        <v>28.049508927592598</v>
      </c>
      <c r="AH202" s="48">
        <v>48.584971165386591</v>
      </c>
      <c r="AI202" s="48">
        <v>41.105587377586289</v>
      </c>
      <c r="AJ202" s="48">
        <v>26.155638129525503</v>
      </c>
      <c r="AK202" s="48">
        <v>79.488620303652681</v>
      </c>
      <c r="AL202" s="48">
        <v>25.20769064772897</v>
      </c>
      <c r="AM202" s="48">
        <v>1.8442434326398982</v>
      </c>
      <c r="AN202" s="48">
        <v>28.043930565787083</v>
      </c>
      <c r="AO202" s="48">
        <v>17.748052487233689</v>
      </c>
      <c r="AP202" s="48">
        <v>67.350626102352919</v>
      </c>
      <c r="AQ202" s="48">
        <v>27.123542265963358</v>
      </c>
      <c r="AR202" s="48">
        <v>42.977066489242638</v>
      </c>
      <c r="AS202" s="48">
        <v>38.004171697361038</v>
      </c>
      <c r="AT202" s="48">
        <v>576.33766949561596</v>
      </c>
      <c r="AU202" s="48">
        <v>73.381316572052114</v>
      </c>
      <c r="AV202" s="48">
        <v>34.269922298014585</v>
      </c>
      <c r="AW202" s="48">
        <v>21.921424256977229</v>
      </c>
      <c r="AX202" s="48">
        <v>1159.1363968058554</v>
      </c>
      <c r="AY202" s="48">
        <v>190.94432931625002</v>
      </c>
      <c r="AZ202" s="48">
        <v>29.369129147821194</v>
      </c>
      <c r="BA202" s="48">
        <v>54.836548840815908</v>
      </c>
      <c r="BB202" s="48">
        <v>1204.733569003047</v>
      </c>
      <c r="BC202" s="48">
        <v>200.66369033643269</v>
      </c>
      <c r="BD202" s="48">
        <v>4723.1418746996414</v>
      </c>
      <c r="BE202" s="48">
        <v>16836.994280278544</v>
      </c>
      <c r="BF202" s="48">
        <v>544.86979555221535</v>
      </c>
      <c r="BG202" s="48">
        <v>36.0206152524785</v>
      </c>
      <c r="BH202" s="48">
        <v>3401.8546689055797</v>
      </c>
      <c r="BI202" s="48">
        <v>412.66995130983832</v>
      </c>
      <c r="BJ202" s="48">
        <v>2624.0764690549277</v>
      </c>
      <c r="BK202" s="48">
        <v>521.14415669541143</v>
      </c>
      <c r="BL202" s="48">
        <v>5.0080966789494274</v>
      </c>
      <c r="BM202" s="48">
        <v>1497.7347733196991</v>
      </c>
      <c r="BN202" s="48">
        <v>130.28976564388273</v>
      </c>
      <c r="BO202" s="48">
        <v>0</v>
      </c>
      <c r="BP202" s="48">
        <v>3659.914946939045</v>
      </c>
      <c r="BQ202" s="48">
        <v>0</v>
      </c>
      <c r="BR202" s="48">
        <v>206.44753045273876</v>
      </c>
      <c r="BS202" s="48">
        <v>206.61056687641099</v>
      </c>
      <c r="BT202" s="48">
        <v>0</v>
      </c>
      <c r="BU202" s="48">
        <v>0</v>
      </c>
      <c r="BV202" s="48">
        <v>0</v>
      </c>
      <c r="BW202" s="48">
        <v>0</v>
      </c>
      <c r="BX202" s="48">
        <v>0</v>
      </c>
      <c r="BY202" s="48">
        <v>2675.3934036595429</v>
      </c>
      <c r="BZ202" s="48">
        <v>1938.2239522813927</v>
      </c>
      <c r="CA202" s="48">
        <v>29630.334617363213</v>
      </c>
      <c r="CB202" s="48">
        <v>106.43706847408066</v>
      </c>
      <c r="CC202" s="48">
        <v>0</v>
      </c>
      <c r="CD202" s="48">
        <v>5492.5408405376329</v>
      </c>
      <c r="CE202" s="48">
        <v>398.85708328355298</v>
      </c>
      <c r="CF202" s="48">
        <v>61.583269540467413</v>
      </c>
      <c r="CG202" s="48">
        <v>8973.1469439554221</v>
      </c>
      <c r="CH202" s="48">
        <v>824.20867536824142</v>
      </c>
      <c r="CI202" s="48">
        <v>667.30548762402793</v>
      </c>
      <c r="CJ202" s="48">
        <v>601.34160889071597</v>
      </c>
      <c r="CK202" s="48">
        <v>55.86550104586248</v>
      </c>
      <c r="CL202" s="48">
        <v>0</v>
      </c>
      <c r="CM202" s="48">
        <v>236.04742266229954</v>
      </c>
      <c r="CN202" s="48">
        <v>443.73029930275442</v>
      </c>
      <c r="CO202" s="48">
        <v>0</v>
      </c>
      <c r="CP202" s="48">
        <v>0</v>
      </c>
      <c r="CQ202" s="48">
        <v>0</v>
      </c>
      <c r="CR202" s="48">
        <v>0</v>
      </c>
      <c r="CS202" s="48">
        <v>0</v>
      </c>
      <c r="CT202" s="48">
        <v>0</v>
      </c>
      <c r="CU202" s="48">
        <v>0</v>
      </c>
      <c r="CV202" s="48">
        <v>0</v>
      </c>
      <c r="CW202" s="48">
        <v>0</v>
      </c>
      <c r="CX202" s="48">
        <v>1805.004780525702</v>
      </c>
      <c r="CY202" s="48">
        <v>656.79745494258157</v>
      </c>
      <c r="CZ202" s="48">
        <v>938.50217894396815</v>
      </c>
      <c r="DA202" s="48">
        <v>3058.7689254103148</v>
      </c>
      <c r="DB202" s="48">
        <v>247.98702893510861</v>
      </c>
      <c r="DC202" s="48">
        <v>14.923617539157519</v>
      </c>
      <c r="DD202" s="48">
        <v>4908.2521441536692</v>
      </c>
      <c r="DE202" s="48">
        <v>135.02077713880433</v>
      </c>
      <c r="DF202" s="48">
        <v>4877.080790215754</v>
      </c>
      <c r="DG202" s="48">
        <v>2680.415426783411</v>
      </c>
      <c r="DH202" s="48">
        <v>1347.0689608346511</v>
      </c>
      <c r="DI202" s="48">
        <v>0</v>
      </c>
      <c r="DJ202" s="48">
        <v>4082.3270694067114</v>
      </c>
      <c r="DK202" s="48">
        <v>0</v>
      </c>
      <c r="DL202" s="48">
        <v>45898.694598056834</v>
      </c>
      <c r="DM202" s="48">
        <v>7311.5009925843115</v>
      </c>
      <c r="DN202" s="48">
        <v>29416.938456481086</v>
      </c>
      <c r="DO202" s="48">
        <v>279.19319865879459</v>
      </c>
      <c r="DP202" s="48">
        <v>0</v>
      </c>
      <c r="DQ202" s="48">
        <v>0</v>
      </c>
      <c r="DR202" s="48">
        <v>0</v>
      </c>
      <c r="DS202" s="48">
        <v>0</v>
      </c>
      <c r="DT202" s="48">
        <v>0</v>
      </c>
      <c r="DU202" s="48">
        <v>0</v>
      </c>
      <c r="DV202" s="48">
        <v>0</v>
      </c>
      <c r="DW202" s="48">
        <v>4989.1959936887224</v>
      </c>
      <c r="DX202" s="48">
        <v>2484.7450969680867</v>
      </c>
      <c r="DY202" s="48">
        <v>356.17655466747914</v>
      </c>
      <c r="DZ202" s="48">
        <v>313.21078138029594</v>
      </c>
      <c r="EA202" s="48">
        <v>0</v>
      </c>
      <c r="EB202" s="48">
        <v>0</v>
      </c>
      <c r="EC202" s="48">
        <v>0</v>
      </c>
      <c r="ED202" s="48">
        <v>0</v>
      </c>
      <c r="EE202" s="48">
        <v>0</v>
      </c>
      <c r="EF202" s="48">
        <v>0</v>
      </c>
      <c r="EG202" s="48">
        <v>0</v>
      </c>
      <c r="EH202" s="48">
        <v>0</v>
      </c>
      <c r="EI202" s="48">
        <v>3965.96928733815</v>
      </c>
      <c r="EJ202" s="48">
        <v>3949.359095916097</v>
      </c>
      <c r="EK202" s="48">
        <v>1588.5793350626648</v>
      </c>
      <c r="EL202" s="48">
        <v>4911.3206289223081</v>
      </c>
      <c r="EM202" s="48">
        <v>10238.424865835546</v>
      </c>
      <c r="EN202" s="48">
        <v>10191.162036392205</v>
      </c>
      <c r="EO202" s="48">
        <v>1333.0766893581454</v>
      </c>
      <c r="EP202" s="48">
        <v>3158.8243433097055</v>
      </c>
      <c r="EQ202" s="48">
        <v>3111.4051891102081</v>
      </c>
      <c r="ER202" s="48">
        <v>0</v>
      </c>
      <c r="ES202" s="48">
        <v>0</v>
      </c>
      <c r="ET202" s="48">
        <v>0</v>
      </c>
      <c r="EU202" s="48">
        <v>0</v>
      </c>
      <c r="EV202" s="48">
        <v>0</v>
      </c>
      <c r="EW202" s="48">
        <v>0</v>
      </c>
      <c r="EX202" s="48">
        <v>0</v>
      </c>
      <c r="EY202" s="48">
        <v>0</v>
      </c>
      <c r="EZ202" s="48">
        <v>0</v>
      </c>
      <c r="FA202" s="48">
        <v>4941.676273941358</v>
      </c>
      <c r="FB202" s="48">
        <v>3715.2202646592596</v>
      </c>
      <c r="FC202" s="48">
        <v>3357.3927594118095</v>
      </c>
      <c r="FD202" s="48">
        <v>0</v>
      </c>
      <c r="FE202" s="48">
        <v>0</v>
      </c>
      <c r="FF202" s="48">
        <v>0</v>
      </c>
      <c r="FG202" s="48">
        <v>0</v>
      </c>
      <c r="FH202" s="48">
        <v>4468.1559777334178</v>
      </c>
      <c r="FI202" s="48">
        <v>2666.1201354941782</v>
      </c>
      <c r="FJ202" s="48">
        <v>2936.030795064933</v>
      </c>
      <c r="FK202" s="48">
        <v>874.34810005073371</v>
      </c>
      <c r="FL202" s="48">
        <v>32.118404781499663</v>
      </c>
      <c r="FM202" s="48">
        <v>2804.5723997841137</v>
      </c>
      <c r="FN202" s="48">
        <v>678.86879291093794</v>
      </c>
      <c r="FO202" s="48">
        <v>392.46016266221568</v>
      </c>
      <c r="FP202" s="48">
        <v>2776.1061534239552</v>
      </c>
      <c r="FQ202" s="48">
        <v>93.063696499697443</v>
      </c>
      <c r="FR202" s="48">
        <v>7927.06316379289</v>
      </c>
      <c r="FS202" s="48">
        <v>67.449029841263453</v>
      </c>
      <c r="FT202" s="48">
        <v>17.192000803263085</v>
      </c>
      <c r="FU202" s="48">
        <v>131.07589143828699</v>
      </c>
      <c r="FV202" s="48">
        <v>481.04306588877864</v>
      </c>
      <c r="FW202" s="48">
        <v>15183.471822824033</v>
      </c>
      <c r="FX202" s="48">
        <v>10344.709367492949</v>
      </c>
      <c r="FY202" s="48">
        <v>7916.8973195475555</v>
      </c>
      <c r="FZ202" s="48">
        <v>232.39128256280256</v>
      </c>
      <c r="GA202" s="48">
        <v>5358.7055526942504</v>
      </c>
      <c r="GB202" s="48">
        <v>0</v>
      </c>
      <c r="GC202" s="48">
        <v>43925.003491200092</v>
      </c>
      <c r="GD202" s="48">
        <v>1843.9817873936929</v>
      </c>
      <c r="GE202" s="48">
        <v>164.18511744975379</v>
      </c>
      <c r="GF202" s="48">
        <v>196.52653094708532</v>
      </c>
      <c r="GG202" s="48">
        <v>20.554464617599617</v>
      </c>
      <c r="GH202" s="48">
        <v>0</v>
      </c>
      <c r="GI202" s="48">
        <v>0</v>
      </c>
      <c r="GJ202" s="48">
        <v>2.8624990101134165</v>
      </c>
      <c r="GK202" s="48">
        <v>5.9574731345943226</v>
      </c>
      <c r="GL202" s="48">
        <v>5.9473647693161746</v>
      </c>
      <c r="GM202" s="48">
        <v>0</v>
      </c>
      <c r="GN202" s="48">
        <v>0</v>
      </c>
      <c r="GO202" s="48">
        <v>0</v>
      </c>
      <c r="GP202" s="48">
        <v>0.90959869168479857</v>
      </c>
      <c r="GQ202" s="48">
        <v>3.9701226808871937</v>
      </c>
      <c r="GR202" s="48">
        <v>0</v>
      </c>
      <c r="GS202" s="48">
        <v>0</v>
      </c>
      <c r="GT202" s="48">
        <v>95.281111285217762</v>
      </c>
      <c r="GU202" s="48">
        <v>5425.8512703724891</v>
      </c>
      <c r="GV202" s="48">
        <v>31.254407395567785</v>
      </c>
      <c r="GW202" s="48">
        <v>8.0569719521249912</v>
      </c>
      <c r="GX202" s="48">
        <v>472.33071696621425</v>
      </c>
      <c r="GY202" s="48">
        <v>0</v>
      </c>
      <c r="GZ202" s="48">
        <v>0</v>
      </c>
      <c r="HA202" s="48">
        <v>0</v>
      </c>
      <c r="HB202" s="48">
        <v>848.85696513356049</v>
      </c>
      <c r="HC202" s="48">
        <v>1915.2145656564851</v>
      </c>
      <c r="HD202" s="48">
        <v>647.88611685273929</v>
      </c>
      <c r="HE202" s="48">
        <v>0</v>
      </c>
      <c r="HF202" s="48">
        <v>0</v>
      </c>
      <c r="HG202" s="48">
        <v>0</v>
      </c>
      <c r="HH202" s="48">
        <v>0</v>
      </c>
      <c r="HI202" s="48">
        <v>0</v>
      </c>
      <c r="HJ202" s="48">
        <v>0</v>
      </c>
      <c r="HK202" s="48">
        <v>0</v>
      </c>
      <c r="HL202" s="48">
        <v>0</v>
      </c>
      <c r="HM202" s="48">
        <v>0</v>
      </c>
      <c r="HN202" s="48">
        <v>0</v>
      </c>
      <c r="HO202" s="48">
        <v>0</v>
      </c>
      <c r="HP202" s="48">
        <v>0</v>
      </c>
      <c r="HQ202" s="48">
        <v>0</v>
      </c>
      <c r="HR202" s="48">
        <v>0</v>
      </c>
      <c r="HS202" s="48">
        <v>0</v>
      </c>
      <c r="HT202" s="48">
        <v>0</v>
      </c>
      <c r="HU202" s="48">
        <v>0</v>
      </c>
      <c r="HV202" s="48">
        <v>0</v>
      </c>
      <c r="HW202" s="48">
        <v>0</v>
      </c>
      <c r="HX202" s="48">
        <v>1.9950475408556656</v>
      </c>
      <c r="HY202" s="48">
        <v>1.4699347384192174</v>
      </c>
      <c r="HZ202" s="48">
        <v>1.2753280441151027</v>
      </c>
      <c r="IA202" s="48">
        <v>0.93065960032048034</v>
      </c>
      <c r="IB202" s="48">
        <v>0</v>
      </c>
      <c r="IC202" s="48">
        <v>0</v>
      </c>
      <c r="ID202" s="48">
        <v>0</v>
      </c>
      <c r="IE202" s="48">
        <v>0</v>
      </c>
      <c r="IF202" s="48">
        <v>0</v>
      </c>
      <c r="IG202" s="48">
        <v>0</v>
      </c>
      <c r="IH202" s="48">
        <v>0</v>
      </c>
      <c r="II202" s="48">
        <v>0</v>
      </c>
      <c r="IJ202" s="48">
        <v>0</v>
      </c>
      <c r="IK202" s="48">
        <v>0</v>
      </c>
      <c r="IL202" s="48">
        <v>237.98141445580481</v>
      </c>
      <c r="IM202" s="48">
        <v>285.17412883006409</v>
      </c>
      <c r="IN202" s="48">
        <v>151.95484468440984</v>
      </c>
      <c r="IO202" s="48">
        <v>0</v>
      </c>
      <c r="IP202" s="23">
        <v>433351.99999999814</v>
      </c>
      <c r="IQ202" s="25">
        <v>0</v>
      </c>
      <c r="IR202" s="25">
        <v>0</v>
      </c>
      <c r="IS202" s="26">
        <v>0</v>
      </c>
      <c r="IT202" s="26">
        <v>0</v>
      </c>
      <c r="IU202" s="26">
        <v>0</v>
      </c>
      <c r="IV202" s="9">
        <v>26925</v>
      </c>
      <c r="IW202" s="38">
        <f t="shared" si="34"/>
        <v>460276.99999999814</v>
      </c>
    </row>
    <row r="203" spans="1:257" ht="30" customHeight="1" x14ac:dyDescent="0.25">
      <c r="A203" s="112" t="b">
        <v>0</v>
      </c>
      <c r="B203" s="113" t="str">
        <f>IFERROR(VLOOKUP(C203,'Bridge matrix'!$D$3:$E$727,2,FALSE)='symmetric IOT 245 2012'!D203,"FALSCH")</f>
        <v>FALSCH</v>
      </c>
      <c r="C203" s="108">
        <v>192</v>
      </c>
      <c r="D203" s="49" t="s">
        <v>1510</v>
      </c>
      <c r="E203" s="48">
        <v>0</v>
      </c>
      <c r="F203" s="48">
        <v>0</v>
      </c>
      <c r="G203" s="48">
        <v>0</v>
      </c>
      <c r="H203" s="48">
        <v>0</v>
      </c>
      <c r="I203" s="48">
        <v>0</v>
      </c>
      <c r="J203" s="48">
        <v>0</v>
      </c>
      <c r="K203" s="48">
        <v>0</v>
      </c>
      <c r="L203" s="48">
        <v>0</v>
      </c>
      <c r="M203" s="48">
        <v>0</v>
      </c>
      <c r="N203" s="48">
        <v>0</v>
      </c>
      <c r="O203" s="48">
        <v>0</v>
      </c>
      <c r="P203" s="48">
        <v>0</v>
      </c>
      <c r="Q203" s="48">
        <v>0</v>
      </c>
      <c r="R203" s="48">
        <v>0</v>
      </c>
      <c r="S203" s="48">
        <v>0</v>
      </c>
      <c r="T203" s="48">
        <v>0</v>
      </c>
      <c r="U203" s="48">
        <v>0</v>
      </c>
      <c r="V203" s="48">
        <v>0</v>
      </c>
      <c r="W203" s="48">
        <v>0</v>
      </c>
      <c r="X203" s="48">
        <v>0</v>
      </c>
      <c r="Y203" s="48">
        <v>0</v>
      </c>
      <c r="Z203" s="48">
        <v>0</v>
      </c>
      <c r="AA203" s="48">
        <v>0</v>
      </c>
      <c r="AB203" s="48">
        <v>0</v>
      </c>
      <c r="AC203" s="48">
        <v>0</v>
      </c>
      <c r="AD203" s="48">
        <v>0</v>
      </c>
      <c r="AE203" s="48">
        <v>0</v>
      </c>
      <c r="AF203" s="48">
        <v>0</v>
      </c>
      <c r="AG203" s="48">
        <v>0</v>
      </c>
      <c r="AH203" s="48">
        <v>0</v>
      </c>
      <c r="AI203" s="48">
        <v>0</v>
      </c>
      <c r="AJ203" s="48">
        <v>0</v>
      </c>
      <c r="AK203" s="48">
        <v>0</v>
      </c>
      <c r="AL203" s="48">
        <v>0</v>
      </c>
      <c r="AM203" s="48">
        <v>0</v>
      </c>
      <c r="AN203" s="48">
        <v>0</v>
      </c>
      <c r="AO203" s="48">
        <v>0</v>
      </c>
      <c r="AP203" s="48">
        <v>0</v>
      </c>
      <c r="AQ203" s="48">
        <v>0</v>
      </c>
      <c r="AR203" s="48">
        <v>0</v>
      </c>
      <c r="AS203" s="48">
        <v>0</v>
      </c>
      <c r="AT203" s="48">
        <v>0</v>
      </c>
      <c r="AU203" s="48">
        <v>0</v>
      </c>
      <c r="AV203" s="48">
        <v>0</v>
      </c>
      <c r="AW203" s="48">
        <v>0</v>
      </c>
      <c r="AX203" s="48">
        <v>0</v>
      </c>
      <c r="AY203" s="48">
        <v>0</v>
      </c>
      <c r="AZ203" s="48">
        <v>0</v>
      </c>
      <c r="BA203" s="48">
        <v>0</v>
      </c>
      <c r="BB203" s="48">
        <v>0</v>
      </c>
      <c r="BC203" s="48">
        <v>0</v>
      </c>
      <c r="BD203" s="48">
        <v>0</v>
      </c>
      <c r="BE203" s="48">
        <v>0</v>
      </c>
      <c r="BF203" s="48">
        <v>0</v>
      </c>
      <c r="BG203" s="48">
        <v>0</v>
      </c>
      <c r="BH203" s="48">
        <v>0</v>
      </c>
      <c r="BI203" s="48">
        <v>0</v>
      </c>
      <c r="BJ203" s="48">
        <v>0</v>
      </c>
      <c r="BK203" s="48">
        <v>0</v>
      </c>
      <c r="BL203" s="48">
        <v>0</v>
      </c>
      <c r="BM203" s="48">
        <v>0</v>
      </c>
      <c r="BN203" s="48">
        <v>0</v>
      </c>
      <c r="BO203" s="48">
        <v>0</v>
      </c>
      <c r="BP203" s="48">
        <v>0</v>
      </c>
      <c r="BQ203" s="48">
        <v>0</v>
      </c>
      <c r="BR203" s="48">
        <v>0</v>
      </c>
      <c r="BS203" s="48">
        <v>0</v>
      </c>
      <c r="BT203" s="48">
        <v>24.089333504396567</v>
      </c>
      <c r="BU203" s="48">
        <v>137.44014108819482</v>
      </c>
      <c r="BV203" s="48">
        <v>0</v>
      </c>
      <c r="BW203" s="48">
        <v>0</v>
      </c>
      <c r="BX203" s="48">
        <v>0</v>
      </c>
      <c r="BY203" s="48">
        <v>0</v>
      </c>
      <c r="BZ203" s="48">
        <v>0</v>
      </c>
      <c r="CA203" s="48">
        <v>3618.6906770054147</v>
      </c>
      <c r="CB203" s="48">
        <v>12.236067829330413</v>
      </c>
      <c r="CC203" s="48">
        <v>0</v>
      </c>
      <c r="CD203" s="48">
        <v>0</v>
      </c>
      <c r="CE203" s="48">
        <v>0</v>
      </c>
      <c r="CF203" s="48">
        <v>0</v>
      </c>
      <c r="CG203" s="48">
        <v>0</v>
      </c>
      <c r="CH203" s="48">
        <v>0</v>
      </c>
      <c r="CI203" s="48">
        <v>0</v>
      </c>
      <c r="CJ203" s="48">
        <v>0</v>
      </c>
      <c r="CK203" s="48">
        <v>0</v>
      </c>
      <c r="CL203" s="48">
        <v>0</v>
      </c>
      <c r="CM203" s="48">
        <v>5.3071841830022672E-9</v>
      </c>
      <c r="CN203" s="48">
        <v>0</v>
      </c>
      <c r="CO203" s="48">
        <v>0</v>
      </c>
      <c r="CP203" s="48">
        <v>0</v>
      </c>
      <c r="CQ203" s="48">
        <v>0</v>
      </c>
      <c r="CR203" s="48">
        <v>4.922594772805388E-2</v>
      </c>
      <c r="CS203" s="48">
        <v>0</v>
      </c>
      <c r="CT203" s="48">
        <v>0</v>
      </c>
      <c r="CU203" s="48">
        <v>1.2840136217501916E-7</v>
      </c>
      <c r="CV203" s="48">
        <v>3.0096670522676526E-7</v>
      </c>
      <c r="CW203" s="48">
        <v>0</v>
      </c>
      <c r="CX203" s="48">
        <v>0</v>
      </c>
      <c r="CY203" s="48">
        <v>0</v>
      </c>
      <c r="CZ203" s="48">
        <v>0</v>
      </c>
      <c r="DA203" s="48">
        <v>4.405931044712086E-9</v>
      </c>
      <c r="DB203" s="48">
        <v>0</v>
      </c>
      <c r="DC203" s="48">
        <v>0</v>
      </c>
      <c r="DD203" s="48">
        <v>0</v>
      </c>
      <c r="DE203" s="48">
        <v>8.9593738659239762E-6</v>
      </c>
      <c r="DF203" s="48">
        <v>0</v>
      </c>
      <c r="DG203" s="48">
        <v>0</v>
      </c>
      <c r="DH203" s="48">
        <v>0</v>
      </c>
      <c r="DI203" s="48">
        <v>0</v>
      </c>
      <c r="DJ203" s="48">
        <v>2.5761514680966292E-11</v>
      </c>
      <c r="DK203" s="48">
        <v>0</v>
      </c>
      <c r="DL203" s="48">
        <v>4.778587024610214E-3</v>
      </c>
      <c r="DM203" s="48">
        <v>0</v>
      </c>
      <c r="DN203" s="48">
        <v>0</v>
      </c>
      <c r="DO203" s="48">
        <v>0</v>
      </c>
      <c r="DP203" s="48">
        <v>0</v>
      </c>
      <c r="DQ203" s="48">
        <v>0</v>
      </c>
      <c r="DR203" s="48">
        <v>0</v>
      </c>
      <c r="DS203" s="48">
        <v>0</v>
      </c>
      <c r="DT203" s="48">
        <v>0</v>
      </c>
      <c r="DU203" s="48">
        <v>0</v>
      </c>
      <c r="DV203" s="48">
        <v>0</v>
      </c>
      <c r="DW203" s="48">
        <v>0</v>
      </c>
      <c r="DX203" s="48">
        <v>0</v>
      </c>
      <c r="DY203" s="48">
        <v>0</v>
      </c>
      <c r="DZ203" s="48">
        <v>0</v>
      </c>
      <c r="EA203" s="48">
        <v>0</v>
      </c>
      <c r="EB203" s="48">
        <v>0</v>
      </c>
      <c r="EC203" s="48">
        <v>0</v>
      </c>
      <c r="ED203" s="48">
        <v>12.194874631831231</v>
      </c>
      <c r="EE203" s="48">
        <v>4.0949425993714579</v>
      </c>
      <c r="EF203" s="48">
        <v>13.756160961762312</v>
      </c>
      <c r="EG203" s="48">
        <v>5.1436328289011266</v>
      </c>
      <c r="EH203" s="48">
        <v>1.0229217191323874</v>
      </c>
      <c r="EI203" s="48">
        <v>3.0741112070273108E-10</v>
      </c>
      <c r="EJ203" s="48">
        <v>5.881882247450683E-9</v>
      </c>
      <c r="EK203" s="48">
        <v>0</v>
      </c>
      <c r="EL203" s="48">
        <v>7.9030940673094452E-11</v>
      </c>
      <c r="EM203" s="48">
        <v>0</v>
      </c>
      <c r="EN203" s="48">
        <v>0</v>
      </c>
      <c r="EO203" s="48">
        <v>0</v>
      </c>
      <c r="EP203" s="48">
        <v>0</v>
      </c>
      <c r="EQ203" s="48">
        <v>0</v>
      </c>
      <c r="ER203" s="48">
        <v>0</v>
      </c>
      <c r="ES203" s="48">
        <v>0</v>
      </c>
      <c r="ET203" s="48">
        <v>1.0462158779015097E-4</v>
      </c>
      <c r="EU203" s="48">
        <v>0</v>
      </c>
      <c r="EV203" s="48">
        <v>0</v>
      </c>
      <c r="EW203" s="48">
        <v>1.7588185193774515E-3</v>
      </c>
      <c r="EX203" s="48">
        <v>0</v>
      </c>
      <c r="EY203" s="48">
        <v>0</v>
      </c>
      <c r="EZ203" s="48">
        <v>0</v>
      </c>
      <c r="FA203" s="48">
        <v>0</v>
      </c>
      <c r="FB203" s="48">
        <v>0</v>
      </c>
      <c r="FC203" s="48">
        <v>0</v>
      </c>
      <c r="FD203" s="48">
        <v>8.6142798953300353E-10</v>
      </c>
      <c r="FE203" s="48">
        <v>0</v>
      </c>
      <c r="FF203" s="48">
        <v>0</v>
      </c>
      <c r="FG203" s="48">
        <v>2.2110426823570579E-10</v>
      </c>
      <c r="FH203" s="48">
        <v>1.5849328394981234E-10</v>
      </c>
      <c r="FI203" s="48">
        <v>2.4545834472797811E-10</v>
      </c>
      <c r="FJ203" s="48">
        <v>0</v>
      </c>
      <c r="FK203" s="48">
        <v>0</v>
      </c>
      <c r="FL203" s="48">
        <v>0</v>
      </c>
      <c r="FM203" s="48">
        <v>0</v>
      </c>
      <c r="FN203" s="48">
        <v>0</v>
      </c>
      <c r="FO203" s="48">
        <v>0</v>
      </c>
      <c r="FP203" s="48">
        <v>0</v>
      </c>
      <c r="FQ203" s="48">
        <v>0</v>
      </c>
      <c r="FR203" s="48">
        <v>4.227099185929841E-11</v>
      </c>
      <c r="FS203" s="48">
        <v>0</v>
      </c>
      <c r="FT203" s="48">
        <v>1.1513792470079368E-11</v>
      </c>
      <c r="FU203" s="48">
        <v>0</v>
      </c>
      <c r="FV203" s="48">
        <v>0</v>
      </c>
      <c r="FW203" s="48">
        <v>142.21791293178109</v>
      </c>
      <c r="FX203" s="48">
        <v>301.22423889887767</v>
      </c>
      <c r="FY203" s="48">
        <v>439.25651534531647</v>
      </c>
      <c r="FZ203" s="48">
        <v>9.1833795208020703</v>
      </c>
      <c r="GA203" s="48">
        <v>90.901554546968612</v>
      </c>
      <c r="GB203" s="48">
        <v>0</v>
      </c>
      <c r="GC203" s="48">
        <v>0</v>
      </c>
      <c r="GD203" s="48">
        <v>0</v>
      </c>
      <c r="GE203" s="48">
        <v>0</v>
      </c>
      <c r="GF203" s="48">
        <v>0</v>
      </c>
      <c r="GG203" s="48">
        <v>0</v>
      </c>
      <c r="GH203" s="48">
        <v>0</v>
      </c>
      <c r="GI203" s="48">
        <v>0</v>
      </c>
      <c r="GJ203" s="48">
        <v>0</v>
      </c>
      <c r="GK203" s="48">
        <v>0</v>
      </c>
      <c r="GL203" s="48">
        <v>0</v>
      </c>
      <c r="GM203" s="48">
        <v>0</v>
      </c>
      <c r="GN203" s="48">
        <v>0</v>
      </c>
      <c r="GO203" s="48">
        <v>0</v>
      </c>
      <c r="GP203" s="48">
        <v>0</v>
      </c>
      <c r="GQ203" s="48">
        <v>0</v>
      </c>
      <c r="GR203" s="48">
        <v>0</v>
      </c>
      <c r="GS203" s="48">
        <v>0</v>
      </c>
      <c r="GT203" s="48">
        <v>0</v>
      </c>
      <c r="GU203" s="48">
        <v>0</v>
      </c>
      <c r="GV203" s="48">
        <v>0</v>
      </c>
      <c r="GW203" s="48">
        <v>0</v>
      </c>
      <c r="GX203" s="48">
        <v>1.2993412267042186E-6</v>
      </c>
      <c r="GY203" s="48">
        <v>0</v>
      </c>
      <c r="GZ203" s="48">
        <v>0</v>
      </c>
      <c r="HA203" s="48">
        <v>0</v>
      </c>
      <c r="HB203" s="48">
        <v>229.07403876635107</v>
      </c>
      <c r="HC203" s="48">
        <v>516.0747972014891</v>
      </c>
      <c r="HD203" s="48">
        <v>174.62732899361308</v>
      </c>
      <c r="HE203" s="48">
        <v>0</v>
      </c>
      <c r="HF203" s="48">
        <v>0</v>
      </c>
      <c r="HG203" s="48">
        <v>0</v>
      </c>
      <c r="HH203" s="48">
        <v>0</v>
      </c>
      <c r="HI203" s="48">
        <v>0</v>
      </c>
      <c r="HJ203" s="48">
        <v>0</v>
      </c>
      <c r="HK203" s="48">
        <v>0</v>
      </c>
      <c r="HL203" s="48">
        <v>0</v>
      </c>
      <c r="HM203" s="48">
        <v>0</v>
      </c>
      <c r="HN203" s="48">
        <v>0</v>
      </c>
      <c r="HO203" s="48">
        <v>0</v>
      </c>
      <c r="HP203" s="48">
        <v>0</v>
      </c>
      <c r="HQ203" s="48">
        <v>0</v>
      </c>
      <c r="HR203" s="48">
        <v>0</v>
      </c>
      <c r="HS203" s="48">
        <v>1.7031899400253539E-3</v>
      </c>
      <c r="HT203" s="48">
        <v>0</v>
      </c>
      <c r="HU203" s="48">
        <v>0</v>
      </c>
      <c r="HV203" s="48">
        <v>7916.7283023560731</v>
      </c>
      <c r="HW203" s="48">
        <v>635.35636953423113</v>
      </c>
      <c r="HX203" s="48">
        <v>0</v>
      </c>
      <c r="HY203" s="48">
        <v>0</v>
      </c>
      <c r="HZ203" s="48">
        <v>0</v>
      </c>
      <c r="IA203" s="48">
        <v>0</v>
      </c>
      <c r="IB203" s="48">
        <v>0</v>
      </c>
      <c r="IC203" s="48">
        <v>1239.6527912180045</v>
      </c>
      <c r="ID203" s="48">
        <v>768.87824001924503</v>
      </c>
      <c r="IE203" s="48">
        <v>520.65726256151822</v>
      </c>
      <c r="IF203" s="48">
        <v>67.331563214481065</v>
      </c>
      <c r="IG203" s="48">
        <v>0</v>
      </c>
      <c r="IH203" s="48">
        <v>0</v>
      </c>
      <c r="II203" s="48">
        <v>0</v>
      </c>
      <c r="IJ203" s="48">
        <v>2107.1093708524745</v>
      </c>
      <c r="IK203" s="48">
        <v>0</v>
      </c>
      <c r="IL203" s="48">
        <v>0</v>
      </c>
      <c r="IM203" s="48">
        <v>0</v>
      </c>
      <c r="IN203" s="48">
        <v>0</v>
      </c>
      <c r="IO203" s="48">
        <v>0</v>
      </c>
      <c r="IP203" s="23">
        <v>18986.999999999993</v>
      </c>
      <c r="IQ203" s="25">
        <v>59</v>
      </c>
      <c r="IR203" s="25">
        <v>0</v>
      </c>
      <c r="IS203" s="26">
        <v>0</v>
      </c>
      <c r="IT203" s="26">
        <v>0</v>
      </c>
      <c r="IU203" s="26">
        <v>0</v>
      </c>
      <c r="IV203" s="9">
        <v>0</v>
      </c>
      <c r="IW203" s="38">
        <f t="shared" si="34"/>
        <v>19045.999999999993</v>
      </c>
    </row>
    <row r="204" spans="1:257" ht="30" customHeight="1" x14ac:dyDescent="0.25">
      <c r="A204" s="112" t="b">
        <v>0</v>
      </c>
      <c r="B204" s="113" t="str">
        <f>IFERROR(VLOOKUP(C204,'Bridge matrix'!$D$3:$E$727,2,FALSE)='symmetric IOT 245 2012'!D204,"FALSCH")</f>
        <v>FALSCH</v>
      </c>
      <c r="C204" s="108">
        <v>193</v>
      </c>
      <c r="D204" s="49" t="s">
        <v>1511</v>
      </c>
      <c r="E204" s="48">
        <v>0</v>
      </c>
      <c r="F204" s="48">
        <v>0</v>
      </c>
      <c r="G204" s="48">
        <v>0</v>
      </c>
      <c r="H204" s="48">
        <v>0</v>
      </c>
      <c r="I204" s="48">
        <v>0</v>
      </c>
      <c r="J204" s="48">
        <v>0</v>
      </c>
      <c r="K204" s="48">
        <v>0</v>
      </c>
      <c r="L204" s="48">
        <v>0</v>
      </c>
      <c r="M204" s="48">
        <v>0</v>
      </c>
      <c r="N204" s="48">
        <v>0</v>
      </c>
      <c r="O204" s="48">
        <v>0</v>
      </c>
      <c r="P204" s="48">
        <v>0</v>
      </c>
      <c r="Q204" s="48">
        <v>0</v>
      </c>
      <c r="R204" s="48">
        <v>0</v>
      </c>
      <c r="S204" s="48">
        <v>0</v>
      </c>
      <c r="T204" s="48">
        <v>0</v>
      </c>
      <c r="U204" s="48">
        <v>0</v>
      </c>
      <c r="V204" s="48">
        <v>0</v>
      </c>
      <c r="W204" s="48">
        <v>0</v>
      </c>
      <c r="X204" s="48">
        <v>0</v>
      </c>
      <c r="Y204" s="48">
        <v>0</v>
      </c>
      <c r="Z204" s="48">
        <v>0</v>
      </c>
      <c r="AA204" s="48">
        <v>0</v>
      </c>
      <c r="AB204" s="48">
        <v>0</v>
      </c>
      <c r="AC204" s="48">
        <v>0</v>
      </c>
      <c r="AD204" s="48">
        <v>0</v>
      </c>
      <c r="AE204" s="48">
        <v>0</v>
      </c>
      <c r="AF204" s="48">
        <v>0</v>
      </c>
      <c r="AG204" s="48">
        <v>0</v>
      </c>
      <c r="AH204" s="48">
        <v>0</v>
      </c>
      <c r="AI204" s="48">
        <v>0</v>
      </c>
      <c r="AJ204" s="48">
        <v>0</v>
      </c>
      <c r="AK204" s="48">
        <v>0</v>
      </c>
      <c r="AL204" s="48">
        <v>0</v>
      </c>
      <c r="AM204" s="48">
        <v>0</v>
      </c>
      <c r="AN204" s="48">
        <v>0</v>
      </c>
      <c r="AO204" s="48">
        <v>0</v>
      </c>
      <c r="AP204" s="48">
        <v>0</v>
      </c>
      <c r="AQ204" s="48">
        <v>0</v>
      </c>
      <c r="AR204" s="48">
        <v>0</v>
      </c>
      <c r="AS204" s="48">
        <v>0</v>
      </c>
      <c r="AT204" s="48">
        <v>0</v>
      </c>
      <c r="AU204" s="48">
        <v>0</v>
      </c>
      <c r="AV204" s="48">
        <v>0</v>
      </c>
      <c r="AW204" s="48">
        <v>0</v>
      </c>
      <c r="AX204" s="48">
        <v>0</v>
      </c>
      <c r="AY204" s="48">
        <v>0</v>
      </c>
      <c r="AZ204" s="48">
        <v>0</v>
      </c>
      <c r="BA204" s="48">
        <v>0</v>
      </c>
      <c r="BB204" s="48">
        <v>0</v>
      </c>
      <c r="BC204" s="48">
        <v>0</v>
      </c>
      <c r="BD204" s="48">
        <v>0</v>
      </c>
      <c r="BE204" s="48">
        <v>0</v>
      </c>
      <c r="BF204" s="48">
        <v>0</v>
      </c>
      <c r="BG204" s="48">
        <v>0</v>
      </c>
      <c r="BH204" s="48">
        <v>0</v>
      </c>
      <c r="BI204" s="48">
        <v>0</v>
      </c>
      <c r="BJ204" s="48">
        <v>0</v>
      </c>
      <c r="BK204" s="48">
        <v>0</v>
      </c>
      <c r="BL204" s="48">
        <v>0</v>
      </c>
      <c r="BM204" s="48">
        <v>0</v>
      </c>
      <c r="BN204" s="48">
        <v>0</v>
      </c>
      <c r="BO204" s="48">
        <v>0</v>
      </c>
      <c r="BP204" s="48">
        <v>0</v>
      </c>
      <c r="BQ204" s="48">
        <v>0</v>
      </c>
      <c r="BR204" s="48">
        <v>0</v>
      </c>
      <c r="BS204" s="48">
        <v>0</v>
      </c>
      <c r="BT204" s="48">
        <v>0</v>
      </c>
      <c r="BU204" s="48">
        <v>0</v>
      </c>
      <c r="BV204" s="48">
        <v>0</v>
      </c>
      <c r="BW204" s="48">
        <v>0</v>
      </c>
      <c r="BX204" s="48">
        <v>0</v>
      </c>
      <c r="BY204" s="48">
        <v>0</v>
      </c>
      <c r="BZ204" s="48">
        <v>0</v>
      </c>
      <c r="CA204" s="48">
        <v>0</v>
      </c>
      <c r="CB204" s="48">
        <v>0</v>
      </c>
      <c r="CC204" s="48">
        <v>0</v>
      </c>
      <c r="CD204" s="48">
        <v>0</v>
      </c>
      <c r="CE204" s="48">
        <v>0</v>
      </c>
      <c r="CF204" s="48">
        <v>0</v>
      </c>
      <c r="CG204" s="48">
        <v>0</v>
      </c>
      <c r="CH204" s="48">
        <v>0</v>
      </c>
      <c r="CI204" s="48">
        <v>0</v>
      </c>
      <c r="CJ204" s="48">
        <v>0</v>
      </c>
      <c r="CK204" s="48">
        <v>0</v>
      </c>
      <c r="CL204" s="48">
        <v>0</v>
      </c>
      <c r="CM204" s="48">
        <v>0</v>
      </c>
      <c r="CN204" s="48">
        <v>0</v>
      </c>
      <c r="CO204" s="48">
        <v>0</v>
      </c>
      <c r="CP204" s="48">
        <v>0</v>
      </c>
      <c r="CQ204" s="48">
        <v>0</v>
      </c>
      <c r="CR204" s="48">
        <v>0</v>
      </c>
      <c r="CS204" s="48">
        <v>0</v>
      </c>
      <c r="CT204" s="48">
        <v>0</v>
      </c>
      <c r="CU204" s="48">
        <v>0</v>
      </c>
      <c r="CV204" s="48">
        <v>0</v>
      </c>
      <c r="CW204" s="48">
        <v>0</v>
      </c>
      <c r="CX204" s="48">
        <v>0</v>
      </c>
      <c r="CY204" s="48">
        <v>0</v>
      </c>
      <c r="CZ204" s="48">
        <v>0</v>
      </c>
      <c r="DA204" s="48">
        <v>0</v>
      </c>
      <c r="DB204" s="48">
        <v>0</v>
      </c>
      <c r="DC204" s="48">
        <v>0</v>
      </c>
      <c r="DD204" s="48">
        <v>0.48886372669825501</v>
      </c>
      <c r="DE204" s="48">
        <v>0</v>
      </c>
      <c r="DF204" s="48">
        <v>0</v>
      </c>
      <c r="DG204" s="48">
        <v>0</v>
      </c>
      <c r="DH204" s="48">
        <v>0</v>
      </c>
      <c r="DI204" s="48">
        <v>0</v>
      </c>
      <c r="DJ204" s="48">
        <v>0</v>
      </c>
      <c r="DK204" s="48">
        <v>2.2458888349491759</v>
      </c>
      <c r="DL204" s="48">
        <v>0</v>
      </c>
      <c r="DM204" s="48">
        <v>0</v>
      </c>
      <c r="DN204" s="48">
        <v>0</v>
      </c>
      <c r="DO204" s="48">
        <v>0</v>
      </c>
      <c r="DP204" s="48">
        <v>0</v>
      </c>
      <c r="DQ204" s="48">
        <v>0</v>
      </c>
      <c r="DR204" s="48">
        <v>0</v>
      </c>
      <c r="DS204" s="48">
        <v>0</v>
      </c>
      <c r="DT204" s="48">
        <v>0</v>
      </c>
      <c r="DU204" s="48">
        <v>0</v>
      </c>
      <c r="DV204" s="48">
        <v>0</v>
      </c>
      <c r="DW204" s="48">
        <v>0</v>
      </c>
      <c r="DX204" s="48">
        <v>0</v>
      </c>
      <c r="DY204" s="48">
        <v>0</v>
      </c>
      <c r="DZ204" s="48">
        <v>0</v>
      </c>
      <c r="EA204" s="48">
        <v>0</v>
      </c>
      <c r="EB204" s="48">
        <v>0</v>
      </c>
      <c r="EC204" s="48">
        <v>0</v>
      </c>
      <c r="ED204" s="48">
        <v>0</v>
      </c>
      <c r="EE204" s="48">
        <v>0</v>
      </c>
      <c r="EF204" s="48">
        <v>0</v>
      </c>
      <c r="EG204" s="48">
        <v>0</v>
      </c>
      <c r="EH204" s="48">
        <v>0</v>
      </c>
      <c r="EI204" s="48">
        <v>0</v>
      </c>
      <c r="EJ204" s="48">
        <v>0</v>
      </c>
      <c r="EK204" s="48">
        <v>0</v>
      </c>
      <c r="EL204" s="48">
        <v>0</v>
      </c>
      <c r="EM204" s="48">
        <v>0</v>
      </c>
      <c r="EN204" s="48">
        <v>0</v>
      </c>
      <c r="EO204" s="48">
        <v>0</v>
      </c>
      <c r="EP204" s="48">
        <v>0</v>
      </c>
      <c r="EQ204" s="48">
        <v>0</v>
      </c>
      <c r="ER204" s="48">
        <v>0</v>
      </c>
      <c r="ES204" s="48">
        <v>0</v>
      </c>
      <c r="ET204" s="48">
        <v>0.30814280691736678</v>
      </c>
      <c r="EU204" s="48">
        <v>0</v>
      </c>
      <c r="EV204" s="48">
        <v>0</v>
      </c>
      <c r="EW204" s="48">
        <v>0</v>
      </c>
      <c r="EX204" s="48">
        <v>0</v>
      </c>
      <c r="EY204" s="48">
        <v>0</v>
      </c>
      <c r="EZ204" s="48">
        <v>0</v>
      </c>
      <c r="FA204" s="48">
        <v>0</v>
      </c>
      <c r="FB204" s="48">
        <v>0</v>
      </c>
      <c r="FC204" s="48">
        <v>0</v>
      </c>
      <c r="FD204" s="48">
        <v>0</v>
      </c>
      <c r="FE204" s="48">
        <v>0</v>
      </c>
      <c r="FF204" s="48">
        <v>0</v>
      </c>
      <c r="FG204" s="48">
        <v>0</v>
      </c>
      <c r="FH204" s="48">
        <v>0</v>
      </c>
      <c r="FI204" s="48">
        <v>0</v>
      </c>
      <c r="FJ204" s="48">
        <v>0</v>
      </c>
      <c r="FK204" s="48">
        <v>0</v>
      </c>
      <c r="FL204" s="48">
        <v>0</v>
      </c>
      <c r="FM204" s="48">
        <v>0</v>
      </c>
      <c r="FN204" s="48">
        <v>0</v>
      </c>
      <c r="FO204" s="48">
        <v>0</v>
      </c>
      <c r="FP204" s="48">
        <v>0</v>
      </c>
      <c r="FQ204" s="48">
        <v>0</v>
      </c>
      <c r="FR204" s="48">
        <v>0</v>
      </c>
      <c r="FS204" s="48">
        <v>0</v>
      </c>
      <c r="FT204" s="48">
        <v>0</v>
      </c>
      <c r="FU204" s="48">
        <v>0</v>
      </c>
      <c r="FV204" s="48">
        <v>0.16117036341474167</v>
      </c>
      <c r="FW204" s="48">
        <v>79.927753770229572</v>
      </c>
      <c r="FX204" s="48">
        <v>169.19510306767609</v>
      </c>
      <c r="FY204" s="48">
        <v>1.8728546826294954</v>
      </c>
      <c r="FZ204" s="48">
        <v>0</v>
      </c>
      <c r="GA204" s="48">
        <v>0</v>
      </c>
      <c r="GB204" s="48">
        <v>2048.7777569635368</v>
      </c>
      <c r="GC204" s="48">
        <v>38903.720462779973</v>
      </c>
      <c r="GD204" s="48">
        <v>0</v>
      </c>
      <c r="GE204" s="48">
        <v>0</v>
      </c>
      <c r="GF204" s="48">
        <v>0</v>
      </c>
      <c r="GG204" s="48">
        <v>13887.063719736685</v>
      </c>
      <c r="GH204" s="48">
        <v>12134.342307634657</v>
      </c>
      <c r="GI204" s="48">
        <v>21.413212536090253</v>
      </c>
      <c r="GJ204" s="48">
        <v>1562.6641975512932</v>
      </c>
      <c r="GK204" s="48">
        <v>3256.4740691401025</v>
      </c>
      <c r="GL204" s="48">
        <v>3259.1435570404874</v>
      </c>
      <c r="GM204" s="48">
        <v>2391.5182494119308</v>
      </c>
      <c r="GN204" s="48">
        <v>98.442094773753297</v>
      </c>
      <c r="GO204" s="48">
        <v>803.74416320948944</v>
      </c>
      <c r="GP204" s="48">
        <v>352.86114274900137</v>
      </c>
      <c r="GQ204" s="48">
        <v>2612.3650536492</v>
      </c>
      <c r="GR204" s="48">
        <v>991.06164086012552</v>
      </c>
      <c r="GS204" s="48">
        <v>0</v>
      </c>
      <c r="GT204" s="48">
        <v>0</v>
      </c>
      <c r="GU204" s="48">
        <v>0</v>
      </c>
      <c r="GV204" s="48">
        <v>0</v>
      </c>
      <c r="GW204" s="48">
        <v>0</v>
      </c>
      <c r="GX204" s="48">
        <v>0</v>
      </c>
      <c r="GY204" s="48">
        <v>0</v>
      </c>
      <c r="GZ204" s="48">
        <v>0</v>
      </c>
      <c r="HA204" s="48">
        <v>0</v>
      </c>
      <c r="HB204" s="48">
        <v>2921.5335313712662</v>
      </c>
      <c r="HC204" s="48">
        <v>6588.6706530733281</v>
      </c>
      <c r="HD204" s="48">
        <v>2228.9656213102348</v>
      </c>
      <c r="HE204" s="48">
        <v>398.89228536743559</v>
      </c>
      <c r="HF204" s="48">
        <v>1977.583252090451</v>
      </c>
      <c r="HG204" s="48">
        <v>1889.3341070436554</v>
      </c>
      <c r="HH204" s="48">
        <v>3556.9343578373932</v>
      </c>
      <c r="HI204" s="48">
        <v>5190.5309558672752</v>
      </c>
      <c r="HJ204" s="48">
        <v>5901.4513849608256</v>
      </c>
      <c r="HK204" s="48">
        <v>280.18670972180155</v>
      </c>
      <c r="HL204" s="48">
        <v>444.75217712162839</v>
      </c>
      <c r="HM204" s="48">
        <v>2035.8577175565038</v>
      </c>
      <c r="HN204" s="48">
        <v>596.82560329704199</v>
      </c>
      <c r="HO204" s="48">
        <v>2511.1217503581693</v>
      </c>
      <c r="HP204" s="48">
        <v>4303.5049135628688</v>
      </c>
      <c r="HQ204" s="48">
        <v>671.67878749928855</v>
      </c>
      <c r="HR204" s="48">
        <v>1432.9707030706643</v>
      </c>
      <c r="HS204" s="48">
        <v>2405.1474769337733</v>
      </c>
      <c r="HT204" s="48">
        <v>1472.8728511808729</v>
      </c>
      <c r="HU204" s="48">
        <v>1947.8561457163078</v>
      </c>
      <c r="HV204" s="48">
        <v>5067.0424035886745</v>
      </c>
      <c r="HW204" s="48">
        <v>81.493928755319331</v>
      </c>
      <c r="HX204" s="48">
        <v>0</v>
      </c>
      <c r="HY204" s="48">
        <v>0</v>
      </c>
      <c r="HZ204" s="48">
        <v>0</v>
      </c>
      <c r="IA204" s="48">
        <v>0</v>
      </c>
      <c r="IB204" s="48">
        <v>0</v>
      </c>
      <c r="IC204" s="48">
        <v>185.73142225408296</v>
      </c>
      <c r="ID204" s="48">
        <v>114.587929674359</v>
      </c>
      <c r="IE204" s="48">
        <v>77.623220793430761</v>
      </c>
      <c r="IF204" s="48">
        <v>9.7150581222052814</v>
      </c>
      <c r="IG204" s="48">
        <v>0</v>
      </c>
      <c r="IH204" s="48">
        <v>0</v>
      </c>
      <c r="II204" s="48">
        <v>0</v>
      </c>
      <c r="IJ204" s="48">
        <v>895.34364658222114</v>
      </c>
      <c r="IK204" s="48">
        <v>0</v>
      </c>
      <c r="IL204" s="48">
        <v>0</v>
      </c>
      <c r="IM204" s="48">
        <v>0</v>
      </c>
      <c r="IN204" s="48">
        <v>0</v>
      </c>
      <c r="IO204" s="48">
        <v>0</v>
      </c>
      <c r="IP204" s="23">
        <v>137765.99999999994</v>
      </c>
      <c r="IQ204" s="25">
        <v>0</v>
      </c>
      <c r="IR204" s="25">
        <v>0</v>
      </c>
      <c r="IS204" s="26">
        <v>0</v>
      </c>
      <c r="IT204" s="26">
        <v>0</v>
      </c>
      <c r="IU204" s="26">
        <v>0</v>
      </c>
      <c r="IV204" s="9">
        <v>17521</v>
      </c>
      <c r="IW204" s="38">
        <f t="shared" si="34"/>
        <v>155286.99999999994</v>
      </c>
    </row>
    <row r="205" spans="1:257" ht="30" customHeight="1" x14ac:dyDescent="0.25">
      <c r="A205" s="112" t="b">
        <v>0</v>
      </c>
      <c r="B205" s="113" t="str">
        <f>IFERROR(VLOOKUP(C205,'Bridge matrix'!$D$3:$E$727,2,FALSE)='symmetric IOT 245 2012'!D205,"FALSCH")</f>
        <v>FALSCH</v>
      </c>
      <c r="C205" s="108">
        <v>194</v>
      </c>
      <c r="D205" s="49" t="s">
        <v>1512</v>
      </c>
      <c r="E205" s="48">
        <v>0</v>
      </c>
      <c r="F205" s="48">
        <v>0</v>
      </c>
      <c r="G205" s="48">
        <v>0</v>
      </c>
      <c r="H205" s="48">
        <v>0</v>
      </c>
      <c r="I205" s="48">
        <v>0</v>
      </c>
      <c r="J205" s="48">
        <v>0</v>
      </c>
      <c r="K205" s="48">
        <v>0</v>
      </c>
      <c r="L205" s="48">
        <v>0</v>
      </c>
      <c r="M205" s="48">
        <v>0</v>
      </c>
      <c r="N205" s="48">
        <v>0</v>
      </c>
      <c r="O205" s="48">
        <v>0</v>
      </c>
      <c r="P205" s="48">
        <v>0</v>
      </c>
      <c r="Q205" s="48">
        <v>0</v>
      </c>
      <c r="R205" s="48">
        <v>0</v>
      </c>
      <c r="S205" s="48">
        <v>0</v>
      </c>
      <c r="T205" s="48">
        <v>0</v>
      </c>
      <c r="U205" s="48">
        <v>0</v>
      </c>
      <c r="V205" s="48">
        <v>0</v>
      </c>
      <c r="W205" s="48">
        <v>0</v>
      </c>
      <c r="X205" s="48">
        <v>0</v>
      </c>
      <c r="Y205" s="48">
        <v>0.12779035346294343</v>
      </c>
      <c r="Z205" s="48">
        <v>0</v>
      </c>
      <c r="AA205" s="48">
        <v>0</v>
      </c>
      <c r="AB205" s="48">
        <v>0</v>
      </c>
      <c r="AC205" s="48">
        <v>0</v>
      </c>
      <c r="AD205" s="48">
        <v>0</v>
      </c>
      <c r="AE205" s="48">
        <v>0</v>
      </c>
      <c r="AF205" s="48">
        <v>0</v>
      </c>
      <c r="AG205" s="48">
        <v>7.6651810466280376E-2</v>
      </c>
      <c r="AH205" s="48">
        <v>0</v>
      </c>
      <c r="AI205" s="48">
        <v>0</v>
      </c>
      <c r="AJ205" s="48">
        <v>0.13956097644488571</v>
      </c>
      <c r="AK205" s="48">
        <v>0</v>
      </c>
      <c r="AL205" s="48">
        <v>0</v>
      </c>
      <c r="AM205" s="48">
        <v>0</v>
      </c>
      <c r="AN205" s="48">
        <v>9.4273013301072073E-2</v>
      </c>
      <c r="AO205" s="48">
        <v>0</v>
      </c>
      <c r="AP205" s="48">
        <v>0</v>
      </c>
      <c r="AQ205" s="48">
        <v>0.13167748148649383</v>
      </c>
      <c r="AR205" s="48">
        <v>0</v>
      </c>
      <c r="AS205" s="48">
        <v>0</v>
      </c>
      <c r="AT205" s="48">
        <v>0</v>
      </c>
      <c r="AU205" s="48">
        <v>0</v>
      </c>
      <c r="AV205" s="48">
        <v>0</v>
      </c>
      <c r="AW205" s="48">
        <v>0</v>
      </c>
      <c r="AX205" s="48">
        <v>0</v>
      </c>
      <c r="AY205" s="48">
        <v>0</v>
      </c>
      <c r="AZ205" s="48">
        <v>0</v>
      </c>
      <c r="BA205" s="48">
        <v>0</v>
      </c>
      <c r="BB205" s="48">
        <v>0</v>
      </c>
      <c r="BC205" s="48">
        <v>0</v>
      </c>
      <c r="BD205" s="48">
        <v>0</v>
      </c>
      <c r="BE205" s="48">
        <v>0.34320096108212222</v>
      </c>
      <c r="BF205" s="48">
        <v>0</v>
      </c>
      <c r="BG205" s="48">
        <v>0</v>
      </c>
      <c r="BH205" s="48">
        <v>3.7725119582167468E-2</v>
      </c>
      <c r="BI205" s="48">
        <v>0</v>
      </c>
      <c r="BJ205" s="48">
        <v>0</v>
      </c>
      <c r="BK205" s="48">
        <v>0.68452338846153893</v>
      </c>
      <c r="BL205" s="48">
        <v>0</v>
      </c>
      <c r="BM205" s="48">
        <v>0.30219160058008321</v>
      </c>
      <c r="BN205" s="48">
        <v>0</v>
      </c>
      <c r="BO205" s="48">
        <v>0</v>
      </c>
      <c r="BP205" s="48">
        <v>0</v>
      </c>
      <c r="BQ205" s="48">
        <v>0</v>
      </c>
      <c r="BR205" s="48">
        <v>0</v>
      </c>
      <c r="BS205" s="48">
        <v>0</v>
      </c>
      <c r="BT205" s="48">
        <v>0</v>
      </c>
      <c r="BU205" s="48">
        <v>0</v>
      </c>
      <c r="BV205" s="48">
        <v>0</v>
      </c>
      <c r="BW205" s="48">
        <v>0</v>
      </c>
      <c r="BX205" s="48">
        <v>0</v>
      </c>
      <c r="BY205" s="48">
        <v>0</v>
      </c>
      <c r="BZ205" s="48">
        <v>0</v>
      </c>
      <c r="CA205" s="48">
        <v>0</v>
      </c>
      <c r="CB205" s="48">
        <v>0</v>
      </c>
      <c r="CC205" s="48">
        <v>0</v>
      </c>
      <c r="CD205" s="48">
        <v>0</v>
      </c>
      <c r="CE205" s="48">
        <v>0</v>
      </c>
      <c r="CF205" s="48">
        <v>0</v>
      </c>
      <c r="CG205" s="48">
        <v>0</v>
      </c>
      <c r="CH205" s="48">
        <v>0</v>
      </c>
      <c r="CI205" s="48">
        <v>0</v>
      </c>
      <c r="CJ205" s="48">
        <v>0</v>
      </c>
      <c r="CK205" s="48">
        <v>0</v>
      </c>
      <c r="CL205" s="48">
        <v>0</v>
      </c>
      <c r="CM205" s="48">
        <v>0</v>
      </c>
      <c r="CN205" s="48">
        <v>0</v>
      </c>
      <c r="CO205" s="48">
        <v>0</v>
      </c>
      <c r="CP205" s="48">
        <v>0</v>
      </c>
      <c r="CQ205" s="48">
        <v>0</v>
      </c>
      <c r="CR205" s="48">
        <v>0</v>
      </c>
      <c r="CS205" s="48">
        <v>0</v>
      </c>
      <c r="CT205" s="48">
        <v>0</v>
      </c>
      <c r="CU205" s="48">
        <v>0</v>
      </c>
      <c r="CV205" s="48">
        <v>0</v>
      </c>
      <c r="CW205" s="48">
        <v>0</v>
      </c>
      <c r="CX205" s="48">
        <v>0</v>
      </c>
      <c r="CY205" s="48">
        <v>0</v>
      </c>
      <c r="CZ205" s="48">
        <v>0</v>
      </c>
      <c r="DA205" s="48">
        <v>0</v>
      </c>
      <c r="DB205" s="48">
        <v>0</v>
      </c>
      <c r="DC205" s="48">
        <v>0</v>
      </c>
      <c r="DD205" s="48">
        <v>0.33761234875197177</v>
      </c>
      <c r="DE205" s="48">
        <v>0</v>
      </c>
      <c r="DF205" s="48">
        <v>0</v>
      </c>
      <c r="DG205" s="48">
        <v>0</v>
      </c>
      <c r="DH205" s="48">
        <v>0</v>
      </c>
      <c r="DI205" s="48">
        <v>0</v>
      </c>
      <c r="DJ205" s="48">
        <v>0</v>
      </c>
      <c r="DK205" s="48">
        <v>1.551010954596046</v>
      </c>
      <c r="DL205" s="48">
        <v>0</v>
      </c>
      <c r="DM205" s="48">
        <v>0</v>
      </c>
      <c r="DN205" s="48">
        <v>0</v>
      </c>
      <c r="DO205" s="48">
        <v>0</v>
      </c>
      <c r="DP205" s="48">
        <v>0</v>
      </c>
      <c r="DQ205" s="48">
        <v>0</v>
      </c>
      <c r="DR205" s="48">
        <v>0</v>
      </c>
      <c r="DS205" s="48">
        <v>0</v>
      </c>
      <c r="DT205" s="48">
        <v>0</v>
      </c>
      <c r="DU205" s="48">
        <v>0</v>
      </c>
      <c r="DV205" s="48">
        <v>0</v>
      </c>
      <c r="DW205" s="48">
        <v>0</v>
      </c>
      <c r="DX205" s="48">
        <v>0</v>
      </c>
      <c r="DY205" s="48">
        <v>0</v>
      </c>
      <c r="DZ205" s="48">
        <v>0</v>
      </c>
      <c r="EA205" s="48">
        <v>0</v>
      </c>
      <c r="EB205" s="48">
        <v>0</v>
      </c>
      <c r="EC205" s="48">
        <v>0</v>
      </c>
      <c r="ED205" s="48">
        <v>0</v>
      </c>
      <c r="EE205" s="48">
        <v>0</v>
      </c>
      <c r="EF205" s="48">
        <v>0</v>
      </c>
      <c r="EG205" s="48">
        <v>0</v>
      </c>
      <c r="EH205" s="48">
        <v>0</v>
      </c>
      <c r="EI205" s="48">
        <v>0</v>
      </c>
      <c r="EJ205" s="48">
        <v>0</v>
      </c>
      <c r="EK205" s="48">
        <v>0</v>
      </c>
      <c r="EL205" s="48">
        <v>0</v>
      </c>
      <c r="EM205" s="48">
        <v>0</v>
      </c>
      <c r="EN205" s="48">
        <v>0</v>
      </c>
      <c r="EO205" s="48">
        <v>0</v>
      </c>
      <c r="EP205" s="48">
        <v>0</v>
      </c>
      <c r="EQ205" s="48">
        <v>0</v>
      </c>
      <c r="ER205" s="48">
        <v>0</v>
      </c>
      <c r="ES205" s="48">
        <v>0</v>
      </c>
      <c r="ET205" s="48">
        <v>0.18915121422445236</v>
      </c>
      <c r="EU205" s="48">
        <v>0</v>
      </c>
      <c r="EV205" s="48">
        <v>0</v>
      </c>
      <c r="EW205" s="48">
        <v>0</v>
      </c>
      <c r="EX205" s="48">
        <v>0</v>
      </c>
      <c r="EY205" s="48">
        <v>0</v>
      </c>
      <c r="EZ205" s="48">
        <v>0</v>
      </c>
      <c r="FA205" s="48">
        <v>0</v>
      </c>
      <c r="FB205" s="48">
        <v>0</v>
      </c>
      <c r="FC205" s="48">
        <v>0</v>
      </c>
      <c r="FD205" s="48">
        <v>0</v>
      </c>
      <c r="FE205" s="48">
        <v>0</v>
      </c>
      <c r="FF205" s="48">
        <v>0</v>
      </c>
      <c r="FG205" s="48">
        <v>0</v>
      </c>
      <c r="FH205" s="48">
        <v>0</v>
      </c>
      <c r="FI205" s="48">
        <v>0</v>
      </c>
      <c r="FJ205" s="48">
        <v>0</v>
      </c>
      <c r="FK205" s="48">
        <v>0</v>
      </c>
      <c r="FL205" s="48">
        <v>0</v>
      </c>
      <c r="FM205" s="48">
        <v>0</v>
      </c>
      <c r="FN205" s="48">
        <v>0</v>
      </c>
      <c r="FO205" s="48">
        <v>0</v>
      </c>
      <c r="FP205" s="48">
        <v>0</v>
      </c>
      <c r="FQ205" s="48">
        <v>0</v>
      </c>
      <c r="FR205" s="48">
        <v>0</v>
      </c>
      <c r="FS205" s="48">
        <v>0</v>
      </c>
      <c r="FT205" s="48">
        <v>0</v>
      </c>
      <c r="FU205" s="48">
        <v>0</v>
      </c>
      <c r="FV205" s="48">
        <v>0.11128322509210083</v>
      </c>
      <c r="FW205" s="48">
        <v>56.219297671477889</v>
      </c>
      <c r="FX205" s="48">
        <v>106.51912620770956</v>
      </c>
      <c r="FY205" s="48">
        <v>0</v>
      </c>
      <c r="FZ205" s="48">
        <v>0</v>
      </c>
      <c r="GA205" s="48">
        <v>0</v>
      </c>
      <c r="GB205" s="48">
        <v>3879.1980506790342</v>
      </c>
      <c r="GC205" s="48">
        <v>26861.833482263675</v>
      </c>
      <c r="GD205" s="48">
        <v>0</v>
      </c>
      <c r="GE205" s="48">
        <v>0</v>
      </c>
      <c r="GF205" s="48">
        <v>0</v>
      </c>
      <c r="GG205" s="48">
        <v>5504.5214911569356</v>
      </c>
      <c r="GH205" s="48">
        <v>4828.6649928916577</v>
      </c>
      <c r="GI205" s="48">
        <v>8.6824609330310984</v>
      </c>
      <c r="GJ205" s="48">
        <v>619.68832112092991</v>
      </c>
      <c r="GK205" s="48">
        <v>1291.3286916489076</v>
      </c>
      <c r="GL205" s="48">
        <v>1292.1927731047924</v>
      </c>
      <c r="GM205" s="48">
        <v>951.81964328867298</v>
      </c>
      <c r="GN205" s="48">
        <v>38.637021283905064</v>
      </c>
      <c r="GO205" s="48">
        <v>318.66084821669352</v>
      </c>
      <c r="GP205" s="48">
        <v>140.07652227805016</v>
      </c>
      <c r="GQ205" s="48">
        <v>1035.601263751797</v>
      </c>
      <c r="GR205" s="48">
        <v>0</v>
      </c>
      <c r="GS205" s="48">
        <v>1241.5812682065189</v>
      </c>
      <c r="GT205" s="48">
        <v>0</v>
      </c>
      <c r="GU205" s="48">
        <v>0</v>
      </c>
      <c r="GV205" s="48">
        <v>0</v>
      </c>
      <c r="GW205" s="48">
        <v>0</v>
      </c>
      <c r="GX205" s="48">
        <v>0</v>
      </c>
      <c r="GY205" s="48">
        <v>0</v>
      </c>
      <c r="GZ205" s="48">
        <v>0</v>
      </c>
      <c r="HA205" s="48">
        <v>0</v>
      </c>
      <c r="HB205" s="48">
        <v>1147.8332804674933</v>
      </c>
      <c r="HC205" s="48">
        <v>2589.9554053154629</v>
      </c>
      <c r="HD205" s="48">
        <v>875.88039763147651</v>
      </c>
      <c r="HE205" s="48">
        <v>155.07442830853077</v>
      </c>
      <c r="HF205" s="48">
        <v>775.50577447702153</v>
      </c>
      <c r="HG205" s="48">
        <v>740.47611695289368</v>
      </c>
      <c r="HH205" s="48">
        <v>1394.8792517697011</v>
      </c>
      <c r="HI205" s="48">
        <v>2034.6240520018619</v>
      </c>
      <c r="HJ205" s="48">
        <v>2314.3493675636068</v>
      </c>
      <c r="HK205" s="48">
        <v>109.84213931907749</v>
      </c>
      <c r="HL205" s="48">
        <v>174.09337278410644</v>
      </c>
      <c r="HM205" s="48">
        <v>798.71028043323065</v>
      </c>
      <c r="HN205" s="48">
        <v>233.88075915516495</v>
      </c>
      <c r="HO205" s="48">
        <v>983.82702511470916</v>
      </c>
      <c r="HP205" s="48">
        <v>1686.412903589533</v>
      </c>
      <c r="HQ205" s="48">
        <v>263.23733150180232</v>
      </c>
      <c r="HR205" s="48">
        <v>561.31659994199845</v>
      </c>
      <c r="HS205" s="48">
        <v>942.36720144246567</v>
      </c>
      <c r="HT205" s="48">
        <v>577.60628649901901</v>
      </c>
      <c r="HU205" s="48">
        <v>763.19448625378425</v>
      </c>
      <c r="HV205" s="48">
        <v>129.66145951823208</v>
      </c>
      <c r="HW205" s="48">
        <v>7.3766327655519968</v>
      </c>
      <c r="HX205" s="48">
        <v>0</v>
      </c>
      <c r="HY205" s="48">
        <v>0</v>
      </c>
      <c r="HZ205" s="48">
        <v>0</v>
      </c>
      <c r="IA205" s="48">
        <v>0</v>
      </c>
      <c r="IB205" s="48">
        <v>0</v>
      </c>
      <c r="IC205" s="48">
        <v>1.9312217364989299</v>
      </c>
      <c r="ID205" s="48">
        <v>0.9642885137489009</v>
      </c>
      <c r="IE205" s="48">
        <v>0.96350017951648759</v>
      </c>
      <c r="IF205" s="48">
        <v>0</v>
      </c>
      <c r="IG205" s="48">
        <v>0</v>
      </c>
      <c r="IH205" s="48">
        <v>0</v>
      </c>
      <c r="II205" s="48">
        <v>0</v>
      </c>
      <c r="IJ205" s="48">
        <v>37.684529612111739</v>
      </c>
      <c r="IK205" s="48">
        <v>0</v>
      </c>
      <c r="IL205" s="48">
        <v>0</v>
      </c>
      <c r="IM205" s="48">
        <v>0</v>
      </c>
      <c r="IN205" s="48">
        <v>0</v>
      </c>
      <c r="IO205" s="48">
        <v>0</v>
      </c>
      <c r="IP205" s="23">
        <v>67480.999999999913</v>
      </c>
      <c r="IQ205" s="25">
        <v>965</v>
      </c>
      <c r="IR205" s="25">
        <v>0</v>
      </c>
      <c r="IS205" s="26">
        <v>0</v>
      </c>
      <c r="IT205" s="26">
        <v>0</v>
      </c>
      <c r="IU205" s="26">
        <v>0</v>
      </c>
      <c r="IV205" s="9">
        <v>0</v>
      </c>
      <c r="IW205" s="38">
        <f t="shared" si="34"/>
        <v>68445.999999999913</v>
      </c>
    </row>
    <row r="206" spans="1:257" ht="30" customHeight="1" x14ac:dyDescent="0.25">
      <c r="A206" s="112" t="b">
        <v>0</v>
      </c>
      <c r="B206" s="113" t="b">
        <f>IFERROR(VLOOKUP(C206,'Bridge matrix'!$D$3:$E$727,2,FALSE)='symmetric IOT 245 2012'!D206,"FALSCH")</f>
        <v>1</v>
      </c>
      <c r="C206" s="108">
        <v>195</v>
      </c>
      <c r="D206" s="49" t="s">
        <v>1513</v>
      </c>
      <c r="E206" s="48">
        <v>0</v>
      </c>
      <c r="F206" s="48">
        <v>0</v>
      </c>
      <c r="G206" s="48">
        <v>0</v>
      </c>
      <c r="H206" s="48">
        <v>0</v>
      </c>
      <c r="I206" s="48">
        <v>0</v>
      </c>
      <c r="J206" s="48">
        <v>0</v>
      </c>
      <c r="K206" s="48">
        <v>0</v>
      </c>
      <c r="L206" s="48">
        <v>0</v>
      </c>
      <c r="M206" s="48">
        <v>0</v>
      </c>
      <c r="N206" s="48">
        <v>0</v>
      </c>
      <c r="O206" s="48">
        <v>0</v>
      </c>
      <c r="P206" s="48">
        <v>0</v>
      </c>
      <c r="Q206" s="48">
        <v>0</v>
      </c>
      <c r="R206" s="48">
        <v>0</v>
      </c>
      <c r="S206" s="48">
        <v>0</v>
      </c>
      <c r="T206" s="48">
        <v>0</v>
      </c>
      <c r="U206" s="48">
        <v>0</v>
      </c>
      <c r="V206" s="48">
        <v>0</v>
      </c>
      <c r="W206" s="48">
        <v>0</v>
      </c>
      <c r="X206" s="48">
        <v>0</v>
      </c>
      <c r="Y206" s="48">
        <v>0</v>
      </c>
      <c r="Z206" s="48">
        <v>0</v>
      </c>
      <c r="AA206" s="48">
        <v>0</v>
      </c>
      <c r="AB206" s="48">
        <v>0</v>
      </c>
      <c r="AC206" s="48">
        <v>0</v>
      </c>
      <c r="AD206" s="48">
        <v>0</v>
      </c>
      <c r="AE206" s="48">
        <v>0</v>
      </c>
      <c r="AF206" s="48">
        <v>0</v>
      </c>
      <c r="AG206" s="48">
        <v>0</v>
      </c>
      <c r="AH206" s="48">
        <v>0</v>
      </c>
      <c r="AI206" s="48">
        <v>0</v>
      </c>
      <c r="AJ206" s="48">
        <v>0</v>
      </c>
      <c r="AK206" s="48">
        <v>0</v>
      </c>
      <c r="AL206" s="48">
        <v>0</v>
      </c>
      <c r="AM206" s="48">
        <v>0</v>
      </c>
      <c r="AN206" s="48">
        <v>0</v>
      </c>
      <c r="AO206" s="48">
        <v>0</v>
      </c>
      <c r="AP206" s="48">
        <v>0</v>
      </c>
      <c r="AQ206" s="48">
        <v>0</v>
      </c>
      <c r="AR206" s="48">
        <v>0</v>
      </c>
      <c r="AS206" s="48">
        <v>0</v>
      </c>
      <c r="AT206" s="48">
        <v>0</v>
      </c>
      <c r="AU206" s="48">
        <v>0</v>
      </c>
      <c r="AV206" s="48">
        <v>0</v>
      </c>
      <c r="AW206" s="48">
        <v>0</v>
      </c>
      <c r="AX206" s="48">
        <v>0</v>
      </c>
      <c r="AY206" s="48">
        <v>0</v>
      </c>
      <c r="AZ206" s="48">
        <v>0</v>
      </c>
      <c r="BA206" s="48">
        <v>0</v>
      </c>
      <c r="BB206" s="48">
        <v>0</v>
      </c>
      <c r="BC206" s="48">
        <v>0</v>
      </c>
      <c r="BD206" s="48">
        <v>0</v>
      </c>
      <c r="BE206" s="48">
        <v>0</v>
      </c>
      <c r="BF206" s="48">
        <v>0</v>
      </c>
      <c r="BG206" s="48">
        <v>0</v>
      </c>
      <c r="BH206" s="48">
        <v>0</v>
      </c>
      <c r="BI206" s="48">
        <v>0</v>
      </c>
      <c r="BJ206" s="48">
        <v>0</v>
      </c>
      <c r="BK206" s="48">
        <v>0</v>
      </c>
      <c r="BL206" s="48">
        <v>0</v>
      </c>
      <c r="BM206" s="48">
        <v>0</v>
      </c>
      <c r="BN206" s="48">
        <v>0</v>
      </c>
      <c r="BO206" s="48">
        <v>0</v>
      </c>
      <c r="BP206" s="48">
        <v>0</v>
      </c>
      <c r="BQ206" s="48">
        <v>0</v>
      </c>
      <c r="BR206" s="48">
        <v>0</v>
      </c>
      <c r="BS206" s="48">
        <v>0</v>
      </c>
      <c r="BT206" s="48">
        <v>3281.3386110702108</v>
      </c>
      <c r="BU206" s="48">
        <v>18708.654684007233</v>
      </c>
      <c r="BV206" s="48">
        <v>2256.4227218210485</v>
      </c>
      <c r="BW206" s="48">
        <v>1154.6174452212144</v>
      </c>
      <c r="BX206" s="48">
        <v>105.08327947435954</v>
      </c>
      <c r="BY206" s="48">
        <v>0</v>
      </c>
      <c r="BZ206" s="48">
        <v>0</v>
      </c>
      <c r="CA206" s="48">
        <v>0</v>
      </c>
      <c r="CB206" s="48">
        <v>0</v>
      </c>
      <c r="CC206" s="48">
        <v>0</v>
      </c>
      <c r="CD206" s="48">
        <v>0</v>
      </c>
      <c r="CE206" s="48">
        <v>0</v>
      </c>
      <c r="CF206" s="48">
        <v>0</v>
      </c>
      <c r="CG206" s="48">
        <v>0</v>
      </c>
      <c r="CH206" s="48">
        <v>0</v>
      </c>
      <c r="CI206" s="48">
        <v>0</v>
      </c>
      <c r="CJ206" s="48">
        <v>0</v>
      </c>
      <c r="CK206" s="48">
        <v>0</v>
      </c>
      <c r="CL206" s="48">
        <v>0</v>
      </c>
      <c r="CM206" s="48">
        <v>0</v>
      </c>
      <c r="CN206" s="48">
        <v>0</v>
      </c>
      <c r="CO206" s="48">
        <v>0</v>
      </c>
      <c r="CP206" s="48">
        <v>0</v>
      </c>
      <c r="CQ206" s="48">
        <v>0</v>
      </c>
      <c r="CR206" s="48">
        <v>0</v>
      </c>
      <c r="CS206" s="48">
        <v>0</v>
      </c>
      <c r="CT206" s="48">
        <v>0</v>
      </c>
      <c r="CU206" s="48">
        <v>0</v>
      </c>
      <c r="CV206" s="48">
        <v>0</v>
      </c>
      <c r="CW206" s="48">
        <v>0</v>
      </c>
      <c r="CX206" s="48">
        <v>0</v>
      </c>
      <c r="CY206" s="48">
        <v>0</v>
      </c>
      <c r="CZ206" s="48">
        <v>0</v>
      </c>
      <c r="DA206" s="48">
        <v>0</v>
      </c>
      <c r="DB206" s="48">
        <v>0</v>
      </c>
      <c r="DC206" s="48">
        <v>0</v>
      </c>
      <c r="DD206" s="48">
        <v>3.2887520382079529</v>
      </c>
      <c r="DE206" s="48">
        <v>0</v>
      </c>
      <c r="DF206" s="48">
        <v>0</v>
      </c>
      <c r="DG206" s="48">
        <v>0</v>
      </c>
      <c r="DH206" s="48">
        <v>0</v>
      </c>
      <c r="DI206" s="48">
        <v>0</v>
      </c>
      <c r="DJ206" s="48">
        <v>0</v>
      </c>
      <c r="DK206" s="48">
        <v>15.108824205420278</v>
      </c>
      <c r="DL206" s="48">
        <v>0</v>
      </c>
      <c r="DM206" s="48">
        <v>0</v>
      </c>
      <c r="DN206" s="48">
        <v>0</v>
      </c>
      <c r="DO206" s="48">
        <v>0</v>
      </c>
      <c r="DP206" s="48">
        <v>0</v>
      </c>
      <c r="DQ206" s="48">
        <v>0</v>
      </c>
      <c r="DR206" s="48">
        <v>0</v>
      </c>
      <c r="DS206" s="48">
        <v>0</v>
      </c>
      <c r="DT206" s="48">
        <v>0</v>
      </c>
      <c r="DU206" s="48">
        <v>0</v>
      </c>
      <c r="DV206" s="48">
        <v>0</v>
      </c>
      <c r="DW206" s="48">
        <v>0</v>
      </c>
      <c r="DX206" s="48">
        <v>0</v>
      </c>
      <c r="DY206" s="48">
        <v>0</v>
      </c>
      <c r="DZ206" s="48">
        <v>0</v>
      </c>
      <c r="EA206" s="48">
        <v>0</v>
      </c>
      <c r="EB206" s="48">
        <v>0</v>
      </c>
      <c r="EC206" s="48">
        <v>0</v>
      </c>
      <c r="ED206" s="48">
        <v>0</v>
      </c>
      <c r="EE206" s="48">
        <v>0</v>
      </c>
      <c r="EF206" s="48">
        <v>0</v>
      </c>
      <c r="EG206" s="48">
        <v>0</v>
      </c>
      <c r="EH206" s="48">
        <v>0</v>
      </c>
      <c r="EI206" s="48">
        <v>0</v>
      </c>
      <c r="EJ206" s="48">
        <v>0</v>
      </c>
      <c r="EK206" s="48">
        <v>0</v>
      </c>
      <c r="EL206" s="48">
        <v>0</v>
      </c>
      <c r="EM206" s="48">
        <v>0</v>
      </c>
      <c r="EN206" s="48">
        <v>0</v>
      </c>
      <c r="EO206" s="48">
        <v>0</v>
      </c>
      <c r="EP206" s="48">
        <v>0</v>
      </c>
      <c r="EQ206" s="48">
        <v>0</v>
      </c>
      <c r="ER206" s="48">
        <v>0</v>
      </c>
      <c r="ES206" s="48">
        <v>0</v>
      </c>
      <c r="ET206" s="48">
        <v>1.5312992843282054</v>
      </c>
      <c r="EU206" s="48">
        <v>0</v>
      </c>
      <c r="EV206" s="48">
        <v>0</v>
      </c>
      <c r="EW206" s="48">
        <v>0</v>
      </c>
      <c r="EX206" s="48">
        <v>0</v>
      </c>
      <c r="EY206" s="48">
        <v>0</v>
      </c>
      <c r="EZ206" s="48">
        <v>0</v>
      </c>
      <c r="FA206" s="48">
        <v>0</v>
      </c>
      <c r="FB206" s="48">
        <v>0</v>
      </c>
      <c r="FC206" s="48">
        <v>0</v>
      </c>
      <c r="FD206" s="48">
        <v>0</v>
      </c>
      <c r="FE206" s="48">
        <v>0</v>
      </c>
      <c r="FF206" s="48">
        <v>0</v>
      </c>
      <c r="FG206" s="48">
        <v>0</v>
      </c>
      <c r="FH206" s="48">
        <v>0</v>
      </c>
      <c r="FI206" s="48">
        <v>0</v>
      </c>
      <c r="FJ206" s="48">
        <v>0</v>
      </c>
      <c r="FK206" s="48">
        <v>0</v>
      </c>
      <c r="FL206" s="48">
        <v>0</v>
      </c>
      <c r="FM206" s="48">
        <v>0</v>
      </c>
      <c r="FN206" s="48">
        <v>0</v>
      </c>
      <c r="FO206" s="48">
        <v>0</v>
      </c>
      <c r="FP206" s="48">
        <v>0</v>
      </c>
      <c r="FQ206" s="48">
        <v>0</v>
      </c>
      <c r="FR206" s="48">
        <v>0</v>
      </c>
      <c r="FS206" s="48">
        <v>0</v>
      </c>
      <c r="FT206" s="48">
        <v>0</v>
      </c>
      <c r="FU206" s="48">
        <v>0</v>
      </c>
      <c r="FV206" s="48">
        <v>1.0841979243505924</v>
      </c>
      <c r="FW206" s="48">
        <v>28.332706690105844</v>
      </c>
      <c r="FX206" s="48">
        <v>59.180664411822178</v>
      </c>
      <c r="FY206" s="48">
        <v>0</v>
      </c>
      <c r="FZ206" s="48">
        <v>0</v>
      </c>
      <c r="GA206" s="48">
        <v>0</v>
      </c>
      <c r="GB206" s="48">
        <v>8478.5398624067966</v>
      </c>
      <c r="GC206" s="48">
        <v>261706.50543285342</v>
      </c>
      <c r="GD206" s="48">
        <v>0</v>
      </c>
      <c r="GE206" s="48">
        <v>248.78936153166546</v>
      </c>
      <c r="GF206" s="48">
        <v>700.0275179630886</v>
      </c>
      <c r="GG206" s="48">
        <v>36100.014372944643</v>
      </c>
      <c r="GH206" s="48">
        <v>31669.418312188071</v>
      </c>
      <c r="GI206" s="48">
        <v>56.138471517277424</v>
      </c>
      <c r="GJ206" s="48">
        <v>4063.3634729338632</v>
      </c>
      <c r="GK206" s="48">
        <v>8468.4980262208992</v>
      </c>
      <c r="GL206" s="48">
        <v>8475.4551122720459</v>
      </c>
      <c r="GM206" s="48">
        <v>6242.4849638405767</v>
      </c>
      <c r="GN206" s="48">
        <v>255.345626357371</v>
      </c>
      <c r="GO206" s="48">
        <v>2090.8693341742883</v>
      </c>
      <c r="GP206" s="48">
        <v>917.59912799662777</v>
      </c>
      <c r="GQ206" s="48">
        <v>6792.9383480593006</v>
      </c>
      <c r="GR206" s="48">
        <v>27.191734483132436</v>
      </c>
      <c r="GS206" s="48">
        <v>0</v>
      </c>
      <c r="GT206" s="48">
        <v>0</v>
      </c>
      <c r="GU206" s="48">
        <v>0</v>
      </c>
      <c r="GV206" s="48">
        <v>0</v>
      </c>
      <c r="GW206" s="48">
        <v>0</v>
      </c>
      <c r="GX206" s="48">
        <v>0</v>
      </c>
      <c r="GY206" s="48">
        <v>0</v>
      </c>
      <c r="GZ206" s="48">
        <v>0</v>
      </c>
      <c r="HA206" s="48">
        <v>0</v>
      </c>
      <c r="HB206" s="48">
        <v>7516.7669709678757</v>
      </c>
      <c r="HC206" s="48">
        <v>16952.985815801694</v>
      </c>
      <c r="HD206" s="48">
        <v>5736.7551692383413</v>
      </c>
      <c r="HE206" s="48">
        <v>12.255680103440017</v>
      </c>
      <c r="HF206" s="48">
        <v>200.35715397931091</v>
      </c>
      <c r="HG206" s="48">
        <v>192.00106193487528</v>
      </c>
      <c r="HH206" s="48">
        <v>360.99716369429501</v>
      </c>
      <c r="HI206" s="48">
        <v>526.83667763633537</v>
      </c>
      <c r="HJ206" s="48">
        <v>598.56208906177039</v>
      </c>
      <c r="HK206" s="48">
        <v>28.096188002003444</v>
      </c>
      <c r="HL206" s="48">
        <v>45.697924134777381</v>
      </c>
      <c r="HM206" s="48">
        <v>206.95239466266133</v>
      </c>
      <c r="HN206" s="48">
        <v>60.770033876366711</v>
      </c>
      <c r="HO206" s="48">
        <v>255.18507869949994</v>
      </c>
      <c r="HP206" s="48">
        <v>437.36135587208042</v>
      </c>
      <c r="HQ206" s="48">
        <v>67.97122424479025</v>
      </c>
      <c r="HR206" s="48">
        <v>145.37852435604748</v>
      </c>
      <c r="HS206" s="48">
        <v>227.76365897111336</v>
      </c>
      <c r="HT206" s="48">
        <v>149.67390867082594</v>
      </c>
      <c r="HU206" s="48">
        <v>197.28134861236748</v>
      </c>
      <c r="HV206" s="48">
        <v>0</v>
      </c>
      <c r="HW206" s="48">
        <v>0</v>
      </c>
      <c r="HX206" s="48">
        <v>0</v>
      </c>
      <c r="HY206" s="48">
        <v>0</v>
      </c>
      <c r="HZ206" s="48">
        <v>0</v>
      </c>
      <c r="IA206" s="48">
        <v>0</v>
      </c>
      <c r="IB206" s="48">
        <v>0</v>
      </c>
      <c r="IC206" s="48">
        <v>0</v>
      </c>
      <c r="ID206" s="48">
        <v>0</v>
      </c>
      <c r="IE206" s="48">
        <v>0</v>
      </c>
      <c r="IF206" s="48">
        <v>0</v>
      </c>
      <c r="IG206" s="48">
        <v>0</v>
      </c>
      <c r="IH206" s="48">
        <v>0</v>
      </c>
      <c r="II206" s="48">
        <v>0</v>
      </c>
      <c r="IJ206" s="48">
        <v>0.52831358748890123</v>
      </c>
      <c r="IK206" s="48">
        <v>0</v>
      </c>
      <c r="IL206" s="48">
        <v>0</v>
      </c>
      <c r="IM206" s="48">
        <v>0</v>
      </c>
      <c r="IN206" s="48">
        <v>0</v>
      </c>
      <c r="IO206" s="48">
        <v>0</v>
      </c>
      <c r="IP206" s="23">
        <v>435827.9999999993</v>
      </c>
      <c r="IQ206" s="25">
        <v>34176</v>
      </c>
      <c r="IR206" s="25">
        <v>0</v>
      </c>
      <c r="IS206" s="26">
        <v>0</v>
      </c>
      <c r="IT206" s="26">
        <v>0</v>
      </c>
      <c r="IU206" s="26">
        <v>0</v>
      </c>
      <c r="IV206" s="9">
        <v>36605</v>
      </c>
      <c r="IW206" s="38">
        <f t="shared" si="34"/>
        <v>506608.9999999993</v>
      </c>
    </row>
    <row r="207" spans="1:257" ht="30" customHeight="1" x14ac:dyDescent="0.25">
      <c r="A207" s="112" t="b">
        <v>0</v>
      </c>
      <c r="B207" s="113" t="b">
        <f>IFERROR(VLOOKUP(C207,'Bridge matrix'!$D$3:$E$727,2,FALSE)='symmetric IOT 245 2012'!D207,"FALSCH")</f>
        <v>1</v>
      </c>
      <c r="C207" s="108">
        <v>196</v>
      </c>
      <c r="D207" s="49" t="s">
        <v>1514</v>
      </c>
      <c r="E207" s="48">
        <v>0</v>
      </c>
      <c r="F207" s="48">
        <v>0</v>
      </c>
      <c r="G207" s="48">
        <v>0</v>
      </c>
      <c r="H207" s="48">
        <v>0</v>
      </c>
      <c r="I207" s="48">
        <v>1.4134486103058832</v>
      </c>
      <c r="J207" s="48">
        <v>5.9189955698873646</v>
      </c>
      <c r="K207" s="48">
        <v>13.388152660838443</v>
      </c>
      <c r="L207" s="48">
        <v>0.84854239751371585</v>
      </c>
      <c r="M207" s="48">
        <v>0</v>
      </c>
      <c r="N207" s="48">
        <v>0</v>
      </c>
      <c r="O207" s="48">
        <v>575.57132379641257</v>
      </c>
      <c r="P207" s="48">
        <v>83.791490339065049</v>
      </c>
      <c r="Q207" s="48">
        <v>7.8829198775657563</v>
      </c>
      <c r="R207" s="48">
        <v>417.68171781898417</v>
      </c>
      <c r="S207" s="48">
        <v>0.97886031285918507</v>
      </c>
      <c r="T207" s="48">
        <v>0.40035770697706852</v>
      </c>
      <c r="U207" s="48">
        <v>0.43515212352540433</v>
      </c>
      <c r="V207" s="48">
        <v>0</v>
      </c>
      <c r="W207" s="48">
        <v>7.1135467381083506E-2</v>
      </c>
      <c r="X207" s="48">
        <v>0</v>
      </c>
      <c r="Y207" s="48">
        <v>0.12623184484048372</v>
      </c>
      <c r="Z207" s="48">
        <v>0</v>
      </c>
      <c r="AA207" s="48">
        <v>0</v>
      </c>
      <c r="AB207" s="48">
        <v>0</v>
      </c>
      <c r="AC207" s="48">
        <v>0</v>
      </c>
      <c r="AD207" s="48">
        <v>0.43687303038068648</v>
      </c>
      <c r="AE207" s="48">
        <v>0.15302532458001958</v>
      </c>
      <c r="AF207" s="48">
        <v>0</v>
      </c>
      <c r="AG207" s="48">
        <v>7.2729348093524882E-2</v>
      </c>
      <c r="AH207" s="48">
        <v>0.41497626165488033</v>
      </c>
      <c r="AI207" s="48">
        <v>0</v>
      </c>
      <c r="AJ207" s="48">
        <v>0.13854759208989467</v>
      </c>
      <c r="AK207" s="48">
        <v>0.45260408393576573</v>
      </c>
      <c r="AL207" s="48">
        <v>0.165272654106457</v>
      </c>
      <c r="AM207" s="48">
        <v>0</v>
      </c>
      <c r="AN207" s="48">
        <v>9.1172231575427851E-2</v>
      </c>
      <c r="AO207" s="48">
        <v>0.42255143053518979</v>
      </c>
      <c r="AP207" s="48">
        <v>0</v>
      </c>
      <c r="AQ207" s="48">
        <v>0.13030110924824073</v>
      </c>
      <c r="AR207" s="48">
        <v>0</v>
      </c>
      <c r="AS207" s="48">
        <v>0</v>
      </c>
      <c r="AT207" s="48">
        <v>105.98319341551581</v>
      </c>
      <c r="AU207" s="48">
        <v>13.84917209083078</v>
      </c>
      <c r="AV207" s="48">
        <v>5.9282476245299227</v>
      </c>
      <c r="AW207" s="48">
        <v>3.8498434831194555</v>
      </c>
      <c r="AX207" s="48">
        <v>211.68436600417593</v>
      </c>
      <c r="AY207" s="48">
        <v>34.623489533816603</v>
      </c>
      <c r="AZ207" s="48">
        <v>5.9458900606927205</v>
      </c>
      <c r="BA207" s="48">
        <v>9.8921390053060136</v>
      </c>
      <c r="BB207" s="48">
        <v>221.71362633003409</v>
      </c>
      <c r="BC207" s="48">
        <v>36.961778679748306</v>
      </c>
      <c r="BD207" s="48">
        <v>0</v>
      </c>
      <c r="BE207" s="48">
        <v>2.3500597895211026</v>
      </c>
      <c r="BF207" s="48">
        <v>0</v>
      </c>
      <c r="BG207" s="48">
        <v>0</v>
      </c>
      <c r="BH207" s="48">
        <v>2.4268865870330787E-2</v>
      </c>
      <c r="BI207" s="48">
        <v>0</v>
      </c>
      <c r="BJ207" s="48">
        <v>0</v>
      </c>
      <c r="BK207" s="48">
        <v>0</v>
      </c>
      <c r="BL207" s="48">
        <v>0</v>
      </c>
      <c r="BM207" s="48">
        <v>0.30725469472990397</v>
      </c>
      <c r="BN207" s="48">
        <v>0</v>
      </c>
      <c r="BO207" s="48">
        <v>1.0128717929051401</v>
      </c>
      <c r="BP207" s="48">
        <v>27.763408839413909</v>
      </c>
      <c r="BQ207" s="48">
        <v>3.5048669902067973</v>
      </c>
      <c r="BR207" s="48">
        <v>0</v>
      </c>
      <c r="BS207" s="48">
        <v>0</v>
      </c>
      <c r="BT207" s="48">
        <v>21.21531605427483</v>
      </c>
      <c r="BU207" s="48">
        <v>119.66841343615349</v>
      </c>
      <c r="BV207" s="48">
        <v>14.951006388961147</v>
      </c>
      <c r="BW207" s="48">
        <v>7.1149947656277135</v>
      </c>
      <c r="BX207" s="48">
        <v>0.71889491737472311</v>
      </c>
      <c r="BY207" s="48">
        <v>3.2617945168145219</v>
      </c>
      <c r="BZ207" s="48">
        <v>2.0533601798197498</v>
      </c>
      <c r="CA207" s="48">
        <v>113.08141280863275</v>
      </c>
      <c r="CB207" s="48">
        <v>1.0012897525953917</v>
      </c>
      <c r="CC207" s="48">
        <v>0</v>
      </c>
      <c r="CD207" s="48">
        <v>0</v>
      </c>
      <c r="CE207" s="48">
        <v>0</v>
      </c>
      <c r="CF207" s="48">
        <v>0</v>
      </c>
      <c r="CG207" s="48">
        <v>0</v>
      </c>
      <c r="CH207" s="48">
        <v>0</v>
      </c>
      <c r="CI207" s="48">
        <v>176.80285952607414</v>
      </c>
      <c r="CJ207" s="48">
        <v>160.11964592917346</v>
      </c>
      <c r="CK207" s="48">
        <v>14.532271823095662</v>
      </c>
      <c r="CL207" s="48">
        <v>100.92309804013529</v>
      </c>
      <c r="CM207" s="48">
        <v>62.381205453569009</v>
      </c>
      <c r="CN207" s="48">
        <v>117.12847919469168</v>
      </c>
      <c r="CO207" s="48">
        <v>62.817636790971214</v>
      </c>
      <c r="CP207" s="48">
        <v>6.0523544745067968</v>
      </c>
      <c r="CQ207" s="48">
        <v>23.46795547250974</v>
      </c>
      <c r="CR207" s="48">
        <v>89.530899726058664</v>
      </c>
      <c r="CS207" s="48">
        <v>10.818719557476141</v>
      </c>
      <c r="CT207" s="48">
        <v>48.598011621918012</v>
      </c>
      <c r="CU207" s="48">
        <v>12.425129694724502</v>
      </c>
      <c r="CV207" s="48">
        <v>0</v>
      </c>
      <c r="CW207" s="48">
        <v>7.135223215466195</v>
      </c>
      <c r="CX207" s="48">
        <v>0</v>
      </c>
      <c r="CY207" s="48">
        <v>0</v>
      </c>
      <c r="CZ207" s="48">
        <v>0.17257575308707859</v>
      </c>
      <c r="DA207" s="48">
        <v>3.4476724279471465</v>
      </c>
      <c r="DB207" s="48">
        <v>0.3273204148876756</v>
      </c>
      <c r="DC207" s="48">
        <v>0</v>
      </c>
      <c r="DD207" s="48">
        <v>2.1492536216183407</v>
      </c>
      <c r="DE207" s="48">
        <v>33.512732671818497</v>
      </c>
      <c r="DF207" s="48">
        <v>44.84393651816913</v>
      </c>
      <c r="DG207" s="48">
        <v>24.665591100398625</v>
      </c>
      <c r="DH207" s="48">
        <v>11.748438763288171</v>
      </c>
      <c r="DI207" s="48">
        <v>0</v>
      </c>
      <c r="DJ207" s="48">
        <v>0</v>
      </c>
      <c r="DK207" s="48">
        <v>25.973776751217539</v>
      </c>
      <c r="DL207" s="48">
        <v>423.03899851654995</v>
      </c>
      <c r="DM207" s="48">
        <v>90.285904069312693</v>
      </c>
      <c r="DN207" s="48">
        <v>135.30709518878393</v>
      </c>
      <c r="DO207" s="48">
        <v>64.288503030152427</v>
      </c>
      <c r="DP207" s="48">
        <v>37.87950046455294</v>
      </c>
      <c r="DQ207" s="48">
        <v>64.686307428919605</v>
      </c>
      <c r="DR207" s="48">
        <v>50.19691610738537</v>
      </c>
      <c r="DS207" s="48">
        <v>33.527122464540696</v>
      </c>
      <c r="DT207" s="48">
        <v>18.937605588558242</v>
      </c>
      <c r="DU207" s="48">
        <v>9.207753419271155</v>
      </c>
      <c r="DV207" s="48">
        <v>144.31824830072651</v>
      </c>
      <c r="DW207" s="48">
        <v>292.01244844816239</v>
      </c>
      <c r="DX207" s="48">
        <v>145.62858051446827</v>
      </c>
      <c r="DY207" s="48">
        <v>20.868075597502862</v>
      </c>
      <c r="DZ207" s="48">
        <v>17.870689149371902</v>
      </c>
      <c r="EA207" s="48">
        <v>214.86194906939011</v>
      </c>
      <c r="EB207" s="48">
        <v>144.56544861444524</v>
      </c>
      <c r="EC207" s="48">
        <v>564.70167161330153</v>
      </c>
      <c r="ED207" s="48">
        <v>27.088163483851773</v>
      </c>
      <c r="EE207" s="48">
        <v>8.0422386395509733</v>
      </c>
      <c r="EF207" s="48">
        <v>25.977242409366884</v>
      </c>
      <c r="EG207" s="48">
        <v>9.0916269306292179</v>
      </c>
      <c r="EH207" s="48">
        <v>1.0044805727075514</v>
      </c>
      <c r="EI207" s="48">
        <v>38.604373465487512</v>
      </c>
      <c r="EJ207" s="48">
        <v>52.015002839422408</v>
      </c>
      <c r="EK207" s="48">
        <v>20.819775018661531</v>
      </c>
      <c r="EL207" s="48">
        <v>318.70084117692852</v>
      </c>
      <c r="EM207" s="48">
        <v>626.93088516587852</v>
      </c>
      <c r="EN207" s="48">
        <v>626.28454257930844</v>
      </c>
      <c r="EO207" s="48">
        <v>81.490969061914456</v>
      </c>
      <c r="EP207" s="48">
        <v>196.57250519897187</v>
      </c>
      <c r="EQ207" s="48">
        <v>188.90641693990617</v>
      </c>
      <c r="ER207" s="48">
        <v>28.758246237490361</v>
      </c>
      <c r="ES207" s="48">
        <v>3.1252990905633098</v>
      </c>
      <c r="ET207" s="48">
        <v>67.362505545741897</v>
      </c>
      <c r="EU207" s="48">
        <v>1.4890715535919139</v>
      </c>
      <c r="EV207" s="48">
        <v>1.8082167200437049</v>
      </c>
      <c r="EW207" s="48">
        <v>5.7050843698708116</v>
      </c>
      <c r="EX207" s="48">
        <v>63.689006349253319</v>
      </c>
      <c r="EY207" s="48">
        <v>2.1601347934837412</v>
      </c>
      <c r="EZ207" s="48">
        <v>4.9802999557299525</v>
      </c>
      <c r="FA207" s="48">
        <v>16.552370247276166</v>
      </c>
      <c r="FB207" s="48">
        <v>19.071121419059111</v>
      </c>
      <c r="FC207" s="48">
        <v>17.666624212153064</v>
      </c>
      <c r="FD207" s="48">
        <v>290.05194456409396</v>
      </c>
      <c r="FE207" s="48">
        <v>34.187344392329948</v>
      </c>
      <c r="FF207" s="48">
        <v>1.8511113972943491</v>
      </c>
      <c r="FG207" s="48">
        <v>205.46372764178165</v>
      </c>
      <c r="FH207" s="48">
        <v>186.15246575925147</v>
      </c>
      <c r="FI207" s="48">
        <v>80.861265952368242</v>
      </c>
      <c r="FJ207" s="48">
        <v>123.82373638616674</v>
      </c>
      <c r="FK207" s="48">
        <v>36.175138778577931</v>
      </c>
      <c r="FL207" s="48">
        <v>1.7379524333168503</v>
      </c>
      <c r="FM207" s="48">
        <v>116.29612590845943</v>
      </c>
      <c r="FN207" s="48">
        <v>28.568430243259641</v>
      </c>
      <c r="FO207" s="48">
        <v>16.003951086775867</v>
      </c>
      <c r="FP207" s="48">
        <v>85.40386281592798</v>
      </c>
      <c r="FQ207" s="48">
        <v>2.9857525459287744</v>
      </c>
      <c r="FR207" s="48">
        <v>203.97718843371592</v>
      </c>
      <c r="FS207" s="48">
        <v>6.5322740465358002</v>
      </c>
      <c r="FT207" s="48">
        <v>2.0760596669718683</v>
      </c>
      <c r="FU207" s="48">
        <v>12.671890578777603</v>
      </c>
      <c r="FV207" s="48">
        <v>67.841964736590512</v>
      </c>
      <c r="FW207" s="48">
        <v>539.15609514957578</v>
      </c>
      <c r="FX207" s="48">
        <v>1095.3525890117953</v>
      </c>
      <c r="FY207" s="48">
        <v>2670.6605333718358</v>
      </c>
      <c r="FZ207" s="48">
        <v>56.000308869873805</v>
      </c>
      <c r="GA207" s="48">
        <v>553.1340776192892</v>
      </c>
      <c r="GB207" s="48">
        <v>1092.2935429591096</v>
      </c>
      <c r="GC207" s="48">
        <v>28100.406383204619</v>
      </c>
      <c r="GD207" s="48">
        <v>984.52941183215432</v>
      </c>
      <c r="GE207" s="48">
        <v>6508.2274847930248</v>
      </c>
      <c r="GF207" s="48">
        <v>18829.27112106204</v>
      </c>
      <c r="GG207" s="48">
        <v>19.640201397448561</v>
      </c>
      <c r="GH207" s="48">
        <v>12.637240835425263</v>
      </c>
      <c r="GI207" s="48">
        <v>0</v>
      </c>
      <c r="GJ207" s="48">
        <v>2.5305180270021017</v>
      </c>
      <c r="GK207" s="48">
        <v>4.8359449761192987</v>
      </c>
      <c r="GL207" s="48">
        <v>4.8293993173658922</v>
      </c>
      <c r="GM207" s="48">
        <v>2.1414461762856853</v>
      </c>
      <c r="GN207" s="48">
        <v>0</v>
      </c>
      <c r="GO207" s="48">
        <v>1.0621748022003419</v>
      </c>
      <c r="GP207" s="48">
        <v>0.33219259233553944</v>
      </c>
      <c r="GQ207" s="48">
        <v>4.0649776724186193</v>
      </c>
      <c r="GR207" s="48">
        <v>0</v>
      </c>
      <c r="GS207" s="48">
        <v>4897.8999960398369</v>
      </c>
      <c r="GT207" s="48">
        <v>192.7183973665114</v>
      </c>
      <c r="GU207" s="48">
        <v>11164.760873916584</v>
      </c>
      <c r="GV207" s="48">
        <v>64.096546333022033</v>
      </c>
      <c r="GW207" s="48">
        <v>17.459588503495947</v>
      </c>
      <c r="GX207" s="48">
        <v>951.59084232181795</v>
      </c>
      <c r="GY207" s="48">
        <v>0</v>
      </c>
      <c r="GZ207" s="48">
        <v>21.311472674654805</v>
      </c>
      <c r="HA207" s="48">
        <v>37.958287013089034</v>
      </c>
      <c r="HB207" s="48">
        <v>171.05439096606472</v>
      </c>
      <c r="HC207" s="48">
        <v>387.66979147401429</v>
      </c>
      <c r="HD207" s="48">
        <v>130.2688055744002</v>
      </c>
      <c r="HE207" s="48">
        <v>34.164392506581912</v>
      </c>
      <c r="HF207" s="48">
        <v>181.70729222352205</v>
      </c>
      <c r="HG207" s="48">
        <v>174.258680177955</v>
      </c>
      <c r="HH207" s="48">
        <v>327.89123520337887</v>
      </c>
      <c r="HI207" s="48">
        <v>478.09699610866181</v>
      </c>
      <c r="HJ207" s="48">
        <v>543.34877710729552</v>
      </c>
      <c r="HK207" s="48">
        <v>26.259702567916939</v>
      </c>
      <c r="HL207" s="48">
        <v>40.502080846430722</v>
      </c>
      <c r="HM207" s="48">
        <v>187.18653590953201</v>
      </c>
      <c r="HN207" s="48">
        <v>55.289647219441754</v>
      </c>
      <c r="HO207" s="48">
        <v>231.39600229186925</v>
      </c>
      <c r="HP207" s="48">
        <v>396.25222937135561</v>
      </c>
      <c r="HQ207" s="48">
        <v>61.823709834795729</v>
      </c>
      <c r="HR207" s="48">
        <v>132.45514707720204</v>
      </c>
      <c r="HS207" s="48">
        <v>221.7683852993602</v>
      </c>
      <c r="HT207" s="48">
        <v>135.84514781744508</v>
      </c>
      <c r="HU207" s="48">
        <v>178.8953298754133</v>
      </c>
      <c r="HV207" s="48">
        <v>3564.8594977439266</v>
      </c>
      <c r="HW207" s="48">
        <v>715.76448677425435</v>
      </c>
      <c r="HX207" s="48">
        <v>183.21343213663445</v>
      </c>
      <c r="HY207" s="48">
        <v>155.47304003701009</v>
      </c>
      <c r="HZ207" s="48">
        <v>229.64851999107407</v>
      </c>
      <c r="IA207" s="48">
        <v>65.302105808146294</v>
      </c>
      <c r="IB207" s="48">
        <v>2.9641251089855829</v>
      </c>
      <c r="IC207" s="48">
        <v>208.56616354677149</v>
      </c>
      <c r="ID207" s="48">
        <v>129.17399054578712</v>
      </c>
      <c r="IE207" s="48">
        <v>87.046121470382303</v>
      </c>
      <c r="IF207" s="48">
        <v>11.019619245863261</v>
      </c>
      <c r="IG207" s="48">
        <v>264.68632240978104</v>
      </c>
      <c r="IH207" s="48">
        <v>19.448819780305836</v>
      </c>
      <c r="II207" s="48">
        <v>6.04075659253279</v>
      </c>
      <c r="IJ207" s="48">
        <v>665.55515159080778</v>
      </c>
      <c r="IK207" s="48">
        <v>49.296768360958239</v>
      </c>
      <c r="IL207" s="48">
        <v>92.162537267162691</v>
      </c>
      <c r="IM207" s="48">
        <v>111.05738427841467</v>
      </c>
      <c r="IN207" s="48">
        <v>58.921050933014335</v>
      </c>
      <c r="IO207" s="48">
        <v>0</v>
      </c>
      <c r="IP207" s="23">
        <v>98092.999999999593</v>
      </c>
      <c r="IQ207" s="25">
        <v>172803</v>
      </c>
      <c r="IR207" s="25">
        <v>0</v>
      </c>
      <c r="IS207" s="26">
        <v>0</v>
      </c>
      <c r="IT207" s="26">
        <v>0</v>
      </c>
      <c r="IU207" s="26">
        <v>0</v>
      </c>
      <c r="IV207" s="9">
        <v>0</v>
      </c>
      <c r="IW207" s="38">
        <f t="shared" si="34"/>
        <v>270895.99999999959</v>
      </c>
    </row>
    <row r="208" spans="1:257" ht="30" customHeight="1" x14ac:dyDescent="0.25">
      <c r="A208" s="112" t="b">
        <v>0</v>
      </c>
      <c r="B208" s="113" t="b">
        <f>IFERROR(VLOOKUP(C208,'Bridge matrix'!$D$3:$E$727,2,FALSE)='symmetric IOT 245 2012'!D208,"FALSCH")</f>
        <v>1</v>
      </c>
      <c r="C208" s="108">
        <v>197</v>
      </c>
      <c r="D208" s="49" t="s">
        <v>2124</v>
      </c>
      <c r="E208" s="48">
        <v>468.6998111558205</v>
      </c>
      <c r="F208" s="48">
        <v>58.193970107570927</v>
      </c>
      <c r="G208" s="48">
        <v>92.892925068276924</v>
      </c>
      <c r="H208" s="48">
        <v>1.5572461883980508</v>
      </c>
      <c r="I208" s="48">
        <v>18.184179987732751</v>
      </c>
      <c r="J208" s="48">
        <v>64.844717947925801</v>
      </c>
      <c r="K208" s="48">
        <v>145.774559841528</v>
      </c>
      <c r="L208" s="48">
        <v>4.7349748148947901</v>
      </c>
      <c r="M208" s="48">
        <v>0</v>
      </c>
      <c r="N208" s="48">
        <v>0.78001904298238223</v>
      </c>
      <c r="O208" s="48">
        <v>1395.673411090409</v>
      </c>
      <c r="P208" s="48">
        <v>203.42071658731246</v>
      </c>
      <c r="Q208" s="48">
        <v>19.201116018862159</v>
      </c>
      <c r="R208" s="48">
        <v>1012.6529819570006</v>
      </c>
      <c r="S208" s="48">
        <v>3.496745582354758</v>
      </c>
      <c r="T208" s="48">
        <v>238.57913917699082</v>
      </c>
      <c r="U208" s="48">
        <v>29.175020774219604</v>
      </c>
      <c r="V208" s="48">
        <v>65.055563642755359</v>
      </c>
      <c r="W208" s="48">
        <v>99.163244971699044</v>
      </c>
      <c r="X208" s="48">
        <v>1.6978256496886583</v>
      </c>
      <c r="Y208" s="48">
        <v>45.029975160740449</v>
      </c>
      <c r="Z208" s="48">
        <v>119.93310334405379</v>
      </c>
      <c r="AA208" s="48">
        <v>8.3110669840975095</v>
      </c>
      <c r="AB208" s="48">
        <v>7.4751143436024678</v>
      </c>
      <c r="AC208" s="48">
        <v>1.6354456800088626</v>
      </c>
      <c r="AD208" s="48">
        <v>29.161378045084739</v>
      </c>
      <c r="AE208" s="48">
        <v>43.34028560725509</v>
      </c>
      <c r="AF208" s="48">
        <v>20.835771367358397</v>
      </c>
      <c r="AG208" s="48">
        <v>47.550004267938661</v>
      </c>
      <c r="AH208" s="48">
        <v>81.673339188465391</v>
      </c>
      <c r="AI208" s="48">
        <v>69.164294269753782</v>
      </c>
      <c r="AJ208" s="48">
        <v>44.164627558054292</v>
      </c>
      <c r="AK208" s="48">
        <v>131.7192960921395</v>
      </c>
      <c r="AL208" s="48">
        <v>43.364203707744402</v>
      </c>
      <c r="AM208" s="48">
        <v>4.1872710350339073</v>
      </c>
      <c r="AN208" s="48">
        <v>46.667535933954127</v>
      </c>
      <c r="AO208" s="48">
        <v>30.008765995427794</v>
      </c>
      <c r="AP208" s="48">
        <v>113.50434977169806</v>
      </c>
      <c r="AQ208" s="48">
        <v>45.030351538140998</v>
      </c>
      <c r="AR208" s="48">
        <v>72.522197448268898</v>
      </c>
      <c r="AS208" s="48">
        <v>63.542639526286997</v>
      </c>
      <c r="AT208" s="48">
        <v>548.24545415923751</v>
      </c>
      <c r="AU208" s="48">
        <v>69.460353718057775</v>
      </c>
      <c r="AV208" s="48">
        <v>32.979757903239339</v>
      </c>
      <c r="AW208" s="48">
        <v>20.82479559805725</v>
      </c>
      <c r="AX208" s="48">
        <v>1101.4254414739733</v>
      </c>
      <c r="AY208" s="48">
        <v>181.83348835906855</v>
      </c>
      <c r="AZ208" s="48">
        <v>28.521696463908921</v>
      </c>
      <c r="BA208" s="48">
        <v>51.692072302182417</v>
      </c>
      <c r="BB208" s="48">
        <v>1144.7298763814024</v>
      </c>
      <c r="BC208" s="48">
        <v>190.7539449008689</v>
      </c>
      <c r="BD208" s="48">
        <v>312.41410330449042</v>
      </c>
      <c r="BE208" s="48">
        <v>3389.4052457358498</v>
      </c>
      <c r="BF208" s="48">
        <v>109.65946948171236</v>
      </c>
      <c r="BG208" s="48">
        <v>7.2848583590651623</v>
      </c>
      <c r="BH208" s="48">
        <v>685.13135799152622</v>
      </c>
      <c r="BI208" s="48">
        <v>82.924464382075783</v>
      </c>
      <c r="BJ208" s="48">
        <v>528.71656451122919</v>
      </c>
      <c r="BK208" s="48">
        <v>104.76044537015854</v>
      </c>
      <c r="BL208" s="48">
        <v>0.91361381604162617</v>
      </c>
      <c r="BM208" s="48">
        <v>301.02732234779222</v>
      </c>
      <c r="BN208" s="48">
        <v>26.345892703596267</v>
      </c>
      <c r="BO208" s="48">
        <v>0</v>
      </c>
      <c r="BP208" s="48">
        <v>735.74303096901986</v>
      </c>
      <c r="BQ208" s="48">
        <v>100.08842520637259</v>
      </c>
      <c r="BR208" s="48">
        <v>4.5225939529121888</v>
      </c>
      <c r="BS208" s="48">
        <v>7.2425560486003571</v>
      </c>
      <c r="BT208" s="48">
        <v>1212.2828733795691</v>
      </c>
      <c r="BU208" s="48">
        <v>6909.9136562239883</v>
      </c>
      <c r="BV208" s="48">
        <v>257.68584092292332</v>
      </c>
      <c r="BW208" s="48">
        <v>131.50786533409527</v>
      </c>
      <c r="BX208" s="48">
        <v>12.255954771562006</v>
      </c>
      <c r="BY208" s="48">
        <v>228.99564404359938</v>
      </c>
      <c r="BZ208" s="48">
        <v>166.54283749748893</v>
      </c>
      <c r="CA208" s="48">
        <v>9336.4748082052429</v>
      </c>
      <c r="CB208" s="48">
        <v>34.162612153193187</v>
      </c>
      <c r="CC208" s="48">
        <v>3484.4801120178658</v>
      </c>
      <c r="CD208" s="48">
        <v>1153.532126462977</v>
      </c>
      <c r="CE208" s="48">
        <v>83.48027930113517</v>
      </c>
      <c r="CF208" s="48">
        <v>12.566377434870599</v>
      </c>
      <c r="CG208" s="48">
        <v>170.67552929570701</v>
      </c>
      <c r="CH208" s="48">
        <v>15.32326863127259</v>
      </c>
      <c r="CI208" s="48">
        <v>712.75769962600612</v>
      </c>
      <c r="CJ208" s="48">
        <v>643.10707985831414</v>
      </c>
      <c r="CK208" s="48">
        <v>59.912390967031399</v>
      </c>
      <c r="CL208" s="48">
        <v>217.86565557286136</v>
      </c>
      <c r="CM208" s="48">
        <v>253.1494989686268</v>
      </c>
      <c r="CN208" s="48">
        <v>549.04298918792642</v>
      </c>
      <c r="CO208" s="48">
        <v>398.37515604220852</v>
      </c>
      <c r="CP208" s="48">
        <v>39.07559248484138</v>
      </c>
      <c r="CQ208" s="48">
        <v>150.97217146465252</v>
      </c>
      <c r="CR208" s="48">
        <v>453.46575079670322</v>
      </c>
      <c r="CS208" s="48">
        <v>52.754500003295071</v>
      </c>
      <c r="CT208" s="48">
        <v>241.99929351445397</v>
      </c>
      <c r="CU208" s="48">
        <v>147.6195297832945</v>
      </c>
      <c r="CV208" s="48">
        <v>126.65051319545866</v>
      </c>
      <c r="CW208" s="48">
        <v>35.963553200581785</v>
      </c>
      <c r="CX208" s="48">
        <v>626.99507904069071</v>
      </c>
      <c r="CY208" s="48">
        <v>581.16356919685416</v>
      </c>
      <c r="CZ208" s="48">
        <v>97.548562473014314</v>
      </c>
      <c r="DA208" s="48">
        <v>308.21511813435563</v>
      </c>
      <c r="DB208" s="48">
        <v>24.630179461445778</v>
      </c>
      <c r="DC208" s="48">
        <v>1.249525369741314</v>
      </c>
      <c r="DD208" s="48">
        <v>593.40136107151363</v>
      </c>
      <c r="DE208" s="48">
        <v>183.28686877869046</v>
      </c>
      <c r="DF208" s="48">
        <v>432.62111656959337</v>
      </c>
      <c r="DG208" s="48">
        <v>106.07038480819841</v>
      </c>
      <c r="DH208" s="48">
        <v>53.550925923868334</v>
      </c>
      <c r="DI208" s="48">
        <v>0</v>
      </c>
      <c r="DJ208" s="48">
        <v>219.88867365735007</v>
      </c>
      <c r="DK208" s="48">
        <v>54.186887852678176</v>
      </c>
      <c r="DL208" s="48">
        <v>2839.7072042359737</v>
      </c>
      <c r="DM208" s="48">
        <v>3841.4129403463662</v>
      </c>
      <c r="DN208" s="48">
        <v>1268.3597386269046</v>
      </c>
      <c r="DO208" s="48">
        <v>344.52790594253094</v>
      </c>
      <c r="DP208" s="48">
        <v>880.80016232766616</v>
      </c>
      <c r="DQ208" s="48">
        <v>1537.1242705971472</v>
      </c>
      <c r="DR208" s="48">
        <v>1164.5799445029884</v>
      </c>
      <c r="DS208" s="48">
        <v>2629.8724505768628</v>
      </c>
      <c r="DT208" s="48">
        <v>153.02954221098611</v>
      </c>
      <c r="DU208" s="48">
        <v>76.242471442350876</v>
      </c>
      <c r="DV208" s="48">
        <v>1132.4845973609818</v>
      </c>
      <c r="DW208" s="48">
        <v>1617.6104548152603</v>
      </c>
      <c r="DX208" s="48">
        <v>806.77281199734045</v>
      </c>
      <c r="DY208" s="48">
        <v>114.52818230877651</v>
      </c>
      <c r="DZ208" s="48">
        <v>102.1568826733503</v>
      </c>
      <c r="EA208" s="48">
        <v>1741.8485054663331</v>
      </c>
      <c r="EB208" s="48">
        <v>1161.9455920635216</v>
      </c>
      <c r="EC208" s="48">
        <v>4584.205958647276</v>
      </c>
      <c r="ED208" s="48">
        <v>88.904755379292084</v>
      </c>
      <c r="EE208" s="48">
        <v>25.272761711106661</v>
      </c>
      <c r="EF208" s="48">
        <v>86.76482381527785</v>
      </c>
      <c r="EG208" s="48">
        <v>30.837965364277544</v>
      </c>
      <c r="EH208" s="48">
        <v>4.5094050648015598</v>
      </c>
      <c r="EI208" s="48">
        <v>390.7470757466952</v>
      </c>
      <c r="EJ208" s="48">
        <v>413.26632206386427</v>
      </c>
      <c r="EK208" s="48">
        <v>166.16228578650887</v>
      </c>
      <c r="EL208" s="48">
        <v>622.43294410709484</v>
      </c>
      <c r="EM208" s="48">
        <v>1274.2299973872211</v>
      </c>
      <c r="EN208" s="48">
        <v>1269.5668129738413</v>
      </c>
      <c r="EO208" s="48">
        <v>164.99148564761867</v>
      </c>
      <c r="EP208" s="48">
        <v>394.18134346585219</v>
      </c>
      <c r="EQ208" s="48">
        <v>385.89357806265525</v>
      </c>
      <c r="ER208" s="48">
        <v>294.17206825276395</v>
      </c>
      <c r="ES208" s="48">
        <v>33.037556588081031</v>
      </c>
      <c r="ET208" s="48">
        <v>1148.1855579496444</v>
      </c>
      <c r="EU208" s="48">
        <v>241.88430157484694</v>
      </c>
      <c r="EV208" s="48">
        <v>215.01967677102516</v>
      </c>
      <c r="EW208" s="48">
        <v>926.01746656716284</v>
      </c>
      <c r="EX208" s="48">
        <v>1270.9801669212047</v>
      </c>
      <c r="EY208" s="48">
        <v>60.91763850011219</v>
      </c>
      <c r="EZ208" s="48">
        <v>88.812300225564655</v>
      </c>
      <c r="FA208" s="48">
        <v>375.51173871572411</v>
      </c>
      <c r="FB208" s="48">
        <v>327.36927114318689</v>
      </c>
      <c r="FC208" s="48">
        <v>298.0938869585741</v>
      </c>
      <c r="FD208" s="48">
        <v>1861.0203277421283</v>
      </c>
      <c r="FE208" s="48">
        <v>217.06602628119154</v>
      </c>
      <c r="FF208" s="48">
        <v>10.115050225225531</v>
      </c>
      <c r="FG208" s="48">
        <v>1286.2351477767277</v>
      </c>
      <c r="FH208" s="48">
        <v>1190.0717606232661</v>
      </c>
      <c r="FI208" s="48">
        <v>545.2781640783802</v>
      </c>
      <c r="FJ208" s="48">
        <v>816.01939484170657</v>
      </c>
      <c r="FK208" s="48">
        <v>239.91473728150876</v>
      </c>
      <c r="FL208" s="48">
        <v>8.7110051378619033</v>
      </c>
      <c r="FM208" s="48">
        <v>769.77965330003383</v>
      </c>
      <c r="FN208" s="48">
        <v>186.74392289467923</v>
      </c>
      <c r="FO208" s="48">
        <v>107.58595445161181</v>
      </c>
      <c r="FP208" s="48">
        <v>1010.3179864012104</v>
      </c>
      <c r="FQ208" s="48">
        <v>29.94156063577427</v>
      </c>
      <c r="FR208" s="48">
        <v>1696.0735941976936</v>
      </c>
      <c r="FS208" s="48">
        <v>2837.2185935739581</v>
      </c>
      <c r="FT208" s="48">
        <v>730.23666111778186</v>
      </c>
      <c r="FU208" s="48">
        <v>5508.0305155719052</v>
      </c>
      <c r="FV208" s="48">
        <v>20481.672682051292</v>
      </c>
      <c r="FW208" s="48">
        <v>3676.3788129980535</v>
      </c>
      <c r="FX208" s="48">
        <v>6170.8558041939377</v>
      </c>
      <c r="FY208" s="48">
        <v>4644.1427033160244</v>
      </c>
      <c r="FZ208" s="48">
        <v>128.16648230102678</v>
      </c>
      <c r="GA208" s="48">
        <v>2652.8627165604098</v>
      </c>
      <c r="GB208" s="48">
        <v>7074.9770662673754</v>
      </c>
      <c r="GC208" s="48">
        <v>122346.16323385345</v>
      </c>
      <c r="GD208" s="48">
        <v>1062.7139138718271</v>
      </c>
      <c r="GE208" s="48">
        <v>6294.6548823861604</v>
      </c>
      <c r="GF208" s="48">
        <v>10367.977452881629</v>
      </c>
      <c r="GG208" s="48">
        <v>8878.0696963316532</v>
      </c>
      <c r="GH208" s="48">
        <v>7619.2239872564505</v>
      </c>
      <c r="GI208" s="48">
        <v>13.374046413056085</v>
      </c>
      <c r="GJ208" s="48">
        <v>1000.0108002940406</v>
      </c>
      <c r="GK208" s="48">
        <v>2083.6728354867769</v>
      </c>
      <c r="GL208" s="48">
        <v>2085.2932350996202</v>
      </c>
      <c r="GM208" s="48">
        <v>1500.6342804812225</v>
      </c>
      <c r="GN208" s="48">
        <v>62.51799099569245</v>
      </c>
      <c r="GO208" s="48">
        <v>515.53467315459955</v>
      </c>
      <c r="GP208" s="48">
        <v>225.98793950430954</v>
      </c>
      <c r="GQ208" s="48">
        <v>1671.217579644738</v>
      </c>
      <c r="GR208" s="48">
        <v>4582.1261611994114</v>
      </c>
      <c r="GS208" s="48">
        <v>189351.59800841068</v>
      </c>
      <c r="GT208" s="48">
        <v>909.56780339383636</v>
      </c>
      <c r="GU208" s="48">
        <v>53342.544435069649</v>
      </c>
      <c r="GV208" s="48">
        <v>303.93384059953729</v>
      </c>
      <c r="GW208" s="48">
        <v>82.668928665418747</v>
      </c>
      <c r="GX208" s="48">
        <v>4464.8097182648935</v>
      </c>
      <c r="GY208" s="48">
        <v>1193.7039116174012</v>
      </c>
      <c r="GZ208" s="48">
        <v>0</v>
      </c>
      <c r="HA208" s="48">
        <v>5866.4165013502197</v>
      </c>
      <c r="HB208" s="48">
        <v>1196.6839632757697</v>
      </c>
      <c r="HC208" s="48">
        <v>2699.4728623036372</v>
      </c>
      <c r="HD208" s="48">
        <v>912.95826250897164</v>
      </c>
      <c r="HE208" s="48">
        <v>574.91891767380866</v>
      </c>
      <c r="HF208" s="48">
        <v>2890.0509052403022</v>
      </c>
      <c r="HG208" s="48">
        <v>2760.7230592633387</v>
      </c>
      <c r="HH208" s="48">
        <v>5200.1121961332456</v>
      </c>
      <c r="HI208" s="48">
        <v>7586.0057928566539</v>
      </c>
      <c r="HJ208" s="48">
        <v>8628.6860482526408</v>
      </c>
      <c r="HK208" s="48">
        <v>409.22721580023051</v>
      </c>
      <c r="HL208" s="48">
        <v>648.56351970990784</v>
      </c>
      <c r="HM208" s="48">
        <v>2976.1215973181766</v>
      </c>
      <c r="HN208" s="48">
        <v>872.12007071255141</v>
      </c>
      <c r="HO208" s="48">
        <v>3669.8357445267052</v>
      </c>
      <c r="HP208" s="48">
        <v>6289.7038122658359</v>
      </c>
      <c r="HQ208" s="48">
        <v>982.14454463136292</v>
      </c>
      <c r="HR208" s="48">
        <v>2093.7959448473316</v>
      </c>
      <c r="HS208" s="48">
        <v>3521.4076306932498</v>
      </c>
      <c r="HT208" s="48">
        <v>2152.5846565068568</v>
      </c>
      <c r="HU208" s="48">
        <v>2846.9651599235353</v>
      </c>
      <c r="HV208" s="48">
        <v>44574.998006463931</v>
      </c>
      <c r="HW208" s="48">
        <v>2804.4123650685119</v>
      </c>
      <c r="HX208" s="48">
        <v>893.70085597374998</v>
      </c>
      <c r="HY208" s="48">
        <v>758.3417496956115</v>
      </c>
      <c r="HZ208" s="48">
        <v>1123.7307488876606</v>
      </c>
      <c r="IA208" s="48">
        <v>317.47347324634939</v>
      </c>
      <c r="IB208" s="48">
        <v>16.001935051632469</v>
      </c>
      <c r="IC208" s="48">
        <v>5283.8724994141876</v>
      </c>
      <c r="ID208" s="48">
        <v>3278.9049825020547</v>
      </c>
      <c r="IE208" s="48">
        <v>2218.8851718046562</v>
      </c>
      <c r="IF208" s="48">
        <v>286.02811631851756</v>
      </c>
      <c r="IG208" s="48">
        <v>3956.9615920132746</v>
      </c>
      <c r="IH208" s="48">
        <v>284.33572105557977</v>
      </c>
      <c r="II208" s="48">
        <v>86.723595800922268</v>
      </c>
      <c r="IJ208" s="48">
        <v>6084.8640893254824</v>
      </c>
      <c r="IK208" s="48">
        <v>10637.248195202996</v>
      </c>
      <c r="IL208" s="48">
        <v>18686.276602585345</v>
      </c>
      <c r="IM208" s="48">
        <v>22465.932288194017</v>
      </c>
      <c r="IN208" s="48">
        <v>11928.775699423844</v>
      </c>
      <c r="IO208" s="48">
        <v>0</v>
      </c>
      <c r="IP208" s="23">
        <v>766232.9999999979</v>
      </c>
      <c r="IQ208" s="25">
        <v>2561273</v>
      </c>
      <c r="IR208" s="25">
        <v>0</v>
      </c>
      <c r="IS208" s="26">
        <v>0</v>
      </c>
      <c r="IT208" s="26"/>
      <c r="IU208" s="26">
        <v>0</v>
      </c>
      <c r="IV208" s="9">
        <v>143858</v>
      </c>
      <c r="IW208" s="38">
        <f t="shared" si="34"/>
        <v>3471363.9999999981</v>
      </c>
    </row>
    <row r="209" spans="1:257" ht="30" customHeight="1" x14ac:dyDescent="0.25">
      <c r="A209" s="112" t="b">
        <v>0</v>
      </c>
      <c r="B209" s="113" t="str">
        <f>IFERROR(VLOOKUP(C209,'Bridge matrix'!$D$3:$E$727,2,FALSE)='symmetric IOT 245 2012'!D209,"FALSCH")</f>
        <v>FALSCH</v>
      </c>
      <c r="C209" s="108">
        <v>198</v>
      </c>
      <c r="D209" s="49" t="s">
        <v>1515</v>
      </c>
      <c r="E209" s="48">
        <v>226.22887250495296</v>
      </c>
      <c r="F209" s="48">
        <v>27.86940719635809</v>
      </c>
      <c r="G209" s="48">
        <v>44.710508205053344</v>
      </c>
      <c r="H209" s="48">
        <v>0</v>
      </c>
      <c r="I209" s="48">
        <v>0</v>
      </c>
      <c r="J209" s="48">
        <v>0</v>
      </c>
      <c r="K209" s="48">
        <v>0</v>
      </c>
      <c r="L209" s="48">
        <v>0</v>
      </c>
      <c r="M209" s="48">
        <v>0</v>
      </c>
      <c r="N209" s="48">
        <v>0</v>
      </c>
      <c r="O209" s="48">
        <v>56.516585798794843</v>
      </c>
      <c r="P209" s="48">
        <v>8.2224738489675584</v>
      </c>
      <c r="Q209" s="48">
        <v>1.0286475381155677</v>
      </c>
      <c r="R209" s="48">
        <v>41.18137589666599</v>
      </c>
      <c r="S209" s="48">
        <v>0</v>
      </c>
      <c r="T209" s="48">
        <v>0</v>
      </c>
      <c r="U209" s="48">
        <v>0</v>
      </c>
      <c r="V209" s="48">
        <v>0</v>
      </c>
      <c r="W209" s="48">
        <v>0</v>
      </c>
      <c r="X209" s="48">
        <v>0</v>
      </c>
      <c r="Y209" s="48">
        <v>0</v>
      </c>
      <c r="Z209" s="48">
        <v>0</v>
      </c>
      <c r="AA209" s="48">
        <v>0</v>
      </c>
      <c r="AB209" s="48">
        <v>0</v>
      </c>
      <c r="AC209" s="48">
        <v>0</v>
      </c>
      <c r="AD209" s="48">
        <v>0</v>
      </c>
      <c r="AE209" s="48">
        <v>0</v>
      </c>
      <c r="AF209" s="48">
        <v>0</v>
      </c>
      <c r="AG209" s="48">
        <v>0</v>
      </c>
      <c r="AH209" s="48">
        <v>0</v>
      </c>
      <c r="AI209" s="48">
        <v>0</v>
      </c>
      <c r="AJ209" s="48">
        <v>0</v>
      </c>
      <c r="AK209" s="48">
        <v>0</v>
      </c>
      <c r="AL209" s="48">
        <v>0</v>
      </c>
      <c r="AM209" s="48">
        <v>0</v>
      </c>
      <c r="AN209" s="48">
        <v>0</v>
      </c>
      <c r="AO209" s="48">
        <v>0</v>
      </c>
      <c r="AP209" s="48">
        <v>0</v>
      </c>
      <c r="AQ209" s="48">
        <v>0</v>
      </c>
      <c r="AR209" s="48">
        <v>0</v>
      </c>
      <c r="AS209" s="48">
        <v>0</v>
      </c>
      <c r="AT209" s="48">
        <v>0</v>
      </c>
      <c r="AU209" s="48">
        <v>0</v>
      </c>
      <c r="AV209" s="48">
        <v>0</v>
      </c>
      <c r="AW209" s="48">
        <v>0</v>
      </c>
      <c r="AX209" s="48">
        <v>0</v>
      </c>
      <c r="AY209" s="48">
        <v>0</v>
      </c>
      <c r="AZ209" s="48">
        <v>0</v>
      </c>
      <c r="BA209" s="48">
        <v>0</v>
      </c>
      <c r="BB209" s="48">
        <v>0</v>
      </c>
      <c r="BC209" s="48">
        <v>0</v>
      </c>
      <c r="BD209" s="48">
        <v>0</v>
      </c>
      <c r="BE209" s="48">
        <v>0</v>
      </c>
      <c r="BF209" s="48">
        <v>0</v>
      </c>
      <c r="BG209" s="48">
        <v>0</v>
      </c>
      <c r="BH209" s="48">
        <v>0</v>
      </c>
      <c r="BI209" s="48">
        <v>0</v>
      </c>
      <c r="BJ209" s="48">
        <v>0</v>
      </c>
      <c r="BK209" s="48">
        <v>0</v>
      </c>
      <c r="BL209" s="48">
        <v>0</v>
      </c>
      <c r="BM209" s="48">
        <v>0</v>
      </c>
      <c r="BN209" s="48">
        <v>0</v>
      </c>
      <c r="BO209" s="48">
        <v>0</v>
      </c>
      <c r="BP209" s="48">
        <v>17.613967496676356</v>
      </c>
      <c r="BQ209" s="48">
        <v>2.0429303448661185</v>
      </c>
      <c r="BR209" s="48">
        <v>0</v>
      </c>
      <c r="BS209" s="48">
        <v>0</v>
      </c>
      <c r="BT209" s="48">
        <v>27.736912545438148</v>
      </c>
      <c r="BU209" s="48">
        <v>159.14056319031133</v>
      </c>
      <c r="BV209" s="48">
        <v>21.486549738836221</v>
      </c>
      <c r="BW209" s="48">
        <v>10.440833977452375</v>
      </c>
      <c r="BX209" s="48">
        <v>1.0231215250075891</v>
      </c>
      <c r="BY209" s="48">
        <v>68.549167438142547</v>
      </c>
      <c r="BZ209" s="48">
        <v>49.420201011366551</v>
      </c>
      <c r="CA209" s="48">
        <v>16983.857655080505</v>
      </c>
      <c r="CB209" s="48">
        <v>58.767851711869667</v>
      </c>
      <c r="CC209" s="48">
        <v>0</v>
      </c>
      <c r="CD209" s="48">
        <v>0</v>
      </c>
      <c r="CE209" s="48">
        <v>0</v>
      </c>
      <c r="CF209" s="48">
        <v>0</v>
      </c>
      <c r="CG209" s="48">
        <v>0</v>
      </c>
      <c r="CH209" s="48">
        <v>0</v>
      </c>
      <c r="CI209" s="48">
        <v>0</v>
      </c>
      <c r="CJ209" s="48">
        <v>0</v>
      </c>
      <c r="CK209" s="48">
        <v>0</v>
      </c>
      <c r="CL209" s="48">
        <v>0</v>
      </c>
      <c r="CM209" s="48">
        <v>0</v>
      </c>
      <c r="CN209" s="48">
        <v>0</v>
      </c>
      <c r="CO209" s="48">
        <v>0</v>
      </c>
      <c r="CP209" s="48">
        <v>0</v>
      </c>
      <c r="CQ209" s="48">
        <v>0</v>
      </c>
      <c r="CR209" s="48">
        <v>0</v>
      </c>
      <c r="CS209" s="48">
        <v>0</v>
      </c>
      <c r="CT209" s="48">
        <v>0</v>
      </c>
      <c r="CU209" s="48">
        <v>0</v>
      </c>
      <c r="CV209" s="48">
        <v>0</v>
      </c>
      <c r="CW209" s="48">
        <v>0</v>
      </c>
      <c r="CX209" s="48">
        <v>0</v>
      </c>
      <c r="CY209" s="48">
        <v>0</v>
      </c>
      <c r="CZ209" s="48">
        <v>0</v>
      </c>
      <c r="DA209" s="48">
        <v>0</v>
      </c>
      <c r="DB209" s="48">
        <v>0</v>
      </c>
      <c r="DC209" s="48">
        <v>0</v>
      </c>
      <c r="DD209" s="48">
        <v>9.9284936335084402E-3</v>
      </c>
      <c r="DE209" s="48">
        <v>0</v>
      </c>
      <c r="DF209" s="48">
        <v>0</v>
      </c>
      <c r="DG209" s="48">
        <v>0</v>
      </c>
      <c r="DH209" s="48">
        <v>0</v>
      </c>
      <c r="DI209" s="48">
        <v>0</v>
      </c>
      <c r="DJ209" s="48">
        <v>0</v>
      </c>
      <c r="DK209" s="48">
        <v>4.5625851439394315E-2</v>
      </c>
      <c r="DL209" s="48">
        <v>0</v>
      </c>
      <c r="DM209" s="48">
        <v>0</v>
      </c>
      <c r="DN209" s="48">
        <v>0</v>
      </c>
      <c r="DO209" s="48">
        <v>0</v>
      </c>
      <c r="DP209" s="48">
        <v>3.1074961117247422</v>
      </c>
      <c r="DQ209" s="48">
        <v>6.219514788437662</v>
      </c>
      <c r="DR209" s="48">
        <v>3.7417639550302892</v>
      </c>
      <c r="DS209" s="48">
        <v>0</v>
      </c>
      <c r="DT209" s="48">
        <v>0</v>
      </c>
      <c r="DU209" s="48">
        <v>0</v>
      </c>
      <c r="DV209" s="48">
        <v>0</v>
      </c>
      <c r="DW209" s="48">
        <v>0</v>
      </c>
      <c r="DX209" s="48">
        <v>0</v>
      </c>
      <c r="DY209" s="48">
        <v>0</v>
      </c>
      <c r="DZ209" s="48">
        <v>0</v>
      </c>
      <c r="EA209" s="48">
        <v>0</v>
      </c>
      <c r="EB209" s="48">
        <v>0</v>
      </c>
      <c r="EC209" s="48">
        <v>0</v>
      </c>
      <c r="ED209" s="48">
        <v>1.1351498847373013E-4</v>
      </c>
      <c r="EE209" s="48">
        <v>0</v>
      </c>
      <c r="EF209" s="48">
        <v>0</v>
      </c>
      <c r="EG209" s="48">
        <v>0</v>
      </c>
      <c r="EH209" s="48">
        <v>0</v>
      </c>
      <c r="EI209" s="48">
        <v>0</v>
      </c>
      <c r="EJ209" s="48">
        <v>0</v>
      </c>
      <c r="EK209" s="48">
        <v>0</v>
      </c>
      <c r="EL209" s="48">
        <v>4.3120871010883208</v>
      </c>
      <c r="EM209" s="48">
        <v>7.511397536864596</v>
      </c>
      <c r="EN209" s="48">
        <v>7.7920468157080069</v>
      </c>
      <c r="EO209" s="48">
        <v>1.0776259771207788</v>
      </c>
      <c r="EP209" s="48">
        <v>2.3664526891072044</v>
      </c>
      <c r="EQ209" s="48">
        <v>2.724180325623009</v>
      </c>
      <c r="ER209" s="48">
        <v>0</v>
      </c>
      <c r="ES209" s="48">
        <v>0</v>
      </c>
      <c r="ET209" s="48">
        <v>0</v>
      </c>
      <c r="EU209" s="48">
        <v>0</v>
      </c>
      <c r="EV209" s="48">
        <v>0</v>
      </c>
      <c r="EW209" s="48">
        <v>0</v>
      </c>
      <c r="EX209" s="48">
        <v>0</v>
      </c>
      <c r="EY209" s="48">
        <v>0</v>
      </c>
      <c r="EZ209" s="48">
        <v>0</v>
      </c>
      <c r="FA209" s="48">
        <v>0</v>
      </c>
      <c r="FB209" s="48">
        <v>0</v>
      </c>
      <c r="FC209" s="48">
        <v>0</v>
      </c>
      <c r="FD209" s="48">
        <v>97.724954264942809</v>
      </c>
      <c r="FE209" s="48">
        <v>11.301998660064275</v>
      </c>
      <c r="FF209" s="48">
        <v>1.0203285265992799</v>
      </c>
      <c r="FG209" s="48">
        <v>69.913470662503869</v>
      </c>
      <c r="FH209" s="48">
        <v>0</v>
      </c>
      <c r="FI209" s="48">
        <v>0</v>
      </c>
      <c r="FJ209" s="48">
        <v>0</v>
      </c>
      <c r="FK209" s="48">
        <v>0</v>
      </c>
      <c r="FL209" s="48">
        <v>0</v>
      </c>
      <c r="FM209" s="48">
        <v>0</v>
      </c>
      <c r="FN209" s="48">
        <v>0</v>
      </c>
      <c r="FO209" s="48">
        <v>0</v>
      </c>
      <c r="FP209" s="48">
        <v>225.54777809186717</v>
      </c>
      <c r="FQ209" s="48">
        <v>6.7326309318023378</v>
      </c>
      <c r="FR209" s="48">
        <v>0</v>
      </c>
      <c r="FS209" s="48">
        <v>0</v>
      </c>
      <c r="FT209" s="48">
        <v>0</v>
      </c>
      <c r="FU209" s="48">
        <v>0</v>
      </c>
      <c r="FV209" s="48">
        <v>0</v>
      </c>
      <c r="FW209" s="48">
        <v>0</v>
      </c>
      <c r="FX209" s="48">
        <v>0</v>
      </c>
      <c r="FY209" s="48">
        <v>0</v>
      </c>
      <c r="FZ209" s="48">
        <v>0</v>
      </c>
      <c r="GA209" s="48">
        <v>0</v>
      </c>
      <c r="GB209" s="48">
        <v>0</v>
      </c>
      <c r="GC209" s="48">
        <v>787.96996283671967</v>
      </c>
      <c r="GD209" s="48">
        <v>0</v>
      </c>
      <c r="GE209" s="48">
        <v>0</v>
      </c>
      <c r="GF209" s="48">
        <v>0</v>
      </c>
      <c r="GG209" s="48">
        <v>0</v>
      </c>
      <c r="GH209" s="48">
        <v>0</v>
      </c>
      <c r="GI209" s="48">
        <v>0</v>
      </c>
      <c r="GJ209" s="48">
        <v>0</v>
      </c>
      <c r="GK209" s="48">
        <v>0</v>
      </c>
      <c r="GL209" s="48">
        <v>0</v>
      </c>
      <c r="GM209" s="48">
        <v>0</v>
      </c>
      <c r="GN209" s="48">
        <v>0</v>
      </c>
      <c r="GO209" s="48">
        <v>0</v>
      </c>
      <c r="GP209" s="48">
        <v>0</v>
      </c>
      <c r="GQ209" s="48">
        <v>0</v>
      </c>
      <c r="GR209" s="48">
        <v>0</v>
      </c>
      <c r="GS209" s="48">
        <v>0</v>
      </c>
      <c r="GT209" s="48">
        <v>10.290815614282248</v>
      </c>
      <c r="GU209" s="48">
        <v>606.00902600450013</v>
      </c>
      <c r="GV209" s="48">
        <v>3.0937206635589276</v>
      </c>
      <c r="GW209" s="48">
        <v>1.0074182826257576</v>
      </c>
      <c r="GX209" s="48">
        <v>52.210783230917919</v>
      </c>
      <c r="GY209" s="48">
        <v>3.4477729999859595E-4</v>
      </c>
      <c r="GZ209" s="48">
        <v>0</v>
      </c>
      <c r="HA209" s="48">
        <v>2.8084706517001678E-3</v>
      </c>
      <c r="HB209" s="48">
        <v>0</v>
      </c>
      <c r="HC209" s="48">
        <v>0</v>
      </c>
      <c r="HD209" s="48">
        <v>0</v>
      </c>
      <c r="HE209" s="48">
        <v>0</v>
      </c>
      <c r="HF209" s="48">
        <v>0</v>
      </c>
      <c r="HG209" s="48">
        <v>0</v>
      </c>
      <c r="HH209" s="48">
        <v>0</v>
      </c>
      <c r="HI209" s="48">
        <v>0</v>
      </c>
      <c r="HJ209" s="48">
        <v>0</v>
      </c>
      <c r="HK209" s="48">
        <v>0</v>
      </c>
      <c r="HL209" s="48">
        <v>0</v>
      </c>
      <c r="HM209" s="48">
        <v>0</v>
      </c>
      <c r="HN209" s="48">
        <v>0</v>
      </c>
      <c r="HO209" s="48">
        <v>0</v>
      </c>
      <c r="HP209" s="48">
        <v>0</v>
      </c>
      <c r="HQ209" s="48">
        <v>0</v>
      </c>
      <c r="HR209" s="48">
        <v>0</v>
      </c>
      <c r="HS209" s="48">
        <v>0</v>
      </c>
      <c r="HT209" s="48">
        <v>0</v>
      </c>
      <c r="HU209" s="48">
        <v>0</v>
      </c>
      <c r="HV209" s="48">
        <v>35430.155360108613</v>
      </c>
      <c r="HW209" s="48">
        <v>12.335829181678163</v>
      </c>
      <c r="HX209" s="48">
        <v>0</v>
      </c>
      <c r="HY209" s="48">
        <v>0</v>
      </c>
      <c r="HZ209" s="48">
        <v>0</v>
      </c>
      <c r="IA209" s="48">
        <v>0</v>
      </c>
      <c r="IB209" s="48">
        <v>0</v>
      </c>
      <c r="IC209" s="48">
        <v>13.422365411731567</v>
      </c>
      <c r="ID209" s="48">
        <v>8.2486056440184861</v>
      </c>
      <c r="IE209" s="48">
        <v>6.1813966246533285</v>
      </c>
      <c r="IF209" s="48">
        <v>1.0315234173670982</v>
      </c>
      <c r="IG209" s="48">
        <v>0</v>
      </c>
      <c r="IH209" s="48">
        <v>0</v>
      </c>
      <c r="II209" s="48">
        <v>0</v>
      </c>
      <c r="IJ209" s="48">
        <v>2.0530203834985206</v>
      </c>
      <c r="IK209" s="48">
        <v>0</v>
      </c>
      <c r="IL209" s="48">
        <v>0</v>
      </c>
      <c r="IM209" s="48">
        <v>0</v>
      </c>
      <c r="IN209" s="48">
        <v>0</v>
      </c>
      <c r="IO209" s="48">
        <v>0</v>
      </c>
      <c r="IP209" s="23">
        <v>55191.000000000036</v>
      </c>
      <c r="IQ209" s="25">
        <v>0</v>
      </c>
      <c r="IR209" s="25">
        <v>0</v>
      </c>
      <c r="IS209" s="26">
        <v>0</v>
      </c>
      <c r="IT209" s="26">
        <v>0</v>
      </c>
      <c r="IU209" s="26">
        <v>0</v>
      </c>
      <c r="IV209" s="9">
        <v>0</v>
      </c>
      <c r="IW209" s="38">
        <f t="shared" si="34"/>
        <v>55191.000000000036</v>
      </c>
    </row>
    <row r="210" spans="1:257" ht="30" customHeight="1" x14ac:dyDescent="0.25">
      <c r="A210" s="112" t="b">
        <v>0</v>
      </c>
      <c r="B210" s="113" t="b">
        <f>IFERROR(VLOOKUP(C210,'Bridge matrix'!$D$3:$E$727,2,FALSE)='symmetric IOT 245 2012'!D210,"FALSCH")</f>
        <v>1</v>
      </c>
      <c r="C210" s="108">
        <v>199</v>
      </c>
      <c r="D210" s="49" t="s">
        <v>1516</v>
      </c>
      <c r="E210" s="48">
        <v>1506.3313437194481</v>
      </c>
      <c r="F210" s="48">
        <v>187.07117816896459</v>
      </c>
      <c r="G210" s="48">
        <v>299.43095906964493</v>
      </c>
      <c r="H210" s="48">
        <v>29.96249311168917</v>
      </c>
      <c r="I210" s="48">
        <v>304.24504265736965</v>
      </c>
      <c r="J210" s="48">
        <v>1081.6565122948643</v>
      </c>
      <c r="K210" s="48">
        <v>2400.4743572782809</v>
      </c>
      <c r="L210" s="48">
        <v>80.141155816794964</v>
      </c>
      <c r="M210" s="48">
        <v>4.8517328791000605</v>
      </c>
      <c r="N210" s="48">
        <v>16.668007108763401</v>
      </c>
      <c r="O210" s="48">
        <v>4132.5589608759383</v>
      </c>
      <c r="P210" s="48">
        <v>601.91626145064663</v>
      </c>
      <c r="Q210" s="48">
        <v>56.144885401974626</v>
      </c>
      <c r="R210" s="48">
        <v>2999.3996006719563</v>
      </c>
      <c r="S210" s="48">
        <v>10.504675332865713</v>
      </c>
      <c r="T210" s="48">
        <v>1353.9290663716542</v>
      </c>
      <c r="U210" s="48">
        <v>167.00272144132347</v>
      </c>
      <c r="V210" s="48">
        <v>369.65155398357507</v>
      </c>
      <c r="W210" s="48">
        <v>566.41035410280483</v>
      </c>
      <c r="X210" s="48">
        <v>7.5091711736653792</v>
      </c>
      <c r="Y210" s="48">
        <v>257.11937156995907</v>
      </c>
      <c r="Z210" s="48">
        <v>685.23026118062648</v>
      </c>
      <c r="AA210" s="48">
        <v>49.750242602091717</v>
      </c>
      <c r="AB210" s="48">
        <v>44.043473333658135</v>
      </c>
      <c r="AC210" s="48">
        <v>11.221316255146174</v>
      </c>
      <c r="AD210" s="48">
        <v>166.91748753740913</v>
      </c>
      <c r="AE210" s="48">
        <v>249.65561296770406</v>
      </c>
      <c r="AF210" s="48">
        <v>119.11954508158975</v>
      </c>
      <c r="AG210" s="48">
        <v>273.31667068205149</v>
      </c>
      <c r="AH210" s="48">
        <v>467.09917092523489</v>
      </c>
      <c r="AI210" s="48">
        <v>395.79113500367731</v>
      </c>
      <c r="AJ210" s="48">
        <v>253.27348786349094</v>
      </c>
      <c r="AK210" s="48">
        <v>749.35955549030109</v>
      </c>
      <c r="AL210" s="48">
        <v>245.72132293204842</v>
      </c>
      <c r="AM210" s="48">
        <v>21.506026400781863</v>
      </c>
      <c r="AN210" s="48">
        <v>267.33564542907021</v>
      </c>
      <c r="AO210" s="48">
        <v>170.6684123829944</v>
      </c>
      <c r="AP210" s="48">
        <v>644.97921542795848</v>
      </c>
      <c r="AQ210" s="48">
        <v>256.10045435502423</v>
      </c>
      <c r="AR210" s="48">
        <v>412.63359062954709</v>
      </c>
      <c r="AS210" s="48">
        <v>363.28486011692985</v>
      </c>
      <c r="AT210" s="48">
        <v>856.93239730724179</v>
      </c>
      <c r="AU210" s="48">
        <v>108.98023241547803</v>
      </c>
      <c r="AV210" s="48">
        <v>51.681607468308179</v>
      </c>
      <c r="AW210" s="48">
        <v>32.622462687391874</v>
      </c>
      <c r="AX210" s="48">
        <v>1721.9002815384033</v>
      </c>
      <c r="AY210" s="48">
        <v>283.19556269935248</v>
      </c>
      <c r="AZ210" s="48">
        <v>43.996815114633435</v>
      </c>
      <c r="BA210" s="48">
        <v>81.339427127581786</v>
      </c>
      <c r="BB210" s="48">
        <v>1789.6754771644553</v>
      </c>
      <c r="BC210" s="48">
        <v>297.48353981515623</v>
      </c>
      <c r="BD210" s="48">
        <v>4192.5661176425292</v>
      </c>
      <c r="BE210" s="48">
        <v>9101.7546542810887</v>
      </c>
      <c r="BF210" s="48">
        <v>294.49576106219172</v>
      </c>
      <c r="BG210" s="48">
        <v>20.077877441329832</v>
      </c>
      <c r="BH210" s="48">
        <v>1838.4510093036765</v>
      </c>
      <c r="BI210" s="48">
        <v>222.83317118457853</v>
      </c>
      <c r="BJ210" s="48">
        <v>1418.5872421765298</v>
      </c>
      <c r="BK210" s="48">
        <v>281.52452903164402</v>
      </c>
      <c r="BL210" s="48">
        <v>3.0365944213590499</v>
      </c>
      <c r="BM210" s="48">
        <v>809.63685661846796</v>
      </c>
      <c r="BN210" s="48">
        <v>70.622552679714858</v>
      </c>
      <c r="BO210" s="48">
        <v>0</v>
      </c>
      <c r="BP210" s="48">
        <v>289.74983212526831</v>
      </c>
      <c r="BQ210" s="48">
        <v>39.400055720910743</v>
      </c>
      <c r="BR210" s="48">
        <v>1.6039072646233639</v>
      </c>
      <c r="BS210" s="48">
        <v>2.3628862839706746</v>
      </c>
      <c r="BT210" s="48">
        <v>441.39433174690134</v>
      </c>
      <c r="BU210" s="48">
        <v>2515.4447126667847</v>
      </c>
      <c r="BV210" s="48">
        <v>6967.0089958683902</v>
      </c>
      <c r="BW210" s="48">
        <v>3563.2126301765215</v>
      </c>
      <c r="BX210" s="48">
        <v>323.20880568683651</v>
      </c>
      <c r="BY210" s="48">
        <v>935.75909487561921</v>
      </c>
      <c r="BZ210" s="48">
        <v>678.20902274757088</v>
      </c>
      <c r="CA210" s="48">
        <v>0</v>
      </c>
      <c r="CB210" s="48">
        <v>0</v>
      </c>
      <c r="CC210" s="48">
        <v>0</v>
      </c>
      <c r="CD210" s="48">
        <v>355.29212128669224</v>
      </c>
      <c r="CE210" s="48">
        <v>25.870723357776775</v>
      </c>
      <c r="CF210" s="48">
        <v>3.8323575960371379</v>
      </c>
      <c r="CG210" s="48">
        <v>1096.3312741004829</v>
      </c>
      <c r="CH210" s="48">
        <v>100.68816444338387</v>
      </c>
      <c r="CI210" s="48">
        <v>7588.2626063839916</v>
      </c>
      <c r="CJ210" s="48">
        <v>6832.1372318323292</v>
      </c>
      <c r="CK210" s="48">
        <v>631.96619368688039</v>
      </c>
      <c r="CL210" s="48">
        <v>3105.6273832544662</v>
      </c>
      <c r="CM210" s="48">
        <v>2687.3836281903382</v>
      </c>
      <c r="CN210" s="48">
        <v>13991.414183866555</v>
      </c>
      <c r="CO210" s="48">
        <v>6865.6265336640354</v>
      </c>
      <c r="CP210" s="48">
        <v>669.29516968992823</v>
      </c>
      <c r="CQ210" s="48">
        <v>2611.8476399154688</v>
      </c>
      <c r="CR210" s="48">
        <v>7144.3829324180715</v>
      </c>
      <c r="CS210" s="48">
        <v>1455.9115703149359</v>
      </c>
      <c r="CT210" s="48">
        <v>6962.8139239141728</v>
      </c>
      <c r="CU210" s="48">
        <v>5777.212032630835</v>
      </c>
      <c r="CV210" s="48">
        <v>7074.8308685567763</v>
      </c>
      <c r="CW210" s="48">
        <v>1005.1828619693343</v>
      </c>
      <c r="CX210" s="48">
        <v>5111.0461088194161</v>
      </c>
      <c r="CY210" s="48">
        <v>4975.0312614619352</v>
      </c>
      <c r="CZ210" s="48">
        <v>2168.1465142099628</v>
      </c>
      <c r="DA210" s="48">
        <v>6501.0737025319477</v>
      </c>
      <c r="DB210" s="48">
        <v>527.45724052704054</v>
      </c>
      <c r="DC210" s="48">
        <v>31.651124191710974</v>
      </c>
      <c r="DD210" s="48">
        <v>27512.193405176968</v>
      </c>
      <c r="DE210" s="48">
        <v>405.04379312280787</v>
      </c>
      <c r="DF210" s="48">
        <v>9657.0013353653394</v>
      </c>
      <c r="DG210" s="48">
        <v>5744.6476339467808</v>
      </c>
      <c r="DH210" s="48">
        <v>2875.8936679729436</v>
      </c>
      <c r="DI210" s="48">
        <v>2088.1587405644473</v>
      </c>
      <c r="DJ210" s="48">
        <v>4034.8980420924458</v>
      </c>
      <c r="DK210" s="48">
        <v>362.48665885413993</v>
      </c>
      <c r="DL210" s="48">
        <v>13812.942137464472</v>
      </c>
      <c r="DM210" s="48">
        <v>7954.5839712713914</v>
      </c>
      <c r="DN210" s="48">
        <v>1627.0216989840346</v>
      </c>
      <c r="DO210" s="48">
        <v>656.61884320511183</v>
      </c>
      <c r="DP210" s="48">
        <v>1726.3686357416375</v>
      </c>
      <c r="DQ210" s="48">
        <v>3010.3443680404685</v>
      </c>
      <c r="DR210" s="48">
        <v>2273.4082083611229</v>
      </c>
      <c r="DS210" s="48">
        <v>3935.9390393529311</v>
      </c>
      <c r="DT210" s="48">
        <v>700.34018320498501</v>
      </c>
      <c r="DU210" s="48">
        <v>349.71924424832883</v>
      </c>
      <c r="DV210" s="48">
        <v>5188.1617773269209</v>
      </c>
      <c r="DW210" s="48">
        <v>7220.8400352542376</v>
      </c>
      <c r="DX210" s="48">
        <v>3596.8840813599431</v>
      </c>
      <c r="DY210" s="48">
        <v>508.59673739303162</v>
      </c>
      <c r="DZ210" s="48">
        <v>454.05409056084738</v>
      </c>
      <c r="EA210" s="48">
        <v>4034.6137801129134</v>
      </c>
      <c r="EB210" s="48">
        <v>2735.5334992297858</v>
      </c>
      <c r="EC210" s="48">
        <v>11250.317453769072</v>
      </c>
      <c r="ED210" s="48">
        <v>570.66374462258386</v>
      </c>
      <c r="EE210" s="48">
        <v>164.78325261084748</v>
      </c>
      <c r="EF210" s="48">
        <v>564.98145423271865</v>
      </c>
      <c r="EG210" s="48">
        <v>198.90585957173738</v>
      </c>
      <c r="EH210" s="48">
        <v>27.107380996585299</v>
      </c>
      <c r="EI210" s="48">
        <v>1623.3012806573722</v>
      </c>
      <c r="EJ210" s="48">
        <v>1712.1242372520633</v>
      </c>
      <c r="EK210" s="48">
        <v>687.94350205973137</v>
      </c>
      <c r="EL210" s="48">
        <v>1923.7896262463594</v>
      </c>
      <c r="EM210" s="48">
        <v>4012.0618982956762</v>
      </c>
      <c r="EN210" s="48">
        <v>3995.3340918678418</v>
      </c>
      <c r="EO210" s="48">
        <v>522.91220634324122</v>
      </c>
      <c r="EP210" s="48">
        <v>1234.8669687425536</v>
      </c>
      <c r="EQ210" s="48">
        <v>1220.5976199622301</v>
      </c>
      <c r="ER210" s="48">
        <v>2659.2445536117848</v>
      </c>
      <c r="ES210" s="48">
        <v>321.03170882322547</v>
      </c>
      <c r="ET210" s="48">
        <v>6202.2682085545102</v>
      </c>
      <c r="EU210" s="48">
        <v>868.56964771560774</v>
      </c>
      <c r="EV210" s="48">
        <v>771.4420067011049</v>
      </c>
      <c r="EW210" s="48">
        <v>3265.8361496551088</v>
      </c>
      <c r="EX210" s="48">
        <v>19477.728175649252</v>
      </c>
      <c r="EY210" s="48">
        <v>1306.708777169722</v>
      </c>
      <c r="EZ210" s="48">
        <v>1337.2829502961522</v>
      </c>
      <c r="FA210" s="48">
        <v>3284.186128482509</v>
      </c>
      <c r="FB210" s="48">
        <v>2722.3987237866272</v>
      </c>
      <c r="FC210" s="48">
        <v>2468.9693246215033</v>
      </c>
      <c r="FD210" s="48">
        <v>10424.191077696785</v>
      </c>
      <c r="FE210" s="48">
        <v>1212.5395028243574</v>
      </c>
      <c r="FF210" s="48">
        <v>55.690823217472257</v>
      </c>
      <c r="FG210" s="48">
        <v>7053.5132640054562</v>
      </c>
      <c r="FH210" s="48">
        <v>3680.9410960794144</v>
      </c>
      <c r="FI210" s="48">
        <v>1149.4117356557517</v>
      </c>
      <c r="FJ210" s="48">
        <v>2419.9089069643865</v>
      </c>
      <c r="FK210" s="48">
        <v>719.20524667779773</v>
      </c>
      <c r="FL210" s="48">
        <v>26.591337152944444</v>
      </c>
      <c r="FM210" s="48">
        <v>2301.5139346838932</v>
      </c>
      <c r="FN210" s="48">
        <v>557.98829303393143</v>
      </c>
      <c r="FO210" s="48">
        <v>322.84604963069614</v>
      </c>
      <c r="FP210" s="48">
        <v>17965.617097182647</v>
      </c>
      <c r="FQ210" s="48">
        <v>551.40300834449636</v>
      </c>
      <c r="FR210" s="48">
        <v>4596.7472173913093</v>
      </c>
      <c r="FS210" s="48">
        <v>49.521884161346023</v>
      </c>
      <c r="FT210" s="48">
        <v>11.902069925395994</v>
      </c>
      <c r="FU210" s="48">
        <v>95.392447501079147</v>
      </c>
      <c r="FV210" s="48">
        <v>789.97743292307882</v>
      </c>
      <c r="FW210" s="48">
        <v>7608.4731353266097</v>
      </c>
      <c r="FX210" s="48">
        <v>15205.149179305423</v>
      </c>
      <c r="FY210" s="48">
        <v>2853.7535953404727</v>
      </c>
      <c r="FZ210" s="48">
        <v>77.745871165671375</v>
      </c>
      <c r="GA210" s="48">
        <v>1579.4446015401973</v>
      </c>
      <c r="GB210" s="48">
        <v>112949.66545489055</v>
      </c>
      <c r="GC210" s="48">
        <v>602832.03529547737</v>
      </c>
      <c r="GD210" s="48">
        <v>854.22644517000128</v>
      </c>
      <c r="GE210" s="48">
        <v>10889.069517298503</v>
      </c>
      <c r="GF210" s="48">
        <v>9589.5774688423317</v>
      </c>
      <c r="GG210" s="48">
        <v>62164.20044109966</v>
      </c>
      <c r="GH210" s="48">
        <v>53609.063274454405</v>
      </c>
      <c r="GI210" s="48">
        <v>96.682774807117994</v>
      </c>
      <c r="GJ210" s="48">
        <v>6998.1534211959242</v>
      </c>
      <c r="GK210" s="48">
        <v>14583.799253385265</v>
      </c>
      <c r="GL210" s="48">
        <v>14596.630497012195</v>
      </c>
      <c r="GM210" s="48">
        <v>10562.619702549908</v>
      </c>
      <c r="GN210" s="48">
        <v>440.15217176374949</v>
      </c>
      <c r="GO210" s="48">
        <v>3556.1044223499098</v>
      </c>
      <c r="GP210" s="48">
        <v>1581.0580717321086</v>
      </c>
      <c r="GQ210" s="48">
        <v>11699.226020970085</v>
      </c>
      <c r="GR210" s="48">
        <v>5279.5372848351381</v>
      </c>
      <c r="GS210" s="48">
        <v>99273.353648216333</v>
      </c>
      <c r="GT210" s="48">
        <v>1699.6449159444219</v>
      </c>
      <c r="GU210" s="48">
        <v>138869.39891471807</v>
      </c>
      <c r="GV210" s="48">
        <v>791.79616320124092</v>
      </c>
      <c r="GW210" s="48">
        <v>203.43060305489598</v>
      </c>
      <c r="GX210" s="48">
        <v>11768.734048002456</v>
      </c>
      <c r="GY210" s="48">
        <v>3885.1034645861123</v>
      </c>
      <c r="GZ210" s="48">
        <v>0</v>
      </c>
      <c r="HA210" s="48">
        <v>16005.703674493814</v>
      </c>
      <c r="HB210" s="48">
        <v>46499.52651639915</v>
      </c>
      <c r="HC210" s="48">
        <v>55627.773668358976</v>
      </c>
      <c r="HD210" s="48">
        <v>23942.122951643087</v>
      </c>
      <c r="HE210" s="48">
        <v>737.33663783750001</v>
      </c>
      <c r="HF210" s="48">
        <v>3946.0618311787507</v>
      </c>
      <c r="HG210" s="48">
        <v>3769.0267986356243</v>
      </c>
      <c r="HH210" s="48">
        <v>7098.2269093695431</v>
      </c>
      <c r="HI210" s="48">
        <v>10356.548440222552</v>
      </c>
      <c r="HJ210" s="48">
        <v>11780.454087881748</v>
      </c>
      <c r="HK210" s="48">
        <v>558.3788040026825</v>
      </c>
      <c r="HL210" s="48">
        <v>885.86076815347099</v>
      </c>
      <c r="HM210" s="48">
        <v>4063.0502566087539</v>
      </c>
      <c r="HN210" s="48">
        <v>1190.7544615463264</v>
      </c>
      <c r="HO210" s="48">
        <v>5009.4632866099664</v>
      </c>
      <c r="HP210" s="48">
        <v>8586.3884930166587</v>
      </c>
      <c r="HQ210" s="48">
        <v>1340.6557552683757</v>
      </c>
      <c r="HR210" s="48">
        <v>2858.0377845722601</v>
      </c>
      <c r="HS210" s="48">
        <v>4781.9552262169254</v>
      </c>
      <c r="HT210" s="48">
        <v>2937.9745058252652</v>
      </c>
      <c r="HU210" s="48">
        <v>3886.1273177545168</v>
      </c>
      <c r="HV210" s="48">
        <v>3104.6286267599316</v>
      </c>
      <c r="HW210" s="48">
        <v>3306.232791861562</v>
      </c>
      <c r="HX210" s="48">
        <v>934.25324309488701</v>
      </c>
      <c r="HY210" s="48">
        <v>792.36392807721131</v>
      </c>
      <c r="HZ210" s="48">
        <v>1174.7256437715344</v>
      </c>
      <c r="IA210" s="48">
        <v>331.60657107405319</v>
      </c>
      <c r="IB210" s="48">
        <v>17.270951132756348</v>
      </c>
      <c r="IC210" s="48">
        <v>308.68355144961657</v>
      </c>
      <c r="ID210" s="48">
        <v>191.16174548289766</v>
      </c>
      <c r="IE210" s="48">
        <v>130.0037197229295</v>
      </c>
      <c r="IF210" s="48">
        <v>17.021784155762706</v>
      </c>
      <c r="IG210" s="48">
        <v>682.14197126966928</v>
      </c>
      <c r="IH210" s="48">
        <v>49.855728143722523</v>
      </c>
      <c r="II210" s="48">
        <v>15.688675211875301</v>
      </c>
      <c r="IJ210" s="48">
        <v>159.1283959083141</v>
      </c>
      <c r="IK210" s="48">
        <v>178.69114886233797</v>
      </c>
      <c r="IL210" s="48">
        <v>1296.2985497937225</v>
      </c>
      <c r="IM210" s="48">
        <v>1557.771355127024</v>
      </c>
      <c r="IN210" s="48">
        <v>827.61013146522657</v>
      </c>
      <c r="IO210" s="48">
        <v>0</v>
      </c>
      <c r="IP210" s="23">
        <v>1834739.9999999928</v>
      </c>
      <c r="IQ210" s="25">
        <v>1376300</v>
      </c>
      <c r="IR210" s="25">
        <v>0</v>
      </c>
      <c r="IS210" s="26">
        <v>0</v>
      </c>
      <c r="IT210" s="26">
        <v>0</v>
      </c>
      <c r="IU210" s="26">
        <v>0</v>
      </c>
      <c r="IV210" s="9">
        <v>0</v>
      </c>
      <c r="IW210" s="38">
        <f t="shared" si="34"/>
        <v>3211039.9999999925</v>
      </c>
    </row>
    <row r="211" spans="1:257" ht="30" customHeight="1" x14ac:dyDescent="0.25">
      <c r="A211" s="112" t="b">
        <v>0</v>
      </c>
      <c r="B211" s="113" t="str">
        <f>IFERROR(VLOOKUP(C211,'Bridge matrix'!$D$3:$E$727,2,FALSE)='symmetric IOT 245 2012'!D211,"FALSCH")</f>
        <v>FALSCH</v>
      </c>
      <c r="C211" s="108">
        <v>200</v>
      </c>
      <c r="D211" s="49" t="s">
        <v>1517</v>
      </c>
      <c r="E211" s="48">
        <v>0</v>
      </c>
      <c r="F211" s="48">
        <v>0</v>
      </c>
      <c r="G211" s="48">
        <v>0</v>
      </c>
      <c r="H211" s="48">
        <v>0</v>
      </c>
      <c r="I211" s="48">
        <v>0</v>
      </c>
      <c r="J211" s="48">
        <v>0</v>
      </c>
      <c r="K211" s="48">
        <v>0</v>
      </c>
      <c r="L211" s="48">
        <v>0</v>
      </c>
      <c r="M211" s="48">
        <v>0</v>
      </c>
      <c r="N211" s="48">
        <v>0</v>
      </c>
      <c r="O211" s="48">
        <v>0</v>
      </c>
      <c r="P211" s="48">
        <v>0</v>
      </c>
      <c r="Q211" s="48">
        <v>0</v>
      </c>
      <c r="R211" s="48">
        <v>0</v>
      </c>
      <c r="S211" s="48">
        <v>0</v>
      </c>
      <c r="T211" s="48">
        <v>0</v>
      </c>
      <c r="U211" s="48">
        <v>0</v>
      </c>
      <c r="V211" s="48">
        <v>0</v>
      </c>
      <c r="W211" s="48">
        <v>0</v>
      </c>
      <c r="X211" s="48">
        <v>0</v>
      </c>
      <c r="Y211" s="48">
        <v>0</v>
      </c>
      <c r="Z211" s="48">
        <v>0</v>
      </c>
      <c r="AA211" s="48">
        <v>0</v>
      </c>
      <c r="AB211" s="48">
        <v>0</v>
      </c>
      <c r="AC211" s="48">
        <v>0</v>
      </c>
      <c r="AD211" s="48">
        <v>0</v>
      </c>
      <c r="AE211" s="48">
        <v>0</v>
      </c>
      <c r="AF211" s="48">
        <v>0</v>
      </c>
      <c r="AG211" s="48">
        <v>0</v>
      </c>
      <c r="AH211" s="48">
        <v>0</v>
      </c>
      <c r="AI211" s="48">
        <v>0</v>
      </c>
      <c r="AJ211" s="48">
        <v>0</v>
      </c>
      <c r="AK211" s="48">
        <v>0</v>
      </c>
      <c r="AL211" s="48">
        <v>0</v>
      </c>
      <c r="AM211" s="48">
        <v>0</v>
      </c>
      <c r="AN211" s="48">
        <v>0</v>
      </c>
      <c r="AO211" s="48">
        <v>0</v>
      </c>
      <c r="AP211" s="48">
        <v>0</v>
      </c>
      <c r="AQ211" s="48">
        <v>0</v>
      </c>
      <c r="AR211" s="48">
        <v>0</v>
      </c>
      <c r="AS211" s="48">
        <v>0</v>
      </c>
      <c r="AT211" s="48">
        <v>0</v>
      </c>
      <c r="AU211" s="48">
        <v>0</v>
      </c>
      <c r="AV211" s="48">
        <v>0</v>
      </c>
      <c r="AW211" s="48">
        <v>0</v>
      </c>
      <c r="AX211" s="48">
        <v>0</v>
      </c>
      <c r="AY211" s="48">
        <v>0</v>
      </c>
      <c r="AZ211" s="48">
        <v>0</v>
      </c>
      <c r="BA211" s="48">
        <v>0</v>
      </c>
      <c r="BB211" s="48">
        <v>0</v>
      </c>
      <c r="BC211" s="48">
        <v>0</v>
      </c>
      <c r="BD211" s="48">
        <v>0</v>
      </c>
      <c r="BE211" s="48">
        <v>0</v>
      </c>
      <c r="BF211" s="48">
        <v>0</v>
      </c>
      <c r="BG211" s="48">
        <v>0</v>
      </c>
      <c r="BH211" s="48">
        <v>0</v>
      </c>
      <c r="BI211" s="48">
        <v>0</v>
      </c>
      <c r="BJ211" s="48">
        <v>0</v>
      </c>
      <c r="BK211" s="48">
        <v>0</v>
      </c>
      <c r="BL211" s="48">
        <v>0</v>
      </c>
      <c r="BM211" s="48">
        <v>0</v>
      </c>
      <c r="BN211" s="48">
        <v>0</v>
      </c>
      <c r="BO211" s="48">
        <v>0</v>
      </c>
      <c r="BP211" s="48">
        <v>0</v>
      </c>
      <c r="BQ211" s="48">
        <v>0</v>
      </c>
      <c r="BR211" s="48">
        <v>0</v>
      </c>
      <c r="BS211" s="48">
        <v>0</v>
      </c>
      <c r="BT211" s="48">
        <v>0</v>
      </c>
      <c r="BU211" s="48">
        <v>0</v>
      </c>
      <c r="BV211" s="48">
        <v>0</v>
      </c>
      <c r="BW211" s="48">
        <v>0</v>
      </c>
      <c r="BX211" s="48">
        <v>0</v>
      </c>
      <c r="BY211" s="48">
        <v>0</v>
      </c>
      <c r="BZ211" s="48">
        <v>0</v>
      </c>
      <c r="CA211" s="48">
        <v>0</v>
      </c>
      <c r="CB211" s="48">
        <v>0</v>
      </c>
      <c r="CC211" s="48">
        <v>0</v>
      </c>
      <c r="CD211" s="48">
        <v>0</v>
      </c>
      <c r="CE211" s="48">
        <v>0</v>
      </c>
      <c r="CF211" s="48">
        <v>0</v>
      </c>
      <c r="CG211" s="48">
        <v>0</v>
      </c>
      <c r="CH211" s="48">
        <v>0</v>
      </c>
      <c r="CI211" s="48">
        <v>1.5492452577510436E-17</v>
      </c>
      <c r="CJ211" s="48">
        <v>0</v>
      </c>
      <c r="CK211" s="48">
        <v>0</v>
      </c>
      <c r="CL211" s="48">
        <v>0</v>
      </c>
      <c r="CM211" s="48">
        <v>3.0318496642400671E-19</v>
      </c>
      <c r="CN211" s="48">
        <v>0</v>
      </c>
      <c r="CO211" s="48">
        <v>0</v>
      </c>
      <c r="CP211" s="48">
        <v>0</v>
      </c>
      <c r="CQ211" s="48">
        <v>0</v>
      </c>
      <c r="CR211" s="48">
        <v>4.7772536042313893E-17</v>
      </c>
      <c r="CS211" s="48">
        <v>0</v>
      </c>
      <c r="CT211" s="48">
        <v>0</v>
      </c>
      <c r="CU211" s="48">
        <v>1.3329209949862373E-12</v>
      </c>
      <c r="CV211" s="48">
        <v>0</v>
      </c>
      <c r="CW211" s="48">
        <v>0</v>
      </c>
      <c r="CX211" s="48">
        <v>0</v>
      </c>
      <c r="CY211" s="48">
        <v>0</v>
      </c>
      <c r="CZ211" s="48">
        <v>0</v>
      </c>
      <c r="DA211" s="48">
        <v>2.5476242554908198E-19</v>
      </c>
      <c r="DB211" s="48">
        <v>0</v>
      </c>
      <c r="DC211" s="48">
        <v>0</v>
      </c>
      <c r="DD211" s="48">
        <v>0</v>
      </c>
      <c r="DE211" s="48">
        <v>0</v>
      </c>
      <c r="DF211" s="48">
        <v>0</v>
      </c>
      <c r="DG211" s="48">
        <v>0</v>
      </c>
      <c r="DH211" s="48">
        <v>0</v>
      </c>
      <c r="DI211" s="48">
        <v>0</v>
      </c>
      <c r="DJ211" s="48">
        <v>9.9351786230419992E-15</v>
      </c>
      <c r="DK211" s="48">
        <v>0</v>
      </c>
      <c r="DL211" s="48">
        <v>2.7631036635223188E-13</v>
      </c>
      <c r="DM211" s="48">
        <v>0</v>
      </c>
      <c r="DN211" s="48">
        <v>0</v>
      </c>
      <c r="DO211" s="48">
        <v>0</v>
      </c>
      <c r="DP211" s="48">
        <v>0</v>
      </c>
      <c r="DQ211" s="48">
        <v>0</v>
      </c>
      <c r="DR211" s="48">
        <v>0</v>
      </c>
      <c r="DS211" s="48">
        <v>0</v>
      </c>
      <c r="DT211" s="48">
        <v>0</v>
      </c>
      <c r="DU211" s="48">
        <v>0</v>
      </c>
      <c r="DV211" s="48">
        <v>0</v>
      </c>
      <c r="DW211" s="48">
        <v>0</v>
      </c>
      <c r="DX211" s="48">
        <v>0</v>
      </c>
      <c r="DY211" s="48">
        <v>0</v>
      </c>
      <c r="DZ211" s="48">
        <v>0</v>
      </c>
      <c r="EA211" s="48">
        <v>0</v>
      </c>
      <c r="EB211" s="48">
        <v>0</v>
      </c>
      <c r="EC211" s="48">
        <v>0</v>
      </c>
      <c r="ED211" s="48">
        <v>0</v>
      </c>
      <c r="EE211" s="48">
        <v>0</v>
      </c>
      <c r="EF211" s="48">
        <v>0</v>
      </c>
      <c r="EG211" s="48">
        <v>0</v>
      </c>
      <c r="EH211" s="48">
        <v>0</v>
      </c>
      <c r="EI211" s="48">
        <v>0</v>
      </c>
      <c r="EJ211" s="48">
        <v>0</v>
      </c>
      <c r="EK211" s="48">
        <v>0</v>
      </c>
      <c r="EL211" s="48">
        <v>2.2580404280971445E-9</v>
      </c>
      <c r="EM211" s="48">
        <v>2.4321879512592746E-12</v>
      </c>
      <c r="EN211" s="48">
        <v>3.8908428568115804E-12</v>
      </c>
      <c r="EO211" s="48">
        <v>0</v>
      </c>
      <c r="EP211" s="48">
        <v>2.3737530920467722E-16</v>
      </c>
      <c r="EQ211" s="48">
        <v>0</v>
      </c>
      <c r="ER211" s="48">
        <v>0</v>
      </c>
      <c r="ES211" s="48">
        <v>0</v>
      </c>
      <c r="ET211" s="48">
        <v>1.7195455144444587E-3</v>
      </c>
      <c r="EU211" s="48">
        <v>0</v>
      </c>
      <c r="EV211" s="48">
        <v>0</v>
      </c>
      <c r="EW211" s="48">
        <v>2.0670289685840849E-8</v>
      </c>
      <c r="EX211" s="48">
        <v>0</v>
      </c>
      <c r="EY211" s="48">
        <v>0</v>
      </c>
      <c r="EZ211" s="48">
        <v>0</v>
      </c>
      <c r="FA211" s="48">
        <v>0</v>
      </c>
      <c r="FB211" s="48">
        <v>0</v>
      </c>
      <c r="FC211" s="48">
        <v>0</v>
      </c>
      <c r="FD211" s="48">
        <v>1.4158307732716604E-8</v>
      </c>
      <c r="FE211" s="48">
        <v>0</v>
      </c>
      <c r="FF211" s="48">
        <v>0</v>
      </c>
      <c r="FG211" s="48">
        <v>3.6340382582591985E-9</v>
      </c>
      <c r="FH211" s="48">
        <v>2.6049730389498709E-9</v>
      </c>
      <c r="FI211" s="48">
        <v>4.034318390450676E-9</v>
      </c>
      <c r="FJ211" s="48">
        <v>0</v>
      </c>
      <c r="FK211" s="48">
        <v>0</v>
      </c>
      <c r="FL211" s="48">
        <v>0</v>
      </c>
      <c r="FM211" s="48">
        <v>0</v>
      </c>
      <c r="FN211" s="48">
        <v>0</v>
      </c>
      <c r="FO211" s="48">
        <v>0</v>
      </c>
      <c r="FP211" s="48">
        <v>0</v>
      </c>
      <c r="FQ211" s="48">
        <v>0</v>
      </c>
      <c r="FR211" s="48">
        <v>6.9476000104843921E-10</v>
      </c>
      <c r="FS211" s="48">
        <v>0</v>
      </c>
      <c r="FT211" s="48">
        <v>1.8923905299431112E-10</v>
      </c>
      <c r="FU211" s="48">
        <v>0</v>
      </c>
      <c r="FV211" s="48">
        <v>0</v>
      </c>
      <c r="FW211" s="48">
        <v>0</v>
      </c>
      <c r="FX211" s="48">
        <v>0</v>
      </c>
      <c r="FY211" s="48">
        <v>0</v>
      </c>
      <c r="FZ211" s="48">
        <v>0</v>
      </c>
      <c r="GA211" s="48">
        <v>0</v>
      </c>
      <c r="GB211" s="48">
        <v>0</v>
      </c>
      <c r="GC211" s="48">
        <v>0</v>
      </c>
      <c r="GD211" s="48">
        <v>0</v>
      </c>
      <c r="GE211" s="48">
        <v>0</v>
      </c>
      <c r="GF211" s="48">
        <v>0</v>
      </c>
      <c r="GG211" s="48">
        <v>0</v>
      </c>
      <c r="GH211" s="48">
        <v>0</v>
      </c>
      <c r="GI211" s="48">
        <v>0</v>
      </c>
      <c r="GJ211" s="48">
        <v>0</v>
      </c>
      <c r="GK211" s="48">
        <v>0</v>
      </c>
      <c r="GL211" s="48">
        <v>0</v>
      </c>
      <c r="GM211" s="48">
        <v>0</v>
      </c>
      <c r="GN211" s="48">
        <v>0</v>
      </c>
      <c r="GO211" s="48">
        <v>0</v>
      </c>
      <c r="GP211" s="48">
        <v>0</v>
      </c>
      <c r="GQ211" s="48">
        <v>0</v>
      </c>
      <c r="GR211" s="48">
        <v>0</v>
      </c>
      <c r="GS211" s="48">
        <v>0</v>
      </c>
      <c r="GT211" s="48">
        <v>0</v>
      </c>
      <c r="GU211" s="48">
        <v>0</v>
      </c>
      <c r="GV211" s="48">
        <v>0</v>
      </c>
      <c r="GW211" s="48">
        <v>0</v>
      </c>
      <c r="GX211" s="48">
        <v>2.1355783427760861E-5</v>
      </c>
      <c r="GY211" s="48">
        <v>13.003228368424429</v>
      </c>
      <c r="GZ211" s="48">
        <v>4.8490255245675256</v>
      </c>
      <c r="HA211" s="48">
        <v>132.8933832487761</v>
      </c>
      <c r="HB211" s="48">
        <v>3761.3843711268742</v>
      </c>
      <c r="HC211" s="48">
        <v>8483.6908756185076</v>
      </c>
      <c r="HD211" s="48">
        <v>2870.1493817811679</v>
      </c>
      <c r="HE211" s="48">
        <v>0</v>
      </c>
      <c r="HF211" s="48">
        <v>0</v>
      </c>
      <c r="HG211" s="48">
        <v>0</v>
      </c>
      <c r="HH211" s="48">
        <v>0</v>
      </c>
      <c r="HI211" s="48">
        <v>0</v>
      </c>
      <c r="HJ211" s="48">
        <v>0</v>
      </c>
      <c r="HK211" s="48">
        <v>0</v>
      </c>
      <c r="HL211" s="48">
        <v>0</v>
      </c>
      <c r="HM211" s="48">
        <v>0</v>
      </c>
      <c r="HN211" s="48">
        <v>0</v>
      </c>
      <c r="HO211" s="48">
        <v>0</v>
      </c>
      <c r="HP211" s="48">
        <v>0</v>
      </c>
      <c r="HQ211" s="48">
        <v>0</v>
      </c>
      <c r="HR211" s="48">
        <v>0</v>
      </c>
      <c r="HS211" s="48">
        <v>2.7993382144661225E-2</v>
      </c>
      <c r="HT211" s="48">
        <v>0</v>
      </c>
      <c r="HU211" s="48">
        <v>0</v>
      </c>
      <c r="HV211" s="48">
        <v>0</v>
      </c>
      <c r="HW211" s="48">
        <v>0</v>
      </c>
      <c r="HX211" s="48">
        <v>0</v>
      </c>
      <c r="HY211" s="48">
        <v>0</v>
      </c>
      <c r="HZ211" s="48">
        <v>0</v>
      </c>
      <c r="IA211" s="48">
        <v>0</v>
      </c>
      <c r="IB211" s="48">
        <v>0</v>
      </c>
      <c r="IC211" s="48">
        <v>0</v>
      </c>
      <c r="ID211" s="48">
        <v>0</v>
      </c>
      <c r="IE211" s="48">
        <v>0</v>
      </c>
      <c r="IF211" s="48">
        <v>0</v>
      </c>
      <c r="IG211" s="48">
        <v>0</v>
      </c>
      <c r="IH211" s="48">
        <v>0</v>
      </c>
      <c r="II211" s="48">
        <v>0</v>
      </c>
      <c r="IJ211" s="48">
        <v>0</v>
      </c>
      <c r="IK211" s="48">
        <v>0</v>
      </c>
      <c r="IL211" s="48">
        <v>0</v>
      </c>
      <c r="IM211" s="48">
        <v>0</v>
      </c>
      <c r="IN211" s="48">
        <v>0</v>
      </c>
      <c r="IO211" s="48">
        <v>0</v>
      </c>
      <c r="IP211" s="23">
        <v>15266.000000000011</v>
      </c>
      <c r="IQ211" s="25">
        <v>3116</v>
      </c>
      <c r="IR211" s="25">
        <v>0</v>
      </c>
      <c r="IS211" s="26">
        <v>0</v>
      </c>
      <c r="IT211" s="26">
        <v>0</v>
      </c>
      <c r="IU211" s="26">
        <v>0</v>
      </c>
      <c r="IV211" s="9">
        <v>0</v>
      </c>
      <c r="IW211" s="38">
        <f t="shared" si="34"/>
        <v>18382.000000000011</v>
      </c>
    </row>
    <row r="212" spans="1:257" ht="30" customHeight="1" x14ac:dyDescent="0.25">
      <c r="A212" s="112" t="b">
        <v>0</v>
      </c>
      <c r="B212" s="113" t="str">
        <f>IFERROR(VLOOKUP(C212,'Bridge matrix'!$D$3:$E$727,2,FALSE)='symmetric IOT 245 2012'!D212,"FALSCH")</f>
        <v>FALSCH</v>
      </c>
      <c r="C212" s="108">
        <v>201</v>
      </c>
      <c r="D212" s="49" t="s">
        <v>1518</v>
      </c>
      <c r="E212" s="48">
        <v>0</v>
      </c>
      <c r="F212" s="48">
        <v>0</v>
      </c>
      <c r="G212" s="48">
        <v>0</v>
      </c>
      <c r="H212" s="48">
        <v>0</v>
      </c>
      <c r="I212" s="48">
        <v>0</v>
      </c>
      <c r="J212" s="48">
        <v>0</v>
      </c>
      <c r="K212" s="48">
        <v>0</v>
      </c>
      <c r="L212" s="48">
        <v>0</v>
      </c>
      <c r="M212" s="48">
        <v>0</v>
      </c>
      <c r="N212" s="48">
        <v>0</v>
      </c>
      <c r="O212" s="48">
        <v>0</v>
      </c>
      <c r="P212" s="48">
        <v>0</v>
      </c>
      <c r="Q212" s="48">
        <v>0</v>
      </c>
      <c r="R212" s="48">
        <v>0</v>
      </c>
      <c r="S212" s="48">
        <v>0</v>
      </c>
      <c r="T212" s="48">
        <v>0</v>
      </c>
      <c r="U212" s="48">
        <v>0</v>
      </c>
      <c r="V212" s="48">
        <v>0</v>
      </c>
      <c r="W212" s="48">
        <v>0</v>
      </c>
      <c r="X212" s="48">
        <v>0</v>
      </c>
      <c r="Y212" s="48">
        <v>0</v>
      </c>
      <c r="Z212" s="48">
        <v>0</v>
      </c>
      <c r="AA212" s="48">
        <v>0</v>
      </c>
      <c r="AB212" s="48">
        <v>0</v>
      </c>
      <c r="AC212" s="48">
        <v>0</v>
      </c>
      <c r="AD212" s="48">
        <v>0</v>
      </c>
      <c r="AE212" s="48">
        <v>0</v>
      </c>
      <c r="AF212" s="48">
        <v>0</v>
      </c>
      <c r="AG212" s="48">
        <v>0</v>
      </c>
      <c r="AH212" s="48">
        <v>0</v>
      </c>
      <c r="AI212" s="48">
        <v>0</v>
      </c>
      <c r="AJ212" s="48">
        <v>0</v>
      </c>
      <c r="AK212" s="48">
        <v>0</v>
      </c>
      <c r="AL212" s="48">
        <v>0</v>
      </c>
      <c r="AM212" s="48">
        <v>0</v>
      </c>
      <c r="AN212" s="48">
        <v>0</v>
      </c>
      <c r="AO212" s="48">
        <v>0</v>
      </c>
      <c r="AP212" s="48">
        <v>0</v>
      </c>
      <c r="AQ212" s="48">
        <v>0</v>
      </c>
      <c r="AR212" s="48">
        <v>0</v>
      </c>
      <c r="AS212" s="48">
        <v>0</v>
      </c>
      <c r="AT212" s="48">
        <v>0</v>
      </c>
      <c r="AU212" s="48">
        <v>0</v>
      </c>
      <c r="AV212" s="48">
        <v>0</v>
      </c>
      <c r="AW212" s="48">
        <v>0</v>
      </c>
      <c r="AX212" s="48">
        <v>0</v>
      </c>
      <c r="AY212" s="48">
        <v>0</v>
      </c>
      <c r="AZ212" s="48">
        <v>0</v>
      </c>
      <c r="BA212" s="48">
        <v>0</v>
      </c>
      <c r="BB212" s="48">
        <v>0</v>
      </c>
      <c r="BC212" s="48">
        <v>0</v>
      </c>
      <c r="BD212" s="48">
        <v>0</v>
      </c>
      <c r="BE212" s="48">
        <v>0</v>
      </c>
      <c r="BF212" s="48">
        <v>0</v>
      </c>
      <c r="BG212" s="48">
        <v>0</v>
      </c>
      <c r="BH212" s="48">
        <v>0</v>
      </c>
      <c r="BI212" s="48">
        <v>0</v>
      </c>
      <c r="BJ212" s="48">
        <v>0</v>
      </c>
      <c r="BK212" s="48">
        <v>0</v>
      </c>
      <c r="BL212" s="48">
        <v>0</v>
      </c>
      <c r="BM212" s="48">
        <v>0</v>
      </c>
      <c r="BN212" s="48">
        <v>0</v>
      </c>
      <c r="BO212" s="48">
        <v>0</v>
      </c>
      <c r="BP212" s="48">
        <v>0</v>
      </c>
      <c r="BQ212" s="48">
        <v>0</v>
      </c>
      <c r="BR212" s="48">
        <v>0</v>
      </c>
      <c r="BS212" s="48">
        <v>0</v>
      </c>
      <c r="BT212" s="48">
        <v>0</v>
      </c>
      <c r="BU212" s="48">
        <v>0</v>
      </c>
      <c r="BV212" s="48">
        <v>0</v>
      </c>
      <c r="BW212" s="48">
        <v>0</v>
      </c>
      <c r="BX212" s="48">
        <v>0</v>
      </c>
      <c r="BY212" s="48">
        <v>0</v>
      </c>
      <c r="BZ212" s="48">
        <v>0</v>
      </c>
      <c r="CA212" s="48">
        <v>1.1907752314428831E-2</v>
      </c>
      <c r="CB212" s="48">
        <v>0</v>
      </c>
      <c r="CC212" s="48">
        <v>0</v>
      </c>
      <c r="CD212" s="48">
        <v>0</v>
      </c>
      <c r="CE212" s="48">
        <v>0</v>
      </c>
      <c r="CF212" s="48">
        <v>0</v>
      </c>
      <c r="CG212" s="48">
        <v>0</v>
      </c>
      <c r="CH212" s="48">
        <v>0</v>
      </c>
      <c r="CI212" s="48">
        <v>0</v>
      </c>
      <c r="CJ212" s="48">
        <v>0</v>
      </c>
      <c r="CK212" s="48">
        <v>0</v>
      </c>
      <c r="CL212" s="48">
        <v>0</v>
      </c>
      <c r="CM212" s="48">
        <v>0</v>
      </c>
      <c r="CN212" s="48">
        <v>0</v>
      </c>
      <c r="CO212" s="48">
        <v>0</v>
      </c>
      <c r="CP212" s="48">
        <v>0</v>
      </c>
      <c r="CQ212" s="48">
        <v>0</v>
      </c>
      <c r="CR212" s="48">
        <v>0</v>
      </c>
      <c r="CS212" s="48">
        <v>0</v>
      </c>
      <c r="CT212" s="48">
        <v>0</v>
      </c>
      <c r="CU212" s="48">
        <v>0</v>
      </c>
      <c r="CV212" s="48">
        <v>0</v>
      </c>
      <c r="CW212" s="48">
        <v>0</v>
      </c>
      <c r="CX212" s="48">
        <v>0</v>
      </c>
      <c r="CY212" s="48">
        <v>0</v>
      </c>
      <c r="CZ212" s="48">
        <v>0</v>
      </c>
      <c r="DA212" s="48">
        <v>0</v>
      </c>
      <c r="DB212" s="48">
        <v>0</v>
      </c>
      <c r="DC212" s="48">
        <v>0</v>
      </c>
      <c r="DD212" s="48">
        <v>5.1961860184080982E-3</v>
      </c>
      <c r="DE212" s="48">
        <v>0</v>
      </c>
      <c r="DF212" s="48">
        <v>0</v>
      </c>
      <c r="DG212" s="48">
        <v>0</v>
      </c>
      <c r="DH212" s="48">
        <v>0</v>
      </c>
      <c r="DI212" s="48">
        <v>0</v>
      </c>
      <c r="DJ212" s="48">
        <v>0</v>
      </c>
      <c r="DK212" s="48">
        <v>2.3871745600690893E-2</v>
      </c>
      <c r="DL212" s="48">
        <v>0</v>
      </c>
      <c r="DM212" s="48">
        <v>0</v>
      </c>
      <c r="DN212" s="48">
        <v>0</v>
      </c>
      <c r="DO212" s="48">
        <v>0</v>
      </c>
      <c r="DP212" s="48">
        <v>0</v>
      </c>
      <c r="DQ212" s="48">
        <v>0</v>
      </c>
      <c r="DR212" s="48">
        <v>0</v>
      </c>
      <c r="DS212" s="48">
        <v>0</v>
      </c>
      <c r="DT212" s="48">
        <v>0</v>
      </c>
      <c r="DU212" s="48">
        <v>0</v>
      </c>
      <c r="DV212" s="48">
        <v>0</v>
      </c>
      <c r="DW212" s="48">
        <v>0</v>
      </c>
      <c r="DX212" s="48">
        <v>0</v>
      </c>
      <c r="DY212" s="48">
        <v>0</v>
      </c>
      <c r="DZ212" s="48">
        <v>0</v>
      </c>
      <c r="EA212" s="48">
        <v>0</v>
      </c>
      <c r="EB212" s="48">
        <v>0</v>
      </c>
      <c r="EC212" s="48">
        <v>0</v>
      </c>
      <c r="ED212" s="48">
        <v>5.9567656712145419E-5</v>
      </c>
      <c r="EE212" s="48">
        <v>0</v>
      </c>
      <c r="EF212" s="48">
        <v>0</v>
      </c>
      <c r="EG212" s="48">
        <v>0</v>
      </c>
      <c r="EH212" s="48">
        <v>0</v>
      </c>
      <c r="EI212" s="48">
        <v>0</v>
      </c>
      <c r="EJ212" s="48">
        <v>0</v>
      </c>
      <c r="EK212" s="48">
        <v>0</v>
      </c>
      <c r="EL212" s="48">
        <v>0</v>
      </c>
      <c r="EM212" s="48">
        <v>0</v>
      </c>
      <c r="EN212" s="48">
        <v>0</v>
      </c>
      <c r="EO212" s="48">
        <v>0</v>
      </c>
      <c r="EP212" s="48">
        <v>0</v>
      </c>
      <c r="EQ212" s="48">
        <v>0</v>
      </c>
      <c r="ER212" s="48">
        <v>0</v>
      </c>
      <c r="ES212" s="48">
        <v>0</v>
      </c>
      <c r="ET212" s="48">
        <v>2.4275903419878173E-3</v>
      </c>
      <c r="EU212" s="48">
        <v>0</v>
      </c>
      <c r="EV212" s="48">
        <v>0</v>
      </c>
      <c r="EW212" s="48">
        <v>0</v>
      </c>
      <c r="EX212" s="48">
        <v>0</v>
      </c>
      <c r="EY212" s="48">
        <v>0</v>
      </c>
      <c r="EZ212" s="48">
        <v>0</v>
      </c>
      <c r="FA212" s="48">
        <v>0</v>
      </c>
      <c r="FB212" s="48">
        <v>0</v>
      </c>
      <c r="FC212" s="48">
        <v>0</v>
      </c>
      <c r="FD212" s="48">
        <v>0</v>
      </c>
      <c r="FE212" s="48">
        <v>0</v>
      </c>
      <c r="FF212" s="48">
        <v>0</v>
      </c>
      <c r="FG212" s="48">
        <v>0</v>
      </c>
      <c r="FH212" s="48">
        <v>0</v>
      </c>
      <c r="FI212" s="48">
        <v>0</v>
      </c>
      <c r="FJ212" s="48">
        <v>0</v>
      </c>
      <c r="FK212" s="48">
        <v>0</v>
      </c>
      <c r="FL212" s="48">
        <v>0</v>
      </c>
      <c r="FM212" s="48">
        <v>0</v>
      </c>
      <c r="FN212" s="48">
        <v>0</v>
      </c>
      <c r="FO212" s="48">
        <v>0</v>
      </c>
      <c r="FP212" s="48">
        <v>0</v>
      </c>
      <c r="FQ212" s="48">
        <v>0</v>
      </c>
      <c r="FR212" s="48">
        <v>0</v>
      </c>
      <c r="FS212" s="48">
        <v>0</v>
      </c>
      <c r="FT212" s="48">
        <v>0</v>
      </c>
      <c r="FU212" s="48">
        <v>0</v>
      </c>
      <c r="FV212" s="48">
        <v>1.7130144341296943E-3</v>
      </c>
      <c r="FW212" s="48">
        <v>0</v>
      </c>
      <c r="FX212" s="48">
        <v>0</v>
      </c>
      <c r="FY212" s="48">
        <v>0</v>
      </c>
      <c r="FZ212" s="48">
        <v>0</v>
      </c>
      <c r="GA212" s="48">
        <v>0</v>
      </c>
      <c r="GB212" s="48">
        <v>0</v>
      </c>
      <c r="GC212" s="48">
        <v>413.49186461488449</v>
      </c>
      <c r="GD212" s="48">
        <v>0</v>
      </c>
      <c r="GE212" s="48">
        <v>0</v>
      </c>
      <c r="GF212" s="48">
        <v>0</v>
      </c>
      <c r="GG212" s="48">
        <v>0</v>
      </c>
      <c r="GH212" s="48">
        <v>0</v>
      </c>
      <c r="GI212" s="48">
        <v>0</v>
      </c>
      <c r="GJ212" s="48">
        <v>0</v>
      </c>
      <c r="GK212" s="48">
        <v>0</v>
      </c>
      <c r="GL212" s="48">
        <v>0</v>
      </c>
      <c r="GM212" s="48">
        <v>0</v>
      </c>
      <c r="GN212" s="48">
        <v>0</v>
      </c>
      <c r="GO212" s="48">
        <v>0</v>
      </c>
      <c r="GP212" s="48">
        <v>0</v>
      </c>
      <c r="GQ212" s="48">
        <v>0</v>
      </c>
      <c r="GR212" s="48">
        <v>0</v>
      </c>
      <c r="GS212" s="48">
        <v>0</v>
      </c>
      <c r="GT212" s="48">
        <v>38.563677304987856</v>
      </c>
      <c r="GU212" s="48">
        <v>2257.6069625367945</v>
      </c>
      <c r="GV212" s="48">
        <v>12.881924895753382</v>
      </c>
      <c r="GW212" s="48">
        <v>3.8882586954633092</v>
      </c>
      <c r="GX212" s="48">
        <v>192.7621628832627</v>
      </c>
      <c r="GY212" s="48">
        <v>1.8092391255635493E-4</v>
      </c>
      <c r="GZ212" s="48">
        <v>0</v>
      </c>
      <c r="HA212" s="48">
        <v>1.4737614645957326E-3</v>
      </c>
      <c r="HB212" s="48">
        <v>0</v>
      </c>
      <c r="HC212" s="48">
        <v>0</v>
      </c>
      <c r="HD212" s="48">
        <v>0</v>
      </c>
      <c r="HE212" s="48">
        <v>0</v>
      </c>
      <c r="HF212" s="48">
        <v>0</v>
      </c>
      <c r="HG212" s="48">
        <v>0</v>
      </c>
      <c r="HH212" s="48">
        <v>0</v>
      </c>
      <c r="HI212" s="48">
        <v>0</v>
      </c>
      <c r="HJ212" s="48">
        <v>0</v>
      </c>
      <c r="HK212" s="48">
        <v>0</v>
      </c>
      <c r="HL212" s="48">
        <v>0</v>
      </c>
      <c r="HM212" s="48">
        <v>0</v>
      </c>
      <c r="HN212" s="48">
        <v>0</v>
      </c>
      <c r="HO212" s="48">
        <v>0</v>
      </c>
      <c r="HP212" s="48">
        <v>0</v>
      </c>
      <c r="HQ212" s="48">
        <v>0</v>
      </c>
      <c r="HR212" s="48">
        <v>0</v>
      </c>
      <c r="HS212" s="48">
        <v>0</v>
      </c>
      <c r="HT212" s="48">
        <v>0</v>
      </c>
      <c r="HU212" s="48">
        <v>0</v>
      </c>
      <c r="HV212" s="48">
        <v>5.9648609574014702E-2</v>
      </c>
      <c r="HW212" s="48">
        <v>3.7867444791233035E-5</v>
      </c>
      <c r="HX212" s="48">
        <v>0</v>
      </c>
      <c r="HY212" s="48">
        <v>0</v>
      </c>
      <c r="HZ212" s="48">
        <v>0</v>
      </c>
      <c r="IA212" s="48">
        <v>0</v>
      </c>
      <c r="IB212" s="48">
        <v>0</v>
      </c>
      <c r="IC212" s="48">
        <v>0</v>
      </c>
      <c r="ID212" s="48">
        <v>0</v>
      </c>
      <c r="IE212" s="48">
        <v>0</v>
      </c>
      <c r="IF212" s="48">
        <v>0</v>
      </c>
      <c r="IG212" s="48">
        <v>291.86683905110317</v>
      </c>
      <c r="IH212" s="48">
        <v>20.99536514352873</v>
      </c>
      <c r="II212" s="48">
        <v>6.8357624019958223</v>
      </c>
      <c r="IJ212" s="48">
        <v>6.6545345594721855E-4</v>
      </c>
      <c r="IK212" s="48">
        <v>0</v>
      </c>
      <c r="IL212" s="48">
        <v>0</v>
      </c>
      <c r="IM212" s="48">
        <v>0</v>
      </c>
      <c r="IN212" s="48">
        <v>0</v>
      </c>
      <c r="IO212" s="48">
        <v>0</v>
      </c>
      <c r="IP212" s="23">
        <v>3238.9999999999927</v>
      </c>
      <c r="IQ212" s="25">
        <v>1308</v>
      </c>
      <c r="IR212" s="25">
        <v>0</v>
      </c>
      <c r="IS212" s="26">
        <v>0</v>
      </c>
      <c r="IT212" s="26">
        <v>0</v>
      </c>
      <c r="IU212" s="26">
        <v>0</v>
      </c>
      <c r="IV212" s="9">
        <v>0</v>
      </c>
      <c r="IW212" s="38">
        <f t="shared" si="34"/>
        <v>4546.9999999999927</v>
      </c>
    </row>
    <row r="213" spans="1:257" ht="30" customHeight="1" x14ac:dyDescent="0.25">
      <c r="A213" s="112" t="b">
        <v>0</v>
      </c>
      <c r="B213" s="113" t="str">
        <f>IFERROR(VLOOKUP(C213,'Bridge matrix'!$D$3:$E$727,2,FALSE)='symmetric IOT 245 2012'!D213,"FALSCH")</f>
        <v>FALSCH</v>
      </c>
      <c r="C213" s="108">
        <v>202</v>
      </c>
      <c r="D213" s="49" t="s">
        <v>1519</v>
      </c>
      <c r="E213" s="48">
        <v>0</v>
      </c>
      <c r="F213" s="48">
        <v>0</v>
      </c>
      <c r="G213" s="48">
        <v>0</v>
      </c>
      <c r="H213" s="48">
        <v>0</v>
      </c>
      <c r="I213" s="48">
        <v>0</v>
      </c>
      <c r="J213" s="48">
        <v>0</v>
      </c>
      <c r="K213" s="48">
        <v>0</v>
      </c>
      <c r="L213" s="48">
        <v>0</v>
      </c>
      <c r="M213" s="48">
        <v>0</v>
      </c>
      <c r="N213" s="48">
        <v>0</v>
      </c>
      <c r="O213" s="48">
        <v>0</v>
      </c>
      <c r="P213" s="48">
        <v>0</v>
      </c>
      <c r="Q213" s="48">
        <v>0</v>
      </c>
      <c r="R213" s="48">
        <v>0</v>
      </c>
      <c r="S213" s="48">
        <v>0</v>
      </c>
      <c r="T213" s="48">
        <v>0</v>
      </c>
      <c r="U213" s="48">
        <v>0</v>
      </c>
      <c r="V213" s="48">
        <v>0</v>
      </c>
      <c r="W213" s="48">
        <v>0</v>
      </c>
      <c r="X213" s="48">
        <v>0</v>
      </c>
      <c r="Y213" s="48">
        <v>0</v>
      </c>
      <c r="Z213" s="48">
        <v>0</v>
      </c>
      <c r="AA213" s="48">
        <v>0</v>
      </c>
      <c r="AB213" s="48">
        <v>0</v>
      </c>
      <c r="AC213" s="48">
        <v>0</v>
      </c>
      <c r="AD213" s="48">
        <v>0</v>
      </c>
      <c r="AE213" s="48">
        <v>0</v>
      </c>
      <c r="AF213" s="48">
        <v>0</v>
      </c>
      <c r="AG213" s="48">
        <v>0</v>
      </c>
      <c r="AH213" s="48">
        <v>0</v>
      </c>
      <c r="AI213" s="48">
        <v>0</v>
      </c>
      <c r="AJ213" s="48">
        <v>0</v>
      </c>
      <c r="AK213" s="48">
        <v>0</v>
      </c>
      <c r="AL213" s="48">
        <v>0</v>
      </c>
      <c r="AM213" s="48">
        <v>0</v>
      </c>
      <c r="AN213" s="48">
        <v>0</v>
      </c>
      <c r="AO213" s="48">
        <v>0</v>
      </c>
      <c r="AP213" s="48">
        <v>0</v>
      </c>
      <c r="AQ213" s="48">
        <v>0</v>
      </c>
      <c r="AR213" s="48">
        <v>0</v>
      </c>
      <c r="AS213" s="48">
        <v>0</v>
      </c>
      <c r="AT213" s="48">
        <v>0</v>
      </c>
      <c r="AU213" s="48">
        <v>0</v>
      </c>
      <c r="AV213" s="48">
        <v>0</v>
      </c>
      <c r="AW213" s="48">
        <v>0</v>
      </c>
      <c r="AX213" s="48">
        <v>0</v>
      </c>
      <c r="AY213" s="48">
        <v>0</v>
      </c>
      <c r="AZ213" s="48">
        <v>0</v>
      </c>
      <c r="BA213" s="48">
        <v>0</v>
      </c>
      <c r="BB213" s="48">
        <v>0</v>
      </c>
      <c r="BC213" s="48">
        <v>0</v>
      </c>
      <c r="BD213" s="48">
        <v>0</v>
      </c>
      <c r="BE213" s="48">
        <v>0</v>
      </c>
      <c r="BF213" s="48">
        <v>0</v>
      </c>
      <c r="BG213" s="48">
        <v>0</v>
      </c>
      <c r="BH213" s="48">
        <v>0</v>
      </c>
      <c r="BI213" s="48">
        <v>0</v>
      </c>
      <c r="BJ213" s="48">
        <v>0</v>
      </c>
      <c r="BK213" s="48">
        <v>0</v>
      </c>
      <c r="BL213" s="48">
        <v>0</v>
      </c>
      <c r="BM213" s="48">
        <v>0</v>
      </c>
      <c r="BN213" s="48">
        <v>0</v>
      </c>
      <c r="BO213" s="48">
        <v>0</v>
      </c>
      <c r="BP213" s="48">
        <v>0</v>
      </c>
      <c r="BQ213" s="48">
        <v>0</v>
      </c>
      <c r="BR213" s="48">
        <v>0</v>
      </c>
      <c r="BS213" s="48">
        <v>0</v>
      </c>
      <c r="BT213" s="48">
        <v>0</v>
      </c>
      <c r="BU213" s="48">
        <v>0</v>
      </c>
      <c r="BV213" s="48">
        <v>0</v>
      </c>
      <c r="BW213" s="48">
        <v>0</v>
      </c>
      <c r="BX213" s="48">
        <v>0</v>
      </c>
      <c r="BY213" s="48">
        <v>0</v>
      </c>
      <c r="BZ213" s="48">
        <v>0</v>
      </c>
      <c r="CA213" s="48">
        <v>0.48282932483947538</v>
      </c>
      <c r="CB213" s="48">
        <v>0</v>
      </c>
      <c r="CC213" s="48">
        <v>0</v>
      </c>
      <c r="CD213" s="48">
        <v>0</v>
      </c>
      <c r="CE213" s="48">
        <v>0</v>
      </c>
      <c r="CF213" s="48">
        <v>0</v>
      </c>
      <c r="CG213" s="48">
        <v>0</v>
      </c>
      <c r="CH213" s="48">
        <v>0</v>
      </c>
      <c r="CI213" s="48">
        <v>0</v>
      </c>
      <c r="CJ213" s="48">
        <v>0</v>
      </c>
      <c r="CK213" s="48">
        <v>0</v>
      </c>
      <c r="CL213" s="48">
        <v>0</v>
      </c>
      <c r="CM213" s="48">
        <v>0</v>
      </c>
      <c r="CN213" s="48">
        <v>0</v>
      </c>
      <c r="CO213" s="48">
        <v>0</v>
      </c>
      <c r="CP213" s="48">
        <v>0</v>
      </c>
      <c r="CQ213" s="48">
        <v>0</v>
      </c>
      <c r="CR213" s="48">
        <v>0</v>
      </c>
      <c r="CS213" s="48">
        <v>0</v>
      </c>
      <c r="CT213" s="48">
        <v>0</v>
      </c>
      <c r="CU213" s="48">
        <v>0</v>
      </c>
      <c r="CV213" s="48">
        <v>0</v>
      </c>
      <c r="CW213" s="48">
        <v>0</v>
      </c>
      <c r="CX213" s="48">
        <v>0</v>
      </c>
      <c r="CY213" s="48">
        <v>0</v>
      </c>
      <c r="CZ213" s="48">
        <v>0</v>
      </c>
      <c r="DA213" s="48">
        <v>0</v>
      </c>
      <c r="DB213" s="48">
        <v>0</v>
      </c>
      <c r="DC213" s="48">
        <v>0</v>
      </c>
      <c r="DD213" s="48">
        <v>0.21068945444014761</v>
      </c>
      <c r="DE213" s="48">
        <v>0</v>
      </c>
      <c r="DF213" s="48">
        <v>0</v>
      </c>
      <c r="DG213" s="48">
        <v>0</v>
      </c>
      <c r="DH213" s="48">
        <v>0</v>
      </c>
      <c r="DI213" s="48">
        <v>0</v>
      </c>
      <c r="DJ213" s="48">
        <v>0</v>
      </c>
      <c r="DK213" s="48">
        <v>0.9679268704547801</v>
      </c>
      <c r="DL213" s="48">
        <v>0</v>
      </c>
      <c r="DM213" s="48">
        <v>85.648558252711354</v>
      </c>
      <c r="DN213" s="48">
        <v>0</v>
      </c>
      <c r="DO213" s="48">
        <v>0</v>
      </c>
      <c r="DP213" s="48">
        <v>0</v>
      </c>
      <c r="DQ213" s="48">
        <v>0</v>
      </c>
      <c r="DR213" s="48">
        <v>0</v>
      </c>
      <c r="DS213" s="48">
        <v>0</v>
      </c>
      <c r="DT213" s="48">
        <v>0</v>
      </c>
      <c r="DU213" s="48">
        <v>0</v>
      </c>
      <c r="DV213" s="48">
        <v>0</v>
      </c>
      <c r="DW213" s="48">
        <v>0</v>
      </c>
      <c r="DX213" s="48">
        <v>0</v>
      </c>
      <c r="DY213" s="48">
        <v>0</v>
      </c>
      <c r="DZ213" s="48">
        <v>0</v>
      </c>
      <c r="EA213" s="48">
        <v>0</v>
      </c>
      <c r="EB213" s="48">
        <v>0</v>
      </c>
      <c r="EC213" s="48">
        <v>0</v>
      </c>
      <c r="ED213" s="48">
        <v>2.4153182492504966E-3</v>
      </c>
      <c r="EE213" s="48">
        <v>0</v>
      </c>
      <c r="EF213" s="48">
        <v>0</v>
      </c>
      <c r="EG213" s="48">
        <v>0</v>
      </c>
      <c r="EH213" s="48">
        <v>0</v>
      </c>
      <c r="EI213" s="48">
        <v>0</v>
      </c>
      <c r="EJ213" s="48">
        <v>0</v>
      </c>
      <c r="EK213" s="48">
        <v>0</v>
      </c>
      <c r="EL213" s="48">
        <v>0</v>
      </c>
      <c r="EM213" s="48">
        <v>0</v>
      </c>
      <c r="EN213" s="48">
        <v>0</v>
      </c>
      <c r="EO213" s="48">
        <v>0</v>
      </c>
      <c r="EP213" s="48">
        <v>0</v>
      </c>
      <c r="EQ213" s="48">
        <v>0</v>
      </c>
      <c r="ER213" s="48">
        <v>0</v>
      </c>
      <c r="ES213" s="48">
        <v>0</v>
      </c>
      <c r="ET213" s="48">
        <v>9.8432665951032713E-2</v>
      </c>
      <c r="EU213" s="48">
        <v>0</v>
      </c>
      <c r="EV213" s="48">
        <v>0</v>
      </c>
      <c r="EW213" s="48">
        <v>0</v>
      </c>
      <c r="EX213" s="48">
        <v>0</v>
      </c>
      <c r="EY213" s="48">
        <v>0</v>
      </c>
      <c r="EZ213" s="48">
        <v>0</v>
      </c>
      <c r="FA213" s="48">
        <v>0</v>
      </c>
      <c r="FB213" s="48">
        <v>0</v>
      </c>
      <c r="FC213" s="48">
        <v>0</v>
      </c>
      <c r="FD213" s="48">
        <v>0</v>
      </c>
      <c r="FE213" s="48">
        <v>0</v>
      </c>
      <c r="FF213" s="48">
        <v>0</v>
      </c>
      <c r="FG213" s="48">
        <v>0</v>
      </c>
      <c r="FH213" s="48">
        <v>0</v>
      </c>
      <c r="FI213" s="48">
        <v>0</v>
      </c>
      <c r="FJ213" s="48">
        <v>0</v>
      </c>
      <c r="FK213" s="48">
        <v>0</v>
      </c>
      <c r="FL213" s="48">
        <v>0</v>
      </c>
      <c r="FM213" s="48">
        <v>0</v>
      </c>
      <c r="FN213" s="48">
        <v>0</v>
      </c>
      <c r="FO213" s="48">
        <v>0</v>
      </c>
      <c r="FP213" s="48">
        <v>0</v>
      </c>
      <c r="FQ213" s="48">
        <v>0</v>
      </c>
      <c r="FR213" s="48">
        <v>0</v>
      </c>
      <c r="FS213" s="48">
        <v>0</v>
      </c>
      <c r="FT213" s="48">
        <v>0</v>
      </c>
      <c r="FU213" s="48">
        <v>0</v>
      </c>
      <c r="FV213" s="48">
        <v>6.9458415058643128E-2</v>
      </c>
      <c r="FW213" s="48">
        <v>0</v>
      </c>
      <c r="FX213" s="48">
        <v>0</v>
      </c>
      <c r="FY213" s="48">
        <v>0</v>
      </c>
      <c r="FZ213" s="48">
        <v>0</v>
      </c>
      <c r="GA213" s="48">
        <v>0</v>
      </c>
      <c r="GB213" s="48">
        <v>1219.1686155326863</v>
      </c>
      <c r="GC213" s="48">
        <v>16766.052278120122</v>
      </c>
      <c r="GD213" s="48">
        <v>0</v>
      </c>
      <c r="GE213" s="48">
        <v>30.38813650090427</v>
      </c>
      <c r="GF213" s="48">
        <v>0</v>
      </c>
      <c r="GG213" s="48">
        <v>0</v>
      </c>
      <c r="GH213" s="48">
        <v>0</v>
      </c>
      <c r="GI213" s="48">
        <v>0</v>
      </c>
      <c r="GJ213" s="48">
        <v>0</v>
      </c>
      <c r="GK213" s="48">
        <v>0</v>
      </c>
      <c r="GL213" s="48">
        <v>0</v>
      </c>
      <c r="GM213" s="48">
        <v>0</v>
      </c>
      <c r="GN213" s="48">
        <v>0</v>
      </c>
      <c r="GO213" s="48">
        <v>0</v>
      </c>
      <c r="GP213" s="48">
        <v>0</v>
      </c>
      <c r="GQ213" s="48">
        <v>0</v>
      </c>
      <c r="GR213" s="48">
        <v>0</v>
      </c>
      <c r="GS213" s="48">
        <v>0</v>
      </c>
      <c r="GT213" s="48">
        <v>748.54430406322831</v>
      </c>
      <c r="GU213" s="48">
        <v>55056.357535806994</v>
      </c>
      <c r="GV213" s="48">
        <v>312.72331073424778</v>
      </c>
      <c r="GW213" s="48">
        <v>85.770515046966935</v>
      </c>
      <c r="GX213" s="48">
        <v>4910.245190129328</v>
      </c>
      <c r="GY213" s="48">
        <v>555.60741368271317</v>
      </c>
      <c r="GZ213" s="48">
        <v>0</v>
      </c>
      <c r="HA213" s="48">
        <v>120449.5828119839</v>
      </c>
      <c r="HB213" s="48">
        <v>0</v>
      </c>
      <c r="HC213" s="48">
        <v>0</v>
      </c>
      <c r="HD213" s="48">
        <v>0</v>
      </c>
      <c r="HE213" s="48">
        <v>0</v>
      </c>
      <c r="HF213" s="48">
        <v>0</v>
      </c>
      <c r="HG213" s="48">
        <v>0</v>
      </c>
      <c r="HH213" s="48">
        <v>0</v>
      </c>
      <c r="HI213" s="48">
        <v>0</v>
      </c>
      <c r="HJ213" s="48">
        <v>0</v>
      </c>
      <c r="HK213" s="48">
        <v>0</v>
      </c>
      <c r="HL213" s="48">
        <v>0</v>
      </c>
      <c r="HM213" s="48">
        <v>0</v>
      </c>
      <c r="HN213" s="48">
        <v>0</v>
      </c>
      <c r="HO213" s="48">
        <v>0</v>
      </c>
      <c r="HP213" s="48">
        <v>0</v>
      </c>
      <c r="HQ213" s="48">
        <v>0</v>
      </c>
      <c r="HR213" s="48">
        <v>0</v>
      </c>
      <c r="HS213" s="48">
        <v>0</v>
      </c>
      <c r="HT213" s="48">
        <v>0</v>
      </c>
      <c r="HU213" s="48">
        <v>0</v>
      </c>
      <c r="HV213" s="48">
        <v>27954.051060207712</v>
      </c>
      <c r="HW213" s="48">
        <v>1.5354293840822311E-3</v>
      </c>
      <c r="HX213" s="48">
        <v>0</v>
      </c>
      <c r="HY213" s="48">
        <v>0</v>
      </c>
      <c r="HZ213" s="48">
        <v>0</v>
      </c>
      <c r="IA213" s="48">
        <v>0</v>
      </c>
      <c r="IB213" s="48">
        <v>0</v>
      </c>
      <c r="IC213" s="48">
        <v>0</v>
      </c>
      <c r="ID213" s="48">
        <v>0</v>
      </c>
      <c r="IE213" s="48">
        <v>0</v>
      </c>
      <c r="IF213" s="48">
        <v>0</v>
      </c>
      <c r="IG213" s="48">
        <v>0</v>
      </c>
      <c r="IH213" s="48">
        <v>0</v>
      </c>
      <c r="II213" s="48">
        <v>0</v>
      </c>
      <c r="IJ213" s="48">
        <v>2.6982459356142907E-2</v>
      </c>
      <c r="IK213" s="48">
        <v>0</v>
      </c>
      <c r="IL213" s="48">
        <v>0</v>
      </c>
      <c r="IM213" s="48">
        <v>0</v>
      </c>
      <c r="IN213" s="48">
        <v>0</v>
      </c>
      <c r="IO213" s="48">
        <v>0</v>
      </c>
      <c r="IP213" s="23">
        <v>228175.99999999924</v>
      </c>
      <c r="IQ213" s="25">
        <v>34201</v>
      </c>
      <c r="IR213" s="25">
        <v>0</v>
      </c>
      <c r="IS213" s="26">
        <v>0</v>
      </c>
      <c r="IT213" s="26">
        <v>0</v>
      </c>
      <c r="IU213" s="26">
        <v>0</v>
      </c>
      <c r="IV213" s="9">
        <v>0</v>
      </c>
      <c r="IW213" s="38">
        <f t="shared" si="34"/>
        <v>262376.99999999924</v>
      </c>
    </row>
    <row r="214" spans="1:257" ht="30" customHeight="1" x14ac:dyDescent="0.25">
      <c r="A214" s="112" t="b">
        <v>1</v>
      </c>
      <c r="B214" s="113" t="b">
        <f>IFERROR(VLOOKUP(C214,'Bridge matrix'!$D$3:$E$727,2,FALSE)='symmetric IOT 245 2012'!D214,"FALSCH")</f>
        <v>1</v>
      </c>
      <c r="C214" s="108">
        <v>203</v>
      </c>
      <c r="D214" s="49" t="s">
        <v>1520</v>
      </c>
      <c r="E214" s="48">
        <v>0</v>
      </c>
      <c r="F214" s="48">
        <v>0</v>
      </c>
      <c r="G214" s="48">
        <v>0</v>
      </c>
      <c r="H214" s="48">
        <v>0</v>
      </c>
      <c r="I214" s="48">
        <v>0</v>
      </c>
      <c r="J214" s="48">
        <v>0</v>
      </c>
      <c r="K214" s="48">
        <v>0</v>
      </c>
      <c r="L214" s="48">
        <v>0</v>
      </c>
      <c r="M214" s="48">
        <v>0</v>
      </c>
      <c r="N214" s="48">
        <v>0</v>
      </c>
      <c r="O214" s="48">
        <v>0</v>
      </c>
      <c r="P214" s="48">
        <v>0</v>
      </c>
      <c r="Q214" s="48">
        <v>0</v>
      </c>
      <c r="R214" s="48">
        <v>0</v>
      </c>
      <c r="S214" s="48">
        <v>0</v>
      </c>
      <c r="T214" s="48">
        <v>0</v>
      </c>
      <c r="U214" s="48">
        <v>0</v>
      </c>
      <c r="V214" s="48">
        <v>0</v>
      </c>
      <c r="W214" s="48">
        <v>0</v>
      </c>
      <c r="X214" s="48">
        <v>0</v>
      </c>
      <c r="Y214" s="48">
        <v>0</v>
      </c>
      <c r="Z214" s="48">
        <v>0</v>
      </c>
      <c r="AA214" s="48">
        <v>0</v>
      </c>
      <c r="AB214" s="48">
        <v>0</v>
      </c>
      <c r="AC214" s="48">
        <v>0</v>
      </c>
      <c r="AD214" s="48">
        <v>0</v>
      </c>
      <c r="AE214" s="48">
        <v>0</v>
      </c>
      <c r="AF214" s="48">
        <v>0</v>
      </c>
      <c r="AG214" s="48">
        <v>0</v>
      </c>
      <c r="AH214" s="48">
        <v>0</v>
      </c>
      <c r="AI214" s="48">
        <v>0</v>
      </c>
      <c r="AJ214" s="48">
        <v>0</v>
      </c>
      <c r="AK214" s="48">
        <v>0</v>
      </c>
      <c r="AL214" s="48">
        <v>0</v>
      </c>
      <c r="AM214" s="48">
        <v>0</v>
      </c>
      <c r="AN214" s="48">
        <v>0</v>
      </c>
      <c r="AO214" s="48">
        <v>0</v>
      </c>
      <c r="AP214" s="48">
        <v>0</v>
      </c>
      <c r="AQ214" s="48">
        <v>0</v>
      </c>
      <c r="AR214" s="48">
        <v>0</v>
      </c>
      <c r="AS214" s="48">
        <v>0</v>
      </c>
      <c r="AT214" s="48">
        <v>0</v>
      </c>
      <c r="AU214" s="48">
        <v>0</v>
      </c>
      <c r="AV214" s="48">
        <v>0</v>
      </c>
      <c r="AW214" s="48">
        <v>0</v>
      </c>
      <c r="AX214" s="48">
        <v>0</v>
      </c>
      <c r="AY214" s="48">
        <v>0</v>
      </c>
      <c r="AZ214" s="48">
        <v>0</v>
      </c>
      <c r="BA214" s="48">
        <v>0</v>
      </c>
      <c r="BB214" s="48">
        <v>0</v>
      </c>
      <c r="BC214" s="48">
        <v>0</v>
      </c>
      <c r="BD214" s="48">
        <v>0</v>
      </c>
      <c r="BE214" s="48">
        <v>0</v>
      </c>
      <c r="BF214" s="48">
        <v>0</v>
      </c>
      <c r="BG214" s="48">
        <v>0</v>
      </c>
      <c r="BH214" s="48">
        <v>0</v>
      </c>
      <c r="BI214" s="48">
        <v>0</v>
      </c>
      <c r="BJ214" s="48">
        <v>0</v>
      </c>
      <c r="BK214" s="48">
        <v>0</v>
      </c>
      <c r="BL214" s="48">
        <v>0</v>
      </c>
      <c r="BM214" s="48">
        <v>0</v>
      </c>
      <c r="BN214" s="48">
        <v>0</v>
      </c>
      <c r="BO214" s="48">
        <v>0</v>
      </c>
      <c r="BP214" s="48">
        <v>0</v>
      </c>
      <c r="BQ214" s="48">
        <v>0</v>
      </c>
      <c r="BR214" s="48">
        <v>0</v>
      </c>
      <c r="BS214" s="48">
        <v>0</v>
      </c>
      <c r="BT214" s="48">
        <v>0</v>
      </c>
      <c r="BU214" s="48">
        <v>0</v>
      </c>
      <c r="BV214" s="48">
        <v>0</v>
      </c>
      <c r="BW214" s="48">
        <v>0</v>
      </c>
      <c r="BX214" s="48">
        <v>0</v>
      </c>
      <c r="BY214" s="48">
        <v>0</v>
      </c>
      <c r="BZ214" s="48">
        <v>0</v>
      </c>
      <c r="CA214" s="48">
        <v>0</v>
      </c>
      <c r="CB214" s="48">
        <v>0</v>
      </c>
      <c r="CC214" s="48">
        <v>0</v>
      </c>
      <c r="CD214" s="48">
        <v>0</v>
      </c>
      <c r="CE214" s="48">
        <v>0</v>
      </c>
      <c r="CF214" s="48">
        <v>0</v>
      </c>
      <c r="CG214" s="48">
        <v>0</v>
      </c>
      <c r="CH214" s="48">
        <v>0</v>
      </c>
      <c r="CI214" s="48">
        <v>0</v>
      </c>
      <c r="CJ214" s="48">
        <v>0</v>
      </c>
      <c r="CK214" s="48">
        <v>0</v>
      </c>
      <c r="CL214" s="48">
        <v>0</v>
      </c>
      <c r="CM214" s="48">
        <v>1.7093978147275531E-8</v>
      </c>
      <c r="CN214" s="48">
        <v>0</v>
      </c>
      <c r="CO214" s="48">
        <v>0</v>
      </c>
      <c r="CP214" s="48">
        <v>0</v>
      </c>
      <c r="CQ214" s="48">
        <v>0</v>
      </c>
      <c r="CR214" s="48">
        <v>3.9897235606574503E-13</v>
      </c>
      <c r="CS214" s="48">
        <v>0</v>
      </c>
      <c r="CT214" s="48">
        <v>0</v>
      </c>
      <c r="CU214" s="48">
        <v>4.1356934621636533E-7</v>
      </c>
      <c r="CV214" s="48">
        <v>9.6938763889643851E-7</v>
      </c>
      <c r="CW214" s="48">
        <v>0</v>
      </c>
      <c r="CX214" s="48">
        <v>0</v>
      </c>
      <c r="CY214" s="48">
        <v>0</v>
      </c>
      <c r="CZ214" s="48">
        <v>0</v>
      </c>
      <c r="DA214" s="48">
        <v>1.4191120262591445E-8</v>
      </c>
      <c r="DB214" s="48">
        <v>0</v>
      </c>
      <c r="DC214" s="48">
        <v>0</v>
      </c>
      <c r="DD214" s="48">
        <v>0</v>
      </c>
      <c r="DE214" s="48">
        <v>2.8857363113983199E-5</v>
      </c>
      <c r="DF214" s="48">
        <v>0</v>
      </c>
      <c r="DG214" s="48">
        <v>0</v>
      </c>
      <c r="DH214" s="48">
        <v>0</v>
      </c>
      <c r="DI214" s="48">
        <v>0</v>
      </c>
      <c r="DJ214" s="48">
        <v>8.2973648701801317E-11</v>
      </c>
      <c r="DK214" s="48">
        <v>0</v>
      </c>
      <c r="DL214" s="48">
        <v>1.5391412726009648E-2</v>
      </c>
      <c r="DM214" s="48">
        <v>0</v>
      </c>
      <c r="DN214" s="48">
        <v>0</v>
      </c>
      <c r="DO214" s="48">
        <v>0</v>
      </c>
      <c r="DP214" s="48">
        <v>0</v>
      </c>
      <c r="DQ214" s="48">
        <v>0</v>
      </c>
      <c r="DR214" s="48">
        <v>9.0339739004387215E-14</v>
      </c>
      <c r="DS214" s="48">
        <v>0</v>
      </c>
      <c r="DT214" s="48">
        <v>0</v>
      </c>
      <c r="DU214" s="48">
        <v>0</v>
      </c>
      <c r="DV214" s="48">
        <v>0</v>
      </c>
      <c r="DW214" s="48">
        <v>0</v>
      </c>
      <c r="DX214" s="48">
        <v>0</v>
      </c>
      <c r="DY214" s="48">
        <v>3.4487434933323412E-19</v>
      </c>
      <c r="DZ214" s="48">
        <v>0</v>
      </c>
      <c r="EA214" s="48">
        <v>0</v>
      </c>
      <c r="EB214" s="48">
        <v>9.6000053958926946E-13</v>
      </c>
      <c r="EC214" s="48">
        <v>2.7765429057668393E-14</v>
      </c>
      <c r="ED214" s="48">
        <v>0</v>
      </c>
      <c r="EE214" s="48">
        <v>0</v>
      </c>
      <c r="EF214" s="48">
        <v>0</v>
      </c>
      <c r="EG214" s="48">
        <v>0</v>
      </c>
      <c r="EH214" s="48">
        <v>0</v>
      </c>
      <c r="EI214" s="48">
        <v>1.0195352395883522E-9</v>
      </c>
      <c r="EJ214" s="48">
        <v>1.8945032274673103E-8</v>
      </c>
      <c r="EK214" s="48">
        <v>0</v>
      </c>
      <c r="EL214" s="48">
        <v>0</v>
      </c>
      <c r="EM214" s="48">
        <v>0</v>
      </c>
      <c r="EN214" s="48">
        <v>0</v>
      </c>
      <c r="EO214" s="48">
        <v>0</v>
      </c>
      <c r="EP214" s="48">
        <v>0</v>
      </c>
      <c r="EQ214" s="48">
        <v>0</v>
      </c>
      <c r="ER214" s="48">
        <v>2.3959049932666355E-14</v>
      </c>
      <c r="ES214" s="48">
        <v>4.1896118675962662E-16</v>
      </c>
      <c r="ET214" s="48">
        <v>0</v>
      </c>
      <c r="EU214" s="48">
        <v>0</v>
      </c>
      <c r="EV214" s="48">
        <v>0</v>
      </c>
      <c r="EW214" s="48">
        <v>5.4265866042630196E-3</v>
      </c>
      <c r="EX214" s="48">
        <v>0</v>
      </c>
      <c r="EY214" s="48">
        <v>0</v>
      </c>
      <c r="EZ214" s="48">
        <v>0</v>
      </c>
      <c r="FA214" s="48">
        <v>6.0709459685779296E-18</v>
      </c>
      <c r="FB214" s="48">
        <v>1.6643893063460981E-19</v>
      </c>
      <c r="FC214" s="48">
        <v>0</v>
      </c>
      <c r="FD214" s="48">
        <v>0</v>
      </c>
      <c r="FE214" s="48">
        <v>0</v>
      </c>
      <c r="FF214" s="48">
        <v>0</v>
      </c>
      <c r="FG214" s="48">
        <v>0</v>
      </c>
      <c r="FH214" s="48">
        <v>0</v>
      </c>
      <c r="FI214" s="48">
        <v>0</v>
      </c>
      <c r="FJ214" s="48">
        <v>0</v>
      </c>
      <c r="FK214" s="48">
        <v>0</v>
      </c>
      <c r="FL214" s="48">
        <v>0</v>
      </c>
      <c r="FM214" s="48">
        <v>3.1744937437514993E-14</v>
      </c>
      <c r="FN214" s="48">
        <v>0</v>
      </c>
      <c r="FO214" s="48">
        <v>0</v>
      </c>
      <c r="FP214" s="48">
        <v>1.3510333085592098E-12</v>
      </c>
      <c r="FQ214" s="48">
        <v>0</v>
      </c>
      <c r="FR214" s="48">
        <v>0</v>
      </c>
      <c r="FS214" s="48">
        <v>0</v>
      </c>
      <c r="FT214" s="48">
        <v>0</v>
      </c>
      <c r="FU214" s="48">
        <v>0</v>
      </c>
      <c r="FV214" s="48">
        <v>1.1274892276140575E-18</v>
      </c>
      <c r="FW214" s="48">
        <v>458.07151438264322</v>
      </c>
      <c r="FX214" s="48">
        <v>965.60647805526025</v>
      </c>
      <c r="FY214" s="48">
        <v>5094.0881142963681</v>
      </c>
      <c r="FZ214" s="48">
        <v>149.89082577000812</v>
      </c>
      <c r="GA214" s="48">
        <v>3432.565671230524</v>
      </c>
      <c r="GB214" s="48">
        <v>270.65137522310005</v>
      </c>
      <c r="GC214" s="48">
        <v>0</v>
      </c>
      <c r="GD214" s="48">
        <v>0</v>
      </c>
      <c r="GE214" s="48">
        <v>0</v>
      </c>
      <c r="GF214" s="48">
        <v>0</v>
      </c>
      <c r="GG214" s="48">
        <v>949.75546210666232</v>
      </c>
      <c r="GH214" s="48">
        <v>838.69240858924786</v>
      </c>
      <c r="GI214" s="48">
        <v>1.8817722358731783</v>
      </c>
      <c r="GJ214" s="48">
        <v>106.42183477437469</v>
      </c>
      <c r="GK214" s="48">
        <v>222.16121046712652</v>
      </c>
      <c r="GL214" s="48">
        <v>222.14408911293529</v>
      </c>
      <c r="GM214" s="48">
        <v>165.34326503193111</v>
      </c>
      <c r="GN214" s="48">
        <v>6.5951569403125809</v>
      </c>
      <c r="GO214" s="48">
        <v>55.046963772186935</v>
      </c>
      <c r="GP214" s="48">
        <v>24.498680787178909</v>
      </c>
      <c r="GQ214" s="48">
        <v>178.08845770571224</v>
      </c>
      <c r="GR214" s="48">
        <v>0</v>
      </c>
      <c r="GS214" s="48">
        <v>0</v>
      </c>
      <c r="GT214" s="48">
        <v>0</v>
      </c>
      <c r="GU214" s="48">
        <v>0</v>
      </c>
      <c r="GV214" s="48">
        <v>0</v>
      </c>
      <c r="GW214" s="48">
        <v>0</v>
      </c>
      <c r="GX214" s="48">
        <v>0</v>
      </c>
      <c r="GY214" s="48">
        <v>14042.212591569007</v>
      </c>
      <c r="GZ214" s="48">
        <v>0</v>
      </c>
      <c r="HA214" s="48">
        <v>2133.2632796584867</v>
      </c>
      <c r="HB214" s="48">
        <v>0</v>
      </c>
      <c r="HC214" s="48">
        <v>0</v>
      </c>
      <c r="HD214" s="48">
        <v>0</v>
      </c>
      <c r="HE214" s="48">
        <v>0</v>
      </c>
      <c r="HF214" s="48">
        <v>0</v>
      </c>
      <c r="HG214" s="48">
        <v>0</v>
      </c>
      <c r="HH214" s="48">
        <v>0</v>
      </c>
      <c r="HI214" s="48">
        <v>0</v>
      </c>
      <c r="HJ214" s="48">
        <v>0</v>
      </c>
      <c r="HK214" s="48">
        <v>0</v>
      </c>
      <c r="HL214" s="48">
        <v>0</v>
      </c>
      <c r="HM214" s="48">
        <v>0</v>
      </c>
      <c r="HN214" s="48">
        <v>0</v>
      </c>
      <c r="HO214" s="48">
        <v>0</v>
      </c>
      <c r="HP214" s="48">
        <v>0</v>
      </c>
      <c r="HQ214" s="48">
        <v>0</v>
      </c>
      <c r="HR214" s="48">
        <v>0</v>
      </c>
      <c r="HS214" s="48">
        <v>0</v>
      </c>
      <c r="HT214" s="48">
        <v>0</v>
      </c>
      <c r="HU214" s="48">
        <v>0</v>
      </c>
      <c r="HV214" s="48">
        <v>0</v>
      </c>
      <c r="HW214" s="48">
        <v>0</v>
      </c>
      <c r="HX214" s="48">
        <v>0</v>
      </c>
      <c r="HY214" s="48">
        <v>0</v>
      </c>
      <c r="HZ214" s="48">
        <v>0</v>
      </c>
      <c r="IA214" s="48">
        <v>0</v>
      </c>
      <c r="IB214" s="48">
        <v>0</v>
      </c>
      <c r="IC214" s="48">
        <v>0</v>
      </c>
      <c r="ID214" s="48">
        <v>0</v>
      </c>
      <c r="IE214" s="48">
        <v>0</v>
      </c>
      <c r="IF214" s="48">
        <v>0</v>
      </c>
      <c r="IG214" s="48">
        <v>0</v>
      </c>
      <c r="IH214" s="48">
        <v>0</v>
      </c>
      <c r="II214" s="48">
        <v>0</v>
      </c>
      <c r="IJ214" s="48">
        <v>0</v>
      </c>
      <c r="IK214" s="48">
        <v>0</v>
      </c>
      <c r="IL214" s="48">
        <v>0</v>
      </c>
      <c r="IM214" s="48">
        <v>0</v>
      </c>
      <c r="IN214" s="48">
        <v>0</v>
      </c>
      <c r="IO214" s="48">
        <v>0</v>
      </c>
      <c r="IP214" s="23">
        <v>29316.999999999927</v>
      </c>
      <c r="IQ214" s="25">
        <v>139975</v>
      </c>
      <c r="IR214" s="25">
        <v>0</v>
      </c>
      <c r="IS214" s="26">
        <v>0</v>
      </c>
      <c r="IT214" s="26">
        <v>0</v>
      </c>
      <c r="IU214" s="26">
        <v>0</v>
      </c>
      <c r="IV214" s="9">
        <v>0</v>
      </c>
      <c r="IW214" s="38">
        <f t="shared" si="34"/>
        <v>169291.99999999994</v>
      </c>
    </row>
    <row r="215" spans="1:257" ht="30" customHeight="1" x14ac:dyDescent="0.25">
      <c r="A215" s="112" t="b">
        <v>1</v>
      </c>
      <c r="B215" s="113" t="str">
        <f>IFERROR(VLOOKUP(C215,'Bridge matrix'!$D$3:$E$727,2,FALSE)='symmetric IOT 245 2012'!D215,"FALSCH")</f>
        <v>FALSCH</v>
      </c>
      <c r="C215" s="108">
        <v>204</v>
      </c>
      <c r="D215" s="49" t="s">
        <v>1521</v>
      </c>
      <c r="E215" s="48">
        <v>0</v>
      </c>
      <c r="F215" s="48">
        <v>0</v>
      </c>
      <c r="G215" s="48">
        <v>0</v>
      </c>
      <c r="H215" s="48">
        <v>0</v>
      </c>
      <c r="I215" s="48">
        <v>0</v>
      </c>
      <c r="J215" s="48">
        <v>0</v>
      </c>
      <c r="K215" s="48">
        <v>0</v>
      </c>
      <c r="L215" s="48">
        <v>0</v>
      </c>
      <c r="M215" s="48">
        <v>0</v>
      </c>
      <c r="N215" s="48">
        <v>0</v>
      </c>
      <c r="O215" s="48">
        <v>0</v>
      </c>
      <c r="P215" s="48">
        <v>0</v>
      </c>
      <c r="Q215" s="48">
        <v>0</v>
      </c>
      <c r="R215" s="48">
        <v>0</v>
      </c>
      <c r="S215" s="48">
        <v>0</v>
      </c>
      <c r="T215" s="48">
        <v>0</v>
      </c>
      <c r="U215" s="48">
        <v>0</v>
      </c>
      <c r="V215" s="48">
        <v>0</v>
      </c>
      <c r="W215" s="48">
        <v>0</v>
      </c>
      <c r="X215" s="48">
        <v>0</v>
      </c>
      <c r="Y215" s="48">
        <v>0</v>
      </c>
      <c r="Z215" s="48">
        <v>0</v>
      </c>
      <c r="AA215" s="48">
        <v>0</v>
      </c>
      <c r="AB215" s="48">
        <v>0</v>
      </c>
      <c r="AC215" s="48">
        <v>0</v>
      </c>
      <c r="AD215" s="48">
        <v>0</v>
      </c>
      <c r="AE215" s="48">
        <v>0</v>
      </c>
      <c r="AF215" s="48">
        <v>0</v>
      </c>
      <c r="AG215" s="48">
        <v>0</v>
      </c>
      <c r="AH215" s="48">
        <v>0</v>
      </c>
      <c r="AI215" s="48">
        <v>0</v>
      </c>
      <c r="AJ215" s="48">
        <v>0</v>
      </c>
      <c r="AK215" s="48">
        <v>0</v>
      </c>
      <c r="AL215" s="48">
        <v>0</v>
      </c>
      <c r="AM215" s="48">
        <v>0</v>
      </c>
      <c r="AN215" s="48">
        <v>0</v>
      </c>
      <c r="AO215" s="48">
        <v>0</v>
      </c>
      <c r="AP215" s="48">
        <v>0</v>
      </c>
      <c r="AQ215" s="48">
        <v>0</v>
      </c>
      <c r="AR215" s="48">
        <v>0</v>
      </c>
      <c r="AS215" s="48">
        <v>0</v>
      </c>
      <c r="AT215" s="48">
        <v>0</v>
      </c>
      <c r="AU215" s="48">
        <v>0</v>
      </c>
      <c r="AV215" s="48">
        <v>0</v>
      </c>
      <c r="AW215" s="48">
        <v>0</v>
      </c>
      <c r="AX215" s="48">
        <v>0</v>
      </c>
      <c r="AY215" s="48">
        <v>0</v>
      </c>
      <c r="AZ215" s="48">
        <v>0</v>
      </c>
      <c r="BA215" s="48">
        <v>0</v>
      </c>
      <c r="BB215" s="48">
        <v>0</v>
      </c>
      <c r="BC215" s="48">
        <v>0</v>
      </c>
      <c r="BD215" s="48">
        <v>0</v>
      </c>
      <c r="BE215" s="48">
        <v>0</v>
      </c>
      <c r="BF215" s="48">
        <v>0</v>
      </c>
      <c r="BG215" s="48">
        <v>0</v>
      </c>
      <c r="BH215" s="48">
        <v>0</v>
      </c>
      <c r="BI215" s="48">
        <v>0</v>
      </c>
      <c r="BJ215" s="48">
        <v>0</v>
      </c>
      <c r="BK215" s="48">
        <v>0</v>
      </c>
      <c r="BL215" s="48">
        <v>0</v>
      </c>
      <c r="BM215" s="48">
        <v>0</v>
      </c>
      <c r="BN215" s="48">
        <v>0</v>
      </c>
      <c r="BO215" s="48">
        <v>0</v>
      </c>
      <c r="BP215" s="48">
        <v>0</v>
      </c>
      <c r="BQ215" s="48">
        <v>0</v>
      </c>
      <c r="BR215" s="48">
        <v>0</v>
      </c>
      <c r="BS215" s="48">
        <v>0</v>
      </c>
      <c r="BT215" s="48">
        <v>0</v>
      </c>
      <c r="BU215" s="48">
        <v>0</v>
      </c>
      <c r="BV215" s="48">
        <v>0</v>
      </c>
      <c r="BW215" s="48">
        <v>0</v>
      </c>
      <c r="BX215" s="48">
        <v>0</v>
      </c>
      <c r="BY215" s="48">
        <v>0</v>
      </c>
      <c r="BZ215" s="48">
        <v>0</v>
      </c>
      <c r="CA215" s="48">
        <v>0</v>
      </c>
      <c r="CB215" s="48">
        <v>0</v>
      </c>
      <c r="CC215" s="48">
        <v>0</v>
      </c>
      <c r="CD215" s="48">
        <v>0</v>
      </c>
      <c r="CE215" s="48">
        <v>0</v>
      </c>
      <c r="CF215" s="48">
        <v>0</v>
      </c>
      <c r="CG215" s="48">
        <v>0</v>
      </c>
      <c r="CH215" s="48">
        <v>0</v>
      </c>
      <c r="CI215" s="48">
        <v>654.54493012098374</v>
      </c>
      <c r="CJ215" s="48">
        <v>589.36899028597827</v>
      </c>
      <c r="CK215" s="48">
        <v>54.48697649267735</v>
      </c>
      <c r="CL215" s="48">
        <v>372.29571369576513</v>
      </c>
      <c r="CM215" s="48">
        <v>231.91501838253785</v>
      </c>
      <c r="CN215" s="48">
        <v>1067.6318907832613</v>
      </c>
      <c r="CO215" s="48">
        <v>717.39804925174099</v>
      </c>
      <c r="CP215" s="48">
        <v>70.393109233957318</v>
      </c>
      <c r="CQ215" s="48">
        <v>273.29329920661684</v>
      </c>
      <c r="CR215" s="48">
        <v>1587.6440512721201</v>
      </c>
      <c r="CS215" s="48">
        <v>0</v>
      </c>
      <c r="CT215" s="48">
        <v>1.2965216895193952E-2</v>
      </c>
      <c r="CU215" s="48">
        <v>0</v>
      </c>
      <c r="CV215" s="48">
        <v>0</v>
      </c>
      <c r="CW215" s="48">
        <v>0</v>
      </c>
      <c r="CX215" s="48">
        <v>1.2067796003818914E-3</v>
      </c>
      <c r="CY215" s="48">
        <v>0.11076089081183972</v>
      </c>
      <c r="CZ215" s="48">
        <v>8.2496290587039424E-3</v>
      </c>
      <c r="DA215" s="48">
        <v>0</v>
      </c>
      <c r="DB215" s="48">
        <v>0</v>
      </c>
      <c r="DC215" s="48">
        <v>5.8064551182045376E-3</v>
      </c>
      <c r="DD215" s="48">
        <v>0</v>
      </c>
      <c r="DE215" s="48">
        <v>5.2832397561349255E-2</v>
      </c>
      <c r="DF215" s="48">
        <v>0</v>
      </c>
      <c r="DG215" s="48">
        <v>0</v>
      </c>
      <c r="DH215" s="48">
        <v>0</v>
      </c>
      <c r="DI215" s="48">
        <v>0.22580273661182532</v>
      </c>
      <c r="DJ215" s="48">
        <v>0</v>
      </c>
      <c r="DK215" s="48">
        <v>0.15487468940182703</v>
      </c>
      <c r="DL215" s="48">
        <v>0</v>
      </c>
      <c r="DM215" s="48">
        <v>0</v>
      </c>
      <c r="DN215" s="48">
        <v>0</v>
      </c>
      <c r="DO215" s="48">
        <v>0</v>
      </c>
      <c r="DP215" s="48">
        <v>0</v>
      </c>
      <c r="DQ215" s="48">
        <v>0</v>
      </c>
      <c r="DR215" s="48">
        <v>0</v>
      </c>
      <c r="DS215" s="48">
        <v>0</v>
      </c>
      <c r="DT215" s="48">
        <v>0</v>
      </c>
      <c r="DU215" s="48">
        <v>0</v>
      </c>
      <c r="DV215" s="48">
        <v>0</v>
      </c>
      <c r="DW215" s="48">
        <v>0</v>
      </c>
      <c r="DX215" s="48">
        <v>0</v>
      </c>
      <c r="DY215" s="48">
        <v>0</v>
      </c>
      <c r="DZ215" s="48">
        <v>0</v>
      </c>
      <c r="EA215" s="48">
        <v>0</v>
      </c>
      <c r="EB215" s="48">
        <v>0</v>
      </c>
      <c r="EC215" s="48">
        <v>0</v>
      </c>
      <c r="ED215" s="48">
        <v>0</v>
      </c>
      <c r="EE215" s="48">
        <v>0</v>
      </c>
      <c r="EF215" s="48">
        <v>0</v>
      </c>
      <c r="EG215" s="48">
        <v>0</v>
      </c>
      <c r="EH215" s="48">
        <v>0</v>
      </c>
      <c r="EI215" s="48">
        <v>0</v>
      </c>
      <c r="EJ215" s="48">
        <v>0</v>
      </c>
      <c r="EK215" s="48">
        <v>0</v>
      </c>
      <c r="EL215" s="48">
        <v>4.8892357039116077E-8</v>
      </c>
      <c r="EM215" s="48">
        <v>7.4317271422253197E-8</v>
      </c>
      <c r="EN215" s="48">
        <v>2.2081115266763631E-3</v>
      </c>
      <c r="EO215" s="48">
        <v>0</v>
      </c>
      <c r="EP215" s="48">
        <v>1.3471403901229167E-7</v>
      </c>
      <c r="EQ215" s="48">
        <v>0</v>
      </c>
      <c r="ER215" s="48">
        <v>0</v>
      </c>
      <c r="ES215" s="48">
        <v>0</v>
      </c>
      <c r="ET215" s="48">
        <v>1.598369463024551E-8</v>
      </c>
      <c r="EU215" s="48">
        <v>0</v>
      </c>
      <c r="EV215" s="48">
        <v>0</v>
      </c>
      <c r="EW215" s="48">
        <v>5.2805885472586205E-3</v>
      </c>
      <c r="EX215" s="48">
        <v>0</v>
      </c>
      <c r="EY215" s="48">
        <v>0</v>
      </c>
      <c r="EZ215" s="48">
        <v>0</v>
      </c>
      <c r="FA215" s="48">
        <v>0</v>
      </c>
      <c r="FB215" s="48">
        <v>0</v>
      </c>
      <c r="FC215" s="48">
        <v>0</v>
      </c>
      <c r="FD215" s="48">
        <v>1.3160574429685774E-13</v>
      </c>
      <c r="FE215" s="48">
        <v>0</v>
      </c>
      <c r="FF215" s="48">
        <v>0</v>
      </c>
      <c r="FG215" s="48">
        <v>3.3779482605559495E-14</v>
      </c>
      <c r="FH215" s="48">
        <v>2.4214010751584907E-14</v>
      </c>
      <c r="FI215" s="48">
        <v>3.7500207265511312E-14</v>
      </c>
      <c r="FJ215" s="48">
        <v>0</v>
      </c>
      <c r="FK215" s="48">
        <v>0</v>
      </c>
      <c r="FL215" s="48">
        <v>0</v>
      </c>
      <c r="FM215" s="48">
        <v>0</v>
      </c>
      <c r="FN215" s="48">
        <v>0</v>
      </c>
      <c r="FO215" s="48">
        <v>0</v>
      </c>
      <c r="FP215" s="48">
        <v>0</v>
      </c>
      <c r="FQ215" s="48">
        <v>0</v>
      </c>
      <c r="FR215" s="48">
        <v>6.4580039346356454E-15</v>
      </c>
      <c r="FS215" s="48">
        <v>0</v>
      </c>
      <c r="FT215" s="48">
        <v>1.7590341225455435E-15</v>
      </c>
      <c r="FU215" s="48">
        <v>0</v>
      </c>
      <c r="FV215" s="48">
        <v>0</v>
      </c>
      <c r="FW215" s="48">
        <v>445.74746016977684</v>
      </c>
      <c r="FX215" s="48">
        <v>938.33277402527119</v>
      </c>
      <c r="FY215" s="48">
        <v>9.9843036180239135</v>
      </c>
      <c r="FZ215" s="48">
        <v>0</v>
      </c>
      <c r="GA215" s="48">
        <v>2.1985373464160838</v>
      </c>
      <c r="GB215" s="48">
        <v>37.343615542908481</v>
      </c>
      <c r="GC215" s="48">
        <v>0</v>
      </c>
      <c r="GD215" s="48">
        <v>0</v>
      </c>
      <c r="GE215" s="48">
        <v>0</v>
      </c>
      <c r="GF215" s="48">
        <v>0</v>
      </c>
      <c r="GG215" s="48">
        <v>0</v>
      </c>
      <c r="GH215" s="48">
        <v>0</v>
      </c>
      <c r="GI215" s="48">
        <v>0</v>
      </c>
      <c r="GJ215" s="48">
        <v>0</v>
      </c>
      <c r="GK215" s="48">
        <v>0</v>
      </c>
      <c r="GL215" s="48">
        <v>0</v>
      </c>
      <c r="GM215" s="48">
        <v>0</v>
      </c>
      <c r="GN215" s="48">
        <v>0</v>
      </c>
      <c r="GO215" s="48">
        <v>0</v>
      </c>
      <c r="GP215" s="48">
        <v>0</v>
      </c>
      <c r="GQ215" s="48">
        <v>0</v>
      </c>
      <c r="GR215" s="48">
        <v>0</v>
      </c>
      <c r="GS215" s="48">
        <v>0</v>
      </c>
      <c r="GT215" s="48">
        <v>1.6059131230459501E-17</v>
      </c>
      <c r="GU215" s="48">
        <v>0</v>
      </c>
      <c r="GV215" s="48">
        <v>0</v>
      </c>
      <c r="GW215" s="48">
        <v>0</v>
      </c>
      <c r="GX215" s="48">
        <v>2.3478845370891488E-15</v>
      </c>
      <c r="GY215" s="48">
        <v>0</v>
      </c>
      <c r="GZ215" s="48">
        <v>0</v>
      </c>
      <c r="HA215" s="48">
        <v>0</v>
      </c>
      <c r="HB215" s="48">
        <v>0</v>
      </c>
      <c r="HC215" s="48">
        <v>0</v>
      </c>
      <c r="HD215" s="48">
        <v>0</v>
      </c>
      <c r="HE215" s="48">
        <v>0</v>
      </c>
      <c r="HF215" s="48">
        <v>0</v>
      </c>
      <c r="HG215" s="48">
        <v>0</v>
      </c>
      <c r="HH215" s="48">
        <v>0</v>
      </c>
      <c r="HI215" s="48">
        <v>0</v>
      </c>
      <c r="HJ215" s="48">
        <v>0</v>
      </c>
      <c r="HK215" s="48">
        <v>0</v>
      </c>
      <c r="HL215" s="48">
        <v>0</v>
      </c>
      <c r="HM215" s="48">
        <v>0</v>
      </c>
      <c r="HN215" s="48">
        <v>0</v>
      </c>
      <c r="HO215" s="48">
        <v>0</v>
      </c>
      <c r="HP215" s="48">
        <v>0</v>
      </c>
      <c r="HQ215" s="48">
        <v>0</v>
      </c>
      <c r="HR215" s="48">
        <v>0</v>
      </c>
      <c r="HS215" s="48">
        <v>0</v>
      </c>
      <c r="HT215" s="48">
        <v>0</v>
      </c>
      <c r="HU215" s="48">
        <v>0</v>
      </c>
      <c r="HV215" s="48">
        <v>0</v>
      </c>
      <c r="HW215" s="48">
        <v>0</v>
      </c>
      <c r="HX215" s="48">
        <v>0</v>
      </c>
      <c r="HY215" s="48">
        <v>0</v>
      </c>
      <c r="HZ215" s="48">
        <v>0</v>
      </c>
      <c r="IA215" s="48">
        <v>0</v>
      </c>
      <c r="IB215" s="48">
        <v>0</v>
      </c>
      <c r="IC215" s="48">
        <v>0</v>
      </c>
      <c r="ID215" s="48">
        <v>0</v>
      </c>
      <c r="IE215" s="48">
        <v>0</v>
      </c>
      <c r="IF215" s="48">
        <v>0</v>
      </c>
      <c r="IG215" s="48">
        <v>0</v>
      </c>
      <c r="IH215" s="48">
        <v>0</v>
      </c>
      <c r="II215" s="48">
        <v>0</v>
      </c>
      <c r="IJ215" s="48">
        <v>0</v>
      </c>
      <c r="IK215" s="48">
        <v>4.8412928028724602</v>
      </c>
      <c r="IL215" s="48">
        <v>0</v>
      </c>
      <c r="IM215" s="48">
        <v>0</v>
      </c>
      <c r="IN215" s="48">
        <v>0</v>
      </c>
      <c r="IO215" s="48">
        <v>0</v>
      </c>
      <c r="IP215" s="23">
        <v>7057.9999999999491</v>
      </c>
      <c r="IQ215" s="25">
        <v>71625</v>
      </c>
      <c r="IR215" s="25">
        <v>0</v>
      </c>
      <c r="IS215" s="26">
        <v>0</v>
      </c>
      <c r="IT215" s="26">
        <v>0</v>
      </c>
      <c r="IU215" s="26">
        <v>0</v>
      </c>
      <c r="IV215" s="9">
        <v>0</v>
      </c>
      <c r="IW215" s="38">
        <f t="shared" si="34"/>
        <v>78682.999999999942</v>
      </c>
    </row>
    <row r="216" spans="1:257" ht="30" customHeight="1" x14ac:dyDescent="0.25">
      <c r="A216" s="112" t="b">
        <v>1</v>
      </c>
      <c r="B216" s="113" t="b">
        <f>IFERROR(VLOOKUP(C216,'Bridge matrix'!$D$3:$E$727,2,FALSE)='symmetric IOT 245 2012'!D216,"FALSCH")</f>
        <v>1</v>
      </c>
      <c r="C216" s="108">
        <v>205</v>
      </c>
      <c r="D216" s="49" t="s">
        <v>1522</v>
      </c>
      <c r="E216" s="48">
        <v>44.61418523296993</v>
      </c>
      <c r="F216" s="48">
        <v>5.6441675078990272</v>
      </c>
      <c r="G216" s="48">
        <v>9.0754086794786506</v>
      </c>
      <c r="H216" s="48">
        <v>0</v>
      </c>
      <c r="I216" s="48">
        <v>1.1630166384702729</v>
      </c>
      <c r="J216" s="48">
        <v>4.9995774796328822</v>
      </c>
      <c r="K216" s="48">
        <v>11.339884322385544</v>
      </c>
      <c r="L216" s="48">
        <v>0.76734370897042126</v>
      </c>
      <c r="M216" s="48">
        <v>0</v>
      </c>
      <c r="N216" s="48">
        <v>0</v>
      </c>
      <c r="O216" s="48">
        <v>693.56358166394693</v>
      </c>
      <c r="P216" s="48">
        <v>101.00850934004579</v>
      </c>
      <c r="Q216" s="48">
        <v>9.5255118190170744</v>
      </c>
      <c r="R216" s="48">
        <v>503.98622760768797</v>
      </c>
      <c r="S216" s="48">
        <v>1.9107024391839329</v>
      </c>
      <c r="T216" s="48">
        <v>46.607377596287328</v>
      </c>
      <c r="U216" s="48">
        <v>6.0792303228200524</v>
      </c>
      <c r="V216" s="48">
        <v>12.974142525292779</v>
      </c>
      <c r="W216" s="48">
        <v>19.883608020715002</v>
      </c>
      <c r="X216" s="48">
        <v>0</v>
      </c>
      <c r="Y216" s="48">
        <v>8.6030752468991558</v>
      </c>
      <c r="Z216" s="48">
        <v>23.421794739870329</v>
      </c>
      <c r="AA216" s="48">
        <v>1.7296547354606038</v>
      </c>
      <c r="AB216" s="48">
        <v>1.7505157652134249</v>
      </c>
      <c r="AC216" s="48">
        <v>0</v>
      </c>
      <c r="AD216" s="48">
        <v>6.0772158865634296</v>
      </c>
      <c r="AE216" s="48">
        <v>8.6388805416659409</v>
      </c>
      <c r="AF216" s="48">
        <v>4.3420454857726094</v>
      </c>
      <c r="AG216" s="48">
        <v>9.5163740725983157</v>
      </c>
      <c r="AH216" s="48">
        <v>16.434376337059692</v>
      </c>
      <c r="AI216" s="48">
        <v>13.826903672568404</v>
      </c>
      <c r="AJ216" s="48">
        <v>8.6164959769955303</v>
      </c>
      <c r="AK216" s="48">
        <v>25.891885805388394</v>
      </c>
      <c r="AL216" s="48">
        <v>8.6491061957360245</v>
      </c>
      <c r="AM216" s="48">
        <v>0.87475352776832427</v>
      </c>
      <c r="AN216" s="48">
        <v>9.5289252073377426</v>
      </c>
      <c r="AO216" s="48">
        <v>6.0595621943105433</v>
      </c>
      <c r="AP216" s="48">
        <v>22.48462694791429</v>
      </c>
      <c r="AQ216" s="48">
        <v>8.6051152994449698</v>
      </c>
      <c r="AR216" s="48">
        <v>14.723939552077981</v>
      </c>
      <c r="AS216" s="48">
        <v>12.249569053364484</v>
      </c>
      <c r="AT216" s="48">
        <v>87.885904956723692</v>
      </c>
      <c r="AU216" s="48">
        <v>11.357498807356826</v>
      </c>
      <c r="AV216" s="48">
        <v>5.6940465787078294</v>
      </c>
      <c r="AW216" s="48">
        <v>3.6989211487546703</v>
      </c>
      <c r="AX216" s="48">
        <v>176.0473084324976</v>
      </c>
      <c r="AY216" s="48">
        <v>29.3589154082904</v>
      </c>
      <c r="AZ216" s="48">
        <v>4.7397855140806158</v>
      </c>
      <c r="BA216" s="48">
        <v>8.5275752966083331</v>
      </c>
      <c r="BB216" s="48">
        <v>184.70578196803035</v>
      </c>
      <c r="BC216" s="48">
        <v>30.586110009005164</v>
      </c>
      <c r="BD216" s="48">
        <v>477.31289422293713</v>
      </c>
      <c r="BE216" s="48">
        <v>1018.6108737379902</v>
      </c>
      <c r="BF216" s="48">
        <v>33.22731879552412</v>
      </c>
      <c r="BG216" s="48">
        <v>1.9608517963006069</v>
      </c>
      <c r="BH216" s="48">
        <v>205.30363954699956</v>
      </c>
      <c r="BI216" s="48">
        <v>24.558967096615152</v>
      </c>
      <c r="BJ216" s="48">
        <v>157.85418189160384</v>
      </c>
      <c r="BK216" s="48">
        <v>31.155997068835255</v>
      </c>
      <c r="BL216" s="48">
        <v>0.99220549498666155</v>
      </c>
      <c r="BM216" s="48">
        <v>90.60781439365978</v>
      </c>
      <c r="BN216" s="48">
        <v>7.5708083495564633</v>
      </c>
      <c r="BO216" s="48">
        <v>0</v>
      </c>
      <c r="BP216" s="48">
        <v>44.260237355426383</v>
      </c>
      <c r="BQ216" s="48">
        <v>6.12625141050518</v>
      </c>
      <c r="BR216" s="48">
        <v>0</v>
      </c>
      <c r="BS216" s="48">
        <v>0</v>
      </c>
      <c r="BT216" s="48">
        <v>1053.1201587454136</v>
      </c>
      <c r="BU216" s="48">
        <v>6007.0452699049647</v>
      </c>
      <c r="BV216" s="48">
        <v>1573.4756196096807</v>
      </c>
      <c r="BW216" s="48">
        <v>804.62724748496089</v>
      </c>
      <c r="BX216" s="48">
        <v>73.303006337368643</v>
      </c>
      <c r="BY216" s="48">
        <v>46.841332133412848</v>
      </c>
      <c r="BZ216" s="48">
        <v>33.29681453172428</v>
      </c>
      <c r="CA216" s="48">
        <v>1157.6058626197446</v>
      </c>
      <c r="CB216" s="48">
        <v>5.8161343894377104</v>
      </c>
      <c r="CC216" s="48">
        <v>4006.8107645983064</v>
      </c>
      <c r="CD216" s="48">
        <v>180.51942657380258</v>
      </c>
      <c r="CE216" s="48">
        <v>13.516804970129943</v>
      </c>
      <c r="CF216" s="48">
        <v>1.9304163756453037</v>
      </c>
      <c r="CG216" s="48">
        <v>139.89094140064654</v>
      </c>
      <c r="CH216" s="48">
        <v>13.089433924684981</v>
      </c>
      <c r="CI216" s="48">
        <v>20.107816753688578</v>
      </c>
      <c r="CJ216" s="48">
        <v>19.005587479807591</v>
      </c>
      <c r="CK216" s="48">
        <v>1.3057991521950822</v>
      </c>
      <c r="CL216" s="48">
        <v>0</v>
      </c>
      <c r="CM216" s="48">
        <v>6.9878546031065412</v>
      </c>
      <c r="CN216" s="48">
        <v>0</v>
      </c>
      <c r="CO216" s="48">
        <v>0</v>
      </c>
      <c r="CP216" s="48">
        <v>0</v>
      </c>
      <c r="CQ216" s="48">
        <v>0</v>
      </c>
      <c r="CR216" s="48">
        <v>0</v>
      </c>
      <c r="CS216" s="48">
        <v>140.87511515076602</v>
      </c>
      <c r="CT216" s="48">
        <v>674.19454321662226</v>
      </c>
      <c r="CU216" s="48">
        <v>508.68395588262564</v>
      </c>
      <c r="CV216" s="48">
        <v>571.93110625702047</v>
      </c>
      <c r="CW216" s="48">
        <v>97.240555931550276</v>
      </c>
      <c r="CX216" s="48">
        <v>425.62712219936384</v>
      </c>
      <c r="CY216" s="48">
        <v>370.16666797391338</v>
      </c>
      <c r="CZ216" s="48">
        <v>180.97836742310159</v>
      </c>
      <c r="DA216" s="48">
        <v>550.28470229686627</v>
      </c>
      <c r="DB216" s="48">
        <v>45.138638409610699</v>
      </c>
      <c r="DC216" s="48">
        <v>3.1794496549825255</v>
      </c>
      <c r="DD216" s="48">
        <v>621.6577696589203</v>
      </c>
      <c r="DE216" s="48">
        <v>291.14463371882999</v>
      </c>
      <c r="DF216" s="48">
        <v>4156.4506175262586</v>
      </c>
      <c r="DG216" s="48">
        <v>380.09927859380866</v>
      </c>
      <c r="DH216" s="48">
        <v>190.61041185971902</v>
      </c>
      <c r="DI216" s="48">
        <v>4.694982855390224</v>
      </c>
      <c r="DJ216" s="48">
        <v>1202.6486171076422</v>
      </c>
      <c r="DK216" s="48">
        <v>244.50677389535122</v>
      </c>
      <c r="DL216" s="48">
        <v>2797.2814938027764</v>
      </c>
      <c r="DM216" s="48">
        <v>1372.8607750344529</v>
      </c>
      <c r="DN216" s="48">
        <v>1569.2741433555157</v>
      </c>
      <c r="DO216" s="48">
        <v>187.6869423898539</v>
      </c>
      <c r="DP216" s="48">
        <v>352.49787404085225</v>
      </c>
      <c r="DQ216" s="48">
        <v>612.61015098172231</v>
      </c>
      <c r="DR216" s="48">
        <v>464.73010771671619</v>
      </c>
      <c r="DS216" s="48">
        <v>816.36399874853441</v>
      </c>
      <c r="DT216" s="48">
        <v>103.24728852010854</v>
      </c>
      <c r="DU216" s="48">
        <v>51.503640234980232</v>
      </c>
      <c r="DV216" s="48">
        <v>764.45972991074257</v>
      </c>
      <c r="DW216" s="48">
        <v>1072.2876421988619</v>
      </c>
      <c r="DX216" s="48">
        <v>534.13565626310071</v>
      </c>
      <c r="DY216" s="48">
        <v>75.845666955868722</v>
      </c>
      <c r="DZ216" s="48">
        <v>67.286114903171097</v>
      </c>
      <c r="EA216" s="48">
        <v>1291.1556104950303</v>
      </c>
      <c r="EB216" s="48">
        <v>870.79209020056294</v>
      </c>
      <c r="EC216" s="48">
        <v>3510.1155139185216</v>
      </c>
      <c r="ED216" s="48">
        <v>406.38465770559452</v>
      </c>
      <c r="EE216" s="48">
        <v>114.83978935253994</v>
      </c>
      <c r="EF216" s="48">
        <v>394.33244939722363</v>
      </c>
      <c r="EG216" s="48">
        <v>137.89280962517864</v>
      </c>
      <c r="EH216" s="48">
        <v>19.448895744391077</v>
      </c>
      <c r="EI216" s="48">
        <v>336.49462363821777</v>
      </c>
      <c r="EJ216" s="48">
        <v>359.01609399584368</v>
      </c>
      <c r="EK216" s="48">
        <v>145.63481493251902</v>
      </c>
      <c r="EL216" s="48">
        <v>687.96862425089</v>
      </c>
      <c r="EM216" s="48">
        <v>1393.1928751651355</v>
      </c>
      <c r="EN216" s="48">
        <v>1389.3823888670645</v>
      </c>
      <c r="EO216" s="48">
        <v>180.84788134707239</v>
      </c>
      <c r="EP216" s="48">
        <v>433.32477768758781</v>
      </c>
      <c r="EQ216" s="48">
        <v>421.37195915068247</v>
      </c>
      <c r="ER216" s="48">
        <v>540.46984060467264</v>
      </c>
      <c r="ES216" s="48">
        <v>65.991564959003114</v>
      </c>
      <c r="ET216" s="48">
        <v>1110.1319070644497</v>
      </c>
      <c r="EU216" s="48">
        <v>238.78203508391834</v>
      </c>
      <c r="EV216" s="48">
        <v>211.85010751600967</v>
      </c>
      <c r="EW216" s="48">
        <v>904.45137748785203</v>
      </c>
      <c r="EX216" s="48">
        <v>3224.3205171357504</v>
      </c>
      <c r="EY216" s="48">
        <v>202.36904339438621</v>
      </c>
      <c r="EZ216" s="48">
        <v>222.90234239847419</v>
      </c>
      <c r="FA216" s="48">
        <v>1030.9005115695375</v>
      </c>
      <c r="FB216" s="48">
        <v>808.95469877832215</v>
      </c>
      <c r="FC216" s="48">
        <v>732.14765121403298</v>
      </c>
      <c r="FD216" s="48">
        <v>1389.5457339361164</v>
      </c>
      <c r="FE216" s="48">
        <v>161.50742950297652</v>
      </c>
      <c r="FF216" s="48">
        <v>7.5225698163751176</v>
      </c>
      <c r="FG216" s="48">
        <v>874.20983032148217</v>
      </c>
      <c r="FH216" s="48">
        <v>515.1651049108093</v>
      </c>
      <c r="FI216" s="48">
        <v>169.15518548655251</v>
      </c>
      <c r="FJ216" s="48">
        <v>334.31893273425857</v>
      </c>
      <c r="FK216" s="48">
        <v>101.39508637172199</v>
      </c>
      <c r="FL216" s="48">
        <v>3.5029479875025258</v>
      </c>
      <c r="FM216" s="48">
        <v>324.65971581199273</v>
      </c>
      <c r="FN216" s="48">
        <v>78.376885222392346</v>
      </c>
      <c r="FO216" s="48">
        <v>45.080214959675502</v>
      </c>
      <c r="FP216" s="48">
        <v>546.91144595870594</v>
      </c>
      <c r="FQ216" s="48">
        <v>15.947015329925049</v>
      </c>
      <c r="FR216" s="48">
        <v>1331.2353197473278</v>
      </c>
      <c r="FS216" s="48">
        <v>27.951114134891458</v>
      </c>
      <c r="FT216" s="48">
        <v>7.366182016672143</v>
      </c>
      <c r="FU216" s="48">
        <v>54.02677350955139</v>
      </c>
      <c r="FV216" s="48">
        <v>222.81924515957607</v>
      </c>
      <c r="FW216" s="48">
        <v>4276.5327447750678</v>
      </c>
      <c r="FX216" s="48">
        <v>8812.4808111784005</v>
      </c>
      <c r="FY216" s="48">
        <v>2511.8454381249489</v>
      </c>
      <c r="FZ216" s="48">
        <v>53.206497576531547</v>
      </c>
      <c r="GA216" s="48">
        <v>511.98303097409047</v>
      </c>
      <c r="GB216" s="48">
        <v>17628.131662604872</v>
      </c>
      <c r="GC216" s="48">
        <v>36803.175043484924</v>
      </c>
      <c r="GD216" s="48">
        <v>599.81802434209601</v>
      </c>
      <c r="GE216" s="48">
        <v>2288.6978400569833</v>
      </c>
      <c r="GF216" s="48">
        <v>1576.7282207047824</v>
      </c>
      <c r="GG216" s="48">
        <v>7566.0112828982474</v>
      </c>
      <c r="GH216" s="48">
        <v>6601.6802599995972</v>
      </c>
      <c r="GI216" s="48">
        <v>11.636967314975402</v>
      </c>
      <c r="GJ216" s="48">
        <v>851.95385103131014</v>
      </c>
      <c r="GK216" s="48">
        <v>1774.6071060448116</v>
      </c>
      <c r="GL216" s="48">
        <v>1776.4115642851514</v>
      </c>
      <c r="GM216" s="48">
        <v>1301.0025027970344</v>
      </c>
      <c r="GN216" s="48">
        <v>53.410410299254593</v>
      </c>
      <c r="GO216" s="48">
        <v>437.46977278133181</v>
      </c>
      <c r="GP216" s="48">
        <v>192.29510731123617</v>
      </c>
      <c r="GQ216" s="48">
        <v>1423.771903848022</v>
      </c>
      <c r="GR216" s="48">
        <v>735.35982003953563</v>
      </c>
      <c r="GS216" s="48">
        <v>23906.897784308574</v>
      </c>
      <c r="GT216" s="48">
        <v>265.89098857562891</v>
      </c>
      <c r="GU216" s="48">
        <v>15489.101402142793</v>
      </c>
      <c r="GV216" s="48">
        <v>88.230645938175542</v>
      </c>
      <c r="GW216" s="48">
        <v>23.942129862733985</v>
      </c>
      <c r="GX216" s="48">
        <v>1279.9914662822439</v>
      </c>
      <c r="GY216" s="48">
        <v>4064.2527645026389</v>
      </c>
      <c r="GZ216" s="48">
        <v>425.40782507228562</v>
      </c>
      <c r="HA216" s="48">
        <v>141833.61371785108</v>
      </c>
      <c r="HB216" s="48">
        <v>1643.7748729419523</v>
      </c>
      <c r="HC216" s="48">
        <v>3706.5554868860049</v>
      </c>
      <c r="HD216" s="48">
        <v>1254.0001784471729</v>
      </c>
      <c r="HE216" s="48">
        <v>249.91682604872886</v>
      </c>
      <c r="HF216" s="48">
        <v>1248.7475113580836</v>
      </c>
      <c r="HG216" s="48">
        <v>1192.4745772770505</v>
      </c>
      <c r="HH216" s="48">
        <v>2245.932512612304</v>
      </c>
      <c r="HI216" s="48">
        <v>3278.0329862161898</v>
      </c>
      <c r="HJ216" s="48">
        <v>3728.3803168932577</v>
      </c>
      <c r="HK216" s="48">
        <v>176.48338948052657</v>
      </c>
      <c r="HL216" s="48">
        <v>280.03799985945125</v>
      </c>
      <c r="HM216" s="48">
        <v>1286.2511694565026</v>
      </c>
      <c r="HN216" s="48">
        <v>376.81831706890495</v>
      </c>
      <c r="HO216" s="48">
        <v>1585.525412958099</v>
      </c>
      <c r="HP216" s="48">
        <v>2716.9218995921497</v>
      </c>
      <c r="HQ216" s="48">
        <v>424.52748282064488</v>
      </c>
      <c r="HR216" s="48">
        <v>904.83239475047515</v>
      </c>
      <c r="HS216" s="48">
        <v>1519.3289314505193</v>
      </c>
      <c r="HT216" s="48">
        <v>930.12332340070236</v>
      </c>
      <c r="HU216" s="48">
        <v>1229.6765442043165</v>
      </c>
      <c r="HV216" s="48">
        <v>40556.092435458864</v>
      </c>
      <c r="HW216" s="48">
        <v>267.27078257916457</v>
      </c>
      <c r="HX216" s="48">
        <v>199.9820842578396</v>
      </c>
      <c r="HY216" s="48">
        <v>169.34883507505143</v>
      </c>
      <c r="HZ216" s="48">
        <v>250.5748330587349</v>
      </c>
      <c r="IA216" s="48">
        <v>70.736290732372225</v>
      </c>
      <c r="IB216" s="48">
        <v>3.8255036326751162</v>
      </c>
      <c r="IC216" s="48">
        <v>0</v>
      </c>
      <c r="ID216" s="48">
        <v>0</v>
      </c>
      <c r="IE216" s="48">
        <v>0</v>
      </c>
      <c r="IF216" s="48">
        <v>0</v>
      </c>
      <c r="IG216" s="48">
        <v>296.86341056511321</v>
      </c>
      <c r="IH216" s="48">
        <v>20.933481961944004</v>
      </c>
      <c r="II216" s="48">
        <v>6.5044045123133385</v>
      </c>
      <c r="IJ216" s="48">
        <v>1101.6484763267588</v>
      </c>
      <c r="IK216" s="48">
        <v>1051.1503027569781</v>
      </c>
      <c r="IL216" s="48">
        <v>2106.3940411091526</v>
      </c>
      <c r="IM216" s="48">
        <v>2532.5761301977082</v>
      </c>
      <c r="IN216" s="48">
        <v>1345.2620747548312</v>
      </c>
      <c r="IO216" s="48">
        <v>0</v>
      </c>
      <c r="IP216" s="23">
        <v>433706.99999999889</v>
      </c>
      <c r="IQ216" s="25">
        <v>461344</v>
      </c>
      <c r="IR216" s="25">
        <v>0</v>
      </c>
      <c r="IS216" s="26">
        <v>0</v>
      </c>
      <c r="IT216" s="26">
        <v>0</v>
      </c>
      <c r="IU216" s="26">
        <v>0</v>
      </c>
      <c r="IV216" s="9">
        <v>0</v>
      </c>
      <c r="IW216" s="38">
        <f t="shared" si="34"/>
        <v>895050.99999999884</v>
      </c>
    </row>
    <row r="217" spans="1:257" ht="30" customHeight="1" x14ac:dyDescent="0.25">
      <c r="A217" s="112" t="b">
        <v>1</v>
      </c>
      <c r="B217" s="113" t="b">
        <f>IFERROR(VLOOKUP(C217,'Bridge matrix'!$D$3:$E$727,2,FALSE)='symmetric IOT 245 2012'!D217,"FALSCH")</f>
        <v>1</v>
      </c>
      <c r="C217" s="108">
        <v>206</v>
      </c>
      <c r="D217" s="49" t="s">
        <v>1523</v>
      </c>
      <c r="E217" s="48">
        <v>0</v>
      </c>
      <c r="F217" s="48">
        <v>0</v>
      </c>
      <c r="G217" s="48">
        <v>0</v>
      </c>
      <c r="H217" s="48">
        <v>0</v>
      </c>
      <c r="I217" s="48">
        <v>0</v>
      </c>
      <c r="J217" s="48">
        <v>0</v>
      </c>
      <c r="K217" s="48">
        <v>0</v>
      </c>
      <c r="L217" s="48">
        <v>0</v>
      </c>
      <c r="M217" s="48">
        <v>0</v>
      </c>
      <c r="N217" s="48">
        <v>0</v>
      </c>
      <c r="O217" s="48">
        <v>0</v>
      </c>
      <c r="P217" s="48">
        <v>0</v>
      </c>
      <c r="Q217" s="48">
        <v>0</v>
      </c>
      <c r="R217" s="48">
        <v>0</v>
      </c>
      <c r="S217" s="48">
        <v>0</v>
      </c>
      <c r="T217" s="48">
        <v>0</v>
      </c>
      <c r="U217" s="48">
        <v>0</v>
      </c>
      <c r="V217" s="48">
        <v>0</v>
      </c>
      <c r="W217" s="48">
        <v>0</v>
      </c>
      <c r="X217" s="48">
        <v>0</v>
      </c>
      <c r="Y217" s="48">
        <v>0</v>
      </c>
      <c r="Z217" s="48">
        <v>0</v>
      </c>
      <c r="AA217" s="48">
        <v>0</v>
      </c>
      <c r="AB217" s="48">
        <v>0</v>
      </c>
      <c r="AC217" s="48">
        <v>0</v>
      </c>
      <c r="AD217" s="48">
        <v>0</v>
      </c>
      <c r="AE217" s="48">
        <v>0</v>
      </c>
      <c r="AF217" s="48">
        <v>0</v>
      </c>
      <c r="AG217" s="48">
        <v>0</v>
      </c>
      <c r="AH217" s="48">
        <v>0</v>
      </c>
      <c r="AI217" s="48">
        <v>0</v>
      </c>
      <c r="AJ217" s="48">
        <v>0</v>
      </c>
      <c r="AK217" s="48">
        <v>0</v>
      </c>
      <c r="AL217" s="48">
        <v>0</v>
      </c>
      <c r="AM217" s="48">
        <v>0</v>
      </c>
      <c r="AN217" s="48">
        <v>0</v>
      </c>
      <c r="AO217" s="48">
        <v>0</v>
      </c>
      <c r="AP217" s="48">
        <v>0</v>
      </c>
      <c r="AQ217" s="48">
        <v>0</v>
      </c>
      <c r="AR217" s="48">
        <v>0</v>
      </c>
      <c r="AS217" s="48">
        <v>0</v>
      </c>
      <c r="AT217" s="48">
        <v>0</v>
      </c>
      <c r="AU217" s="48">
        <v>0</v>
      </c>
      <c r="AV217" s="48">
        <v>0</v>
      </c>
      <c r="AW217" s="48">
        <v>0</v>
      </c>
      <c r="AX217" s="48">
        <v>0</v>
      </c>
      <c r="AY217" s="48">
        <v>0</v>
      </c>
      <c r="AZ217" s="48">
        <v>0</v>
      </c>
      <c r="BA217" s="48">
        <v>0</v>
      </c>
      <c r="BB217" s="48">
        <v>0</v>
      </c>
      <c r="BC217" s="48">
        <v>0</v>
      </c>
      <c r="BD217" s="48">
        <v>0</v>
      </c>
      <c r="BE217" s="48">
        <v>0</v>
      </c>
      <c r="BF217" s="48">
        <v>0</v>
      </c>
      <c r="BG217" s="48">
        <v>0</v>
      </c>
      <c r="BH217" s="48">
        <v>0</v>
      </c>
      <c r="BI217" s="48">
        <v>0</v>
      </c>
      <c r="BJ217" s="48">
        <v>0</v>
      </c>
      <c r="BK217" s="48">
        <v>0</v>
      </c>
      <c r="BL217" s="48">
        <v>0</v>
      </c>
      <c r="BM217" s="48">
        <v>0</v>
      </c>
      <c r="BN217" s="48">
        <v>0</v>
      </c>
      <c r="BO217" s="48">
        <v>0</v>
      </c>
      <c r="BP217" s="48">
        <v>0</v>
      </c>
      <c r="BQ217" s="48">
        <v>0</v>
      </c>
      <c r="BR217" s="48">
        <v>0</v>
      </c>
      <c r="BS217" s="48">
        <v>0</v>
      </c>
      <c r="BT217" s="48">
        <v>0</v>
      </c>
      <c r="BU217" s="48">
        <v>0</v>
      </c>
      <c r="BV217" s="48">
        <v>0</v>
      </c>
      <c r="BW217" s="48">
        <v>0</v>
      </c>
      <c r="BX217" s="48">
        <v>0</v>
      </c>
      <c r="BY217" s="48">
        <v>0</v>
      </c>
      <c r="BZ217" s="48">
        <v>0</v>
      </c>
      <c r="CA217" s="48">
        <v>0</v>
      </c>
      <c r="CB217" s="48">
        <v>0</v>
      </c>
      <c r="CC217" s="48">
        <v>0</v>
      </c>
      <c r="CD217" s="48">
        <v>0</v>
      </c>
      <c r="CE217" s="48">
        <v>0</v>
      </c>
      <c r="CF217" s="48">
        <v>0</v>
      </c>
      <c r="CG217" s="48">
        <v>0</v>
      </c>
      <c r="CH217" s="48">
        <v>0</v>
      </c>
      <c r="CI217" s="48">
        <v>0</v>
      </c>
      <c r="CJ217" s="48">
        <v>0</v>
      </c>
      <c r="CK217" s="48">
        <v>0</v>
      </c>
      <c r="CL217" s="48">
        <v>0</v>
      </c>
      <c r="CM217" s="48">
        <v>0</v>
      </c>
      <c r="CN217" s="48">
        <v>0</v>
      </c>
      <c r="CO217" s="48">
        <v>0</v>
      </c>
      <c r="CP217" s="48">
        <v>0</v>
      </c>
      <c r="CQ217" s="48">
        <v>0</v>
      </c>
      <c r="CR217" s="48">
        <v>0</v>
      </c>
      <c r="CS217" s="48">
        <v>0</v>
      </c>
      <c r="CT217" s="48">
        <v>0</v>
      </c>
      <c r="CU217" s="48">
        <v>0</v>
      </c>
      <c r="CV217" s="48">
        <v>0</v>
      </c>
      <c r="CW217" s="48">
        <v>0</v>
      </c>
      <c r="CX217" s="48">
        <v>0</v>
      </c>
      <c r="CY217" s="48">
        <v>0</v>
      </c>
      <c r="CZ217" s="48">
        <v>0</v>
      </c>
      <c r="DA217" s="48">
        <v>0</v>
      </c>
      <c r="DB217" s="48">
        <v>0</v>
      </c>
      <c r="DC217" s="48">
        <v>0</v>
      </c>
      <c r="DD217" s="48">
        <v>0</v>
      </c>
      <c r="DE217" s="48">
        <v>0</v>
      </c>
      <c r="DF217" s="48">
        <v>0</v>
      </c>
      <c r="DG217" s="48">
        <v>0</v>
      </c>
      <c r="DH217" s="48">
        <v>0</v>
      </c>
      <c r="DI217" s="48">
        <v>0</v>
      </c>
      <c r="DJ217" s="48">
        <v>0</v>
      </c>
      <c r="DK217" s="48">
        <v>0</v>
      </c>
      <c r="DL217" s="48">
        <v>0</v>
      </c>
      <c r="DM217" s="48">
        <v>0</v>
      </c>
      <c r="DN217" s="48">
        <v>0</v>
      </c>
      <c r="DO217" s="48">
        <v>0</v>
      </c>
      <c r="DP217" s="48">
        <v>0</v>
      </c>
      <c r="DQ217" s="48">
        <v>0</v>
      </c>
      <c r="DR217" s="48">
        <v>0</v>
      </c>
      <c r="DS217" s="48">
        <v>0</v>
      </c>
      <c r="DT217" s="48">
        <v>0</v>
      </c>
      <c r="DU217" s="48">
        <v>0</v>
      </c>
      <c r="DV217" s="48">
        <v>0</v>
      </c>
      <c r="DW217" s="48">
        <v>0</v>
      </c>
      <c r="DX217" s="48">
        <v>0</v>
      </c>
      <c r="DY217" s="48">
        <v>0</v>
      </c>
      <c r="DZ217" s="48">
        <v>0</v>
      </c>
      <c r="EA217" s="48">
        <v>0</v>
      </c>
      <c r="EB217" s="48">
        <v>0</v>
      </c>
      <c r="EC217" s="48">
        <v>0</v>
      </c>
      <c r="ED217" s="48">
        <v>0</v>
      </c>
      <c r="EE217" s="48">
        <v>0</v>
      </c>
      <c r="EF217" s="48">
        <v>0</v>
      </c>
      <c r="EG217" s="48">
        <v>0</v>
      </c>
      <c r="EH217" s="48">
        <v>0</v>
      </c>
      <c r="EI217" s="48">
        <v>0</v>
      </c>
      <c r="EJ217" s="48">
        <v>0</v>
      </c>
      <c r="EK217" s="48">
        <v>0</v>
      </c>
      <c r="EL217" s="48">
        <v>0</v>
      </c>
      <c r="EM217" s="48">
        <v>0</v>
      </c>
      <c r="EN217" s="48">
        <v>0</v>
      </c>
      <c r="EO217" s="48">
        <v>0</v>
      </c>
      <c r="EP217" s="48">
        <v>0</v>
      </c>
      <c r="EQ217" s="48">
        <v>0</v>
      </c>
      <c r="ER217" s="48">
        <v>0</v>
      </c>
      <c r="ES217" s="48">
        <v>0</v>
      </c>
      <c r="ET217" s="48">
        <v>0</v>
      </c>
      <c r="EU217" s="48">
        <v>0</v>
      </c>
      <c r="EV217" s="48">
        <v>0</v>
      </c>
      <c r="EW217" s="48">
        <v>0</v>
      </c>
      <c r="EX217" s="48">
        <v>0</v>
      </c>
      <c r="EY217" s="48">
        <v>0</v>
      </c>
      <c r="EZ217" s="48">
        <v>0</v>
      </c>
      <c r="FA217" s="48">
        <v>0</v>
      </c>
      <c r="FB217" s="48">
        <v>0</v>
      </c>
      <c r="FC217" s="48">
        <v>0</v>
      </c>
      <c r="FD217" s="48">
        <v>0</v>
      </c>
      <c r="FE217" s="48">
        <v>0</v>
      </c>
      <c r="FF217" s="48">
        <v>0</v>
      </c>
      <c r="FG217" s="48">
        <v>0</v>
      </c>
      <c r="FH217" s="48">
        <v>0</v>
      </c>
      <c r="FI217" s="48">
        <v>0</v>
      </c>
      <c r="FJ217" s="48">
        <v>0</v>
      </c>
      <c r="FK217" s="48">
        <v>0</v>
      </c>
      <c r="FL217" s="48">
        <v>0</v>
      </c>
      <c r="FM217" s="48">
        <v>0</v>
      </c>
      <c r="FN217" s="48">
        <v>0</v>
      </c>
      <c r="FO217" s="48">
        <v>0</v>
      </c>
      <c r="FP217" s="48">
        <v>0</v>
      </c>
      <c r="FQ217" s="48">
        <v>0</v>
      </c>
      <c r="FR217" s="48">
        <v>0</v>
      </c>
      <c r="FS217" s="48">
        <v>0</v>
      </c>
      <c r="FT217" s="48">
        <v>0</v>
      </c>
      <c r="FU217" s="48">
        <v>0</v>
      </c>
      <c r="FV217" s="48">
        <v>0</v>
      </c>
      <c r="FW217" s="48">
        <v>0</v>
      </c>
      <c r="FX217" s="48">
        <v>0</v>
      </c>
      <c r="FY217" s="48">
        <v>0</v>
      </c>
      <c r="FZ217" s="48">
        <v>0</v>
      </c>
      <c r="GA217" s="48">
        <v>0</v>
      </c>
      <c r="GB217" s="48">
        <v>0</v>
      </c>
      <c r="GC217" s="48">
        <v>0</v>
      </c>
      <c r="GD217" s="48">
        <v>0</v>
      </c>
      <c r="GE217" s="48">
        <v>0</v>
      </c>
      <c r="GF217" s="48">
        <v>0</v>
      </c>
      <c r="GG217" s="48">
        <v>0</v>
      </c>
      <c r="GH217" s="48">
        <v>0</v>
      </c>
      <c r="GI217" s="48">
        <v>0</v>
      </c>
      <c r="GJ217" s="48">
        <v>0</v>
      </c>
      <c r="GK217" s="48">
        <v>0</v>
      </c>
      <c r="GL217" s="48">
        <v>0</v>
      </c>
      <c r="GM217" s="48">
        <v>0</v>
      </c>
      <c r="GN217" s="48">
        <v>0</v>
      </c>
      <c r="GO217" s="48">
        <v>0</v>
      </c>
      <c r="GP217" s="48">
        <v>0</v>
      </c>
      <c r="GQ217" s="48">
        <v>0</v>
      </c>
      <c r="GR217" s="48">
        <v>0</v>
      </c>
      <c r="GS217" s="48">
        <v>0</v>
      </c>
      <c r="GT217" s="48">
        <v>0</v>
      </c>
      <c r="GU217" s="48">
        <v>0</v>
      </c>
      <c r="GV217" s="48">
        <v>0</v>
      </c>
      <c r="GW217" s="48">
        <v>0</v>
      </c>
      <c r="GX217" s="48">
        <v>0</v>
      </c>
      <c r="GY217" s="48">
        <v>0</v>
      </c>
      <c r="GZ217" s="48">
        <v>0</v>
      </c>
      <c r="HA217" s="48">
        <v>0</v>
      </c>
      <c r="HB217" s="48">
        <v>0</v>
      </c>
      <c r="HC217" s="48">
        <v>0</v>
      </c>
      <c r="HD217" s="48">
        <v>0</v>
      </c>
      <c r="HE217" s="48">
        <v>0</v>
      </c>
      <c r="HF217" s="48">
        <v>0</v>
      </c>
      <c r="HG217" s="48">
        <v>0</v>
      </c>
      <c r="HH217" s="48">
        <v>0</v>
      </c>
      <c r="HI217" s="48">
        <v>0</v>
      </c>
      <c r="HJ217" s="48">
        <v>0</v>
      </c>
      <c r="HK217" s="48">
        <v>0</v>
      </c>
      <c r="HL217" s="48">
        <v>0</v>
      </c>
      <c r="HM217" s="48">
        <v>0</v>
      </c>
      <c r="HN217" s="48">
        <v>0</v>
      </c>
      <c r="HO217" s="48">
        <v>0</v>
      </c>
      <c r="HP217" s="48">
        <v>0</v>
      </c>
      <c r="HQ217" s="48">
        <v>0</v>
      </c>
      <c r="HR217" s="48">
        <v>0</v>
      </c>
      <c r="HS217" s="48">
        <v>0</v>
      </c>
      <c r="HT217" s="48">
        <v>0</v>
      </c>
      <c r="HU217" s="48">
        <v>0</v>
      </c>
      <c r="HV217" s="48">
        <v>0</v>
      </c>
      <c r="HW217" s="48">
        <v>0</v>
      </c>
      <c r="HX217" s="48">
        <v>0</v>
      </c>
      <c r="HY217" s="48">
        <v>0</v>
      </c>
      <c r="HZ217" s="48">
        <v>0</v>
      </c>
      <c r="IA217" s="48">
        <v>0</v>
      </c>
      <c r="IB217" s="48">
        <v>0</v>
      </c>
      <c r="IC217" s="48">
        <v>0</v>
      </c>
      <c r="ID217" s="48">
        <v>0</v>
      </c>
      <c r="IE217" s="48">
        <v>0</v>
      </c>
      <c r="IF217" s="48">
        <v>0</v>
      </c>
      <c r="IG217" s="48">
        <v>0</v>
      </c>
      <c r="IH217" s="48">
        <v>0</v>
      </c>
      <c r="II217" s="48">
        <v>0</v>
      </c>
      <c r="IJ217" s="48">
        <v>0</v>
      </c>
      <c r="IK217" s="48">
        <v>0</v>
      </c>
      <c r="IL217" s="48">
        <v>0</v>
      </c>
      <c r="IM217" s="48">
        <v>0</v>
      </c>
      <c r="IN217" s="48">
        <v>0</v>
      </c>
      <c r="IO217" s="48">
        <v>0</v>
      </c>
      <c r="IP217" s="23">
        <v>0</v>
      </c>
      <c r="IQ217" s="25">
        <v>1448475</v>
      </c>
      <c r="IR217" s="25">
        <v>0</v>
      </c>
      <c r="IS217" s="26">
        <v>0</v>
      </c>
      <c r="IT217" s="26">
        <v>0</v>
      </c>
      <c r="IU217" s="26">
        <v>0</v>
      </c>
      <c r="IV217" s="9">
        <v>0</v>
      </c>
      <c r="IW217" s="38">
        <f t="shared" si="34"/>
        <v>1448475</v>
      </c>
    </row>
    <row r="218" spans="1:257" ht="30" customHeight="1" x14ac:dyDescent="0.25">
      <c r="A218" s="112" t="b">
        <v>1</v>
      </c>
      <c r="B218" s="113" t="b">
        <f>IFERROR(VLOOKUP(C218,'Bridge matrix'!$D$3:$E$727,2,FALSE)='symmetric IOT 245 2012'!D218,"FALSCH")</f>
        <v>1</v>
      </c>
      <c r="C218" s="108">
        <v>207</v>
      </c>
      <c r="D218" s="49" t="s">
        <v>1524</v>
      </c>
      <c r="E218" s="48">
        <v>0</v>
      </c>
      <c r="F218" s="48">
        <v>0</v>
      </c>
      <c r="G218" s="48">
        <v>0</v>
      </c>
      <c r="H218" s="48">
        <v>0</v>
      </c>
      <c r="I218" s="48">
        <v>0</v>
      </c>
      <c r="J218" s="48">
        <v>0</v>
      </c>
      <c r="K218" s="48">
        <v>0</v>
      </c>
      <c r="L218" s="48">
        <v>0</v>
      </c>
      <c r="M218" s="48">
        <v>0</v>
      </c>
      <c r="N218" s="48">
        <v>0</v>
      </c>
      <c r="O218" s="48">
        <v>0</v>
      </c>
      <c r="P218" s="48">
        <v>0</v>
      </c>
      <c r="Q218" s="48">
        <v>0</v>
      </c>
      <c r="R218" s="48">
        <v>0</v>
      </c>
      <c r="S218" s="48">
        <v>0</v>
      </c>
      <c r="T218" s="48">
        <v>0</v>
      </c>
      <c r="U218" s="48">
        <v>0</v>
      </c>
      <c r="V218" s="48">
        <v>0</v>
      </c>
      <c r="W218" s="48">
        <v>0</v>
      </c>
      <c r="X218" s="48">
        <v>0</v>
      </c>
      <c r="Y218" s="48">
        <v>0</v>
      </c>
      <c r="Z218" s="48">
        <v>0</v>
      </c>
      <c r="AA218" s="48">
        <v>0</v>
      </c>
      <c r="AB218" s="48">
        <v>0</v>
      </c>
      <c r="AC218" s="48">
        <v>0</v>
      </c>
      <c r="AD218" s="48">
        <v>0</v>
      </c>
      <c r="AE218" s="48">
        <v>0</v>
      </c>
      <c r="AF218" s="48">
        <v>0</v>
      </c>
      <c r="AG218" s="48">
        <v>0</v>
      </c>
      <c r="AH218" s="48">
        <v>0</v>
      </c>
      <c r="AI218" s="48">
        <v>0</v>
      </c>
      <c r="AJ218" s="48">
        <v>0</v>
      </c>
      <c r="AK218" s="48">
        <v>0</v>
      </c>
      <c r="AL218" s="48">
        <v>0</v>
      </c>
      <c r="AM218" s="48">
        <v>0</v>
      </c>
      <c r="AN218" s="48">
        <v>0</v>
      </c>
      <c r="AO218" s="48">
        <v>0</v>
      </c>
      <c r="AP218" s="48">
        <v>0</v>
      </c>
      <c r="AQ218" s="48">
        <v>0</v>
      </c>
      <c r="AR218" s="48">
        <v>0</v>
      </c>
      <c r="AS218" s="48">
        <v>0</v>
      </c>
      <c r="AT218" s="48">
        <v>0</v>
      </c>
      <c r="AU218" s="48">
        <v>0</v>
      </c>
      <c r="AV218" s="48">
        <v>0</v>
      </c>
      <c r="AW218" s="48">
        <v>0</v>
      </c>
      <c r="AX218" s="48">
        <v>0</v>
      </c>
      <c r="AY218" s="48">
        <v>0</v>
      </c>
      <c r="AZ218" s="48">
        <v>0</v>
      </c>
      <c r="BA218" s="48">
        <v>0</v>
      </c>
      <c r="BB218" s="48">
        <v>0</v>
      </c>
      <c r="BC218" s="48">
        <v>0</v>
      </c>
      <c r="BD218" s="48">
        <v>0</v>
      </c>
      <c r="BE218" s="48">
        <v>0</v>
      </c>
      <c r="BF218" s="48">
        <v>0</v>
      </c>
      <c r="BG218" s="48">
        <v>0</v>
      </c>
      <c r="BH218" s="48">
        <v>0</v>
      </c>
      <c r="BI218" s="48">
        <v>0</v>
      </c>
      <c r="BJ218" s="48">
        <v>0</v>
      </c>
      <c r="BK218" s="48">
        <v>0</v>
      </c>
      <c r="BL218" s="48">
        <v>0</v>
      </c>
      <c r="BM218" s="48">
        <v>0</v>
      </c>
      <c r="BN218" s="48">
        <v>0</v>
      </c>
      <c r="BO218" s="48">
        <v>0</v>
      </c>
      <c r="BP218" s="48">
        <v>0</v>
      </c>
      <c r="BQ218" s="48">
        <v>0</v>
      </c>
      <c r="BR218" s="48">
        <v>0</v>
      </c>
      <c r="BS218" s="48">
        <v>0</v>
      </c>
      <c r="BT218" s="48">
        <v>0</v>
      </c>
      <c r="BU218" s="48">
        <v>0</v>
      </c>
      <c r="BV218" s="48">
        <v>0</v>
      </c>
      <c r="BW218" s="48">
        <v>0</v>
      </c>
      <c r="BX218" s="48">
        <v>0</v>
      </c>
      <c r="BY218" s="48">
        <v>0</v>
      </c>
      <c r="BZ218" s="48">
        <v>0</v>
      </c>
      <c r="CA218" s="48">
        <v>0</v>
      </c>
      <c r="CB218" s="48">
        <v>0</v>
      </c>
      <c r="CC218" s="48">
        <v>0</v>
      </c>
      <c r="CD218" s="48">
        <v>0</v>
      </c>
      <c r="CE218" s="48">
        <v>0</v>
      </c>
      <c r="CF218" s="48">
        <v>0</v>
      </c>
      <c r="CG218" s="48">
        <v>0</v>
      </c>
      <c r="CH218" s="48">
        <v>0</v>
      </c>
      <c r="CI218" s="48">
        <v>0</v>
      </c>
      <c r="CJ218" s="48">
        <v>0</v>
      </c>
      <c r="CK218" s="48">
        <v>0</v>
      </c>
      <c r="CL218" s="48">
        <v>0</v>
      </c>
      <c r="CM218" s="48">
        <v>0</v>
      </c>
      <c r="CN218" s="48">
        <v>0</v>
      </c>
      <c r="CO218" s="48">
        <v>0</v>
      </c>
      <c r="CP218" s="48">
        <v>0</v>
      </c>
      <c r="CQ218" s="48">
        <v>0</v>
      </c>
      <c r="CR218" s="48">
        <v>0</v>
      </c>
      <c r="CS218" s="48">
        <v>0</v>
      </c>
      <c r="CT218" s="48">
        <v>0</v>
      </c>
      <c r="CU218" s="48">
        <v>0</v>
      </c>
      <c r="CV218" s="48">
        <v>0</v>
      </c>
      <c r="CW218" s="48">
        <v>0</v>
      </c>
      <c r="CX218" s="48">
        <v>0</v>
      </c>
      <c r="CY218" s="48">
        <v>0</v>
      </c>
      <c r="CZ218" s="48">
        <v>0</v>
      </c>
      <c r="DA218" s="48">
        <v>0</v>
      </c>
      <c r="DB218" s="48">
        <v>0</v>
      </c>
      <c r="DC218" s="48">
        <v>0</v>
      </c>
      <c r="DD218" s="48">
        <v>0</v>
      </c>
      <c r="DE218" s="48">
        <v>0</v>
      </c>
      <c r="DF218" s="48">
        <v>0</v>
      </c>
      <c r="DG218" s="48">
        <v>0</v>
      </c>
      <c r="DH218" s="48">
        <v>0</v>
      </c>
      <c r="DI218" s="48">
        <v>0</v>
      </c>
      <c r="DJ218" s="48">
        <v>0</v>
      </c>
      <c r="DK218" s="48">
        <v>0</v>
      </c>
      <c r="DL218" s="48">
        <v>0</v>
      </c>
      <c r="DM218" s="48">
        <v>0</v>
      </c>
      <c r="DN218" s="48">
        <v>0</v>
      </c>
      <c r="DO218" s="48">
        <v>0</v>
      </c>
      <c r="DP218" s="48">
        <v>0</v>
      </c>
      <c r="DQ218" s="48">
        <v>0</v>
      </c>
      <c r="DR218" s="48">
        <v>0</v>
      </c>
      <c r="DS218" s="48">
        <v>0</v>
      </c>
      <c r="DT218" s="48">
        <v>0</v>
      </c>
      <c r="DU218" s="48">
        <v>0</v>
      </c>
      <c r="DV218" s="48">
        <v>0</v>
      </c>
      <c r="DW218" s="48">
        <v>0</v>
      </c>
      <c r="DX218" s="48">
        <v>0</v>
      </c>
      <c r="DY218" s="48">
        <v>0</v>
      </c>
      <c r="DZ218" s="48">
        <v>0</v>
      </c>
      <c r="EA218" s="48">
        <v>0</v>
      </c>
      <c r="EB218" s="48">
        <v>0</v>
      </c>
      <c r="EC218" s="48">
        <v>0</v>
      </c>
      <c r="ED218" s="48">
        <v>0</v>
      </c>
      <c r="EE218" s="48">
        <v>0</v>
      </c>
      <c r="EF218" s="48">
        <v>0</v>
      </c>
      <c r="EG218" s="48">
        <v>0</v>
      </c>
      <c r="EH218" s="48">
        <v>0</v>
      </c>
      <c r="EI218" s="48">
        <v>0</v>
      </c>
      <c r="EJ218" s="48">
        <v>0</v>
      </c>
      <c r="EK218" s="48">
        <v>0</v>
      </c>
      <c r="EL218" s="48">
        <v>0</v>
      </c>
      <c r="EM218" s="48">
        <v>0</v>
      </c>
      <c r="EN218" s="48">
        <v>0</v>
      </c>
      <c r="EO218" s="48">
        <v>0</v>
      </c>
      <c r="EP218" s="48">
        <v>0</v>
      </c>
      <c r="EQ218" s="48">
        <v>0</v>
      </c>
      <c r="ER218" s="48">
        <v>0</v>
      </c>
      <c r="ES218" s="48">
        <v>0</v>
      </c>
      <c r="ET218" s="48">
        <v>0</v>
      </c>
      <c r="EU218" s="48">
        <v>0</v>
      </c>
      <c r="EV218" s="48">
        <v>0</v>
      </c>
      <c r="EW218" s="48">
        <v>0</v>
      </c>
      <c r="EX218" s="48">
        <v>0</v>
      </c>
      <c r="EY218" s="48">
        <v>0</v>
      </c>
      <c r="EZ218" s="48">
        <v>0</v>
      </c>
      <c r="FA218" s="48">
        <v>0</v>
      </c>
      <c r="FB218" s="48">
        <v>0</v>
      </c>
      <c r="FC218" s="48">
        <v>0</v>
      </c>
      <c r="FD218" s="48">
        <v>0</v>
      </c>
      <c r="FE218" s="48">
        <v>0</v>
      </c>
      <c r="FF218" s="48">
        <v>0</v>
      </c>
      <c r="FG218" s="48">
        <v>0</v>
      </c>
      <c r="FH218" s="48">
        <v>0</v>
      </c>
      <c r="FI218" s="48">
        <v>0</v>
      </c>
      <c r="FJ218" s="48">
        <v>0</v>
      </c>
      <c r="FK218" s="48">
        <v>0</v>
      </c>
      <c r="FL218" s="48">
        <v>0</v>
      </c>
      <c r="FM218" s="48">
        <v>0</v>
      </c>
      <c r="FN218" s="48">
        <v>0</v>
      </c>
      <c r="FO218" s="48">
        <v>0</v>
      </c>
      <c r="FP218" s="48">
        <v>0</v>
      </c>
      <c r="FQ218" s="48">
        <v>0</v>
      </c>
      <c r="FR218" s="48">
        <v>0</v>
      </c>
      <c r="FS218" s="48">
        <v>0</v>
      </c>
      <c r="FT218" s="48">
        <v>0</v>
      </c>
      <c r="FU218" s="48">
        <v>0</v>
      </c>
      <c r="FV218" s="48">
        <v>0</v>
      </c>
      <c r="FW218" s="48">
        <v>0</v>
      </c>
      <c r="FX218" s="48">
        <v>0</v>
      </c>
      <c r="FY218" s="48">
        <v>0</v>
      </c>
      <c r="FZ218" s="48">
        <v>0</v>
      </c>
      <c r="GA218" s="48">
        <v>0</v>
      </c>
      <c r="GB218" s="48">
        <v>0</v>
      </c>
      <c r="GC218" s="48">
        <v>0</v>
      </c>
      <c r="GD218" s="48">
        <v>0</v>
      </c>
      <c r="GE218" s="48">
        <v>0</v>
      </c>
      <c r="GF218" s="48">
        <v>0</v>
      </c>
      <c r="GG218" s="48">
        <v>0</v>
      </c>
      <c r="GH218" s="48">
        <v>0</v>
      </c>
      <c r="GI218" s="48">
        <v>0</v>
      </c>
      <c r="GJ218" s="48">
        <v>0</v>
      </c>
      <c r="GK218" s="48">
        <v>0</v>
      </c>
      <c r="GL218" s="48">
        <v>0</v>
      </c>
      <c r="GM218" s="48">
        <v>0</v>
      </c>
      <c r="GN218" s="48">
        <v>0</v>
      </c>
      <c r="GO218" s="48">
        <v>0</v>
      </c>
      <c r="GP218" s="48">
        <v>0</v>
      </c>
      <c r="GQ218" s="48">
        <v>0</v>
      </c>
      <c r="GR218" s="48">
        <v>0</v>
      </c>
      <c r="GS218" s="48">
        <v>0</v>
      </c>
      <c r="GT218" s="48">
        <v>0</v>
      </c>
      <c r="GU218" s="48">
        <v>0</v>
      </c>
      <c r="GV218" s="48">
        <v>0</v>
      </c>
      <c r="GW218" s="48">
        <v>0</v>
      </c>
      <c r="GX218" s="48">
        <v>0</v>
      </c>
      <c r="GY218" s="48">
        <v>0</v>
      </c>
      <c r="GZ218" s="48">
        <v>0</v>
      </c>
      <c r="HA218" s="48">
        <v>0</v>
      </c>
      <c r="HB218" s="48">
        <v>0</v>
      </c>
      <c r="HC218" s="48">
        <v>0</v>
      </c>
      <c r="HD218" s="48">
        <v>0</v>
      </c>
      <c r="HE218" s="48">
        <v>0</v>
      </c>
      <c r="HF218" s="48">
        <v>0</v>
      </c>
      <c r="HG218" s="48">
        <v>0</v>
      </c>
      <c r="HH218" s="48">
        <v>0</v>
      </c>
      <c r="HI218" s="48">
        <v>0</v>
      </c>
      <c r="HJ218" s="48">
        <v>0</v>
      </c>
      <c r="HK218" s="48">
        <v>0</v>
      </c>
      <c r="HL218" s="48">
        <v>0</v>
      </c>
      <c r="HM218" s="48">
        <v>0</v>
      </c>
      <c r="HN218" s="48">
        <v>0</v>
      </c>
      <c r="HO218" s="48">
        <v>0</v>
      </c>
      <c r="HP218" s="48">
        <v>0</v>
      </c>
      <c r="HQ218" s="48">
        <v>0</v>
      </c>
      <c r="HR218" s="48">
        <v>0</v>
      </c>
      <c r="HS218" s="48">
        <v>0</v>
      </c>
      <c r="HT218" s="48">
        <v>0</v>
      </c>
      <c r="HU218" s="48">
        <v>0</v>
      </c>
      <c r="HV218" s="48">
        <v>0</v>
      </c>
      <c r="HW218" s="48">
        <v>0</v>
      </c>
      <c r="HX218" s="48">
        <v>0</v>
      </c>
      <c r="HY218" s="48">
        <v>0</v>
      </c>
      <c r="HZ218" s="48">
        <v>0</v>
      </c>
      <c r="IA218" s="48">
        <v>0</v>
      </c>
      <c r="IB218" s="48">
        <v>0</v>
      </c>
      <c r="IC218" s="48">
        <v>0</v>
      </c>
      <c r="ID218" s="48">
        <v>0</v>
      </c>
      <c r="IE218" s="48">
        <v>0</v>
      </c>
      <c r="IF218" s="48">
        <v>0</v>
      </c>
      <c r="IG218" s="48">
        <v>0</v>
      </c>
      <c r="IH218" s="48">
        <v>0</v>
      </c>
      <c r="II218" s="48">
        <v>0</v>
      </c>
      <c r="IJ218" s="48">
        <v>0</v>
      </c>
      <c r="IK218" s="48">
        <v>0</v>
      </c>
      <c r="IL218" s="48">
        <v>0</v>
      </c>
      <c r="IM218" s="48">
        <v>0</v>
      </c>
      <c r="IN218" s="48">
        <v>0</v>
      </c>
      <c r="IO218" s="48">
        <v>0</v>
      </c>
      <c r="IP218" s="23">
        <v>0</v>
      </c>
      <c r="IQ218" s="25">
        <v>3264033</v>
      </c>
      <c r="IR218" s="25">
        <v>0</v>
      </c>
      <c r="IS218" s="26">
        <v>0</v>
      </c>
      <c r="IT218" s="26">
        <v>0</v>
      </c>
      <c r="IU218" s="26">
        <v>0</v>
      </c>
      <c r="IV218" s="9">
        <v>0</v>
      </c>
      <c r="IW218" s="38">
        <f t="shared" si="34"/>
        <v>3264033</v>
      </c>
    </row>
    <row r="219" spans="1:257" ht="30" customHeight="1" x14ac:dyDescent="0.25">
      <c r="A219" s="112" t="b">
        <v>1</v>
      </c>
      <c r="B219" s="113" t="str">
        <f>IFERROR(VLOOKUP(C219,'Bridge matrix'!$D$3:$E$727,2,FALSE)='symmetric IOT 245 2012'!D219,"FALSCH")</f>
        <v>FALSCH</v>
      </c>
      <c r="C219" s="108">
        <v>208</v>
      </c>
      <c r="D219" s="49" t="s">
        <v>1525</v>
      </c>
      <c r="E219" s="48">
        <v>2889.999791688077</v>
      </c>
      <c r="F219" s="48">
        <v>358.53527571442447</v>
      </c>
      <c r="G219" s="48">
        <v>575.69989063490141</v>
      </c>
      <c r="H219" s="48">
        <v>31.511382362282809</v>
      </c>
      <c r="I219" s="48">
        <v>319.73926967375684</v>
      </c>
      <c r="J219" s="48">
        <v>1137.078494137771</v>
      </c>
      <c r="K219" s="48">
        <v>2522.1381735264295</v>
      </c>
      <c r="L219" s="48">
        <v>84.31386863036532</v>
      </c>
      <c r="M219" s="48">
        <v>4.6324574708805653</v>
      </c>
      <c r="N219" s="48">
        <v>16.903960860949567</v>
      </c>
      <c r="O219" s="48">
        <v>2195.6700506087718</v>
      </c>
      <c r="P219" s="48">
        <v>319.66356900735497</v>
      </c>
      <c r="Q219" s="48">
        <v>29.776100354991236</v>
      </c>
      <c r="R219" s="48">
        <v>1592.8570533039385</v>
      </c>
      <c r="S219" s="48">
        <v>5.4236262285163805</v>
      </c>
      <c r="T219" s="48">
        <v>252.08526574426472</v>
      </c>
      <c r="U219" s="48">
        <v>31.098643110075457</v>
      </c>
      <c r="V219" s="48">
        <v>68.73239748696092</v>
      </c>
      <c r="W219" s="48">
        <v>105.52196692093024</v>
      </c>
      <c r="X219" s="48">
        <v>1.6769106857096303</v>
      </c>
      <c r="Y219" s="48">
        <v>47.413754891530026</v>
      </c>
      <c r="Z219" s="48">
        <v>127.61057854029276</v>
      </c>
      <c r="AA219" s="48">
        <v>8.97485119803153</v>
      </c>
      <c r="AB219" s="48">
        <v>8.1647916410855448</v>
      </c>
      <c r="AC219" s="48">
        <v>2.4989558160789307</v>
      </c>
      <c r="AD219" s="48">
        <v>31.091352303124335</v>
      </c>
      <c r="AE219" s="48">
        <v>46.694761005775128</v>
      </c>
      <c r="AF219" s="48">
        <v>22.079269085119613</v>
      </c>
      <c r="AG219" s="48">
        <v>50.783725462200813</v>
      </c>
      <c r="AH219" s="48">
        <v>86.692108219204982</v>
      </c>
      <c r="AI219" s="48">
        <v>73.618878874815735</v>
      </c>
      <c r="AJ219" s="48">
        <v>47.499413045750416</v>
      </c>
      <c r="AK219" s="48">
        <v>138.06163848168194</v>
      </c>
      <c r="AL219" s="48">
        <v>45.822415941955953</v>
      </c>
      <c r="AM219" s="48">
        <v>4.0800433983307451</v>
      </c>
      <c r="AN219" s="48">
        <v>49.93129458551708</v>
      </c>
      <c r="AO219" s="48">
        <v>31.92080615324144</v>
      </c>
      <c r="AP219" s="48">
        <v>120.41427691943859</v>
      </c>
      <c r="AQ219" s="48">
        <v>47.42889556553331</v>
      </c>
      <c r="AR219" s="48">
        <v>76.895633758996922</v>
      </c>
      <c r="AS219" s="48">
        <v>67.327489594478493</v>
      </c>
      <c r="AT219" s="48">
        <v>932.03227375222912</v>
      </c>
      <c r="AU219" s="48">
        <v>118.39299515707684</v>
      </c>
      <c r="AV219" s="48">
        <v>55.536305835246274</v>
      </c>
      <c r="AW219" s="48">
        <v>35.143261697578197</v>
      </c>
      <c r="AX219" s="48">
        <v>1872.3548881037418</v>
      </c>
      <c r="AY219" s="48">
        <v>308.26419148529317</v>
      </c>
      <c r="AZ219" s="48">
        <v>48.131744345501509</v>
      </c>
      <c r="BA219" s="48">
        <v>87.938351705894121</v>
      </c>
      <c r="BB219" s="48">
        <v>1946.3809324888866</v>
      </c>
      <c r="BC219" s="48">
        <v>323.33084645149847</v>
      </c>
      <c r="BD219" s="48">
        <v>1810.3082467836002</v>
      </c>
      <c r="BE219" s="48">
        <v>6924.9485461446184</v>
      </c>
      <c r="BF219" s="48">
        <v>224.66205819138605</v>
      </c>
      <c r="BG219" s="48">
        <v>15.177983908025709</v>
      </c>
      <c r="BH219" s="48">
        <v>1399.6757561506558</v>
      </c>
      <c r="BI219" s="48">
        <v>169.89801330417907</v>
      </c>
      <c r="BJ219" s="48">
        <v>1078.7583289160266</v>
      </c>
      <c r="BK219" s="48">
        <v>214.46862776629317</v>
      </c>
      <c r="BL219" s="48">
        <v>1.9030358318663878</v>
      </c>
      <c r="BM219" s="48">
        <v>616.00219113191849</v>
      </c>
      <c r="BN219" s="48">
        <v>53.967175027153822</v>
      </c>
      <c r="BO219" s="48">
        <v>0</v>
      </c>
      <c r="BP219" s="48">
        <v>470.65760868170582</v>
      </c>
      <c r="BQ219" s="48">
        <v>64.106247769355903</v>
      </c>
      <c r="BR219" s="48">
        <v>2.7089336138771625</v>
      </c>
      <c r="BS219" s="48">
        <v>4.5303298992998684</v>
      </c>
      <c r="BT219" s="48">
        <v>553.85512829967718</v>
      </c>
      <c r="BU219" s="48">
        <v>3160.0760182169279</v>
      </c>
      <c r="BV219" s="48">
        <v>1035.687007530875</v>
      </c>
      <c r="BW219" s="48">
        <v>529.5583326613372</v>
      </c>
      <c r="BX219" s="48">
        <v>48.206476027544397</v>
      </c>
      <c r="BY219" s="48">
        <v>97.126153322552781</v>
      </c>
      <c r="BZ219" s="48">
        <v>69.991636409008734</v>
      </c>
      <c r="CA219" s="48">
        <v>19746.208355329694</v>
      </c>
      <c r="CB219" s="48">
        <v>81.378837461105974</v>
      </c>
      <c r="CC219" s="48">
        <v>31221.537889043855</v>
      </c>
      <c r="CD219" s="48">
        <v>296.27123325389539</v>
      </c>
      <c r="CE219" s="48">
        <v>22.027857902598786</v>
      </c>
      <c r="CF219" s="48">
        <v>3.6793465461278738</v>
      </c>
      <c r="CG219" s="48">
        <v>2637.4756662146679</v>
      </c>
      <c r="CH219" s="48">
        <v>242.15482412508644</v>
      </c>
      <c r="CI219" s="48">
        <v>288.71540920683606</v>
      </c>
      <c r="CJ219" s="48">
        <v>261.47512719739768</v>
      </c>
      <c r="CK219" s="48">
        <v>24.11170079642396</v>
      </c>
      <c r="CL219" s="48">
        <v>0</v>
      </c>
      <c r="CM219" s="48">
        <v>102.2683572522356</v>
      </c>
      <c r="CN219" s="48">
        <v>0</v>
      </c>
      <c r="CO219" s="48">
        <v>0</v>
      </c>
      <c r="CP219" s="48">
        <v>0</v>
      </c>
      <c r="CQ219" s="48">
        <v>0</v>
      </c>
      <c r="CR219" s="48">
        <v>0</v>
      </c>
      <c r="CS219" s="48">
        <v>112.31877291011612</v>
      </c>
      <c r="CT219" s="48">
        <v>520.68346042099063</v>
      </c>
      <c r="CU219" s="48">
        <v>344.6712500580349</v>
      </c>
      <c r="CV219" s="48">
        <v>338.53849714678802</v>
      </c>
      <c r="CW219" s="48">
        <v>74.954001073700709</v>
      </c>
      <c r="CX219" s="48">
        <v>873.9122021369152</v>
      </c>
      <c r="CY219" s="48">
        <v>782.09598676442215</v>
      </c>
      <c r="CZ219" s="48">
        <v>435.74232540382985</v>
      </c>
      <c r="DA219" s="48">
        <v>1318.277357723332</v>
      </c>
      <c r="DB219" s="48">
        <v>107.21181575429371</v>
      </c>
      <c r="DC219" s="48">
        <v>5.972316673068744</v>
      </c>
      <c r="DD219" s="48">
        <v>4208.4644970642066</v>
      </c>
      <c r="DE219" s="48">
        <v>310.79827320551556</v>
      </c>
      <c r="DF219" s="48">
        <v>787.33223850841625</v>
      </c>
      <c r="DG219" s="48">
        <v>802.07161086648273</v>
      </c>
      <c r="DH219" s="48">
        <v>404.2500428499506</v>
      </c>
      <c r="DI219" s="48">
        <v>79.703429029833202</v>
      </c>
      <c r="DJ219" s="48">
        <v>573.33481283046262</v>
      </c>
      <c r="DK219" s="48">
        <v>348.92552540828058</v>
      </c>
      <c r="DL219" s="48">
        <v>4905.7001825966627</v>
      </c>
      <c r="DM219" s="48">
        <v>1395.4629161112982</v>
      </c>
      <c r="DN219" s="48">
        <v>2524.679964651687</v>
      </c>
      <c r="DO219" s="48">
        <v>0</v>
      </c>
      <c r="DP219" s="48">
        <v>882.9691679123074</v>
      </c>
      <c r="DQ219" s="48">
        <v>1539.0402427440947</v>
      </c>
      <c r="DR219" s="48">
        <v>1162.0993949875597</v>
      </c>
      <c r="DS219" s="48">
        <v>8511.584162318497</v>
      </c>
      <c r="DT219" s="48">
        <v>391.99995709027513</v>
      </c>
      <c r="DU219" s="48">
        <v>195.92844397653553</v>
      </c>
      <c r="DV219" s="48">
        <v>2905.7505083640931</v>
      </c>
      <c r="DW219" s="48">
        <v>7591.830888343161</v>
      </c>
      <c r="DX219" s="48">
        <v>3782.9429725193818</v>
      </c>
      <c r="DY219" s="48">
        <v>537.60137561597344</v>
      </c>
      <c r="DZ219" s="48">
        <v>477.53392797624122</v>
      </c>
      <c r="EA219" s="48">
        <v>2230.0507639026087</v>
      </c>
      <c r="EB219" s="48">
        <v>1482.9231285662349</v>
      </c>
      <c r="EC219" s="48">
        <v>5951.5136003196039</v>
      </c>
      <c r="ED219" s="48">
        <v>161.71098715445171</v>
      </c>
      <c r="EE219" s="48">
        <v>52.590518569769188</v>
      </c>
      <c r="EF219" s="48">
        <v>179.57969270714869</v>
      </c>
      <c r="EG219" s="48">
        <v>63.227550476101094</v>
      </c>
      <c r="EH219" s="48">
        <v>8.4453277468822723</v>
      </c>
      <c r="EI219" s="48">
        <v>868.26516243744948</v>
      </c>
      <c r="EJ219" s="48">
        <v>938.16885966556379</v>
      </c>
      <c r="EK219" s="48">
        <v>377.04748407773218</v>
      </c>
      <c r="EL219" s="48">
        <v>1008.2291471206713</v>
      </c>
      <c r="EM219" s="48">
        <v>2127.8540942764475</v>
      </c>
      <c r="EN219" s="48">
        <v>2119.7322175169634</v>
      </c>
      <c r="EO219" s="48">
        <v>277.47091229873445</v>
      </c>
      <c r="EP219" s="48">
        <v>653.38827983206374</v>
      </c>
      <c r="EQ219" s="48">
        <v>647.23996231110323</v>
      </c>
      <c r="ER219" s="48">
        <v>614.60362943863265</v>
      </c>
      <c r="ES219" s="48">
        <v>72.848642533362124</v>
      </c>
      <c r="ET219" s="48">
        <v>2693.5621898402051</v>
      </c>
      <c r="EU219" s="48">
        <v>435.37931315061849</v>
      </c>
      <c r="EV219" s="48">
        <v>386.61862766111648</v>
      </c>
      <c r="EW219" s="48">
        <v>1658.7888332432512</v>
      </c>
      <c r="EX219" s="48">
        <v>4025.7383564418415</v>
      </c>
      <c r="EY219" s="48">
        <v>238.44983384053572</v>
      </c>
      <c r="EZ219" s="48">
        <v>277.50055395083234</v>
      </c>
      <c r="FA219" s="48">
        <v>130.14376889966417</v>
      </c>
      <c r="FB219" s="48">
        <v>289.00404225187384</v>
      </c>
      <c r="FC219" s="48">
        <v>267.31925508914816</v>
      </c>
      <c r="FD219" s="48">
        <v>7862.8367351900697</v>
      </c>
      <c r="FE219" s="48">
        <v>914.55702091829346</v>
      </c>
      <c r="FF219" s="48">
        <v>42.544239406540704</v>
      </c>
      <c r="FG219" s="48">
        <v>5583.7985536335127</v>
      </c>
      <c r="FH219" s="48">
        <v>3261.6164537972436</v>
      </c>
      <c r="FI219" s="48">
        <v>1151.9367737103901</v>
      </c>
      <c r="FJ219" s="48">
        <v>2182.7877911342721</v>
      </c>
      <c r="FK219" s="48">
        <v>640.40565914151864</v>
      </c>
      <c r="FL219" s="48">
        <v>22.896989390589766</v>
      </c>
      <c r="FM219" s="48">
        <v>2049.6411919887337</v>
      </c>
      <c r="FN219" s="48">
        <v>496.6890544216908</v>
      </c>
      <c r="FO219" s="48">
        <v>287.03055889596658</v>
      </c>
      <c r="FP219" s="48">
        <v>1804.3611368351644</v>
      </c>
      <c r="FQ219" s="48">
        <v>56.35070956761097</v>
      </c>
      <c r="FR219" s="48">
        <v>8582.9575403246527</v>
      </c>
      <c r="FS219" s="48">
        <v>276.0476019703039</v>
      </c>
      <c r="FT219" s="48">
        <v>70.480180298148071</v>
      </c>
      <c r="FU219" s="48">
        <v>535.80190440680747</v>
      </c>
      <c r="FV219" s="48">
        <v>2120.4291136893721</v>
      </c>
      <c r="FW219" s="48">
        <v>4219.7152981586396</v>
      </c>
      <c r="FX219" s="48">
        <v>8614.7258293823252</v>
      </c>
      <c r="FY219" s="48">
        <v>2181.1294422201586</v>
      </c>
      <c r="FZ219" s="48">
        <v>45.898830875676595</v>
      </c>
      <c r="GA219" s="48">
        <v>428.41470973544125</v>
      </c>
      <c r="GB219" s="48">
        <v>17310.782807311705</v>
      </c>
      <c r="GC219" s="48">
        <v>229423.884839712</v>
      </c>
      <c r="GD219" s="48">
        <v>8530.8061082937747</v>
      </c>
      <c r="GE219" s="48">
        <v>9537.6436199015679</v>
      </c>
      <c r="GF219" s="48">
        <v>69218.380390549675</v>
      </c>
      <c r="GG219" s="48">
        <v>28547.579948976512</v>
      </c>
      <c r="GH219" s="48">
        <v>22951.034101968486</v>
      </c>
      <c r="GI219" s="48">
        <v>44.788906257934762</v>
      </c>
      <c r="GJ219" s="48">
        <v>3214.0532096500101</v>
      </c>
      <c r="GK219" s="48">
        <v>6697.6752726391333</v>
      </c>
      <c r="GL219" s="48">
        <v>6703.6922101991286</v>
      </c>
      <c r="GM219" s="48">
        <v>4514.9323250972584</v>
      </c>
      <c r="GN219" s="48">
        <v>201.80727551953356</v>
      </c>
      <c r="GO219" s="48">
        <v>1531.0073723289331</v>
      </c>
      <c r="GP219" s="48">
        <v>726.00527561719923</v>
      </c>
      <c r="GQ219" s="48">
        <v>5372.6373705318201</v>
      </c>
      <c r="GR219" s="48">
        <v>3580.575473483264</v>
      </c>
      <c r="GS219" s="48">
        <v>33266.73323886592</v>
      </c>
      <c r="GT219" s="48">
        <v>887.22796032496524</v>
      </c>
      <c r="GU219" s="48">
        <v>62393.548151063813</v>
      </c>
      <c r="GV219" s="48">
        <v>357.39664851868577</v>
      </c>
      <c r="GW219" s="48">
        <v>77.159679515358434</v>
      </c>
      <c r="GX219" s="48">
        <v>5445.1371229209708</v>
      </c>
      <c r="GY219" s="48">
        <v>721.44270308506532</v>
      </c>
      <c r="GZ219" s="48">
        <v>83.427512796672033</v>
      </c>
      <c r="HA219" s="48">
        <v>4898.4040189711513</v>
      </c>
      <c r="HB219" s="48">
        <v>113072.55482453534</v>
      </c>
      <c r="HC219" s="48">
        <v>70906.655508875469</v>
      </c>
      <c r="HD219" s="48">
        <v>43135.908790952148</v>
      </c>
      <c r="HE219" s="48">
        <v>640.31755115349199</v>
      </c>
      <c r="HF219" s="48">
        <v>3267.7962246242378</v>
      </c>
      <c r="HG219" s="48">
        <v>3121.1864201302028</v>
      </c>
      <c r="HH219" s="48">
        <v>5878.0828317982387</v>
      </c>
      <c r="HI219" s="48">
        <v>8576.2158831062916</v>
      </c>
      <c r="HJ219" s="48">
        <v>9750.1610464367404</v>
      </c>
      <c r="HK219" s="48">
        <v>462.57064672511581</v>
      </c>
      <c r="HL219" s="48">
        <v>734.26702271276145</v>
      </c>
      <c r="HM219" s="48">
        <v>3365.484569307408</v>
      </c>
      <c r="HN219" s="48">
        <v>986.69364476980627</v>
      </c>
      <c r="HO219" s="48">
        <v>4148.6260911891441</v>
      </c>
      <c r="HP219" s="48">
        <v>7110.439838126721</v>
      </c>
      <c r="HQ219" s="48">
        <v>1109.7853037823568</v>
      </c>
      <c r="HR219" s="48">
        <v>2367.2870388546144</v>
      </c>
      <c r="HS219" s="48">
        <v>3971.1095481019788</v>
      </c>
      <c r="HT219" s="48">
        <v>2433.1899868646665</v>
      </c>
      <c r="HU219" s="48">
        <v>3218.0297414978681</v>
      </c>
      <c r="HV219" s="48">
        <v>26259.422451636899</v>
      </c>
      <c r="HW219" s="48">
        <v>179.43148310810307</v>
      </c>
      <c r="HX219" s="48">
        <v>1728.6735635502982</v>
      </c>
      <c r="HY219" s="48">
        <v>1466.3826100177625</v>
      </c>
      <c r="HZ219" s="48">
        <v>2173.26905638065</v>
      </c>
      <c r="IA219" s="48">
        <v>613.60956387767135</v>
      </c>
      <c r="IB219" s="48">
        <v>31.461586058438137</v>
      </c>
      <c r="IC219" s="48">
        <v>964.828669006837</v>
      </c>
      <c r="ID219" s="48">
        <v>598.6842008158261</v>
      </c>
      <c r="IE219" s="48">
        <v>404.71614154559865</v>
      </c>
      <c r="IF219" s="48">
        <v>52.407614035705279</v>
      </c>
      <c r="IG219" s="48">
        <v>2360.9148771107584</v>
      </c>
      <c r="IH219" s="48">
        <v>170.17766179928338</v>
      </c>
      <c r="II219" s="48">
        <v>51.926694695288589</v>
      </c>
      <c r="IJ219" s="48">
        <v>1215.0325253870258</v>
      </c>
      <c r="IK219" s="48">
        <v>6021.6417700109441</v>
      </c>
      <c r="IL219" s="48">
        <v>9621.5453947219175</v>
      </c>
      <c r="IM219" s="48">
        <v>4699.8476503070333</v>
      </c>
      <c r="IN219" s="48">
        <v>5883.922539262051</v>
      </c>
      <c r="IO219" s="48">
        <v>0</v>
      </c>
      <c r="IP219" s="23">
        <v>1104775.9999999984</v>
      </c>
      <c r="IQ219" s="25">
        <v>0</v>
      </c>
      <c r="IR219" s="25">
        <v>0</v>
      </c>
      <c r="IS219" s="26">
        <v>0</v>
      </c>
      <c r="IT219" s="26">
        <v>0</v>
      </c>
      <c r="IU219" s="26">
        <v>0</v>
      </c>
      <c r="IV219" s="9">
        <v>0</v>
      </c>
      <c r="IW219" s="38">
        <f t="shared" si="34"/>
        <v>1104775.9999999984</v>
      </c>
    </row>
    <row r="220" spans="1:257" ht="30" customHeight="1" x14ac:dyDescent="0.25">
      <c r="A220" s="112" t="b">
        <v>1</v>
      </c>
      <c r="B220" s="113" t="str">
        <f>IFERROR(VLOOKUP(C220,'Bridge matrix'!$D$3:$E$727,2,FALSE)='symmetric IOT 245 2012'!D220,"FALSCH")</f>
        <v>FALSCH</v>
      </c>
      <c r="C220" s="108">
        <v>209</v>
      </c>
      <c r="D220" s="49" t="s">
        <v>458</v>
      </c>
      <c r="E220" s="48">
        <v>0</v>
      </c>
      <c r="F220" s="48">
        <v>0</v>
      </c>
      <c r="G220" s="48">
        <v>0</v>
      </c>
      <c r="H220" s="48">
        <v>0</v>
      </c>
      <c r="I220" s="48">
        <v>0</v>
      </c>
      <c r="J220" s="48">
        <v>0</v>
      </c>
      <c r="K220" s="48">
        <v>0</v>
      </c>
      <c r="L220" s="48">
        <v>0</v>
      </c>
      <c r="M220" s="48">
        <v>0</v>
      </c>
      <c r="N220" s="48">
        <v>0</v>
      </c>
      <c r="O220" s="48">
        <v>0</v>
      </c>
      <c r="P220" s="48">
        <v>0</v>
      </c>
      <c r="Q220" s="48">
        <v>0</v>
      </c>
      <c r="R220" s="48">
        <v>0</v>
      </c>
      <c r="S220" s="48">
        <v>0</v>
      </c>
      <c r="T220" s="48">
        <v>0</v>
      </c>
      <c r="U220" s="48">
        <v>0</v>
      </c>
      <c r="V220" s="48">
        <v>0</v>
      </c>
      <c r="W220" s="48">
        <v>0</v>
      </c>
      <c r="X220" s="48">
        <v>0</v>
      </c>
      <c r="Y220" s="48">
        <v>0</v>
      </c>
      <c r="Z220" s="48">
        <v>0</v>
      </c>
      <c r="AA220" s="48">
        <v>0</v>
      </c>
      <c r="AB220" s="48">
        <v>0</v>
      </c>
      <c r="AC220" s="48">
        <v>0</v>
      </c>
      <c r="AD220" s="48">
        <v>0</v>
      </c>
      <c r="AE220" s="48">
        <v>0</v>
      </c>
      <c r="AF220" s="48">
        <v>0</v>
      </c>
      <c r="AG220" s="48">
        <v>0</v>
      </c>
      <c r="AH220" s="48">
        <v>0</v>
      </c>
      <c r="AI220" s="48">
        <v>0</v>
      </c>
      <c r="AJ220" s="48">
        <v>0</v>
      </c>
      <c r="AK220" s="48">
        <v>0</v>
      </c>
      <c r="AL220" s="48">
        <v>0</v>
      </c>
      <c r="AM220" s="48">
        <v>0</v>
      </c>
      <c r="AN220" s="48">
        <v>0</v>
      </c>
      <c r="AO220" s="48">
        <v>0</v>
      </c>
      <c r="AP220" s="48">
        <v>0</v>
      </c>
      <c r="AQ220" s="48">
        <v>0</v>
      </c>
      <c r="AR220" s="48">
        <v>0</v>
      </c>
      <c r="AS220" s="48">
        <v>0</v>
      </c>
      <c r="AT220" s="48">
        <v>0</v>
      </c>
      <c r="AU220" s="48">
        <v>0</v>
      </c>
      <c r="AV220" s="48">
        <v>0</v>
      </c>
      <c r="AW220" s="48">
        <v>0</v>
      </c>
      <c r="AX220" s="48">
        <v>0</v>
      </c>
      <c r="AY220" s="48">
        <v>0</v>
      </c>
      <c r="AZ220" s="48">
        <v>0</v>
      </c>
      <c r="BA220" s="48">
        <v>0</v>
      </c>
      <c r="BB220" s="48">
        <v>0</v>
      </c>
      <c r="BC220" s="48">
        <v>0</v>
      </c>
      <c r="BD220" s="48">
        <v>0</v>
      </c>
      <c r="BE220" s="48">
        <v>0</v>
      </c>
      <c r="BF220" s="48">
        <v>0</v>
      </c>
      <c r="BG220" s="48">
        <v>0</v>
      </c>
      <c r="BH220" s="48">
        <v>0</v>
      </c>
      <c r="BI220" s="48">
        <v>0</v>
      </c>
      <c r="BJ220" s="48">
        <v>0</v>
      </c>
      <c r="BK220" s="48">
        <v>0</v>
      </c>
      <c r="BL220" s="48">
        <v>0</v>
      </c>
      <c r="BM220" s="48">
        <v>0</v>
      </c>
      <c r="BN220" s="48">
        <v>0</v>
      </c>
      <c r="BO220" s="48">
        <v>0</v>
      </c>
      <c r="BP220" s="48">
        <v>0</v>
      </c>
      <c r="BQ220" s="48">
        <v>0</v>
      </c>
      <c r="BR220" s="48">
        <v>0</v>
      </c>
      <c r="BS220" s="48">
        <v>0</v>
      </c>
      <c r="BT220" s="48">
        <v>0</v>
      </c>
      <c r="BU220" s="48">
        <v>0</v>
      </c>
      <c r="BV220" s="48">
        <v>0</v>
      </c>
      <c r="BW220" s="48">
        <v>0</v>
      </c>
      <c r="BX220" s="48">
        <v>0</v>
      </c>
      <c r="BY220" s="48">
        <v>0</v>
      </c>
      <c r="BZ220" s="48">
        <v>0</v>
      </c>
      <c r="CA220" s="48">
        <v>0</v>
      </c>
      <c r="CB220" s="48">
        <v>0</v>
      </c>
      <c r="CC220" s="48">
        <v>0</v>
      </c>
      <c r="CD220" s="48">
        <v>0</v>
      </c>
      <c r="CE220" s="48">
        <v>0</v>
      </c>
      <c r="CF220" s="48">
        <v>0</v>
      </c>
      <c r="CG220" s="48">
        <v>0</v>
      </c>
      <c r="CH220" s="48">
        <v>0</v>
      </c>
      <c r="CI220" s="48">
        <v>0</v>
      </c>
      <c r="CJ220" s="48">
        <v>0</v>
      </c>
      <c r="CK220" s="48">
        <v>0</v>
      </c>
      <c r="CL220" s="48">
        <v>0</v>
      </c>
      <c r="CM220" s="48">
        <v>0</v>
      </c>
      <c r="CN220" s="48">
        <v>0</v>
      </c>
      <c r="CO220" s="48">
        <v>0</v>
      </c>
      <c r="CP220" s="48">
        <v>0</v>
      </c>
      <c r="CQ220" s="48">
        <v>0</v>
      </c>
      <c r="CR220" s="48">
        <v>0</v>
      </c>
      <c r="CS220" s="48">
        <v>0</v>
      </c>
      <c r="CT220" s="48">
        <v>0</v>
      </c>
      <c r="CU220" s="48">
        <v>0</v>
      </c>
      <c r="CV220" s="48">
        <v>0</v>
      </c>
      <c r="CW220" s="48">
        <v>0</v>
      </c>
      <c r="CX220" s="48">
        <v>0</v>
      </c>
      <c r="CY220" s="48">
        <v>0</v>
      </c>
      <c r="CZ220" s="48">
        <v>0</v>
      </c>
      <c r="DA220" s="48">
        <v>0</v>
      </c>
      <c r="DB220" s="48">
        <v>0</v>
      </c>
      <c r="DC220" s="48">
        <v>0</v>
      </c>
      <c r="DD220" s="48">
        <v>0</v>
      </c>
      <c r="DE220" s="48">
        <v>0</v>
      </c>
      <c r="DF220" s="48">
        <v>0</v>
      </c>
      <c r="DG220" s="48">
        <v>0</v>
      </c>
      <c r="DH220" s="48">
        <v>0</v>
      </c>
      <c r="DI220" s="48">
        <v>0</v>
      </c>
      <c r="DJ220" s="48">
        <v>0</v>
      </c>
      <c r="DK220" s="48">
        <v>0</v>
      </c>
      <c r="DL220" s="48">
        <v>0</v>
      </c>
      <c r="DM220" s="48">
        <v>0</v>
      </c>
      <c r="DN220" s="48">
        <v>0</v>
      </c>
      <c r="DO220" s="48">
        <v>0</v>
      </c>
      <c r="DP220" s="48">
        <v>0</v>
      </c>
      <c r="DQ220" s="48">
        <v>0</v>
      </c>
      <c r="DR220" s="48">
        <v>0</v>
      </c>
      <c r="DS220" s="48">
        <v>0</v>
      </c>
      <c r="DT220" s="48">
        <v>0</v>
      </c>
      <c r="DU220" s="48">
        <v>0</v>
      </c>
      <c r="DV220" s="48">
        <v>0</v>
      </c>
      <c r="DW220" s="48">
        <v>0</v>
      </c>
      <c r="DX220" s="48">
        <v>0</v>
      </c>
      <c r="DY220" s="48">
        <v>0</v>
      </c>
      <c r="DZ220" s="48">
        <v>0</v>
      </c>
      <c r="EA220" s="48">
        <v>0</v>
      </c>
      <c r="EB220" s="48">
        <v>0</v>
      </c>
      <c r="EC220" s="48">
        <v>0</v>
      </c>
      <c r="ED220" s="48">
        <v>0</v>
      </c>
      <c r="EE220" s="48">
        <v>0</v>
      </c>
      <c r="EF220" s="48">
        <v>0</v>
      </c>
      <c r="EG220" s="48">
        <v>0</v>
      </c>
      <c r="EH220" s="48">
        <v>0</v>
      </c>
      <c r="EI220" s="48">
        <v>0</v>
      </c>
      <c r="EJ220" s="48">
        <v>0</v>
      </c>
      <c r="EK220" s="48">
        <v>0</v>
      </c>
      <c r="EL220" s="48">
        <v>0</v>
      </c>
      <c r="EM220" s="48">
        <v>0</v>
      </c>
      <c r="EN220" s="48">
        <v>0</v>
      </c>
      <c r="EO220" s="48">
        <v>0</v>
      </c>
      <c r="EP220" s="48">
        <v>0</v>
      </c>
      <c r="EQ220" s="48">
        <v>0</v>
      </c>
      <c r="ER220" s="48">
        <v>0</v>
      </c>
      <c r="ES220" s="48">
        <v>0</v>
      </c>
      <c r="ET220" s="48">
        <v>0</v>
      </c>
      <c r="EU220" s="48">
        <v>0</v>
      </c>
      <c r="EV220" s="48">
        <v>0</v>
      </c>
      <c r="EW220" s="48">
        <v>0</v>
      </c>
      <c r="EX220" s="48">
        <v>0</v>
      </c>
      <c r="EY220" s="48">
        <v>0</v>
      </c>
      <c r="EZ220" s="48">
        <v>0</v>
      </c>
      <c r="FA220" s="48">
        <v>0</v>
      </c>
      <c r="FB220" s="48">
        <v>0</v>
      </c>
      <c r="FC220" s="48">
        <v>0</v>
      </c>
      <c r="FD220" s="48">
        <v>0</v>
      </c>
      <c r="FE220" s="48">
        <v>0</v>
      </c>
      <c r="FF220" s="48">
        <v>0</v>
      </c>
      <c r="FG220" s="48">
        <v>0</v>
      </c>
      <c r="FH220" s="48">
        <v>0</v>
      </c>
      <c r="FI220" s="48">
        <v>0</v>
      </c>
      <c r="FJ220" s="48">
        <v>0</v>
      </c>
      <c r="FK220" s="48">
        <v>0</v>
      </c>
      <c r="FL220" s="48">
        <v>0</v>
      </c>
      <c r="FM220" s="48">
        <v>0</v>
      </c>
      <c r="FN220" s="48">
        <v>0</v>
      </c>
      <c r="FO220" s="48">
        <v>0</v>
      </c>
      <c r="FP220" s="48">
        <v>0</v>
      </c>
      <c r="FQ220" s="48">
        <v>0</v>
      </c>
      <c r="FR220" s="48">
        <v>0</v>
      </c>
      <c r="FS220" s="48">
        <v>0</v>
      </c>
      <c r="FT220" s="48">
        <v>0</v>
      </c>
      <c r="FU220" s="48">
        <v>0</v>
      </c>
      <c r="FV220" s="48">
        <v>0</v>
      </c>
      <c r="FW220" s="48">
        <v>0</v>
      </c>
      <c r="FX220" s="48">
        <v>0</v>
      </c>
      <c r="FY220" s="48">
        <v>0</v>
      </c>
      <c r="FZ220" s="48">
        <v>0</v>
      </c>
      <c r="GA220" s="48">
        <v>0</v>
      </c>
      <c r="GB220" s="48">
        <v>0</v>
      </c>
      <c r="GC220" s="48">
        <v>0</v>
      </c>
      <c r="GD220" s="48">
        <v>0</v>
      </c>
      <c r="GE220" s="48">
        <v>0</v>
      </c>
      <c r="GF220" s="48">
        <v>0</v>
      </c>
      <c r="GG220" s="48">
        <v>0</v>
      </c>
      <c r="GH220" s="48">
        <v>0</v>
      </c>
      <c r="GI220" s="48">
        <v>0</v>
      </c>
      <c r="GJ220" s="48">
        <v>0</v>
      </c>
      <c r="GK220" s="48">
        <v>0</v>
      </c>
      <c r="GL220" s="48">
        <v>0</v>
      </c>
      <c r="GM220" s="48">
        <v>0</v>
      </c>
      <c r="GN220" s="48">
        <v>0</v>
      </c>
      <c r="GO220" s="48">
        <v>0</v>
      </c>
      <c r="GP220" s="48">
        <v>0</v>
      </c>
      <c r="GQ220" s="48">
        <v>0</v>
      </c>
      <c r="GR220" s="48">
        <v>0</v>
      </c>
      <c r="GS220" s="48">
        <v>0</v>
      </c>
      <c r="GT220" s="48">
        <v>0</v>
      </c>
      <c r="GU220" s="48">
        <v>0</v>
      </c>
      <c r="GV220" s="48">
        <v>0</v>
      </c>
      <c r="GW220" s="48">
        <v>0</v>
      </c>
      <c r="GX220" s="48">
        <v>0</v>
      </c>
      <c r="GY220" s="48">
        <v>0</v>
      </c>
      <c r="GZ220" s="48">
        <v>0</v>
      </c>
      <c r="HA220" s="48">
        <v>0</v>
      </c>
      <c r="HB220" s="48">
        <v>0</v>
      </c>
      <c r="HC220" s="48">
        <v>0</v>
      </c>
      <c r="HD220" s="48">
        <v>0</v>
      </c>
      <c r="HE220" s="48">
        <v>0</v>
      </c>
      <c r="HF220" s="48">
        <v>0</v>
      </c>
      <c r="HG220" s="48">
        <v>0</v>
      </c>
      <c r="HH220" s="48">
        <v>0</v>
      </c>
      <c r="HI220" s="48">
        <v>0</v>
      </c>
      <c r="HJ220" s="48">
        <v>0</v>
      </c>
      <c r="HK220" s="48">
        <v>0</v>
      </c>
      <c r="HL220" s="48">
        <v>0</v>
      </c>
      <c r="HM220" s="48">
        <v>0</v>
      </c>
      <c r="HN220" s="48">
        <v>0</v>
      </c>
      <c r="HO220" s="48">
        <v>0</v>
      </c>
      <c r="HP220" s="48">
        <v>0</v>
      </c>
      <c r="HQ220" s="48">
        <v>0</v>
      </c>
      <c r="HR220" s="48">
        <v>0</v>
      </c>
      <c r="HS220" s="48">
        <v>0</v>
      </c>
      <c r="HT220" s="48">
        <v>0</v>
      </c>
      <c r="HU220" s="48">
        <v>0</v>
      </c>
      <c r="HV220" s="48">
        <v>0</v>
      </c>
      <c r="HW220" s="48">
        <v>0</v>
      </c>
      <c r="HX220" s="48">
        <v>0</v>
      </c>
      <c r="HY220" s="48">
        <v>0</v>
      </c>
      <c r="HZ220" s="48">
        <v>0</v>
      </c>
      <c r="IA220" s="48">
        <v>0</v>
      </c>
      <c r="IB220" s="48">
        <v>0</v>
      </c>
      <c r="IC220" s="48">
        <v>0</v>
      </c>
      <c r="ID220" s="48">
        <v>0</v>
      </c>
      <c r="IE220" s="48">
        <v>0</v>
      </c>
      <c r="IF220" s="48">
        <v>0</v>
      </c>
      <c r="IG220" s="48">
        <v>0</v>
      </c>
      <c r="IH220" s="48">
        <v>0</v>
      </c>
      <c r="II220" s="48">
        <v>0</v>
      </c>
      <c r="IJ220" s="48">
        <v>0</v>
      </c>
      <c r="IK220" s="48">
        <v>0</v>
      </c>
      <c r="IL220" s="48">
        <v>0</v>
      </c>
      <c r="IM220" s="48">
        <v>0</v>
      </c>
      <c r="IN220" s="48">
        <v>0</v>
      </c>
      <c r="IO220" s="48">
        <v>0</v>
      </c>
      <c r="IP220" s="23">
        <v>0</v>
      </c>
      <c r="IQ220" s="25">
        <v>0</v>
      </c>
      <c r="IR220" s="25">
        <v>0</v>
      </c>
      <c r="IS220" s="26">
        <v>0</v>
      </c>
      <c r="IT220" s="26">
        <v>81991</v>
      </c>
      <c r="IU220" s="26">
        <v>0</v>
      </c>
      <c r="IV220" s="9">
        <v>0</v>
      </c>
      <c r="IW220" s="38">
        <f t="shared" si="34"/>
        <v>81991</v>
      </c>
    </row>
    <row r="221" spans="1:257" ht="30" customHeight="1" x14ac:dyDescent="0.25">
      <c r="A221" s="112" t="b">
        <v>1</v>
      </c>
      <c r="B221" s="113" t="str">
        <f>IFERROR(VLOOKUP(C221,'Bridge matrix'!$D$3:$E$727,2,FALSE)='symmetric IOT 245 2012'!D221,"FALSCH")</f>
        <v>FALSCH</v>
      </c>
      <c r="C221" s="108">
        <v>210</v>
      </c>
      <c r="D221" s="49" t="s">
        <v>1526</v>
      </c>
      <c r="E221" s="48">
        <v>1180.915252532257</v>
      </c>
      <c r="F221" s="48">
        <v>146.53732138227255</v>
      </c>
      <c r="G221" s="48">
        <v>235.56677360091447</v>
      </c>
      <c r="H221" s="48">
        <v>1.7286510454484132</v>
      </c>
      <c r="I221" s="48">
        <v>22.667069410044512</v>
      </c>
      <c r="J221" s="48">
        <v>79.285771727814023</v>
      </c>
      <c r="K221" s="48">
        <v>176.03982549827066</v>
      </c>
      <c r="L221" s="48">
        <v>6.1051418798573174</v>
      </c>
      <c r="M221" s="48">
        <v>0</v>
      </c>
      <c r="N221" s="48">
        <v>0.87333971735562355</v>
      </c>
      <c r="O221" s="48">
        <v>9026.6548323122079</v>
      </c>
      <c r="P221" s="48">
        <v>1315.1686539518264</v>
      </c>
      <c r="Q221" s="48">
        <v>122.68232337378628</v>
      </c>
      <c r="R221" s="48">
        <v>6549.8972622385709</v>
      </c>
      <c r="S221" s="48">
        <v>22.403640298641804</v>
      </c>
      <c r="T221" s="48">
        <v>151.89196707866427</v>
      </c>
      <c r="U221" s="48">
        <v>19.108084191716561</v>
      </c>
      <c r="V221" s="48">
        <v>41.66609887273637</v>
      </c>
      <c r="W221" s="48">
        <v>63.321251752390438</v>
      </c>
      <c r="X221" s="48">
        <v>0.86806441609143925</v>
      </c>
      <c r="Y221" s="48">
        <v>28.639365597533004</v>
      </c>
      <c r="Z221" s="48">
        <v>76.834150420566644</v>
      </c>
      <c r="AA221" s="48">
        <v>5.1943317388248724</v>
      </c>
      <c r="AB221" s="48">
        <v>5.2128628626799332</v>
      </c>
      <c r="AC221" s="48">
        <v>0.85015162008057332</v>
      </c>
      <c r="AD221" s="48">
        <v>19.095861291297417</v>
      </c>
      <c r="AE221" s="48">
        <v>27.773933703907829</v>
      </c>
      <c r="AF221" s="48">
        <v>13.001001611727489</v>
      </c>
      <c r="AG221" s="48">
        <v>30.399410939033682</v>
      </c>
      <c r="AH221" s="48">
        <v>52.045695304248987</v>
      </c>
      <c r="AI221" s="48">
        <v>44.242777110748932</v>
      </c>
      <c r="AJ221" s="48">
        <v>28.645666000302697</v>
      </c>
      <c r="AK221" s="48">
        <v>84.161336612799602</v>
      </c>
      <c r="AL221" s="48">
        <v>27.770287159109021</v>
      </c>
      <c r="AM221" s="48">
        <v>2.6049295125004526</v>
      </c>
      <c r="AN221" s="48">
        <v>30.385211055279211</v>
      </c>
      <c r="AO221" s="48">
        <v>19.081617957745678</v>
      </c>
      <c r="AP221" s="48">
        <v>72.0770618650469</v>
      </c>
      <c r="AQ221" s="48">
        <v>28.633365486761956</v>
      </c>
      <c r="AR221" s="48">
        <v>45.969605931076124</v>
      </c>
      <c r="AS221" s="48">
        <v>40.567950244599217</v>
      </c>
      <c r="AT221" s="48">
        <v>396.20803956713968</v>
      </c>
      <c r="AU221" s="48">
        <v>50.191601868113914</v>
      </c>
      <c r="AV221" s="48">
        <v>24.222691163818325</v>
      </c>
      <c r="AW221" s="48">
        <v>14.841771499545693</v>
      </c>
      <c r="AX221" s="48">
        <v>794.58920293943845</v>
      </c>
      <c r="AY221" s="48">
        <v>130.96428938772351</v>
      </c>
      <c r="AZ221" s="48">
        <v>20.629646270874201</v>
      </c>
      <c r="BA221" s="48">
        <v>37.676108970057172</v>
      </c>
      <c r="BB221" s="48">
        <v>826.36781011414473</v>
      </c>
      <c r="BC221" s="48">
        <v>137.64010880859701</v>
      </c>
      <c r="BD221" s="48">
        <v>1114.2270717864878</v>
      </c>
      <c r="BE221" s="48">
        <v>1046.7926402265959</v>
      </c>
      <c r="BF221" s="48">
        <v>34.33601250971148</v>
      </c>
      <c r="BG221" s="48">
        <v>1.8103806467390418</v>
      </c>
      <c r="BH221" s="48">
        <v>211.61627433473456</v>
      </c>
      <c r="BI221" s="48">
        <v>25.433135183553038</v>
      </c>
      <c r="BJ221" s="48">
        <v>163.52623674778897</v>
      </c>
      <c r="BK221" s="48">
        <v>32.410598877998829</v>
      </c>
      <c r="BL221" s="48">
        <v>0</v>
      </c>
      <c r="BM221" s="48">
        <v>93.316429135302627</v>
      </c>
      <c r="BN221" s="48">
        <v>7.8758371001385994</v>
      </c>
      <c r="BO221" s="48">
        <v>0</v>
      </c>
      <c r="BP221" s="48">
        <v>14149.234957755887</v>
      </c>
      <c r="BQ221" s="48">
        <v>1922.2307337120808</v>
      </c>
      <c r="BR221" s="48">
        <v>81.776117382299518</v>
      </c>
      <c r="BS221" s="48">
        <v>130.58963711934885</v>
      </c>
      <c r="BT221" s="48">
        <v>809.45838902090611</v>
      </c>
      <c r="BU221" s="48">
        <v>4612.2002852334163</v>
      </c>
      <c r="BV221" s="48">
        <v>584.4094351539037</v>
      </c>
      <c r="BW221" s="48">
        <v>298.75079457913449</v>
      </c>
      <c r="BX221" s="48">
        <v>27.404818901818551</v>
      </c>
      <c r="BY221" s="48">
        <v>35.729011363881064</v>
      </c>
      <c r="BZ221" s="48">
        <v>26.054025863703128</v>
      </c>
      <c r="CA221" s="48">
        <v>4374.8671931350227</v>
      </c>
      <c r="CB221" s="48">
        <v>18.804012244721967</v>
      </c>
      <c r="CC221" s="48">
        <v>368.69876438192773</v>
      </c>
      <c r="CD221" s="48">
        <v>301.22461289437956</v>
      </c>
      <c r="CE221" s="48">
        <v>22.34650928658484</v>
      </c>
      <c r="CF221" s="48">
        <v>3.5759446019991672</v>
      </c>
      <c r="CG221" s="48">
        <v>10659.171179349669</v>
      </c>
      <c r="CH221" s="48">
        <v>979.70966163206458</v>
      </c>
      <c r="CI221" s="48">
        <v>123.13302777208428</v>
      </c>
      <c r="CJ221" s="48">
        <v>110.84720036021643</v>
      </c>
      <c r="CK221" s="48">
        <v>10.136593136142411</v>
      </c>
      <c r="CL221" s="48">
        <v>4.5616475016419553</v>
      </c>
      <c r="CM221" s="48">
        <v>43.336749783718695</v>
      </c>
      <c r="CN221" s="48">
        <v>0</v>
      </c>
      <c r="CO221" s="48">
        <v>37.371821905168268</v>
      </c>
      <c r="CP221" s="48">
        <v>3.2216842752829846</v>
      </c>
      <c r="CQ221" s="48">
        <v>14.83299367543505</v>
      </c>
      <c r="CR221" s="48">
        <v>378.47275191186395</v>
      </c>
      <c r="CS221" s="48">
        <v>20.204916313214412</v>
      </c>
      <c r="CT221" s="48">
        <v>90.170161437885014</v>
      </c>
      <c r="CU221" s="48">
        <v>69.122401503721264</v>
      </c>
      <c r="CV221" s="48">
        <v>76.029825268817746</v>
      </c>
      <c r="CW221" s="48">
        <v>14.426766863191851</v>
      </c>
      <c r="CX221" s="48">
        <v>352.24379046268882</v>
      </c>
      <c r="CY221" s="48">
        <v>341.46635957317505</v>
      </c>
      <c r="CZ221" s="48">
        <v>18.453089516289445</v>
      </c>
      <c r="DA221" s="48">
        <v>59.19190168875091</v>
      </c>
      <c r="DB221" s="48">
        <v>5.2586724654014638</v>
      </c>
      <c r="DC221" s="48">
        <v>0</v>
      </c>
      <c r="DD221" s="48">
        <v>0</v>
      </c>
      <c r="DE221" s="48">
        <v>0</v>
      </c>
      <c r="DF221" s="48">
        <v>876.87508351996883</v>
      </c>
      <c r="DG221" s="48">
        <v>2504.6545256612671</v>
      </c>
      <c r="DH221" s="48">
        <v>1254.7466447819195</v>
      </c>
      <c r="DI221" s="48">
        <v>1227.4372763855788</v>
      </c>
      <c r="DJ221" s="48">
        <v>121.90274103302453</v>
      </c>
      <c r="DK221" s="48">
        <v>0</v>
      </c>
      <c r="DL221" s="48">
        <v>980.29242657275097</v>
      </c>
      <c r="DM221" s="48">
        <v>35.372061082702061</v>
      </c>
      <c r="DN221" s="48">
        <v>126.90517511580516</v>
      </c>
      <c r="DO221" s="48">
        <v>0.89830702981807942</v>
      </c>
      <c r="DP221" s="48">
        <v>645.42232697198074</v>
      </c>
      <c r="DQ221" s="48">
        <v>1122.3283636291428</v>
      </c>
      <c r="DR221" s="48">
        <v>854.36330372387999</v>
      </c>
      <c r="DS221" s="48">
        <v>142.64398148468058</v>
      </c>
      <c r="DT221" s="48">
        <v>6.2393732324073286</v>
      </c>
      <c r="DU221" s="48">
        <v>2.7447568957232735</v>
      </c>
      <c r="DV221" s="48">
        <v>45.11864537363634</v>
      </c>
      <c r="DW221" s="48">
        <v>110.58408980128414</v>
      </c>
      <c r="DX221" s="48">
        <v>55.352015365511242</v>
      </c>
      <c r="DY221" s="48">
        <v>7.5432414686609883</v>
      </c>
      <c r="DZ221" s="48">
        <v>6.757990177095297</v>
      </c>
      <c r="EA221" s="48">
        <v>0</v>
      </c>
      <c r="EB221" s="48">
        <v>88.663752419718094</v>
      </c>
      <c r="EC221" s="48">
        <v>199.84029268667373</v>
      </c>
      <c r="ED221" s="48">
        <v>2122.8202137838848</v>
      </c>
      <c r="EE221" s="48">
        <v>598.73225771999273</v>
      </c>
      <c r="EF221" s="48">
        <v>2055.4627942537195</v>
      </c>
      <c r="EG221" s="48">
        <v>720.89738038417477</v>
      </c>
      <c r="EH221" s="48">
        <v>98.811089035063603</v>
      </c>
      <c r="EI221" s="48">
        <v>68.343166055529082</v>
      </c>
      <c r="EJ221" s="48">
        <v>70.065469685201606</v>
      </c>
      <c r="EK221" s="48">
        <v>27.681338169809319</v>
      </c>
      <c r="EL221" s="48">
        <v>72.251967596574531</v>
      </c>
      <c r="EM221" s="48">
        <v>251.9433053799799</v>
      </c>
      <c r="EN221" s="48">
        <v>252.61446524601055</v>
      </c>
      <c r="EO221" s="48">
        <v>33.034813821580052</v>
      </c>
      <c r="EP221" s="48">
        <v>78.916304849681254</v>
      </c>
      <c r="EQ221" s="48">
        <v>76.465398560912817</v>
      </c>
      <c r="ER221" s="48">
        <v>0.15809894120925405</v>
      </c>
      <c r="ES221" s="48">
        <v>0</v>
      </c>
      <c r="ET221" s="48">
        <v>85.79275078898965</v>
      </c>
      <c r="EU221" s="48">
        <v>84.264318489297267</v>
      </c>
      <c r="EV221" s="48">
        <v>74.633635397083182</v>
      </c>
      <c r="EW221" s="48">
        <v>275.3951324334754</v>
      </c>
      <c r="EX221" s="48">
        <v>15432.873000230653</v>
      </c>
      <c r="EY221" s="48">
        <v>1119.3961656393224</v>
      </c>
      <c r="EZ221" s="48">
        <v>1056.6212108282023</v>
      </c>
      <c r="FA221" s="48">
        <v>0</v>
      </c>
      <c r="FB221" s="48">
        <v>0</v>
      </c>
      <c r="FC221" s="48">
        <v>0</v>
      </c>
      <c r="FD221" s="48">
        <v>194.80678953447972</v>
      </c>
      <c r="FE221" s="48">
        <v>23.197581608249774</v>
      </c>
      <c r="FF221" s="48">
        <v>0.7161461308131476</v>
      </c>
      <c r="FG221" s="48">
        <v>142.34320044115228</v>
      </c>
      <c r="FH221" s="48">
        <v>116.57756602271789</v>
      </c>
      <c r="FI221" s="48">
        <v>49.988723103519661</v>
      </c>
      <c r="FJ221" s="48">
        <v>78.407979472420152</v>
      </c>
      <c r="FK221" s="48">
        <v>23.151302471779594</v>
      </c>
      <c r="FL221" s="48">
        <v>0.59948490899966456</v>
      </c>
      <c r="FM221" s="48">
        <v>73.290083222656449</v>
      </c>
      <c r="FN221" s="48">
        <v>17.354178838785888</v>
      </c>
      <c r="FO221" s="48">
        <v>9.8138238952500352</v>
      </c>
      <c r="FP221" s="48">
        <v>25.509839462065916</v>
      </c>
      <c r="FQ221" s="48">
        <v>0</v>
      </c>
      <c r="FR221" s="48">
        <v>182.11804678073102</v>
      </c>
      <c r="FS221" s="48">
        <v>2.9202421240619603</v>
      </c>
      <c r="FT221" s="48">
        <v>0.68654030899176344</v>
      </c>
      <c r="FU221" s="48">
        <v>5.2851359863348639</v>
      </c>
      <c r="FV221" s="48">
        <v>48.097773909433499</v>
      </c>
      <c r="FW221" s="48">
        <v>7856.7594276243699</v>
      </c>
      <c r="FX221" s="48">
        <v>16289.528500509841</v>
      </c>
      <c r="FY221" s="48">
        <v>1077.5450402436347</v>
      </c>
      <c r="FZ221" s="48">
        <v>23.158527042044462</v>
      </c>
      <c r="GA221" s="48">
        <v>209.45183733011649</v>
      </c>
      <c r="GB221" s="48">
        <v>10492.18273801561</v>
      </c>
      <c r="GC221" s="48">
        <v>35240.877009088144</v>
      </c>
      <c r="GD221" s="48">
        <v>1853.2331859451285</v>
      </c>
      <c r="GE221" s="48">
        <v>1616.9522980052268</v>
      </c>
      <c r="GF221" s="48">
        <v>2692.0403244011363</v>
      </c>
      <c r="GG221" s="48">
        <v>12256.43819476466</v>
      </c>
      <c r="GH221" s="48">
        <v>9130.2397981653776</v>
      </c>
      <c r="GI221" s="48">
        <v>18.847110818293331</v>
      </c>
      <c r="GJ221" s="48">
        <v>1379.8012044634436</v>
      </c>
      <c r="GK221" s="48">
        <v>2874.3311037559465</v>
      </c>
      <c r="GL221" s="48">
        <v>2876.8028142074509</v>
      </c>
      <c r="GM221" s="48">
        <v>1789.1542529697492</v>
      </c>
      <c r="GN221" s="48">
        <v>86.276462201126321</v>
      </c>
      <c r="GO221" s="48">
        <v>708.78503195705252</v>
      </c>
      <c r="GP221" s="48">
        <v>311.88620164189058</v>
      </c>
      <c r="GQ221" s="48">
        <v>2306.3529329103676</v>
      </c>
      <c r="GR221" s="48">
        <v>37311.128336866728</v>
      </c>
      <c r="GS221" s="48">
        <v>31679.688552510786</v>
      </c>
      <c r="GT221" s="48">
        <v>356.3418670241382</v>
      </c>
      <c r="GU221" s="48">
        <v>20756.142987731542</v>
      </c>
      <c r="GV221" s="48">
        <v>118.22247460472282</v>
      </c>
      <c r="GW221" s="48">
        <v>31.327983793149027</v>
      </c>
      <c r="GX221" s="48">
        <v>1701.6485144975959</v>
      </c>
      <c r="GY221" s="48">
        <v>390.48892733778416</v>
      </c>
      <c r="GZ221" s="48">
        <v>0</v>
      </c>
      <c r="HA221" s="48">
        <v>5130.1729132279261</v>
      </c>
      <c r="HB221" s="48">
        <v>2814.2723401883463</v>
      </c>
      <c r="HC221" s="48">
        <v>6347.0305007980987</v>
      </c>
      <c r="HD221" s="48">
        <v>2148.0555552408468</v>
      </c>
      <c r="HE221" s="48">
        <v>399.86019235408963</v>
      </c>
      <c r="HF221" s="48">
        <v>1984.4761642160047</v>
      </c>
      <c r="HG221" s="48">
        <v>1895.0581620839216</v>
      </c>
      <c r="HH221" s="48">
        <v>3569.793610647253</v>
      </c>
      <c r="HI221" s="48">
        <v>5208.4627089933811</v>
      </c>
      <c r="HJ221" s="48">
        <v>5925.4929218332536</v>
      </c>
      <c r="HK221" s="48">
        <v>280.71495932294499</v>
      </c>
      <c r="HL221" s="48">
        <v>446.02477080407294</v>
      </c>
      <c r="HM221" s="48">
        <v>2043.1918833489508</v>
      </c>
      <c r="HN221" s="48">
        <v>598.61747138227588</v>
      </c>
      <c r="HO221" s="48">
        <v>2519.375235278937</v>
      </c>
      <c r="HP221" s="48">
        <v>4317.8773458652249</v>
      </c>
      <c r="HQ221" s="48">
        <v>673.89945833139745</v>
      </c>
      <c r="HR221" s="48">
        <v>1437.54741098522</v>
      </c>
      <c r="HS221" s="48">
        <v>2413.98520453023</v>
      </c>
      <c r="HT221" s="48">
        <v>1477.9517708537519</v>
      </c>
      <c r="HU221" s="48">
        <v>1954.384220954785</v>
      </c>
      <c r="HV221" s="48">
        <v>1940.7028533849971</v>
      </c>
      <c r="HW221" s="48">
        <v>0.12146715148800681</v>
      </c>
      <c r="HX221" s="48">
        <v>149.76145575908427</v>
      </c>
      <c r="HY221" s="48">
        <v>127.74273489018341</v>
      </c>
      <c r="HZ221" s="48">
        <v>188.44685120372333</v>
      </c>
      <c r="IA221" s="48">
        <v>53.695414709558868</v>
      </c>
      <c r="IB221" s="48">
        <v>2.6389908962695299</v>
      </c>
      <c r="IC221" s="48">
        <v>34.971687079111604</v>
      </c>
      <c r="ID221" s="48">
        <v>22.387048172711921</v>
      </c>
      <c r="IE221" s="48">
        <v>15.210747349450379</v>
      </c>
      <c r="IF221" s="48">
        <v>1.7917415229662541</v>
      </c>
      <c r="IG221" s="48">
        <v>1122.0236742442655</v>
      </c>
      <c r="IH221" s="48">
        <v>81.007024986360904</v>
      </c>
      <c r="II221" s="48">
        <v>24.539674535853472</v>
      </c>
      <c r="IJ221" s="48">
        <v>0</v>
      </c>
      <c r="IK221" s="48">
        <v>1517.6645120332171</v>
      </c>
      <c r="IL221" s="48">
        <v>2710.5706138968594</v>
      </c>
      <c r="IM221" s="48">
        <v>3258.048728794583</v>
      </c>
      <c r="IN221" s="48">
        <v>1730.1090223224946</v>
      </c>
      <c r="IO221" s="48">
        <v>0</v>
      </c>
      <c r="IP221" s="23">
        <v>372262.00000000017</v>
      </c>
      <c r="IQ221" s="25">
        <v>35028</v>
      </c>
      <c r="IR221" s="25">
        <v>0</v>
      </c>
      <c r="IS221" s="26">
        <v>0</v>
      </c>
      <c r="IT221" s="26">
        <v>0</v>
      </c>
      <c r="IU221" s="26">
        <v>0</v>
      </c>
      <c r="IV221" s="9">
        <v>0</v>
      </c>
      <c r="IW221" s="38">
        <f t="shared" si="34"/>
        <v>407290.00000000017</v>
      </c>
    </row>
    <row r="222" spans="1:257" ht="30" customHeight="1" x14ac:dyDescent="0.25">
      <c r="A222" s="112" t="b">
        <v>1</v>
      </c>
      <c r="B222" s="113" t="str">
        <f>IFERROR(VLOOKUP(C222,'Bridge matrix'!$D$3:$E$727,2,FALSE)='symmetric IOT 245 2012'!D222,"FALSCH")</f>
        <v>FALSCH</v>
      </c>
      <c r="C222" s="108">
        <v>211</v>
      </c>
      <c r="D222" s="49" t="s">
        <v>1527</v>
      </c>
      <c r="E222" s="48">
        <v>4824.9611424037539</v>
      </c>
      <c r="F222" s="48">
        <v>598.87947605598902</v>
      </c>
      <c r="G222" s="48">
        <v>961.14231791017983</v>
      </c>
      <c r="H222" s="48">
        <v>43.050669896594734</v>
      </c>
      <c r="I222" s="48">
        <v>440.53054198902589</v>
      </c>
      <c r="J222" s="48">
        <v>1570.0223771009962</v>
      </c>
      <c r="K222" s="48">
        <v>3483.5363903922766</v>
      </c>
      <c r="L222" s="48">
        <v>116.60562065605835</v>
      </c>
      <c r="M222" s="48">
        <v>6.2736082139389948</v>
      </c>
      <c r="N222" s="48">
        <v>23.633261104828762</v>
      </c>
      <c r="O222" s="48">
        <v>5066.2776331690511</v>
      </c>
      <c r="P222" s="48">
        <v>737.57337966045372</v>
      </c>
      <c r="Q222" s="48">
        <v>68.725545851550947</v>
      </c>
      <c r="R222" s="48">
        <v>3676.0679448721799</v>
      </c>
      <c r="S222" s="48">
        <v>12.504912532975009</v>
      </c>
      <c r="T222" s="48">
        <v>104.58954274413183</v>
      </c>
      <c r="U222" s="48">
        <v>12.856786683861111</v>
      </c>
      <c r="V222" s="48">
        <v>28.275611746583529</v>
      </c>
      <c r="W222" s="48">
        <v>43.697016007466935</v>
      </c>
      <c r="X222" s="48">
        <v>0.86972657581474822</v>
      </c>
      <c r="Y222" s="48">
        <v>19.713719660019628</v>
      </c>
      <c r="Z222" s="48">
        <v>52.590367817283159</v>
      </c>
      <c r="AA222" s="48">
        <v>3.4100740456699654</v>
      </c>
      <c r="AB222" s="48">
        <v>3.4267202691542011</v>
      </c>
      <c r="AC222" s="48">
        <v>0.85409675542588914</v>
      </c>
      <c r="AD222" s="48">
        <v>12.849080343360392</v>
      </c>
      <c r="AE222" s="48">
        <v>18.845539032715305</v>
      </c>
      <c r="AF222" s="48">
        <v>9.4376266733027681</v>
      </c>
      <c r="AG222" s="48">
        <v>20.570725834852038</v>
      </c>
      <c r="AH222" s="48">
        <v>35.989262033702239</v>
      </c>
      <c r="AI222" s="48">
        <v>30.863860231562061</v>
      </c>
      <c r="AJ222" s="48">
        <v>19.720925057584427</v>
      </c>
      <c r="AK222" s="48">
        <v>58.290710561374169</v>
      </c>
      <c r="AL222" s="48">
        <v>18.846084449505156</v>
      </c>
      <c r="AM222" s="48">
        <v>1.7123728353011463</v>
      </c>
      <c r="AN222" s="48">
        <v>20.565690451473575</v>
      </c>
      <c r="AO222" s="48">
        <v>12.83587168580352</v>
      </c>
      <c r="AP222" s="48">
        <v>49.751263550892872</v>
      </c>
      <c r="AQ222" s="48">
        <v>19.710545642842078</v>
      </c>
      <c r="AR222" s="48">
        <v>31.697048822360792</v>
      </c>
      <c r="AS222" s="48">
        <v>27.870095079577442</v>
      </c>
      <c r="AT222" s="48">
        <v>713.5685302850685</v>
      </c>
      <c r="AU222" s="48">
        <v>90.623166515546416</v>
      </c>
      <c r="AV222" s="48">
        <v>43.103862009384301</v>
      </c>
      <c r="AW222" s="48">
        <v>27.094333609078802</v>
      </c>
      <c r="AX222" s="48">
        <v>1434.6796594675031</v>
      </c>
      <c r="AY222" s="48">
        <v>236.16843772483531</v>
      </c>
      <c r="AZ222" s="48">
        <v>36.811326383838228</v>
      </c>
      <c r="BA222" s="48">
        <v>67.347713918162867</v>
      </c>
      <c r="BB222" s="48">
        <v>1491.0410286896215</v>
      </c>
      <c r="BC222" s="48">
        <v>248.38017354065406</v>
      </c>
      <c r="BD222" s="48">
        <v>2252.4240131616493</v>
      </c>
      <c r="BE222" s="48">
        <v>1014.3840603833926</v>
      </c>
      <c r="BF222" s="48">
        <v>32.476478021423233</v>
      </c>
      <c r="BG222" s="48">
        <v>1.8091134420230914</v>
      </c>
      <c r="BH222" s="48">
        <v>204.98450769985843</v>
      </c>
      <c r="BI222" s="48">
        <v>24.490670806270938</v>
      </c>
      <c r="BJ222" s="48">
        <v>157.90341493450092</v>
      </c>
      <c r="BK222" s="48">
        <v>31.468903301337246</v>
      </c>
      <c r="BL222" s="48">
        <v>0</v>
      </c>
      <c r="BM222" s="48">
        <v>90.010342869570977</v>
      </c>
      <c r="BN222" s="48">
        <v>7.8680877636130591</v>
      </c>
      <c r="BO222" s="48">
        <v>0</v>
      </c>
      <c r="BP222" s="48">
        <v>0</v>
      </c>
      <c r="BQ222" s="48">
        <v>0</v>
      </c>
      <c r="BR222" s="48">
        <v>0</v>
      </c>
      <c r="BS222" s="48">
        <v>0</v>
      </c>
      <c r="BT222" s="48">
        <v>1564.614860501305</v>
      </c>
      <c r="BU222" s="48">
        <v>8921.7364076859321</v>
      </c>
      <c r="BV222" s="48">
        <v>486.509063738458</v>
      </c>
      <c r="BW222" s="48">
        <v>249.23521348821328</v>
      </c>
      <c r="BX222" s="48">
        <v>22.914095597266108</v>
      </c>
      <c r="BY222" s="48">
        <v>4245.0406189167143</v>
      </c>
      <c r="BZ222" s="48">
        <v>3076.8836382398231</v>
      </c>
      <c r="CA222" s="48">
        <v>95260.964041534462</v>
      </c>
      <c r="CB222" s="48">
        <v>329.58619807292439</v>
      </c>
      <c r="CC222" s="48">
        <v>0</v>
      </c>
      <c r="CD222" s="48">
        <v>0</v>
      </c>
      <c r="CE222" s="48">
        <v>0</v>
      </c>
      <c r="CF222" s="48">
        <v>0</v>
      </c>
      <c r="CG222" s="48">
        <v>48.624298868958711</v>
      </c>
      <c r="CH222" s="48">
        <v>4.5128992915228991</v>
      </c>
      <c r="CI222" s="48">
        <v>0</v>
      </c>
      <c r="CJ222" s="48">
        <v>0</v>
      </c>
      <c r="CK222" s="48">
        <v>0</v>
      </c>
      <c r="CL222" s="48">
        <v>0</v>
      </c>
      <c r="CM222" s="48">
        <v>0</v>
      </c>
      <c r="CN222" s="48">
        <v>0</v>
      </c>
      <c r="CO222" s="48">
        <v>0</v>
      </c>
      <c r="CP222" s="48">
        <v>0</v>
      </c>
      <c r="CQ222" s="48">
        <v>0</v>
      </c>
      <c r="CR222" s="48">
        <v>0</v>
      </c>
      <c r="CS222" s="48">
        <v>529.57077874679487</v>
      </c>
      <c r="CT222" s="48">
        <v>2532.4387036273115</v>
      </c>
      <c r="CU222" s="48">
        <v>2158.7969152657406</v>
      </c>
      <c r="CV222" s="48">
        <v>2698.2364143229629</v>
      </c>
      <c r="CW222" s="48">
        <v>372.72217071591422</v>
      </c>
      <c r="CX222" s="48">
        <v>94.452795161319557</v>
      </c>
      <c r="CY222" s="48">
        <v>80.944457123229043</v>
      </c>
      <c r="CZ222" s="48">
        <v>35.486846851057294</v>
      </c>
      <c r="DA222" s="48">
        <v>110.45587660816417</v>
      </c>
      <c r="DB222" s="48">
        <v>9.4616922153742298</v>
      </c>
      <c r="DC222" s="48">
        <v>0</v>
      </c>
      <c r="DD222" s="48">
        <v>198.96282319364411</v>
      </c>
      <c r="DE222" s="48">
        <v>8.2925463543560802</v>
      </c>
      <c r="DF222" s="48">
        <v>86.28418858543094</v>
      </c>
      <c r="DG222" s="48">
        <v>464.4872090640817</v>
      </c>
      <c r="DH222" s="48">
        <v>237.19134324704405</v>
      </c>
      <c r="DI222" s="48">
        <v>113.96326596488348</v>
      </c>
      <c r="DJ222" s="48">
        <v>9.4771731266376405E-2</v>
      </c>
      <c r="DK222" s="48">
        <v>0</v>
      </c>
      <c r="DL222" s="48">
        <v>795.43276636289829</v>
      </c>
      <c r="DM222" s="48">
        <v>24.757250034647807</v>
      </c>
      <c r="DN222" s="48">
        <v>4198.9558335559177</v>
      </c>
      <c r="DO222" s="48">
        <v>0</v>
      </c>
      <c r="DP222" s="48">
        <v>177.8270982790865</v>
      </c>
      <c r="DQ222" s="48">
        <v>310.69517947907406</v>
      </c>
      <c r="DR222" s="48">
        <v>235.96845632948947</v>
      </c>
      <c r="DS222" s="48">
        <v>200.28918233105438</v>
      </c>
      <c r="DT222" s="48">
        <v>17.78215293183904</v>
      </c>
      <c r="DU222" s="48">
        <v>9.1262854840597338</v>
      </c>
      <c r="DV222" s="48">
        <v>127.69057630705011</v>
      </c>
      <c r="DW222" s="48">
        <v>115.78330148219696</v>
      </c>
      <c r="DX222" s="48">
        <v>58.399781079798906</v>
      </c>
      <c r="DY222" s="48">
        <v>5.4708375610589135</v>
      </c>
      <c r="DZ222" s="48">
        <v>7.7092640017507197</v>
      </c>
      <c r="EA222" s="48">
        <v>330.5847405121915</v>
      </c>
      <c r="EB222" s="48">
        <v>225.1296167974397</v>
      </c>
      <c r="EC222" s="48">
        <v>714.77882808090601</v>
      </c>
      <c r="ED222" s="48">
        <v>12378.950686357482</v>
      </c>
      <c r="EE222" s="48">
        <v>3488.3451506766983</v>
      </c>
      <c r="EF222" s="48">
        <v>11980.266227090315</v>
      </c>
      <c r="EG222" s="48">
        <v>4204.6195994353484</v>
      </c>
      <c r="EH222" s="48">
        <v>577.04580475948819</v>
      </c>
      <c r="EI222" s="48">
        <v>0</v>
      </c>
      <c r="EJ222" s="48">
        <v>48.70336026016237</v>
      </c>
      <c r="EK222" s="48">
        <v>20.109193464608751</v>
      </c>
      <c r="EL222" s="48">
        <v>193.86902049557986</v>
      </c>
      <c r="EM222" s="48">
        <v>382.55206615341172</v>
      </c>
      <c r="EN222" s="48">
        <v>382.68412628972129</v>
      </c>
      <c r="EO222" s="48">
        <v>49.837144643133236</v>
      </c>
      <c r="EP222" s="48">
        <v>119.75400725091453</v>
      </c>
      <c r="EQ222" s="48">
        <v>115.44199842874161</v>
      </c>
      <c r="ER222" s="48">
        <v>440.82285749387887</v>
      </c>
      <c r="ES222" s="48">
        <v>53.1197794520779</v>
      </c>
      <c r="ET222" s="48">
        <v>161.0860835410092</v>
      </c>
      <c r="EU222" s="48">
        <v>1306.8966062932061</v>
      </c>
      <c r="EV222" s="48">
        <v>1161.3830879908944</v>
      </c>
      <c r="EW222" s="48">
        <v>5014.0105020749079</v>
      </c>
      <c r="EX222" s="48">
        <v>783.8243302491652</v>
      </c>
      <c r="EY222" s="48">
        <v>0</v>
      </c>
      <c r="EZ222" s="48">
        <v>55.01357143433146</v>
      </c>
      <c r="FA222" s="48">
        <v>81.946925174548284</v>
      </c>
      <c r="FB222" s="48">
        <v>174.35985613450231</v>
      </c>
      <c r="FC222" s="48">
        <v>161.52119423928298</v>
      </c>
      <c r="FD222" s="48">
        <v>4652.1432758183737</v>
      </c>
      <c r="FE222" s="48">
        <v>538.33953643501957</v>
      </c>
      <c r="FF222" s="48">
        <v>24.692631539193247</v>
      </c>
      <c r="FG222" s="48">
        <v>3290.3046849500151</v>
      </c>
      <c r="FH222" s="48">
        <v>82.715435081396066</v>
      </c>
      <c r="FI222" s="48">
        <v>0</v>
      </c>
      <c r="FJ222" s="48">
        <v>53.308375061748613</v>
      </c>
      <c r="FK222" s="48">
        <v>16.150980435626739</v>
      </c>
      <c r="FL222" s="48">
        <v>0.63222336073454699</v>
      </c>
      <c r="FM222" s="48">
        <v>51.976008158543905</v>
      </c>
      <c r="FN222" s="48">
        <v>12.477589355303278</v>
      </c>
      <c r="FO222" s="48">
        <v>7.5749863188284383</v>
      </c>
      <c r="FP222" s="48">
        <v>0</v>
      </c>
      <c r="FQ222" s="48">
        <v>0</v>
      </c>
      <c r="FR222" s="48">
        <v>237.77521074747457</v>
      </c>
      <c r="FS222" s="48">
        <v>1.6731615260207144</v>
      </c>
      <c r="FT222" s="48">
        <v>0.81944105186496297</v>
      </c>
      <c r="FU222" s="48">
        <v>3.4314303915848616</v>
      </c>
      <c r="FV222" s="48">
        <v>21.351748396069823</v>
      </c>
      <c r="FW222" s="48">
        <v>536.08764029012207</v>
      </c>
      <c r="FX222" s="48">
        <v>1127.8854834895992</v>
      </c>
      <c r="FY222" s="48">
        <v>399.73059995184167</v>
      </c>
      <c r="FZ222" s="48">
        <v>8.8168983516854862</v>
      </c>
      <c r="GA222" s="48">
        <v>64.512861218837543</v>
      </c>
      <c r="GB222" s="48">
        <v>8754.9477213069295</v>
      </c>
      <c r="GC222" s="48">
        <v>30781.442022791507</v>
      </c>
      <c r="GD222" s="48">
        <v>0</v>
      </c>
      <c r="GE222" s="48">
        <v>1234.4282198383357</v>
      </c>
      <c r="GF222" s="48">
        <v>7422.4054847643374</v>
      </c>
      <c r="GG222" s="48">
        <v>10964.687609363848</v>
      </c>
      <c r="GH222" s="48">
        <v>9586.1633701090504</v>
      </c>
      <c r="GI222" s="48">
        <v>17.010957418159769</v>
      </c>
      <c r="GJ222" s="48">
        <v>1233.8746183090593</v>
      </c>
      <c r="GK222" s="48">
        <v>2571.7204102044166</v>
      </c>
      <c r="GL222" s="48">
        <v>2573.3115909697499</v>
      </c>
      <c r="GM222" s="48">
        <v>1889.4018848485091</v>
      </c>
      <c r="GN222" s="48">
        <v>77.10057587442283</v>
      </c>
      <c r="GO222" s="48">
        <v>632.77313459453649</v>
      </c>
      <c r="GP222" s="48">
        <v>278.84676869132755</v>
      </c>
      <c r="GQ222" s="48">
        <v>2063.122109586503</v>
      </c>
      <c r="GR222" s="48">
        <v>0</v>
      </c>
      <c r="GS222" s="48">
        <v>0</v>
      </c>
      <c r="GT222" s="48">
        <v>320.45967457554053</v>
      </c>
      <c r="GU222" s="48">
        <v>18723.662324090015</v>
      </c>
      <c r="GV222" s="48">
        <v>106.31254034253153</v>
      </c>
      <c r="GW222" s="48">
        <v>27.684103797327968</v>
      </c>
      <c r="GX222" s="48">
        <v>1504.6288257569815</v>
      </c>
      <c r="GY222" s="48">
        <v>211.83871892225429</v>
      </c>
      <c r="GZ222" s="48">
        <v>0</v>
      </c>
      <c r="HA222" s="48">
        <v>761.95644456409934</v>
      </c>
      <c r="HB222" s="48">
        <v>3052.5555869581599</v>
      </c>
      <c r="HC222" s="48">
        <v>6882.8495185873016</v>
      </c>
      <c r="HD222" s="48">
        <v>2329.3763824529751</v>
      </c>
      <c r="HE222" s="48">
        <v>511.96308849498206</v>
      </c>
      <c r="HF222" s="48">
        <v>2530.4292094027778</v>
      </c>
      <c r="HG222" s="48">
        <v>2417.1316024203925</v>
      </c>
      <c r="HH222" s="48">
        <v>4552.6492187174917</v>
      </c>
      <c r="HI222" s="48">
        <v>6643.1160986767518</v>
      </c>
      <c r="HJ222" s="48">
        <v>7558.1941941841997</v>
      </c>
      <c r="HK222" s="48">
        <v>358.58605492773177</v>
      </c>
      <c r="HL222" s="48">
        <v>567.69092901355577</v>
      </c>
      <c r="HM222" s="48">
        <v>2605.8478624040908</v>
      </c>
      <c r="HN222" s="48">
        <v>764.08909368532488</v>
      </c>
      <c r="HO222" s="48">
        <v>3213.1123932968103</v>
      </c>
      <c r="HP222" s="48">
        <v>5507.1325788378635</v>
      </c>
      <c r="HQ222" s="48">
        <v>859.72478950553784</v>
      </c>
      <c r="HR222" s="48">
        <v>1832.9717965443815</v>
      </c>
      <c r="HS222" s="48">
        <v>3080.8312274568589</v>
      </c>
      <c r="HT222" s="48">
        <v>1884.9847282437336</v>
      </c>
      <c r="HU222" s="48">
        <v>2492.3799202362193</v>
      </c>
      <c r="HV222" s="48">
        <v>0</v>
      </c>
      <c r="HW222" s="48">
        <v>0</v>
      </c>
      <c r="HX222" s="48">
        <v>90.780649555864883</v>
      </c>
      <c r="HY222" s="48">
        <v>76.80953412422771</v>
      </c>
      <c r="HZ222" s="48">
        <v>113.41790083008551</v>
      </c>
      <c r="IA222" s="48">
        <v>32.268494872050816</v>
      </c>
      <c r="IB222" s="48">
        <v>1.7463829180428168</v>
      </c>
      <c r="IC222" s="48">
        <v>0</v>
      </c>
      <c r="ID222" s="48">
        <v>0</v>
      </c>
      <c r="IE222" s="48">
        <v>0</v>
      </c>
      <c r="IF222" s="48">
        <v>0</v>
      </c>
      <c r="IG222" s="48">
        <v>1765.8000499479697</v>
      </c>
      <c r="IH222" s="48">
        <v>126.77251449951714</v>
      </c>
      <c r="II222" s="48">
        <v>38.728726610599189</v>
      </c>
      <c r="IJ222" s="48">
        <v>0</v>
      </c>
      <c r="IK222" s="48">
        <v>1481.7176824081946</v>
      </c>
      <c r="IL222" s="48">
        <v>2629.165110989908</v>
      </c>
      <c r="IM222" s="48">
        <v>3161.5202568323048</v>
      </c>
      <c r="IN222" s="48">
        <v>1678.2056340827521</v>
      </c>
      <c r="IO222" s="48">
        <v>0</v>
      </c>
      <c r="IP222" s="23">
        <v>389044.00000000471</v>
      </c>
      <c r="IQ222" s="25">
        <v>0</v>
      </c>
      <c r="IR222" s="25">
        <v>0</v>
      </c>
      <c r="IS222" s="26">
        <v>0</v>
      </c>
      <c r="IT222" s="26">
        <v>0</v>
      </c>
      <c r="IU222" s="26">
        <v>0</v>
      </c>
      <c r="IV222" s="9">
        <v>0</v>
      </c>
      <c r="IW222" s="38">
        <f t="shared" si="34"/>
        <v>389044.00000000471</v>
      </c>
    </row>
    <row r="223" spans="1:257" ht="30" customHeight="1" x14ac:dyDescent="0.25">
      <c r="A223" s="112" t="b">
        <v>1</v>
      </c>
      <c r="B223" s="113" t="str">
        <f>IFERROR(VLOOKUP(C223,'Bridge matrix'!$D$3:$E$727,2,FALSE)='symmetric IOT 245 2012'!D223,"FALSCH")</f>
        <v>FALSCH</v>
      </c>
      <c r="C223" s="108">
        <v>212</v>
      </c>
      <c r="D223" s="49" t="s">
        <v>1528</v>
      </c>
      <c r="E223" s="48">
        <v>0</v>
      </c>
      <c r="F223" s="48">
        <v>0</v>
      </c>
      <c r="G223" s="48">
        <v>0</v>
      </c>
      <c r="H223" s="48">
        <v>0</v>
      </c>
      <c r="I223" s="48">
        <v>0</v>
      </c>
      <c r="J223" s="48">
        <v>0</v>
      </c>
      <c r="K223" s="48">
        <v>0</v>
      </c>
      <c r="L223" s="48">
        <v>0</v>
      </c>
      <c r="M223" s="48">
        <v>0</v>
      </c>
      <c r="N223" s="48">
        <v>0</v>
      </c>
      <c r="O223" s="48">
        <v>0</v>
      </c>
      <c r="P223" s="48">
        <v>0</v>
      </c>
      <c r="Q223" s="48">
        <v>0</v>
      </c>
      <c r="R223" s="48">
        <v>0</v>
      </c>
      <c r="S223" s="48">
        <v>0</v>
      </c>
      <c r="T223" s="48">
        <v>0</v>
      </c>
      <c r="U223" s="48">
        <v>0</v>
      </c>
      <c r="V223" s="48">
        <v>0</v>
      </c>
      <c r="W223" s="48">
        <v>0</v>
      </c>
      <c r="X223" s="48">
        <v>0</v>
      </c>
      <c r="Y223" s="48">
        <v>0</v>
      </c>
      <c r="Z223" s="48">
        <v>0</v>
      </c>
      <c r="AA223" s="48">
        <v>0</v>
      </c>
      <c r="AB223" s="48">
        <v>0</v>
      </c>
      <c r="AC223" s="48">
        <v>0</v>
      </c>
      <c r="AD223" s="48">
        <v>0</v>
      </c>
      <c r="AE223" s="48">
        <v>0</v>
      </c>
      <c r="AF223" s="48">
        <v>0</v>
      </c>
      <c r="AG223" s="48">
        <v>0</v>
      </c>
      <c r="AH223" s="48">
        <v>0</v>
      </c>
      <c r="AI223" s="48">
        <v>0</v>
      </c>
      <c r="AJ223" s="48">
        <v>0</v>
      </c>
      <c r="AK223" s="48">
        <v>0</v>
      </c>
      <c r="AL223" s="48">
        <v>0</v>
      </c>
      <c r="AM223" s="48">
        <v>0</v>
      </c>
      <c r="AN223" s="48">
        <v>0</v>
      </c>
      <c r="AO223" s="48">
        <v>0</v>
      </c>
      <c r="AP223" s="48">
        <v>0</v>
      </c>
      <c r="AQ223" s="48">
        <v>0</v>
      </c>
      <c r="AR223" s="48">
        <v>0</v>
      </c>
      <c r="AS223" s="48">
        <v>0</v>
      </c>
      <c r="AT223" s="48">
        <v>0</v>
      </c>
      <c r="AU223" s="48">
        <v>0</v>
      </c>
      <c r="AV223" s="48">
        <v>0</v>
      </c>
      <c r="AW223" s="48">
        <v>0</v>
      </c>
      <c r="AX223" s="48">
        <v>0</v>
      </c>
      <c r="AY223" s="48">
        <v>0</v>
      </c>
      <c r="AZ223" s="48">
        <v>0</v>
      </c>
      <c r="BA223" s="48">
        <v>0</v>
      </c>
      <c r="BB223" s="48">
        <v>0</v>
      </c>
      <c r="BC223" s="48">
        <v>0</v>
      </c>
      <c r="BD223" s="48">
        <v>0</v>
      </c>
      <c r="BE223" s="48">
        <v>0</v>
      </c>
      <c r="BF223" s="48">
        <v>0</v>
      </c>
      <c r="BG223" s="48">
        <v>0</v>
      </c>
      <c r="BH223" s="48">
        <v>0</v>
      </c>
      <c r="BI223" s="48">
        <v>0</v>
      </c>
      <c r="BJ223" s="48">
        <v>0</v>
      </c>
      <c r="BK223" s="48">
        <v>0</v>
      </c>
      <c r="BL223" s="48">
        <v>0</v>
      </c>
      <c r="BM223" s="48">
        <v>0</v>
      </c>
      <c r="BN223" s="48">
        <v>0</v>
      </c>
      <c r="BO223" s="48">
        <v>0</v>
      </c>
      <c r="BP223" s="48">
        <v>15546.860736986278</v>
      </c>
      <c r="BQ223" s="48">
        <v>2111.4235827180028</v>
      </c>
      <c r="BR223" s="48">
        <v>89.61596569956987</v>
      </c>
      <c r="BS223" s="48">
        <v>143.32751625773543</v>
      </c>
      <c r="BT223" s="48">
        <v>3244.8784537914553</v>
      </c>
      <c r="BU223" s="48">
        <v>18504.096658542698</v>
      </c>
      <c r="BV223" s="48">
        <v>0</v>
      </c>
      <c r="BW223" s="48">
        <v>0</v>
      </c>
      <c r="BX223" s="48">
        <v>0</v>
      </c>
      <c r="BY223" s="48">
        <v>7113.2321866612547</v>
      </c>
      <c r="BZ223" s="48">
        <v>5154.781306634909</v>
      </c>
      <c r="CA223" s="48">
        <v>22350.350925868024</v>
      </c>
      <c r="CB223" s="48">
        <v>84.614495431786324</v>
      </c>
      <c r="CC223" s="48">
        <v>0</v>
      </c>
      <c r="CD223" s="48">
        <v>0</v>
      </c>
      <c r="CE223" s="48">
        <v>0</v>
      </c>
      <c r="CF223" s="48">
        <v>0</v>
      </c>
      <c r="CG223" s="48">
        <v>0</v>
      </c>
      <c r="CH223" s="48">
        <v>0</v>
      </c>
      <c r="CI223" s="48">
        <v>0</v>
      </c>
      <c r="CJ223" s="48">
        <v>0</v>
      </c>
      <c r="CK223" s="48">
        <v>0</v>
      </c>
      <c r="CL223" s="48">
        <v>0</v>
      </c>
      <c r="CM223" s="48">
        <v>0</v>
      </c>
      <c r="CN223" s="48">
        <v>0</v>
      </c>
      <c r="CO223" s="48">
        <v>0</v>
      </c>
      <c r="CP223" s="48">
        <v>0</v>
      </c>
      <c r="CQ223" s="48">
        <v>0</v>
      </c>
      <c r="CR223" s="48">
        <v>0</v>
      </c>
      <c r="CS223" s="48">
        <v>0</v>
      </c>
      <c r="CT223" s="48">
        <v>0</v>
      </c>
      <c r="CU223" s="48">
        <v>0</v>
      </c>
      <c r="CV223" s="48">
        <v>0</v>
      </c>
      <c r="CW223" s="48">
        <v>0</v>
      </c>
      <c r="CX223" s="48">
        <v>0</v>
      </c>
      <c r="CY223" s="48">
        <v>0</v>
      </c>
      <c r="CZ223" s="48">
        <v>0</v>
      </c>
      <c r="DA223" s="48">
        <v>0</v>
      </c>
      <c r="DB223" s="48">
        <v>0</v>
      </c>
      <c r="DC223" s="48">
        <v>0</v>
      </c>
      <c r="DD223" s="48">
        <v>0.16842158774664931</v>
      </c>
      <c r="DE223" s="48">
        <v>0</v>
      </c>
      <c r="DF223" s="48">
        <v>0</v>
      </c>
      <c r="DG223" s="48">
        <v>0</v>
      </c>
      <c r="DH223" s="48">
        <v>0</v>
      </c>
      <c r="DI223" s="48">
        <v>0</v>
      </c>
      <c r="DJ223" s="48">
        <v>0</v>
      </c>
      <c r="DK223" s="48">
        <v>0.77363164499489356</v>
      </c>
      <c r="DL223" s="48">
        <v>0</v>
      </c>
      <c r="DM223" s="48">
        <v>0</v>
      </c>
      <c r="DN223" s="48">
        <v>0</v>
      </c>
      <c r="DO223" s="48">
        <v>0</v>
      </c>
      <c r="DP223" s="48">
        <v>0</v>
      </c>
      <c r="DQ223" s="48">
        <v>0</v>
      </c>
      <c r="DR223" s="48">
        <v>0</v>
      </c>
      <c r="DS223" s="48">
        <v>0</v>
      </c>
      <c r="DT223" s="48">
        <v>0</v>
      </c>
      <c r="DU223" s="48">
        <v>0</v>
      </c>
      <c r="DV223" s="48">
        <v>0</v>
      </c>
      <c r="DW223" s="48">
        <v>0</v>
      </c>
      <c r="DX223" s="48">
        <v>0</v>
      </c>
      <c r="DY223" s="48">
        <v>0</v>
      </c>
      <c r="DZ223" s="48">
        <v>0</v>
      </c>
      <c r="EA223" s="48">
        <v>0</v>
      </c>
      <c r="EB223" s="48">
        <v>0</v>
      </c>
      <c r="EC223" s="48">
        <v>0</v>
      </c>
      <c r="ED223" s="48">
        <v>4803.8171970563571</v>
      </c>
      <c r="EE223" s="48">
        <v>1354.708156555047</v>
      </c>
      <c r="EF223" s="48">
        <v>4652.9321971181062</v>
      </c>
      <c r="EG223" s="48">
        <v>1632.8486378010678</v>
      </c>
      <c r="EH223" s="48">
        <v>223.94963881900074</v>
      </c>
      <c r="EI223" s="48">
        <v>6.1750344376413882</v>
      </c>
      <c r="EJ223" s="48">
        <v>0</v>
      </c>
      <c r="EK223" s="48">
        <v>0</v>
      </c>
      <c r="EL223" s="48">
        <v>0</v>
      </c>
      <c r="EM223" s="48">
        <v>0</v>
      </c>
      <c r="EN223" s="48">
        <v>0</v>
      </c>
      <c r="EO223" s="48">
        <v>0</v>
      </c>
      <c r="EP223" s="48">
        <v>0</v>
      </c>
      <c r="EQ223" s="48">
        <v>0</v>
      </c>
      <c r="ER223" s="48">
        <v>0</v>
      </c>
      <c r="ES223" s="48">
        <v>0</v>
      </c>
      <c r="ET223" s="48">
        <v>56.623606462431212</v>
      </c>
      <c r="EU223" s="48">
        <v>0</v>
      </c>
      <c r="EV223" s="48">
        <v>0</v>
      </c>
      <c r="EW223" s="48">
        <v>0</v>
      </c>
      <c r="EX223" s="48">
        <v>25791.071198013437</v>
      </c>
      <c r="EY223" s="48">
        <v>1869.0731086193953</v>
      </c>
      <c r="EZ223" s="48">
        <v>1766.363150674809</v>
      </c>
      <c r="FA223" s="48">
        <v>12212.446257609072</v>
      </c>
      <c r="FB223" s="48">
        <v>9183.8237255889271</v>
      </c>
      <c r="FC223" s="48">
        <v>8299.8635697541631</v>
      </c>
      <c r="FD223" s="48">
        <v>0</v>
      </c>
      <c r="FE223" s="48">
        <v>0</v>
      </c>
      <c r="FF223" s="48">
        <v>0</v>
      </c>
      <c r="FG223" s="48">
        <v>0</v>
      </c>
      <c r="FH223" s="48">
        <v>0</v>
      </c>
      <c r="FI223" s="48">
        <v>0</v>
      </c>
      <c r="FJ223" s="48">
        <v>0</v>
      </c>
      <c r="FK223" s="48">
        <v>0</v>
      </c>
      <c r="FL223" s="48">
        <v>0</v>
      </c>
      <c r="FM223" s="48">
        <v>0</v>
      </c>
      <c r="FN223" s="48">
        <v>0</v>
      </c>
      <c r="FO223" s="48">
        <v>0</v>
      </c>
      <c r="FP223" s="48">
        <v>0</v>
      </c>
      <c r="FQ223" s="48">
        <v>2.9912171184756144</v>
      </c>
      <c r="FR223" s="48">
        <v>0</v>
      </c>
      <c r="FS223" s="48">
        <v>0</v>
      </c>
      <c r="FT223" s="48">
        <v>0</v>
      </c>
      <c r="FU223" s="48">
        <v>0</v>
      </c>
      <c r="FV223" s="48">
        <v>2.1116822141915432</v>
      </c>
      <c r="FW223" s="48">
        <v>13932.766033813186</v>
      </c>
      <c r="FX223" s="48">
        <v>29351.835000945404</v>
      </c>
      <c r="FY223" s="48">
        <v>13143.545435011605</v>
      </c>
      <c r="FZ223" s="48">
        <v>746.68987338974091</v>
      </c>
      <c r="GA223" s="48">
        <v>8494.153435167329</v>
      </c>
      <c r="GB223" s="48">
        <v>0</v>
      </c>
      <c r="GC223" s="48">
        <v>13359.659105010865</v>
      </c>
      <c r="GD223" s="48">
        <v>0</v>
      </c>
      <c r="GE223" s="48">
        <v>9926.0902661422188</v>
      </c>
      <c r="GF223" s="48">
        <v>22117.909799956655</v>
      </c>
      <c r="GG223" s="48">
        <v>27233.0501258933</v>
      </c>
      <c r="GH223" s="48">
        <v>23674.547125839916</v>
      </c>
      <c r="GI223" s="48">
        <v>42.50072728082997</v>
      </c>
      <c r="GJ223" s="48">
        <v>3065.4180202034408</v>
      </c>
      <c r="GK223" s="48">
        <v>6387.3472680054783</v>
      </c>
      <c r="GL223" s="48">
        <v>6392.2825207758424</v>
      </c>
      <c r="GM223" s="48">
        <v>4666.4034108951473</v>
      </c>
      <c r="GN223" s="48">
        <v>192.87118267337047</v>
      </c>
      <c r="GO223" s="48">
        <v>1563.1159575221598</v>
      </c>
      <c r="GP223" s="48">
        <v>691.8666134253358</v>
      </c>
      <c r="GQ223" s="48">
        <v>5123.8510986028332</v>
      </c>
      <c r="GR223" s="48">
        <v>0</v>
      </c>
      <c r="GS223" s="48">
        <v>0</v>
      </c>
      <c r="GT223" s="48">
        <v>750.19324836565238</v>
      </c>
      <c r="GU223" s="48">
        <v>54648.421548348197</v>
      </c>
      <c r="GV223" s="48">
        <v>308.82035604369332</v>
      </c>
      <c r="GW223" s="48">
        <v>80.908968891660109</v>
      </c>
      <c r="GX223" s="48">
        <v>4547.3843609989099</v>
      </c>
      <c r="GY223" s="48">
        <v>1579.3619334347959</v>
      </c>
      <c r="GZ223" s="48">
        <v>0</v>
      </c>
      <c r="HA223" s="48">
        <v>5811.5413100112264</v>
      </c>
      <c r="HB223" s="48">
        <v>11073.35187278159</v>
      </c>
      <c r="HC223" s="48">
        <v>24969.937270239581</v>
      </c>
      <c r="HD223" s="48">
        <v>8449.2592174714027</v>
      </c>
      <c r="HE223" s="48">
        <v>577.29474681443673</v>
      </c>
      <c r="HF223" s="48">
        <v>2843.7015117411984</v>
      </c>
      <c r="HG223" s="48">
        <v>2715.7377228626638</v>
      </c>
      <c r="HH223" s="48">
        <v>5114.8657377972977</v>
      </c>
      <c r="HI223" s="48">
        <v>7463.5410135951352</v>
      </c>
      <c r="HJ223" s="48">
        <v>8488.2662356330256</v>
      </c>
      <c r="HK223" s="48">
        <v>402.79411541363942</v>
      </c>
      <c r="HL223" s="48">
        <v>638.91416719751032</v>
      </c>
      <c r="HM223" s="48">
        <v>2928.2868472149821</v>
      </c>
      <c r="HN223" s="48">
        <v>858.39139954023085</v>
      </c>
      <c r="HO223" s="48">
        <v>3609.9526049003325</v>
      </c>
      <c r="HP223" s="48">
        <v>6187.7979075237799</v>
      </c>
      <c r="HQ223" s="48">
        <v>965.82066692882074</v>
      </c>
      <c r="HR223" s="48">
        <v>2060.2081904003526</v>
      </c>
      <c r="HS223" s="48">
        <v>3454.7242614688748</v>
      </c>
      <c r="HT223" s="48">
        <v>2117.7804786673605</v>
      </c>
      <c r="HU223" s="48">
        <v>2800.7607652395432</v>
      </c>
      <c r="HV223" s="48">
        <v>155772.94132602509</v>
      </c>
      <c r="HW223" s="48">
        <v>2557.5456714287429</v>
      </c>
      <c r="HX223" s="48">
        <v>0</v>
      </c>
      <c r="HY223" s="48">
        <v>0</v>
      </c>
      <c r="HZ223" s="48">
        <v>0</v>
      </c>
      <c r="IA223" s="48">
        <v>0</v>
      </c>
      <c r="IB223" s="48">
        <v>0</v>
      </c>
      <c r="IC223" s="48">
        <v>11079.620374227823</v>
      </c>
      <c r="ID223" s="48">
        <v>14370.908660190307</v>
      </c>
      <c r="IE223" s="48">
        <v>8182.4905222751313</v>
      </c>
      <c r="IF223" s="48">
        <v>891.59216255092667</v>
      </c>
      <c r="IG223" s="48">
        <v>0</v>
      </c>
      <c r="IH223" s="48">
        <v>0</v>
      </c>
      <c r="II223" s="48">
        <v>0</v>
      </c>
      <c r="IJ223" s="48">
        <v>4827.0603662745179</v>
      </c>
      <c r="IK223" s="48">
        <v>7215.6565130945091</v>
      </c>
      <c r="IL223" s="48">
        <v>11575.968192093238</v>
      </c>
      <c r="IM223" s="48">
        <v>6417.7521669127946</v>
      </c>
      <c r="IN223" s="48">
        <v>8041.6203251802817</v>
      </c>
      <c r="IO223" s="48">
        <v>0</v>
      </c>
      <c r="IP223" s="23">
        <v>732690.00000000047</v>
      </c>
      <c r="IQ223" s="25">
        <v>0</v>
      </c>
      <c r="IR223" s="25">
        <v>0</v>
      </c>
      <c r="IS223" s="26">
        <v>0</v>
      </c>
      <c r="IT223" s="26">
        <v>0</v>
      </c>
      <c r="IU223" s="26">
        <v>0</v>
      </c>
      <c r="IV223" s="9">
        <v>0</v>
      </c>
      <c r="IW223" s="38">
        <f t="shared" si="34"/>
        <v>732690.00000000047</v>
      </c>
    </row>
    <row r="224" spans="1:257" ht="30" customHeight="1" x14ac:dyDescent="0.25">
      <c r="A224" s="112" t="b">
        <v>1</v>
      </c>
      <c r="B224" s="113" t="b">
        <f>IFERROR(VLOOKUP(C224,'Bridge matrix'!$D$3:$E$727,2,FALSE)='symmetric IOT 245 2012'!D224,"FALSCH")</f>
        <v>1</v>
      </c>
      <c r="C224" s="108">
        <v>213</v>
      </c>
      <c r="D224" s="49" t="s">
        <v>1529</v>
      </c>
      <c r="E224" s="48">
        <v>0</v>
      </c>
      <c r="F224" s="48">
        <v>0</v>
      </c>
      <c r="G224" s="48">
        <v>0</v>
      </c>
      <c r="H224" s="48">
        <v>0</v>
      </c>
      <c r="I224" s="48">
        <v>0</v>
      </c>
      <c r="J224" s="48">
        <v>0</v>
      </c>
      <c r="K224" s="48">
        <v>0</v>
      </c>
      <c r="L224" s="48">
        <v>0</v>
      </c>
      <c r="M224" s="48">
        <v>0</v>
      </c>
      <c r="N224" s="48">
        <v>0</v>
      </c>
      <c r="O224" s="48">
        <v>0</v>
      </c>
      <c r="P224" s="48">
        <v>0</v>
      </c>
      <c r="Q224" s="48">
        <v>0</v>
      </c>
      <c r="R224" s="48">
        <v>0</v>
      </c>
      <c r="S224" s="48">
        <v>0</v>
      </c>
      <c r="T224" s="48">
        <v>0</v>
      </c>
      <c r="U224" s="48">
        <v>0</v>
      </c>
      <c r="V224" s="48">
        <v>0</v>
      </c>
      <c r="W224" s="48">
        <v>0</v>
      </c>
      <c r="X224" s="48">
        <v>0</v>
      </c>
      <c r="Y224" s="48">
        <v>0</v>
      </c>
      <c r="Z224" s="48">
        <v>0</v>
      </c>
      <c r="AA224" s="48">
        <v>0</v>
      </c>
      <c r="AB224" s="48">
        <v>0</v>
      </c>
      <c r="AC224" s="48">
        <v>0</v>
      </c>
      <c r="AD224" s="48">
        <v>0</v>
      </c>
      <c r="AE224" s="48">
        <v>0</v>
      </c>
      <c r="AF224" s="48">
        <v>0</v>
      </c>
      <c r="AG224" s="48">
        <v>0</v>
      </c>
      <c r="AH224" s="48">
        <v>0</v>
      </c>
      <c r="AI224" s="48">
        <v>0</v>
      </c>
      <c r="AJ224" s="48">
        <v>0</v>
      </c>
      <c r="AK224" s="48">
        <v>0</v>
      </c>
      <c r="AL224" s="48">
        <v>0</v>
      </c>
      <c r="AM224" s="48">
        <v>0</v>
      </c>
      <c r="AN224" s="48">
        <v>0</v>
      </c>
      <c r="AO224" s="48">
        <v>0</v>
      </c>
      <c r="AP224" s="48">
        <v>0</v>
      </c>
      <c r="AQ224" s="48">
        <v>0</v>
      </c>
      <c r="AR224" s="48">
        <v>0</v>
      </c>
      <c r="AS224" s="48">
        <v>0</v>
      </c>
      <c r="AT224" s="48">
        <v>0</v>
      </c>
      <c r="AU224" s="48">
        <v>0</v>
      </c>
      <c r="AV224" s="48">
        <v>0</v>
      </c>
      <c r="AW224" s="48">
        <v>0</v>
      </c>
      <c r="AX224" s="48">
        <v>0</v>
      </c>
      <c r="AY224" s="48">
        <v>0</v>
      </c>
      <c r="AZ224" s="48">
        <v>0</v>
      </c>
      <c r="BA224" s="48">
        <v>0</v>
      </c>
      <c r="BB224" s="48">
        <v>0</v>
      </c>
      <c r="BC224" s="48">
        <v>0</v>
      </c>
      <c r="BD224" s="48">
        <v>0</v>
      </c>
      <c r="BE224" s="48">
        <v>0</v>
      </c>
      <c r="BF224" s="48">
        <v>0</v>
      </c>
      <c r="BG224" s="48">
        <v>0</v>
      </c>
      <c r="BH224" s="48">
        <v>0</v>
      </c>
      <c r="BI224" s="48">
        <v>0</v>
      </c>
      <c r="BJ224" s="48">
        <v>0</v>
      </c>
      <c r="BK224" s="48">
        <v>0</v>
      </c>
      <c r="BL224" s="48">
        <v>0</v>
      </c>
      <c r="BM224" s="48">
        <v>0</v>
      </c>
      <c r="BN224" s="48">
        <v>0</v>
      </c>
      <c r="BO224" s="48">
        <v>0</v>
      </c>
      <c r="BP224" s="48">
        <v>0</v>
      </c>
      <c r="BQ224" s="48">
        <v>0</v>
      </c>
      <c r="BR224" s="48">
        <v>0</v>
      </c>
      <c r="BS224" s="48">
        <v>0</v>
      </c>
      <c r="BT224" s="48">
        <v>0</v>
      </c>
      <c r="BU224" s="48">
        <v>0</v>
      </c>
      <c r="BV224" s="48">
        <v>0</v>
      </c>
      <c r="BW224" s="48">
        <v>0</v>
      </c>
      <c r="BX224" s="48">
        <v>0</v>
      </c>
      <c r="BY224" s="48">
        <v>0</v>
      </c>
      <c r="BZ224" s="48">
        <v>0</v>
      </c>
      <c r="CA224" s="48">
        <v>295634.34877980087</v>
      </c>
      <c r="CB224" s="48">
        <v>1022.8719179067306</v>
      </c>
      <c r="CC224" s="48">
        <v>0</v>
      </c>
      <c r="CD224" s="48">
        <v>0</v>
      </c>
      <c r="CE224" s="48">
        <v>0</v>
      </c>
      <c r="CF224" s="48">
        <v>0</v>
      </c>
      <c r="CG224" s="48">
        <v>0</v>
      </c>
      <c r="CH224" s="48">
        <v>0</v>
      </c>
      <c r="CI224" s="48">
        <v>113.70836944917208</v>
      </c>
      <c r="CJ224" s="48">
        <v>102.31862089434571</v>
      </c>
      <c r="CK224" s="48">
        <v>9.9087489968192912</v>
      </c>
      <c r="CL224" s="48">
        <v>64.719605350772639</v>
      </c>
      <c r="CM224" s="48">
        <v>39.874536305940822</v>
      </c>
      <c r="CN224" s="48">
        <v>0</v>
      </c>
      <c r="CO224" s="48">
        <v>252.31290200869717</v>
      </c>
      <c r="CP224" s="48">
        <v>24.077460173588406</v>
      </c>
      <c r="CQ224" s="48">
        <v>96.196825953923735</v>
      </c>
      <c r="CR224" s="48">
        <v>7211.2527326985428</v>
      </c>
      <c r="CS224" s="48">
        <v>0</v>
      </c>
      <c r="CT224" s="48">
        <v>2.2508694568594266E-3</v>
      </c>
      <c r="CU224" s="48">
        <v>0</v>
      </c>
      <c r="CV224" s="48">
        <v>0</v>
      </c>
      <c r="CW224" s="48">
        <v>0</v>
      </c>
      <c r="CX224" s="48">
        <v>2.0950697281952446E-4</v>
      </c>
      <c r="CY224" s="48">
        <v>1.9192379371743635E-2</v>
      </c>
      <c r="CZ224" s="48">
        <v>1.4294751043780723E-3</v>
      </c>
      <c r="DA224" s="48">
        <v>0</v>
      </c>
      <c r="DB224" s="48">
        <v>0</v>
      </c>
      <c r="DC224" s="48">
        <v>1.0080488883326324E-3</v>
      </c>
      <c r="DD224" s="48">
        <v>0</v>
      </c>
      <c r="DE224" s="48">
        <v>9.1814394404833456E-3</v>
      </c>
      <c r="DF224" s="48">
        <v>0</v>
      </c>
      <c r="DG224" s="48">
        <v>0</v>
      </c>
      <c r="DH224" s="48">
        <v>0</v>
      </c>
      <c r="DI224" s="48">
        <v>3.9126633060188779E-2</v>
      </c>
      <c r="DJ224" s="48">
        <v>0</v>
      </c>
      <c r="DK224" s="48">
        <v>2.6836299089668357E-2</v>
      </c>
      <c r="DL224" s="48">
        <v>0</v>
      </c>
      <c r="DM224" s="48">
        <v>0</v>
      </c>
      <c r="DN224" s="48">
        <v>0</v>
      </c>
      <c r="DO224" s="48">
        <v>0</v>
      </c>
      <c r="DP224" s="48">
        <v>0</v>
      </c>
      <c r="DQ224" s="48">
        <v>0</v>
      </c>
      <c r="DR224" s="48">
        <v>5.149946858513851E-3</v>
      </c>
      <c r="DS224" s="48">
        <v>0</v>
      </c>
      <c r="DT224" s="48">
        <v>0</v>
      </c>
      <c r="DU224" s="48">
        <v>0</v>
      </c>
      <c r="DV224" s="48">
        <v>0</v>
      </c>
      <c r="DW224" s="48">
        <v>0</v>
      </c>
      <c r="DX224" s="48">
        <v>0</v>
      </c>
      <c r="DY224" s="48">
        <v>0</v>
      </c>
      <c r="DZ224" s="48">
        <v>0</v>
      </c>
      <c r="EA224" s="48">
        <v>0</v>
      </c>
      <c r="EB224" s="48">
        <v>0</v>
      </c>
      <c r="EC224" s="48">
        <v>0</v>
      </c>
      <c r="ED224" s="48">
        <v>4454.6339771452303</v>
      </c>
      <c r="EE224" s="48">
        <v>1259.8024869500503</v>
      </c>
      <c r="EF224" s="48">
        <v>4326.1751015051941</v>
      </c>
      <c r="EG224" s="48">
        <v>1517.933183908621</v>
      </c>
      <c r="EH224" s="48">
        <v>208.80583136200892</v>
      </c>
      <c r="EI224" s="48">
        <v>0</v>
      </c>
      <c r="EJ224" s="48">
        <v>0</v>
      </c>
      <c r="EK224" s="48">
        <v>0</v>
      </c>
      <c r="EL224" s="48">
        <v>3.4115713949652882E-7</v>
      </c>
      <c r="EM224" s="48">
        <v>1.3235859324702379E-8</v>
      </c>
      <c r="EN224" s="48">
        <v>3.8261661972716809E-4</v>
      </c>
      <c r="EO224" s="48">
        <v>0</v>
      </c>
      <c r="EP224" s="48">
        <v>2.3342946954432389E-8</v>
      </c>
      <c r="EQ224" s="48">
        <v>0</v>
      </c>
      <c r="ER224" s="48">
        <v>0</v>
      </c>
      <c r="ES224" s="48">
        <v>0</v>
      </c>
      <c r="ET224" s="48">
        <v>0.25334770854329325</v>
      </c>
      <c r="EU224" s="48">
        <v>0</v>
      </c>
      <c r="EV224" s="48">
        <v>0</v>
      </c>
      <c r="EW224" s="48">
        <v>2.3390618044807295E-2</v>
      </c>
      <c r="EX224" s="48">
        <v>0</v>
      </c>
      <c r="EY224" s="48">
        <v>0</v>
      </c>
      <c r="EZ224" s="48">
        <v>0</v>
      </c>
      <c r="FA224" s="48">
        <v>0</v>
      </c>
      <c r="FB224" s="48">
        <v>0</v>
      </c>
      <c r="FC224" s="48">
        <v>0</v>
      </c>
      <c r="FD224" s="48">
        <v>2.0861527005900804E-6</v>
      </c>
      <c r="FE224" s="48">
        <v>0</v>
      </c>
      <c r="FF224" s="48">
        <v>0</v>
      </c>
      <c r="FG224" s="48">
        <v>5.3543911547753261E-7</v>
      </c>
      <c r="FH224" s="48">
        <v>3.8848494287161445E-7</v>
      </c>
      <c r="FI224" s="48">
        <v>5.9881770311359849E-7</v>
      </c>
      <c r="FJ224" s="48">
        <v>0</v>
      </c>
      <c r="FK224" s="48">
        <v>0</v>
      </c>
      <c r="FL224" s="48">
        <v>0</v>
      </c>
      <c r="FM224" s="48">
        <v>0</v>
      </c>
      <c r="FN224" s="48">
        <v>0</v>
      </c>
      <c r="FO224" s="48">
        <v>0</v>
      </c>
      <c r="FP224" s="48">
        <v>0</v>
      </c>
      <c r="FQ224" s="48">
        <v>0</v>
      </c>
      <c r="FR224" s="48">
        <v>0</v>
      </c>
      <c r="FS224" s="48">
        <v>0</v>
      </c>
      <c r="FT224" s="48">
        <v>2.7881367808628448E-8</v>
      </c>
      <c r="FU224" s="48">
        <v>0</v>
      </c>
      <c r="FV224" s="48">
        <v>0</v>
      </c>
      <c r="FW224" s="48">
        <v>130.30864812139234</v>
      </c>
      <c r="FX224" s="48">
        <v>272.94900917809241</v>
      </c>
      <c r="FY224" s="48">
        <v>6.2944238189483031</v>
      </c>
      <c r="FZ224" s="48">
        <v>0</v>
      </c>
      <c r="GA224" s="48">
        <v>0</v>
      </c>
      <c r="GB224" s="48">
        <v>395815.47299255396</v>
      </c>
      <c r="GC224" s="48">
        <v>0</v>
      </c>
      <c r="GD224" s="48">
        <v>0</v>
      </c>
      <c r="GE224" s="48">
        <v>0</v>
      </c>
      <c r="GF224" s="48">
        <v>0</v>
      </c>
      <c r="GG224" s="48">
        <v>24421.871688185478</v>
      </c>
      <c r="GH224" s="48">
        <v>20313.852083155129</v>
      </c>
      <c r="GI224" s="48">
        <v>37.853543450733376</v>
      </c>
      <c r="GJ224" s="48">
        <v>2747.8880461338304</v>
      </c>
      <c r="GK224" s="48">
        <v>5726.7435327009462</v>
      </c>
      <c r="GL224" s="48">
        <v>5732.2816197619868</v>
      </c>
      <c r="GM224" s="48">
        <v>3999.5215171425511</v>
      </c>
      <c r="GN224" s="48">
        <v>172.56752882587165</v>
      </c>
      <c r="GO224" s="48">
        <v>1344.8792010354084</v>
      </c>
      <c r="GP224" s="48">
        <v>620.50547524278056</v>
      </c>
      <c r="GQ224" s="48">
        <v>4593.9840761405831</v>
      </c>
      <c r="GR224" s="48">
        <v>0</v>
      </c>
      <c r="GS224" s="48">
        <v>0</v>
      </c>
      <c r="GT224" s="48">
        <v>2.5442476224274801</v>
      </c>
      <c r="GU224" s="48">
        <v>350.94927563960391</v>
      </c>
      <c r="GV224" s="48">
        <v>2.9741145857908542</v>
      </c>
      <c r="GW224" s="48">
        <v>0</v>
      </c>
      <c r="GX224" s="48">
        <v>0</v>
      </c>
      <c r="GY224" s="48">
        <v>0</v>
      </c>
      <c r="GZ224" s="48">
        <v>0</v>
      </c>
      <c r="HA224" s="48">
        <v>0</v>
      </c>
      <c r="HB224" s="48">
        <v>53736.75324298974</v>
      </c>
      <c r="HC224" s="48">
        <v>56161.879401399077</v>
      </c>
      <c r="HD224" s="48">
        <v>25764.815927779822</v>
      </c>
      <c r="HE224" s="48">
        <v>1232.9018821404939</v>
      </c>
      <c r="HF224" s="48">
        <v>6054.5380862938982</v>
      </c>
      <c r="HG224" s="48">
        <v>5783.0428154422862</v>
      </c>
      <c r="HH224" s="48">
        <v>10891.748895461256</v>
      </c>
      <c r="HI224" s="48">
        <v>15891.37212895399</v>
      </c>
      <c r="HJ224" s="48">
        <v>18071.420366788345</v>
      </c>
      <c r="HK224" s="48">
        <v>857.18040786058464</v>
      </c>
      <c r="HL224" s="48">
        <v>1359.4406836097733</v>
      </c>
      <c r="HM224" s="48">
        <v>6234.570832875831</v>
      </c>
      <c r="HN224" s="48">
        <v>1826.9264029400147</v>
      </c>
      <c r="HO224" s="48">
        <v>7687.0386424458438</v>
      </c>
      <c r="HP224" s="48">
        <v>13174.999969691524</v>
      </c>
      <c r="HQ224" s="48">
        <v>2057.0636022046974</v>
      </c>
      <c r="HR224" s="48">
        <v>4386.0789934163149</v>
      </c>
      <c r="HS224" s="48">
        <v>7372.2307894588339</v>
      </c>
      <c r="HT224" s="48">
        <v>4509.0482512324234</v>
      </c>
      <c r="HU224" s="48">
        <v>5962.7474585476157</v>
      </c>
      <c r="HV224" s="48">
        <v>0</v>
      </c>
      <c r="HW224" s="48">
        <v>0</v>
      </c>
      <c r="HX224" s="48">
        <v>0</v>
      </c>
      <c r="HY224" s="48">
        <v>0</v>
      </c>
      <c r="HZ224" s="48">
        <v>0</v>
      </c>
      <c r="IA224" s="48">
        <v>0</v>
      </c>
      <c r="IB224" s="48">
        <v>0</v>
      </c>
      <c r="IC224" s="48">
        <v>0</v>
      </c>
      <c r="ID224" s="48">
        <v>0</v>
      </c>
      <c r="IE224" s="48">
        <v>0</v>
      </c>
      <c r="IF224" s="48">
        <v>0</v>
      </c>
      <c r="IG224" s="48">
        <v>0</v>
      </c>
      <c r="IH224" s="48">
        <v>0</v>
      </c>
      <c r="II224" s="48">
        <v>0</v>
      </c>
      <c r="IJ224" s="48">
        <v>2.0376052085270602</v>
      </c>
      <c r="IK224" s="48">
        <v>0</v>
      </c>
      <c r="IL224" s="48">
        <v>0</v>
      </c>
      <c r="IM224" s="48">
        <v>0</v>
      </c>
      <c r="IN224" s="48">
        <v>0</v>
      </c>
      <c r="IO224" s="48">
        <v>0</v>
      </c>
      <c r="IP224" s="23">
        <v>1031650.6000000027</v>
      </c>
      <c r="IQ224" s="25">
        <v>37395</v>
      </c>
      <c r="IR224" s="25">
        <v>0</v>
      </c>
      <c r="IS224" s="26">
        <v>0</v>
      </c>
      <c r="IT224" s="26">
        <v>0</v>
      </c>
      <c r="IU224" s="26">
        <v>0</v>
      </c>
      <c r="IV224" s="9">
        <v>0</v>
      </c>
      <c r="IW224" s="38">
        <f t="shared" si="34"/>
        <v>1069045.6000000027</v>
      </c>
    </row>
    <row r="225" spans="1:257" ht="30" customHeight="1" x14ac:dyDescent="0.25">
      <c r="A225" s="112" t="b">
        <v>1</v>
      </c>
      <c r="B225" s="113" t="str">
        <f>IFERROR(VLOOKUP(C225,'Bridge matrix'!$D$3:$E$727,2,FALSE)='symmetric IOT 245 2012'!D225,"FALSCH")</f>
        <v>FALSCH</v>
      </c>
      <c r="C225" s="108">
        <v>214</v>
      </c>
      <c r="D225" s="49" t="s">
        <v>1530</v>
      </c>
      <c r="E225" s="48">
        <v>0</v>
      </c>
      <c r="F225" s="48">
        <v>0</v>
      </c>
      <c r="G225" s="48">
        <v>0</v>
      </c>
      <c r="H225" s="48">
        <v>0.32944819498634975</v>
      </c>
      <c r="I225" s="48">
        <v>6.6957667435363382</v>
      </c>
      <c r="J225" s="48">
        <v>23.079815385683858</v>
      </c>
      <c r="K225" s="48">
        <v>50.56971435415236</v>
      </c>
      <c r="L225" s="48">
        <v>2.0463297966031564</v>
      </c>
      <c r="M225" s="48">
        <v>0</v>
      </c>
      <c r="N225" s="48">
        <v>0.60803772038773385</v>
      </c>
      <c r="O225" s="48">
        <v>137.00352400361433</v>
      </c>
      <c r="P225" s="48">
        <v>19.543003606714304</v>
      </c>
      <c r="Q225" s="48">
        <v>2.2242333048991725</v>
      </c>
      <c r="R225" s="48">
        <v>99.222517446233411</v>
      </c>
      <c r="S225" s="48">
        <v>0.66012770211704141</v>
      </c>
      <c r="T225" s="48">
        <v>0</v>
      </c>
      <c r="U225" s="48">
        <v>0</v>
      </c>
      <c r="V225" s="48">
        <v>0</v>
      </c>
      <c r="W225" s="48">
        <v>0</v>
      </c>
      <c r="X225" s="48">
        <v>0</v>
      </c>
      <c r="Y225" s="48">
        <v>0</v>
      </c>
      <c r="Z225" s="48">
        <v>0</v>
      </c>
      <c r="AA225" s="48">
        <v>0</v>
      </c>
      <c r="AB225" s="48">
        <v>0</v>
      </c>
      <c r="AC225" s="48">
        <v>0</v>
      </c>
      <c r="AD225" s="48">
        <v>0</v>
      </c>
      <c r="AE225" s="48">
        <v>0</v>
      </c>
      <c r="AF225" s="48">
        <v>0</v>
      </c>
      <c r="AG225" s="48">
        <v>0</v>
      </c>
      <c r="AH225" s="48">
        <v>0</v>
      </c>
      <c r="AI225" s="48">
        <v>0</v>
      </c>
      <c r="AJ225" s="48">
        <v>0</v>
      </c>
      <c r="AK225" s="48">
        <v>0</v>
      </c>
      <c r="AL225" s="48">
        <v>0</v>
      </c>
      <c r="AM225" s="48">
        <v>0</v>
      </c>
      <c r="AN225" s="48">
        <v>0</v>
      </c>
      <c r="AO225" s="48">
        <v>0</v>
      </c>
      <c r="AP225" s="48">
        <v>0</v>
      </c>
      <c r="AQ225" s="48">
        <v>0</v>
      </c>
      <c r="AR225" s="48">
        <v>0</v>
      </c>
      <c r="AS225" s="48">
        <v>0</v>
      </c>
      <c r="AT225" s="48">
        <v>232.52433233559424</v>
      </c>
      <c r="AU225" s="48">
        <v>30.075643830985573</v>
      </c>
      <c r="AV225" s="48">
        <v>14.21823584662115</v>
      </c>
      <c r="AW225" s="48">
        <v>8.9624161375690932</v>
      </c>
      <c r="AX225" s="48">
        <v>469.35402425232343</v>
      </c>
      <c r="AY225" s="48">
        <v>76.807148896395574</v>
      </c>
      <c r="AZ225" s="48">
        <v>11.659410211851522</v>
      </c>
      <c r="BA225" s="48">
        <v>21.680520729014674</v>
      </c>
      <c r="BB225" s="48">
        <v>486.12444979618255</v>
      </c>
      <c r="BC225" s="48">
        <v>80.934685308816498</v>
      </c>
      <c r="BD225" s="48">
        <v>1109.3016200446903</v>
      </c>
      <c r="BE225" s="48">
        <v>2081.0494846496003</v>
      </c>
      <c r="BF225" s="48">
        <v>67.107841321579855</v>
      </c>
      <c r="BG225" s="48">
        <v>4.4388957823936224</v>
      </c>
      <c r="BH225" s="48">
        <v>420.7734452041143</v>
      </c>
      <c r="BI225" s="48">
        <v>50.593984091671672</v>
      </c>
      <c r="BJ225" s="48">
        <v>323.5807876684006</v>
      </c>
      <c r="BK225" s="48">
        <v>64.233187737430868</v>
      </c>
      <c r="BL225" s="48">
        <v>0.90972052931736236</v>
      </c>
      <c r="BM225" s="48">
        <v>185.54791406099497</v>
      </c>
      <c r="BN225" s="48">
        <v>16.270156415709902</v>
      </c>
      <c r="BO225" s="48">
        <v>0</v>
      </c>
      <c r="BP225" s="48">
        <v>201.85388679340079</v>
      </c>
      <c r="BQ225" s="48">
        <v>27.613935614889655</v>
      </c>
      <c r="BR225" s="48">
        <v>0.7186072037827842</v>
      </c>
      <c r="BS225" s="48">
        <v>1.5235236863208541</v>
      </c>
      <c r="BT225" s="48">
        <v>32.305251645471174</v>
      </c>
      <c r="BU225" s="48">
        <v>181.26910854578136</v>
      </c>
      <c r="BV225" s="48">
        <v>21.064926037834546</v>
      </c>
      <c r="BW225" s="48">
        <v>10.236260864930731</v>
      </c>
      <c r="BX225" s="48">
        <v>0.77244053200673013</v>
      </c>
      <c r="BY225" s="48">
        <v>0</v>
      </c>
      <c r="BZ225" s="48">
        <v>0</v>
      </c>
      <c r="CA225" s="48">
        <v>106.72260994797351</v>
      </c>
      <c r="CB225" s="48">
        <v>2.7210169482055973</v>
      </c>
      <c r="CC225" s="48">
        <v>1068.9772260925122</v>
      </c>
      <c r="CD225" s="48">
        <v>385.50325983191925</v>
      </c>
      <c r="CE225" s="48">
        <v>28.503838807161522</v>
      </c>
      <c r="CF225" s="48">
        <v>4.4578594495442605</v>
      </c>
      <c r="CG225" s="48">
        <v>259.75557625984317</v>
      </c>
      <c r="CH225" s="48">
        <v>23.927914624710937</v>
      </c>
      <c r="CI225" s="48">
        <v>161.1051916797837</v>
      </c>
      <c r="CJ225" s="48">
        <v>143.94961806250637</v>
      </c>
      <c r="CK225" s="48">
        <v>13.252874731429632</v>
      </c>
      <c r="CL225" s="48">
        <v>0</v>
      </c>
      <c r="CM225" s="48">
        <v>56.395418515209734</v>
      </c>
      <c r="CN225" s="48">
        <v>0</v>
      </c>
      <c r="CO225" s="48">
        <v>0</v>
      </c>
      <c r="CP225" s="48">
        <v>0</v>
      </c>
      <c r="CQ225" s="48">
        <v>0</v>
      </c>
      <c r="CR225" s="48">
        <v>0</v>
      </c>
      <c r="CS225" s="48">
        <v>566.70887409391366</v>
      </c>
      <c r="CT225" s="48">
        <v>2717.1516481583831</v>
      </c>
      <c r="CU225" s="48">
        <v>1395.1120364502926</v>
      </c>
      <c r="CV225" s="48">
        <v>732.54977009419179</v>
      </c>
      <c r="CW225" s="48">
        <v>398.8012189391012</v>
      </c>
      <c r="CX225" s="48">
        <v>12534.60126038634</v>
      </c>
      <c r="CY225" s="48">
        <v>12606.00332479741</v>
      </c>
      <c r="CZ225" s="48">
        <v>0</v>
      </c>
      <c r="DA225" s="48">
        <v>0</v>
      </c>
      <c r="DB225" s="48">
        <v>0</v>
      </c>
      <c r="DC225" s="48">
        <v>0</v>
      </c>
      <c r="DD225" s="48">
        <v>0</v>
      </c>
      <c r="DE225" s="48">
        <v>0</v>
      </c>
      <c r="DF225" s="48">
        <v>854.32747838299269</v>
      </c>
      <c r="DG225" s="48">
        <v>10162.857482470363</v>
      </c>
      <c r="DH225" s="48">
        <v>5084.7896995130823</v>
      </c>
      <c r="DI225" s="48">
        <v>3786.9907013258166</v>
      </c>
      <c r="DJ225" s="48">
        <v>247.28939976223239</v>
      </c>
      <c r="DK225" s="48">
        <v>0</v>
      </c>
      <c r="DL225" s="48">
        <v>20545.576404459021</v>
      </c>
      <c r="DM225" s="48">
        <v>53.679374574192813</v>
      </c>
      <c r="DN225" s="48">
        <v>13264.535952228814</v>
      </c>
      <c r="DO225" s="48">
        <v>10724.325737032786</v>
      </c>
      <c r="DP225" s="48">
        <v>44.738877258466623</v>
      </c>
      <c r="DQ225" s="48">
        <v>77.292470417242981</v>
      </c>
      <c r="DR225" s="48">
        <v>59.692179685127236</v>
      </c>
      <c r="DS225" s="48">
        <v>975.52505198803317</v>
      </c>
      <c r="DT225" s="48">
        <v>190.50401898907367</v>
      </c>
      <c r="DU225" s="48">
        <v>95.454985580888604</v>
      </c>
      <c r="DV225" s="48">
        <v>1411.4465387672487</v>
      </c>
      <c r="DW225" s="48">
        <v>269.35816264852684</v>
      </c>
      <c r="DX225" s="48">
        <v>134.47126102773973</v>
      </c>
      <c r="DY225" s="48">
        <v>19.386031746918086</v>
      </c>
      <c r="DZ225" s="48">
        <v>17.080410691085881</v>
      </c>
      <c r="EA225" s="48">
        <v>376.4254134511952</v>
      </c>
      <c r="EB225" s="48">
        <v>303.48681993781673</v>
      </c>
      <c r="EC225" s="48">
        <v>0</v>
      </c>
      <c r="ED225" s="48">
        <v>37.200802964844776</v>
      </c>
      <c r="EE225" s="48">
        <v>10.927440125603086</v>
      </c>
      <c r="EF225" s="48">
        <v>38.591096252180648</v>
      </c>
      <c r="EG225" s="48">
        <v>13.725891975758234</v>
      </c>
      <c r="EH225" s="48">
        <v>1.8197920268306613</v>
      </c>
      <c r="EI225" s="48">
        <v>0</v>
      </c>
      <c r="EJ225" s="48">
        <v>236.96837070193934</v>
      </c>
      <c r="EK225" s="48">
        <v>117.62629103315226</v>
      </c>
      <c r="EL225" s="48">
        <v>9901.0419671294585</v>
      </c>
      <c r="EM225" s="48">
        <v>19250.395321790504</v>
      </c>
      <c r="EN225" s="48">
        <v>19254.676973757574</v>
      </c>
      <c r="EO225" s="48">
        <v>2480.1377766943788</v>
      </c>
      <c r="EP225" s="48">
        <v>6070.1752143045505</v>
      </c>
      <c r="EQ225" s="48">
        <v>5793.3552113334399</v>
      </c>
      <c r="ER225" s="48">
        <v>0</v>
      </c>
      <c r="ES225" s="48">
        <v>0.93433440068010176</v>
      </c>
      <c r="ET225" s="48">
        <v>0</v>
      </c>
      <c r="EU225" s="48">
        <v>0</v>
      </c>
      <c r="EV225" s="48">
        <v>0</v>
      </c>
      <c r="EW225" s="48">
        <v>0</v>
      </c>
      <c r="EX225" s="48">
        <v>5434.9266878166727</v>
      </c>
      <c r="EY225" s="48">
        <v>316.27644870343715</v>
      </c>
      <c r="EZ225" s="48">
        <v>375.68068144662129</v>
      </c>
      <c r="FA225" s="48">
        <v>39.969801260329135</v>
      </c>
      <c r="FB225" s="48">
        <v>34.791137960757034</v>
      </c>
      <c r="FC225" s="48">
        <v>31.677327431293591</v>
      </c>
      <c r="FD225" s="48">
        <v>197.11240261636488</v>
      </c>
      <c r="FE225" s="48">
        <v>22.401008091904895</v>
      </c>
      <c r="FF225" s="48">
        <v>1.3052304248599071</v>
      </c>
      <c r="FG225" s="48">
        <v>134.49476198845628</v>
      </c>
      <c r="FH225" s="48">
        <v>0</v>
      </c>
      <c r="FI225" s="48">
        <v>0</v>
      </c>
      <c r="FJ225" s="48">
        <v>0</v>
      </c>
      <c r="FK225" s="48">
        <v>0</v>
      </c>
      <c r="FL225" s="48">
        <v>0</v>
      </c>
      <c r="FM225" s="48">
        <v>0</v>
      </c>
      <c r="FN225" s="48">
        <v>0</v>
      </c>
      <c r="FO225" s="48">
        <v>0</v>
      </c>
      <c r="FP225" s="48">
        <v>0</v>
      </c>
      <c r="FQ225" s="48">
        <v>0</v>
      </c>
      <c r="FR225" s="48">
        <v>804.00026435944415</v>
      </c>
      <c r="FS225" s="48">
        <v>19.397760083424721</v>
      </c>
      <c r="FT225" s="48">
        <v>4.8466378945588273</v>
      </c>
      <c r="FU225" s="48">
        <v>38.372462261856256</v>
      </c>
      <c r="FV225" s="48">
        <v>375.53069404369512</v>
      </c>
      <c r="FW225" s="48">
        <v>1759.6474928064922</v>
      </c>
      <c r="FX225" s="48">
        <v>2156.6991545105047</v>
      </c>
      <c r="FY225" s="48">
        <v>58.441837873324602</v>
      </c>
      <c r="FZ225" s="48">
        <v>1.6047135262754688</v>
      </c>
      <c r="GA225" s="48">
        <v>0</v>
      </c>
      <c r="GB225" s="48">
        <v>7478.7625838675176</v>
      </c>
      <c r="GC225" s="48">
        <v>284135.56071413122</v>
      </c>
      <c r="GD225" s="48">
        <v>1316.2797425391389</v>
      </c>
      <c r="GE225" s="48">
        <v>1119.0136032594205</v>
      </c>
      <c r="GF225" s="48">
        <v>14410.121627101897</v>
      </c>
      <c r="GG225" s="48">
        <v>21036.253596632097</v>
      </c>
      <c r="GH225" s="48">
        <v>18452.616238748054</v>
      </c>
      <c r="GI225" s="48">
        <v>32.400682992992458</v>
      </c>
      <c r="GJ225" s="48">
        <v>2368.1889004700142</v>
      </c>
      <c r="GK225" s="48">
        <v>4935.7645794670561</v>
      </c>
      <c r="GL225" s="48">
        <v>4939.8815895729804</v>
      </c>
      <c r="GM225" s="48">
        <v>3637.4008792973063</v>
      </c>
      <c r="GN225" s="48">
        <v>148.71890775974035</v>
      </c>
      <c r="GO225" s="48">
        <v>1218.2425183563905</v>
      </c>
      <c r="GP225" s="48">
        <v>534.5189313017288</v>
      </c>
      <c r="GQ225" s="48">
        <v>3958.8928918220981</v>
      </c>
      <c r="GR225" s="48">
        <v>0</v>
      </c>
      <c r="GS225" s="48">
        <v>186434.26768322464</v>
      </c>
      <c r="GT225" s="48">
        <v>1500.2104737017155</v>
      </c>
      <c r="GU225" s="48">
        <v>114347.22338477828</v>
      </c>
      <c r="GV225" s="48">
        <v>558.83756050622765</v>
      </c>
      <c r="GW225" s="48">
        <v>264.66027458788176</v>
      </c>
      <c r="GX225" s="48">
        <v>9326.5034659002831</v>
      </c>
      <c r="GY225" s="48">
        <v>16.611842169628257</v>
      </c>
      <c r="GZ225" s="48">
        <v>700.4858369592165</v>
      </c>
      <c r="HA225" s="48">
        <v>911.93140896628972</v>
      </c>
      <c r="HB225" s="48">
        <v>4601.3905714060065</v>
      </c>
      <c r="HC225" s="48">
        <v>10377.87986207776</v>
      </c>
      <c r="HD225" s="48">
        <v>3511.5971005804304</v>
      </c>
      <c r="HE225" s="48">
        <v>2299.8787101839521</v>
      </c>
      <c r="HF225" s="48">
        <v>11445.748067918337</v>
      </c>
      <c r="HG225" s="48">
        <v>10933.437727812538</v>
      </c>
      <c r="HH225" s="48">
        <v>20589.607559585827</v>
      </c>
      <c r="HI225" s="48">
        <v>30042.528245591795</v>
      </c>
      <c r="HJ225" s="48">
        <v>34167.598537202903</v>
      </c>
      <c r="HK225" s="48">
        <v>1620.5651027233475</v>
      </c>
      <c r="HL225" s="48">
        <v>2570.0994387334313</v>
      </c>
      <c r="HM225" s="48">
        <v>11786.8789966161</v>
      </c>
      <c r="HN225" s="48">
        <v>3454.8402194120531</v>
      </c>
      <c r="HO225" s="48">
        <v>14532.346295830195</v>
      </c>
      <c r="HP225" s="48">
        <v>24907.515768128211</v>
      </c>
      <c r="HQ225" s="48">
        <v>3888.6534819261956</v>
      </c>
      <c r="HR225" s="48">
        <v>8292.0434898240783</v>
      </c>
      <c r="HS225" s="48">
        <v>13948.522864261286</v>
      </c>
      <c r="HT225" s="48">
        <v>8523.9422414454475</v>
      </c>
      <c r="HU225" s="48">
        <v>11272.340696445213</v>
      </c>
      <c r="HV225" s="48">
        <v>46203.842605462261</v>
      </c>
      <c r="HW225" s="48">
        <v>1516.214068101983</v>
      </c>
      <c r="HX225" s="48">
        <v>2445.0912162966483</v>
      </c>
      <c r="HY225" s="48">
        <v>2074.4187476374477</v>
      </c>
      <c r="HZ225" s="48">
        <v>3073.1237925759133</v>
      </c>
      <c r="IA225" s="48">
        <v>867.83624824144863</v>
      </c>
      <c r="IB225" s="48">
        <v>44.008254675966569</v>
      </c>
      <c r="IC225" s="48">
        <v>1869.2875294488315</v>
      </c>
      <c r="ID225" s="48">
        <v>1159.2215349939545</v>
      </c>
      <c r="IE225" s="48">
        <v>784.87100397923302</v>
      </c>
      <c r="IF225" s="48">
        <v>100.72727918827273</v>
      </c>
      <c r="IG225" s="48">
        <v>4973.158457602869</v>
      </c>
      <c r="IH225" s="48">
        <v>358.04514348802968</v>
      </c>
      <c r="II225" s="48">
        <v>109.32704510504414</v>
      </c>
      <c r="IJ225" s="48">
        <v>1950.9369528080811</v>
      </c>
      <c r="IK225" s="48">
        <v>10465.027744182431</v>
      </c>
      <c r="IL225" s="48">
        <v>21448.207253670658</v>
      </c>
      <c r="IM225" s="48">
        <v>3626.2424172826613</v>
      </c>
      <c r="IN225" s="48">
        <v>12690.971466001016</v>
      </c>
      <c r="IO225" s="48">
        <v>0</v>
      </c>
      <c r="IP225" s="23">
        <v>1215806.9999999963</v>
      </c>
      <c r="IQ225" s="25">
        <v>0</v>
      </c>
      <c r="IR225" s="25">
        <v>0</v>
      </c>
      <c r="IS225" s="26">
        <v>0</v>
      </c>
      <c r="IT225" s="26">
        <v>0</v>
      </c>
      <c r="IU225" s="26">
        <v>0</v>
      </c>
      <c r="IV225" s="9">
        <v>0</v>
      </c>
      <c r="IW225" s="38">
        <f t="shared" si="34"/>
        <v>1215806.9999999963</v>
      </c>
    </row>
    <row r="226" spans="1:257" ht="30" customHeight="1" x14ac:dyDescent="0.25">
      <c r="A226" s="112" t="b">
        <v>1</v>
      </c>
      <c r="B226" s="113" t="str">
        <f>IFERROR(VLOOKUP(C226,'Bridge matrix'!$D$3:$E$727,2,FALSE)='symmetric IOT 245 2012'!D226,"FALSCH")</f>
        <v>FALSCH</v>
      </c>
      <c r="C226" s="108">
        <v>215</v>
      </c>
      <c r="D226" s="49" t="s">
        <v>1531</v>
      </c>
      <c r="E226" s="48">
        <v>0</v>
      </c>
      <c r="F226" s="48">
        <v>0</v>
      </c>
      <c r="G226" s="48">
        <v>0</v>
      </c>
      <c r="H226" s="48">
        <v>0</v>
      </c>
      <c r="I226" s="48">
        <v>0</v>
      </c>
      <c r="J226" s="48">
        <v>0</v>
      </c>
      <c r="K226" s="48">
        <v>0</v>
      </c>
      <c r="L226" s="48">
        <v>0</v>
      </c>
      <c r="M226" s="48">
        <v>0</v>
      </c>
      <c r="N226" s="48">
        <v>0</v>
      </c>
      <c r="O226" s="48">
        <v>0</v>
      </c>
      <c r="P226" s="48">
        <v>0</v>
      </c>
      <c r="Q226" s="48">
        <v>0</v>
      </c>
      <c r="R226" s="48">
        <v>0</v>
      </c>
      <c r="S226" s="48">
        <v>0</v>
      </c>
      <c r="T226" s="48">
        <v>0</v>
      </c>
      <c r="U226" s="48">
        <v>0</v>
      </c>
      <c r="V226" s="48">
        <v>0</v>
      </c>
      <c r="W226" s="48">
        <v>0</v>
      </c>
      <c r="X226" s="48">
        <v>0</v>
      </c>
      <c r="Y226" s="48">
        <v>0</v>
      </c>
      <c r="Z226" s="48">
        <v>0</v>
      </c>
      <c r="AA226" s="48">
        <v>0</v>
      </c>
      <c r="AB226" s="48">
        <v>0</v>
      </c>
      <c r="AC226" s="48">
        <v>0</v>
      </c>
      <c r="AD226" s="48">
        <v>0</v>
      </c>
      <c r="AE226" s="48">
        <v>0</v>
      </c>
      <c r="AF226" s="48">
        <v>0</v>
      </c>
      <c r="AG226" s="48">
        <v>0</v>
      </c>
      <c r="AH226" s="48">
        <v>0</v>
      </c>
      <c r="AI226" s="48">
        <v>0</v>
      </c>
      <c r="AJ226" s="48">
        <v>0</v>
      </c>
      <c r="AK226" s="48">
        <v>0</v>
      </c>
      <c r="AL226" s="48">
        <v>0</v>
      </c>
      <c r="AM226" s="48">
        <v>0</v>
      </c>
      <c r="AN226" s="48">
        <v>0</v>
      </c>
      <c r="AO226" s="48">
        <v>0</v>
      </c>
      <c r="AP226" s="48">
        <v>0</v>
      </c>
      <c r="AQ226" s="48">
        <v>0</v>
      </c>
      <c r="AR226" s="48">
        <v>0</v>
      </c>
      <c r="AS226" s="48">
        <v>0</v>
      </c>
      <c r="AT226" s="48">
        <v>0</v>
      </c>
      <c r="AU226" s="48">
        <v>0</v>
      </c>
      <c r="AV226" s="48">
        <v>0</v>
      </c>
      <c r="AW226" s="48">
        <v>0</v>
      </c>
      <c r="AX226" s="48">
        <v>0</v>
      </c>
      <c r="AY226" s="48">
        <v>0</v>
      </c>
      <c r="AZ226" s="48">
        <v>0</v>
      </c>
      <c r="BA226" s="48">
        <v>0</v>
      </c>
      <c r="BB226" s="48">
        <v>0</v>
      </c>
      <c r="BC226" s="48">
        <v>0</v>
      </c>
      <c r="BD226" s="48">
        <v>0</v>
      </c>
      <c r="BE226" s="48">
        <v>0</v>
      </c>
      <c r="BF226" s="48">
        <v>0</v>
      </c>
      <c r="BG226" s="48">
        <v>0</v>
      </c>
      <c r="BH226" s="48">
        <v>0</v>
      </c>
      <c r="BI226" s="48">
        <v>0</v>
      </c>
      <c r="BJ226" s="48">
        <v>0</v>
      </c>
      <c r="BK226" s="48">
        <v>0</v>
      </c>
      <c r="BL226" s="48">
        <v>0</v>
      </c>
      <c r="BM226" s="48">
        <v>0</v>
      </c>
      <c r="BN226" s="48">
        <v>0</v>
      </c>
      <c r="BO226" s="48">
        <v>0</v>
      </c>
      <c r="BP226" s="48">
        <v>0</v>
      </c>
      <c r="BQ226" s="48">
        <v>0</v>
      </c>
      <c r="BR226" s="48">
        <v>0</v>
      </c>
      <c r="BS226" s="48">
        <v>0</v>
      </c>
      <c r="BT226" s="48">
        <v>0</v>
      </c>
      <c r="BU226" s="48">
        <v>0</v>
      </c>
      <c r="BV226" s="48">
        <v>0</v>
      </c>
      <c r="BW226" s="48">
        <v>0</v>
      </c>
      <c r="BX226" s="48">
        <v>0</v>
      </c>
      <c r="BY226" s="48">
        <v>0</v>
      </c>
      <c r="BZ226" s="48">
        <v>0</v>
      </c>
      <c r="CA226" s="48">
        <v>0</v>
      </c>
      <c r="CB226" s="48">
        <v>0</v>
      </c>
      <c r="CC226" s="48">
        <v>0</v>
      </c>
      <c r="CD226" s="48">
        <v>0</v>
      </c>
      <c r="CE226" s="48">
        <v>0</v>
      </c>
      <c r="CF226" s="48">
        <v>0</v>
      </c>
      <c r="CG226" s="48">
        <v>0</v>
      </c>
      <c r="CH226" s="48">
        <v>0</v>
      </c>
      <c r="CI226" s="48">
        <v>0</v>
      </c>
      <c r="CJ226" s="48">
        <v>0</v>
      </c>
      <c r="CK226" s="48">
        <v>0</v>
      </c>
      <c r="CL226" s="48">
        <v>9.0811441070231939E-8</v>
      </c>
      <c r="CM226" s="48">
        <v>6.4524520297652653E-9</v>
      </c>
      <c r="CN226" s="48">
        <v>1.3526516785918788E-7</v>
      </c>
      <c r="CO226" s="48">
        <v>0</v>
      </c>
      <c r="CP226" s="48">
        <v>0</v>
      </c>
      <c r="CQ226" s="48">
        <v>0</v>
      </c>
      <c r="CR226" s="48">
        <v>0</v>
      </c>
      <c r="CS226" s="48">
        <v>0</v>
      </c>
      <c r="CT226" s="48">
        <v>1.8107072417490169E-10</v>
      </c>
      <c r="CU226" s="48">
        <v>0</v>
      </c>
      <c r="CV226" s="48">
        <v>2.6125242346723386E-5</v>
      </c>
      <c r="CW226" s="48">
        <v>0</v>
      </c>
      <c r="CX226" s="48">
        <v>1.6853744748508332E-11</v>
      </c>
      <c r="CY226" s="48">
        <v>0</v>
      </c>
      <c r="CZ226" s="48">
        <v>0</v>
      </c>
      <c r="DA226" s="48">
        <v>5.3565346870803977E-9</v>
      </c>
      <c r="DB226" s="48">
        <v>0</v>
      </c>
      <c r="DC226" s="48">
        <v>8.1092282654530131E-11</v>
      </c>
      <c r="DD226" s="48">
        <v>0</v>
      </c>
      <c r="DE226" s="48">
        <v>1.1132908064652648E-5</v>
      </c>
      <c r="DF226" s="48">
        <v>0</v>
      </c>
      <c r="DG226" s="48">
        <v>0</v>
      </c>
      <c r="DH226" s="48">
        <v>0</v>
      </c>
      <c r="DI226" s="48">
        <v>0</v>
      </c>
      <c r="DJ226" s="48">
        <v>0</v>
      </c>
      <c r="DK226" s="48">
        <v>0</v>
      </c>
      <c r="DL226" s="48">
        <v>5.8095932262211651E-3</v>
      </c>
      <c r="DM226" s="48">
        <v>0</v>
      </c>
      <c r="DN226" s="48">
        <v>0</v>
      </c>
      <c r="DO226" s="48">
        <v>0</v>
      </c>
      <c r="DP226" s="48">
        <v>0</v>
      </c>
      <c r="DQ226" s="48">
        <v>0</v>
      </c>
      <c r="DR226" s="48">
        <v>1.8124231609211919E-4</v>
      </c>
      <c r="DS226" s="48">
        <v>0</v>
      </c>
      <c r="DT226" s="48">
        <v>0</v>
      </c>
      <c r="DU226" s="48">
        <v>0</v>
      </c>
      <c r="DV226" s="48">
        <v>0</v>
      </c>
      <c r="DW226" s="48">
        <v>0</v>
      </c>
      <c r="DX226" s="48">
        <v>0</v>
      </c>
      <c r="DY226" s="48">
        <v>0</v>
      </c>
      <c r="DZ226" s="48">
        <v>0</v>
      </c>
      <c r="EA226" s="48">
        <v>0</v>
      </c>
      <c r="EB226" s="48">
        <v>1.9900985681109469E-4</v>
      </c>
      <c r="EC226" s="48">
        <v>0</v>
      </c>
      <c r="ED226" s="48">
        <v>0</v>
      </c>
      <c r="EE226" s="48">
        <v>0</v>
      </c>
      <c r="EF226" s="48">
        <v>0</v>
      </c>
      <c r="EG226" s="48">
        <v>0</v>
      </c>
      <c r="EH226" s="48">
        <v>0</v>
      </c>
      <c r="EI226" s="48">
        <v>8.6942361311394666E-3</v>
      </c>
      <c r="EJ226" s="48">
        <v>5.1057341726141666E-7</v>
      </c>
      <c r="EK226" s="48">
        <v>0</v>
      </c>
      <c r="EL226" s="48">
        <v>0</v>
      </c>
      <c r="EM226" s="48">
        <v>0</v>
      </c>
      <c r="EN226" s="48">
        <v>0</v>
      </c>
      <c r="EO226" s="48">
        <v>0</v>
      </c>
      <c r="EP226" s="48">
        <v>0</v>
      </c>
      <c r="EQ226" s="48">
        <v>0</v>
      </c>
      <c r="ER226" s="48">
        <v>0</v>
      </c>
      <c r="ES226" s="48">
        <v>0</v>
      </c>
      <c r="ET226" s="48">
        <v>0</v>
      </c>
      <c r="EU226" s="48">
        <v>0</v>
      </c>
      <c r="EV226" s="48">
        <v>0</v>
      </c>
      <c r="EW226" s="48">
        <v>0</v>
      </c>
      <c r="EX226" s="48">
        <v>0</v>
      </c>
      <c r="EY226" s="48">
        <v>0</v>
      </c>
      <c r="EZ226" s="48">
        <v>0</v>
      </c>
      <c r="FA226" s="48">
        <v>9.884980743922636</v>
      </c>
      <c r="FB226" s="48">
        <v>7.853154462559047</v>
      </c>
      <c r="FC226" s="48">
        <v>6.2775872002526185</v>
      </c>
      <c r="FD226" s="48">
        <v>2.0759593411937905E-4</v>
      </c>
      <c r="FE226" s="48">
        <v>0</v>
      </c>
      <c r="FF226" s="48">
        <v>0</v>
      </c>
      <c r="FG226" s="48">
        <v>0</v>
      </c>
      <c r="FH226" s="48">
        <v>0</v>
      </c>
      <c r="FI226" s="48">
        <v>0</v>
      </c>
      <c r="FJ226" s="48">
        <v>0</v>
      </c>
      <c r="FK226" s="48">
        <v>0</v>
      </c>
      <c r="FL226" s="48">
        <v>0</v>
      </c>
      <c r="FM226" s="48">
        <v>1.643887593660796E-4</v>
      </c>
      <c r="FN226" s="48">
        <v>0</v>
      </c>
      <c r="FO226" s="48">
        <v>0</v>
      </c>
      <c r="FP226" s="48">
        <v>0</v>
      </c>
      <c r="FQ226" s="48">
        <v>2.6883858631354309E-3</v>
      </c>
      <c r="FR226" s="48">
        <v>4.6344238665676342E-5</v>
      </c>
      <c r="FS226" s="48">
        <v>0</v>
      </c>
      <c r="FT226" s="48">
        <v>0</v>
      </c>
      <c r="FU226" s="48">
        <v>0</v>
      </c>
      <c r="FV226" s="48">
        <v>1.6617510578496072E-3</v>
      </c>
      <c r="FW226" s="48">
        <v>173.37891803118757</v>
      </c>
      <c r="FX226" s="48">
        <v>313.52800987469243</v>
      </c>
      <c r="FY226" s="48">
        <v>338.03348750637491</v>
      </c>
      <c r="FZ226" s="48">
        <v>7.1417214446803889</v>
      </c>
      <c r="GA226" s="48">
        <v>68.951947184666636</v>
      </c>
      <c r="GB226" s="48">
        <v>4948.4200335860542</v>
      </c>
      <c r="GC226" s="48">
        <v>0</v>
      </c>
      <c r="GD226" s="48">
        <v>0</v>
      </c>
      <c r="GE226" s="48">
        <v>38.509598068764689</v>
      </c>
      <c r="GF226" s="48">
        <v>156.19082673600658</v>
      </c>
      <c r="GG226" s="48">
        <v>3151.0597181457338</v>
      </c>
      <c r="GH226" s="48">
        <v>2779.3485273783194</v>
      </c>
      <c r="GI226" s="48">
        <v>4.4829605354100979</v>
      </c>
      <c r="GJ226" s="48">
        <v>354.44909241712173</v>
      </c>
      <c r="GK226" s="48">
        <v>739.16482586265852</v>
      </c>
      <c r="GL226" s="48">
        <v>740.00483601890062</v>
      </c>
      <c r="GM226" s="48">
        <v>548.23277864921465</v>
      </c>
      <c r="GN226" s="48">
        <v>22.445276186708423</v>
      </c>
      <c r="GO226" s="48">
        <v>183.44900002694087</v>
      </c>
      <c r="GP226" s="48">
        <v>79.912958294492739</v>
      </c>
      <c r="GQ226" s="48">
        <v>592.61925016257646</v>
      </c>
      <c r="GR226" s="48">
        <v>0</v>
      </c>
      <c r="GS226" s="48">
        <v>6347.9924476977503</v>
      </c>
      <c r="GT226" s="48">
        <v>459.33161731318705</v>
      </c>
      <c r="GU226" s="48">
        <v>27741.085563075609</v>
      </c>
      <c r="GV226" s="48">
        <v>157.04390223989409</v>
      </c>
      <c r="GW226" s="48">
        <v>42.833767651271209</v>
      </c>
      <c r="GX226" s="48">
        <v>2363.9356086185908</v>
      </c>
      <c r="GY226" s="48">
        <v>242.65623198831628</v>
      </c>
      <c r="GZ226" s="48">
        <v>0</v>
      </c>
      <c r="HA226" s="48">
        <v>869.86568477206117</v>
      </c>
      <c r="HB226" s="48">
        <v>245.35027751927842</v>
      </c>
      <c r="HC226" s="48">
        <v>552.24297663127254</v>
      </c>
      <c r="HD226" s="48">
        <v>186.48087044070019</v>
      </c>
      <c r="HE226" s="48">
        <v>33.546622580756114</v>
      </c>
      <c r="HF226" s="48">
        <v>165.32350789098757</v>
      </c>
      <c r="HG226" s="48">
        <v>158.21487413041385</v>
      </c>
      <c r="HH226" s="48">
        <v>298.28783808256219</v>
      </c>
      <c r="HI226" s="48">
        <v>434.915825415911</v>
      </c>
      <c r="HJ226" s="48">
        <v>495.11336190497934</v>
      </c>
      <c r="HK226" s="48">
        <v>23.109887268576546</v>
      </c>
      <c r="HL226" s="48">
        <v>37.07816997784154</v>
      </c>
      <c r="HM226" s="48">
        <v>170.70938682285708</v>
      </c>
      <c r="HN226" s="48">
        <v>49.774776549553728</v>
      </c>
      <c r="HO226" s="48">
        <v>210.65731825096998</v>
      </c>
      <c r="HP226" s="48">
        <v>360.86974108016688</v>
      </c>
      <c r="HQ226" s="48">
        <v>55.997800305342423</v>
      </c>
      <c r="HR226" s="48">
        <v>119.56703953761959</v>
      </c>
      <c r="HS226" s="48">
        <v>200.93914928765412</v>
      </c>
      <c r="HT226" s="48">
        <v>123.54800697849981</v>
      </c>
      <c r="HU226" s="48">
        <v>163.54719443597293</v>
      </c>
      <c r="HV226" s="48">
        <v>0</v>
      </c>
      <c r="HW226" s="48">
        <v>0</v>
      </c>
      <c r="HX226" s="48">
        <v>0</v>
      </c>
      <c r="HY226" s="48">
        <v>0</v>
      </c>
      <c r="HZ226" s="48">
        <v>0</v>
      </c>
      <c r="IA226" s="48">
        <v>0</v>
      </c>
      <c r="IB226" s="48">
        <v>0</v>
      </c>
      <c r="IC226" s="48">
        <v>0</v>
      </c>
      <c r="ID226" s="48">
        <v>0</v>
      </c>
      <c r="IE226" s="48">
        <v>0</v>
      </c>
      <c r="IF226" s="48">
        <v>0</v>
      </c>
      <c r="IG226" s="48">
        <v>0</v>
      </c>
      <c r="IH226" s="48">
        <v>0</v>
      </c>
      <c r="II226" s="48">
        <v>0</v>
      </c>
      <c r="IJ226" s="48">
        <v>0</v>
      </c>
      <c r="IK226" s="48">
        <v>12.370742266117837</v>
      </c>
      <c r="IL226" s="48">
        <v>24.118948519031957</v>
      </c>
      <c r="IM226" s="48">
        <v>29.303468377149329</v>
      </c>
      <c r="IN226" s="48">
        <v>15.828213317508396</v>
      </c>
      <c r="IO226" s="48">
        <v>0</v>
      </c>
      <c r="IP226" s="23">
        <v>57654.999999999898</v>
      </c>
      <c r="IQ226" s="25">
        <v>0</v>
      </c>
      <c r="IR226" s="25">
        <v>0</v>
      </c>
      <c r="IS226" s="26">
        <v>0</v>
      </c>
      <c r="IT226" s="26">
        <v>0</v>
      </c>
      <c r="IU226" s="26">
        <v>0</v>
      </c>
      <c r="IV226" s="9">
        <v>0</v>
      </c>
      <c r="IW226" s="38">
        <f t="shared" si="34"/>
        <v>57654.999999999898</v>
      </c>
    </row>
    <row r="227" spans="1:257" ht="30" customHeight="1" x14ac:dyDescent="0.25">
      <c r="A227" s="112" t="b">
        <v>1</v>
      </c>
      <c r="B227" s="113" t="str">
        <f>IFERROR(VLOOKUP(C227,'Bridge matrix'!$D$3:$E$727,2,FALSE)='symmetric IOT 245 2012'!D227,"FALSCH")</f>
        <v>FALSCH</v>
      </c>
      <c r="C227" s="108">
        <v>216</v>
      </c>
      <c r="D227" s="49" t="s">
        <v>1532</v>
      </c>
      <c r="E227" s="48">
        <v>0</v>
      </c>
      <c r="F227" s="48">
        <v>0</v>
      </c>
      <c r="G227" s="48">
        <v>0</v>
      </c>
      <c r="H227" s="48">
        <v>0</v>
      </c>
      <c r="I227" s="48">
        <v>0</v>
      </c>
      <c r="J227" s="48">
        <v>0</v>
      </c>
      <c r="K227" s="48">
        <v>0</v>
      </c>
      <c r="L227" s="48">
        <v>0</v>
      </c>
      <c r="M227" s="48">
        <v>0</v>
      </c>
      <c r="N227" s="48">
        <v>0</v>
      </c>
      <c r="O227" s="48">
        <v>0</v>
      </c>
      <c r="P227" s="48">
        <v>0</v>
      </c>
      <c r="Q227" s="48">
        <v>0</v>
      </c>
      <c r="R227" s="48">
        <v>0</v>
      </c>
      <c r="S227" s="48">
        <v>0</v>
      </c>
      <c r="T227" s="48">
        <v>0</v>
      </c>
      <c r="U227" s="48">
        <v>0</v>
      </c>
      <c r="V227" s="48">
        <v>0</v>
      </c>
      <c r="W227" s="48">
        <v>0</v>
      </c>
      <c r="X227" s="48">
        <v>0</v>
      </c>
      <c r="Y227" s="48">
        <v>0</v>
      </c>
      <c r="Z227" s="48">
        <v>0</v>
      </c>
      <c r="AA227" s="48">
        <v>0</v>
      </c>
      <c r="AB227" s="48">
        <v>0</v>
      </c>
      <c r="AC227" s="48">
        <v>0</v>
      </c>
      <c r="AD227" s="48">
        <v>0</v>
      </c>
      <c r="AE227" s="48">
        <v>0</v>
      </c>
      <c r="AF227" s="48">
        <v>0</v>
      </c>
      <c r="AG227" s="48">
        <v>0</v>
      </c>
      <c r="AH227" s="48">
        <v>0</v>
      </c>
      <c r="AI227" s="48">
        <v>0</v>
      </c>
      <c r="AJ227" s="48">
        <v>0</v>
      </c>
      <c r="AK227" s="48">
        <v>0</v>
      </c>
      <c r="AL227" s="48">
        <v>0</v>
      </c>
      <c r="AM227" s="48">
        <v>0</v>
      </c>
      <c r="AN227" s="48">
        <v>0</v>
      </c>
      <c r="AO227" s="48">
        <v>0</v>
      </c>
      <c r="AP227" s="48">
        <v>0</v>
      </c>
      <c r="AQ227" s="48">
        <v>0</v>
      </c>
      <c r="AR227" s="48">
        <v>0</v>
      </c>
      <c r="AS227" s="48">
        <v>0</v>
      </c>
      <c r="AT227" s="48">
        <v>0</v>
      </c>
      <c r="AU227" s="48">
        <v>0</v>
      </c>
      <c r="AV227" s="48">
        <v>0</v>
      </c>
      <c r="AW227" s="48">
        <v>0</v>
      </c>
      <c r="AX227" s="48">
        <v>0</v>
      </c>
      <c r="AY227" s="48">
        <v>0</v>
      </c>
      <c r="AZ227" s="48">
        <v>0</v>
      </c>
      <c r="BA227" s="48">
        <v>0</v>
      </c>
      <c r="BB227" s="48">
        <v>0</v>
      </c>
      <c r="BC227" s="48">
        <v>0</v>
      </c>
      <c r="BD227" s="48">
        <v>0</v>
      </c>
      <c r="BE227" s="48">
        <v>0</v>
      </c>
      <c r="BF227" s="48">
        <v>0</v>
      </c>
      <c r="BG227" s="48">
        <v>0</v>
      </c>
      <c r="BH227" s="48">
        <v>0</v>
      </c>
      <c r="BI227" s="48">
        <v>0</v>
      </c>
      <c r="BJ227" s="48">
        <v>0</v>
      </c>
      <c r="BK227" s="48">
        <v>0</v>
      </c>
      <c r="BL227" s="48">
        <v>0</v>
      </c>
      <c r="BM227" s="48">
        <v>0</v>
      </c>
      <c r="BN227" s="48">
        <v>0</v>
      </c>
      <c r="BO227" s="48">
        <v>0</v>
      </c>
      <c r="BP227" s="48">
        <v>0</v>
      </c>
      <c r="BQ227" s="48">
        <v>0</v>
      </c>
      <c r="BR227" s="48">
        <v>0</v>
      </c>
      <c r="BS227" s="48">
        <v>0</v>
      </c>
      <c r="BT227" s="48">
        <v>0</v>
      </c>
      <c r="BU227" s="48">
        <v>0</v>
      </c>
      <c r="BV227" s="48">
        <v>0</v>
      </c>
      <c r="BW227" s="48">
        <v>0</v>
      </c>
      <c r="BX227" s="48">
        <v>0</v>
      </c>
      <c r="BY227" s="48">
        <v>0</v>
      </c>
      <c r="BZ227" s="48">
        <v>0</v>
      </c>
      <c r="CA227" s="48">
        <v>0</v>
      </c>
      <c r="CB227" s="48">
        <v>0</v>
      </c>
      <c r="CC227" s="48">
        <v>0</v>
      </c>
      <c r="CD227" s="48">
        <v>0</v>
      </c>
      <c r="CE227" s="48">
        <v>0</v>
      </c>
      <c r="CF227" s="48">
        <v>0</v>
      </c>
      <c r="CG227" s="48">
        <v>0</v>
      </c>
      <c r="CH227" s="48">
        <v>0</v>
      </c>
      <c r="CI227" s="48">
        <v>994.29430767266342</v>
      </c>
      <c r="CJ227" s="48">
        <v>894.69925759831779</v>
      </c>
      <c r="CK227" s="48">
        <v>82.312330741200924</v>
      </c>
      <c r="CL227" s="48">
        <v>566.42592248883227</v>
      </c>
      <c r="CM227" s="48">
        <v>352.15952734703961</v>
      </c>
      <c r="CN227" s="48">
        <v>3775.3867183038897</v>
      </c>
      <c r="CO227" s="48">
        <v>4558.4761958550316</v>
      </c>
      <c r="CP227" s="48">
        <v>443.37155701015053</v>
      </c>
      <c r="CQ227" s="48">
        <v>1731.3036665733607</v>
      </c>
      <c r="CR227" s="48">
        <v>6781.8856748456737</v>
      </c>
      <c r="CS227" s="48">
        <v>0</v>
      </c>
      <c r="CT227" s="48">
        <v>0</v>
      </c>
      <c r="CU227" s="48">
        <v>0</v>
      </c>
      <c r="CV227" s="48">
        <v>0</v>
      </c>
      <c r="CW227" s="48">
        <v>0</v>
      </c>
      <c r="CX227" s="48">
        <v>0</v>
      </c>
      <c r="CY227" s="48">
        <v>0</v>
      </c>
      <c r="CZ227" s="48">
        <v>0</v>
      </c>
      <c r="DA227" s="48">
        <v>0</v>
      </c>
      <c r="DB227" s="48">
        <v>0</v>
      </c>
      <c r="DC227" s="48">
        <v>8.1943901220720306E-3</v>
      </c>
      <c r="DD227" s="48">
        <v>0</v>
      </c>
      <c r="DE227" s="48">
        <v>1.7002107410830573E-2</v>
      </c>
      <c r="DF227" s="48">
        <v>0</v>
      </c>
      <c r="DG227" s="48">
        <v>0</v>
      </c>
      <c r="DH227" s="48">
        <v>0</v>
      </c>
      <c r="DI227" s="48">
        <v>4.3951502886946651E-2</v>
      </c>
      <c r="DJ227" s="48">
        <v>0</v>
      </c>
      <c r="DK227" s="48">
        <v>0.22866506324976318</v>
      </c>
      <c r="DL227" s="48">
        <v>0</v>
      </c>
      <c r="DM227" s="48">
        <v>0</v>
      </c>
      <c r="DN227" s="48">
        <v>0</v>
      </c>
      <c r="DO227" s="48">
        <v>0</v>
      </c>
      <c r="DP227" s="48">
        <v>0</v>
      </c>
      <c r="DQ227" s="48">
        <v>0</v>
      </c>
      <c r="DR227" s="48">
        <v>0.40421663282675718</v>
      </c>
      <c r="DS227" s="48">
        <v>0</v>
      </c>
      <c r="DT227" s="48">
        <v>0</v>
      </c>
      <c r="DU227" s="48">
        <v>0</v>
      </c>
      <c r="DV227" s="48">
        <v>0</v>
      </c>
      <c r="DW227" s="48">
        <v>0</v>
      </c>
      <c r="DX227" s="48">
        <v>0</v>
      </c>
      <c r="DY227" s="48">
        <v>0</v>
      </c>
      <c r="DZ227" s="48">
        <v>0</v>
      </c>
      <c r="EA227" s="48">
        <v>1243.7892158357536</v>
      </c>
      <c r="EB227" s="48">
        <v>841.79389135031772</v>
      </c>
      <c r="EC227" s="48">
        <v>3405.6409612711709</v>
      </c>
      <c r="ED227" s="48">
        <v>0</v>
      </c>
      <c r="EE227" s="48">
        <v>0</v>
      </c>
      <c r="EF227" s="48">
        <v>0</v>
      </c>
      <c r="EG227" s="48">
        <v>0</v>
      </c>
      <c r="EH227" s="48">
        <v>0</v>
      </c>
      <c r="EI227" s="48">
        <v>0</v>
      </c>
      <c r="EJ227" s="48">
        <v>0</v>
      </c>
      <c r="EK227" s="48">
        <v>0</v>
      </c>
      <c r="EL227" s="48">
        <v>0</v>
      </c>
      <c r="EM227" s="48">
        <v>0</v>
      </c>
      <c r="EN227" s="48">
        <v>0</v>
      </c>
      <c r="EO227" s="48">
        <v>0</v>
      </c>
      <c r="EP227" s="48">
        <v>0</v>
      </c>
      <c r="EQ227" s="48">
        <v>0</v>
      </c>
      <c r="ER227" s="48">
        <v>0</v>
      </c>
      <c r="ES227" s="48">
        <v>0</v>
      </c>
      <c r="ET227" s="48">
        <v>0</v>
      </c>
      <c r="EU227" s="48">
        <v>0</v>
      </c>
      <c r="EV227" s="48">
        <v>0</v>
      </c>
      <c r="EW227" s="48">
        <v>7.5579316080090359E-2</v>
      </c>
      <c r="EX227" s="48">
        <v>0</v>
      </c>
      <c r="EY227" s="48">
        <v>0</v>
      </c>
      <c r="EZ227" s="48">
        <v>0</v>
      </c>
      <c r="FA227" s="48">
        <v>0</v>
      </c>
      <c r="FB227" s="48">
        <v>0</v>
      </c>
      <c r="FC227" s="48">
        <v>0</v>
      </c>
      <c r="FD227" s="48">
        <v>0</v>
      </c>
      <c r="FE227" s="48">
        <v>0</v>
      </c>
      <c r="FF227" s="48">
        <v>0</v>
      </c>
      <c r="FG227" s="48">
        <v>0</v>
      </c>
      <c r="FH227" s="48">
        <v>0</v>
      </c>
      <c r="FI227" s="48">
        <v>0</v>
      </c>
      <c r="FJ227" s="48">
        <v>0</v>
      </c>
      <c r="FK227" s="48">
        <v>0</v>
      </c>
      <c r="FL227" s="48">
        <v>0</v>
      </c>
      <c r="FM227" s="48">
        <v>3.0365560131192633E-2</v>
      </c>
      <c r="FN227" s="48">
        <v>0</v>
      </c>
      <c r="FO227" s="48">
        <v>0</v>
      </c>
      <c r="FP227" s="48">
        <v>8.1497518661395034</v>
      </c>
      <c r="FQ227" s="48">
        <v>0</v>
      </c>
      <c r="FR227" s="48">
        <v>0</v>
      </c>
      <c r="FS227" s="48">
        <v>0</v>
      </c>
      <c r="FT227" s="48">
        <v>0</v>
      </c>
      <c r="FU227" s="48">
        <v>0</v>
      </c>
      <c r="FV227" s="48">
        <v>1.0233325982710194E-3</v>
      </c>
      <c r="FW227" s="48">
        <v>16659.628650371207</v>
      </c>
      <c r="FX227" s="48">
        <v>26231.981909720394</v>
      </c>
      <c r="FY227" s="48">
        <v>1561.3348495973821</v>
      </c>
      <c r="FZ227" s="48">
        <v>42.498330692419934</v>
      </c>
      <c r="GA227" s="48">
        <v>870.60209931521388</v>
      </c>
      <c r="GB227" s="48">
        <v>0</v>
      </c>
      <c r="GC227" s="48">
        <v>245.30399380850145</v>
      </c>
      <c r="GD227" s="48">
        <v>0</v>
      </c>
      <c r="GE227" s="48">
        <v>0</v>
      </c>
      <c r="GF227" s="48">
        <v>0</v>
      </c>
      <c r="GG227" s="48">
        <v>2058.1647434996858</v>
      </c>
      <c r="GH227" s="48">
        <v>1783.1282912296192</v>
      </c>
      <c r="GI227" s="48">
        <v>3.4840379703382052</v>
      </c>
      <c r="GJ227" s="48">
        <v>231.46771233246713</v>
      </c>
      <c r="GK227" s="48">
        <v>482.77813001651049</v>
      </c>
      <c r="GL227" s="48">
        <v>482.74086974503746</v>
      </c>
      <c r="GM227" s="48">
        <v>351.15549985891153</v>
      </c>
      <c r="GN227" s="48">
        <v>14.827184221697967</v>
      </c>
      <c r="GO227" s="48">
        <v>117.64501984441721</v>
      </c>
      <c r="GP227" s="48">
        <v>52.336207759395435</v>
      </c>
      <c r="GQ227" s="48">
        <v>387.29200494757924</v>
      </c>
      <c r="GR227" s="48">
        <v>0</v>
      </c>
      <c r="GS227" s="48">
        <v>0</v>
      </c>
      <c r="GT227" s="48">
        <v>15.313891740736912</v>
      </c>
      <c r="GU227" s="48">
        <v>899.72681869043504</v>
      </c>
      <c r="GV227" s="48">
        <v>5.2015454456912673</v>
      </c>
      <c r="GW227" s="48">
        <v>1.3531582688395958</v>
      </c>
      <c r="GX227" s="48">
        <v>59.999912956228535</v>
      </c>
      <c r="GY227" s="48">
        <v>0</v>
      </c>
      <c r="GZ227" s="48">
        <v>0</v>
      </c>
      <c r="HA227" s="48">
        <v>0</v>
      </c>
      <c r="HB227" s="48">
        <v>998.81851952836223</v>
      </c>
      <c r="HC227" s="48">
        <v>2251.7145139123522</v>
      </c>
      <c r="HD227" s="48">
        <v>761.76092670273249</v>
      </c>
      <c r="HE227" s="48">
        <v>82.29193010230307</v>
      </c>
      <c r="HF227" s="48">
        <v>402.31741796674567</v>
      </c>
      <c r="HG227" s="48">
        <v>385.05577154847032</v>
      </c>
      <c r="HH227" s="48">
        <v>724.33072127854052</v>
      </c>
      <c r="HI227" s="48">
        <v>1056.9693783978119</v>
      </c>
      <c r="HJ227" s="48">
        <v>1203.5520140352942</v>
      </c>
      <c r="HK227" s="48">
        <v>56.980963124591391</v>
      </c>
      <c r="HL227" s="48">
        <v>90.703738961135812</v>
      </c>
      <c r="HM227" s="48">
        <v>414.53263164372447</v>
      </c>
      <c r="HN227" s="48">
        <v>121.73121687992924</v>
      </c>
      <c r="HO227" s="48">
        <v>511.10630617434128</v>
      </c>
      <c r="HP227" s="48">
        <v>876.29803701655987</v>
      </c>
      <c r="HQ227" s="48">
        <v>136.4107206998512</v>
      </c>
      <c r="HR227" s="48">
        <v>291.32811698573704</v>
      </c>
      <c r="HS227" s="48">
        <v>489.77769515656689</v>
      </c>
      <c r="HT227" s="48">
        <v>299.57921104406284</v>
      </c>
      <c r="HU227" s="48">
        <v>396.27733014306455</v>
      </c>
      <c r="HV227" s="48">
        <v>0</v>
      </c>
      <c r="HW227" s="48">
        <v>0</v>
      </c>
      <c r="HX227" s="48">
        <v>0</v>
      </c>
      <c r="HY227" s="48">
        <v>0</v>
      </c>
      <c r="HZ227" s="48">
        <v>0</v>
      </c>
      <c r="IA227" s="48">
        <v>0</v>
      </c>
      <c r="IB227" s="48">
        <v>0</v>
      </c>
      <c r="IC227" s="48">
        <v>0</v>
      </c>
      <c r="ID227" s="48">
        <v>0</v>
      </c>
      <c r="IE227" s="48">
        <v>0</v>
      </c>
      <c r="IF227" s="48">
        <v>0</v>
      </c>
      <c r="IG227" s="48">
        <v>0</v>
      </c>
      <c r="IH227" s="48">
        <v>0</v>
      </c>
      <c r="II227" s="48">
        <v>0</v>
      </c>
      <c r="IJ227" s="48">
        <v>0</v>
      </c>
      <c r="IK227" s="48">
        <v>0</v>
      </c>
      <c r="IL227" s="48">
        <v>0</v>
      </c>
      <c r="IM227" s="48">
        <v>0</v>
      </c>
      <c r="IN227" s="48">
        <v>0</v>
      </c>
      <c r="IO227" s="48">
        <v>0</v>
      </c>
      <c r="IP227" s="23">
        <v>89789.999999999738</v>
      </c>
      <c r="IQ227" s="25">
        <v>1671</v>
      </c>
      <c r="IR227" s="25">
        <v>0</v>
      </c>
      <c r="IS227" s="26">
        <v>0</v>
      </c>
      <c r="IT227" s="26">
        <v>0</v>
      </c>
      <c r="IU227" s="26">
        <v>0</v>
      </c>
      <c r="IV227" s="9">
        <v>0</v>
      </c>
      <c r="IW227" s="38">
        <f t="shared" si="34"/>
        <v>91460.999999999738</v>
      </c>
    </row>
    <row r="228" spans="1:257" ht="30" customHeight="1" x14ac:dyDescent="0.25">
      <c r="A228" s="112" t="b">
        <v>1</v>
      </c>
      <c r="B228" s="113" t="b">
        <f>IFERROR(VLOOKUP(C228,'Bridge matrix'!$D$3:$E$727,2,FALSE)='symmetric IOT 245 2012'!D228,"FALSCH")</f>
        <v>1</v>
      </c>
      <c r="C228" s="108">
        <v>217</v>
      </c>
      <c r="D228" s="49" t="s">
        <v>1533</v>
      </c>
      <c r="E228" s="48">
        <v>160.0667045675184</v>
      </c>
      <c r="F228" s="48">
        <v>19.530251265632128</v>
      </c>
      <c r="G228" s="48">
        <v>32.078754690619441</v>
      </c>
      <c r="H228" s="48">
        <v>0</v>
      </c>
      <c r="I228" s="48">
        <v>0</v>
      </c>
      <c r="J228" s="48">
        <v>0</v>
      </c>
      <c r="K228" s="48">
        <v>0</v>
      </c>
      <c r="L228" s="48">
        <v>0</v>
      </c>
      <c r="M228" s="48">
        <v>0</v>
      </c>
      <c r="N228" s="48">
        <v>0</v>
      </c>
      <c r="O228" s="48">
        <v>0</v>
      </c>
      <c r="P228" s="48">
        <v>0</v>
      </c>
      <c r="Q228" s="48">
        <v>0</v>
      </c>
      <c r="R228" s="48">
        <v>0</v>
      </c>
      <c r="S228" s="48">
        <v>0</v>
      </c>
      <c r="T228" s="48">
        <v>64.151047512543045</v>
      </c>
      <c r="U228" s="48">
        <v>7.908680605703867</v>
      </c>
      <c r="V228" s="48">
        <v>17.576244171951174</v>
      </c>
      <c r="W228" s="48">
        <v>26.335840049635966</v>
      </c>
      <c r="X228" s="48">
        <v>0</v>
      </c>
      <c r="Y228" s="48">
        <v>12.308697843428746</v>
      </c>
      <c r="Z228" s="48">
        <v>32.716509683818906</v>
      </c>
      <c r="AA228" s="48">
        <v>2.6450232011857437</v>
      </c>
      <c r="AB228" s="48">
        <v>1.7457761645362677</v>
      </c>
      <c r="AC228" s="48">
        <v>0.88706648980127589</v>
      </c>
      <c r="AD228" s="48">
        <v>7.9034249359237183</v>
      </c>
      <c r="AE228" s="48">
        <v>11.415141578963546</v>
      </c>
      <c r="AF228" s="48">
        <v>5.2592213887217625</v>
      </c>
      <c r="AG228" s="48">
        <v>13.202511535318038</v>
      </c>
      <c r="AH228" s="48">
        <v>21.956520307024924</v>
      </c>
      <c r="AI228" s="48">
        <v>18.438046662972795</v>
      </c>
      <c r="AJ228" s="48">
        <v>12.309978370549979</v>
      </c>
      <c r="AK228" s="48">
        <v>36.031500822114559</v>
      </c>
      <c r="AL228" s="48">
        <v>11.412506912690276</v>
      </c>
      <c r="AM228" s="48">
        <v>0.87238509299330413</v>
      </c>
      <c r="AN228" s="48">
        <v>12.2886222985977</v>
      </c>
      <c r="AO228" s="48">
        <v>7.8989069476837912</v>
      </c>
      <c r="AP228" s="48">
        <v>30.784612581146515</v>
      </c>
      <c r="AQ228" s="48">
        <v>12.305643375056123</v>
      </c>
      <c r="AR228" s="48">
        <v>19.318111936308558</v>
      </c>
      <c r="AS228" s="48">
        <v>16.96084282647562</v>
      </c>
      <c r="AT228" s="48">
        <v>16.661300086488836</v>
      </c>
      <c r="AU228" s="48">
        <v>1.6953239189275835</v>
      </c>
      <c r="AV228" s="48">
        <v>0.8518279574920542</v>
      </c>
      <c r="AW228" s="48">
        <v>0.84862219236998659</v>
      </c>
      <c r="AX228" s="48">
        <v>33.522255068733571</v>
      </c>
      <c r="AY228" s="48">
        <v>5.1380793140261769</v>
      </c>
      <c r="AZ228" s="48">
        <v>0.85956060924637434</v>
      </c>
      <c r="BA228" s="48">
        <v>1.7272652010674008</v>
      </c>
      <c r="BB228" s="48">
        <v>35.280584236366899</v>
      </c>
      <c r="BC228" s="48">
        <v>6.0908124000457251</v>
      </c>
      <c r="BD228" s="48">
        <v>0</v>
      </c>
      <c r="BE228" s="48">
        <v>71.923799455745851</v>
      </c>
      <c r="BF228" s="48">
        <v>2.6193294797090418</v>
      </c>
      <c r="BG228" s="48">
        <v>0</v>
      </c>
      <c r="BH228" s="48">
        <v>14.843375921253438</v>
      </c>
      <c r="BI228" s="48">
        <v>1.7437404102633696</v>
      </c>
      <c r="BJ228" s="48">
        <v>11.70740258893737</v>
      </c>
      <c r="BK228" s="48">
        <v>2.6155518414639305</v>
      </c>
      <c r="BL228" s="48">
        <v>0</v>
      </c>
      <c r="BM228" s="48">
        <v>6.0928728803438688</v>
      </c>
      <c r="BN228" s="48">
        <v>0.85765258397154798</v>
      </c>
      <c r="BO228" s="48">
        <v>0</v>
      </c>
      <c r="BP228" s="48">
        <v>3.0192115728605575</v>
      </c>
      <c r="BQ228" s="48">
        <v>0.69010146118119309</v>
      </c>
      <c r="BR228" s="48">
        <v>0</v>
      </c>
      <c r="BS228" s="48">
        <v>0</v>
      </c>
      <c r="BT228" s="48">
        <v>0</v>
      </c>
      <c r="BU228" s="48">
        <v>0</v>
      </c>
      <c r="BV228" s="48">
        <v>55.933325066361327</v>
      </c>
      <c r="BW228" s="48">
        <v>29.007296999002069</v>
      </c>
      <c r="BX228" s="48">
        <v>2.5801548835811321</v>
      </c>
      <c r="BY228" s="48">
        <v>3.4613053675221317</v>
      </c>
      <c r="BZ228" s="48">
        <v>2.4030278645140841</v>
      </c>
      <c r="CA228" s="48">
        <v>24355.866576000055</v>
      </c>
      <c r="CB228" s="48">
        <v>84.590185859351365</v>
      </c>
      <c r="CC228" s="48">
        <v>20580.961012115338</v>
      </c>
      <c r="CD228" s="48">
        <v>62.756415992892329</v>
      </c>
      <c r="CE228" s="48">
        <v>4.4821109428831853</v>
      </c>
      <c r="CF228" s="48">
        <v>0.89755699027204083</v>
      </c>
      <c r="CG228" s="48">
        <v>87.415013698569382</v>
      </c>
      <c r="CH228" s="48">
        <v>7.5426186380722706</v>
      </c>
      <c r="CI228" s="48">
        <v>0.93944529509640662</v>
      </c>
      <c r="CJ228" s="48">
        <v>1.0494824738874078</v>
      </c>
      <c r="CK228" s="48">
        <v>0</v>
      </c>
      <c r="CL228" s="48">
        <v>0</v>
      </c>
      <c r="CM228" s="48">
        <v>0</v>
      </c>
      <c r="CN228" s="48">
        <v>4.6993103936081235</v>
      </c>
      <c r="CO228" s="48">
        <v>0</v>
      </c>
      <c r="CP228" s="48">
        <v>0</v>
      </c>
      <c r="CQ228" s="48">
        <v>0</v>
      </c>
      <c r="CR228" s="48">
        <v>0</v>
      </c>
      <c r="CS228" s="48">
        <v>26.157461775757746</v>
      </c>
      <c r="CT228" s="48">
        <v>126.99397277160091</v>
      </c>
      <c r="CU228" s="48">
        <v>12.993761402791659</v>
      </c>
      <c r="CV228" s="48">
        <v>0</v>
      </c>
      <c r="CW228" s="48">
        <v>17.50513419538995</v>
      </c>
      <c r="CX228" s="48">
        <v>522.17286029086392</v>
      </c>
      <c r="CY228" s="48">
        <v>496.18162324505465</v>
      </c>
      <c r="CZ228" s="48">
        <v>103.67288012653464</v>
      </c>
      <c r="DA228" s="48">
        <v>320.26524216283366</v>
      </c>
      <c r="DB228" s="48">
        <v>25.232639536734251</v>
      </c>
      <c r="DC228" s="48">
        <v>1.5568952980696111</v>
      </c>
      <c r="DD228" s="48">
        <v>308.57337362952512</v>
      </c>
      <c r="DE228" s="48">
        <v>40.896530210932092</v>
      </c>
      <c r="DF228" s="48">
        <v>363.49159164824408</v>
      </c>
      <c r="DG228" s="48">
        <v>155.40265421697808</v>
      </c>
      <c r="DH228" s="48">
        <v>78.133508762355106</v>
      </c>
      <c r="DI228" s="48">
        <v>0</v>
      </c>
      <c r="DJ228" s="48">
        <v>77.623721658811249</v>
      </c>
      <c r="DK228" s="48">
        <v>0</v>
      </c>
      <c r="DL228" s="48">
        <v>1935.5897350724731</v>
      </c>
      <c r="DM228" s="48">
        <v>138.86881073826225</v>
      </c>
      <c r="DN228" s="48">
        <v>670.56984744573765</v>
      </c>
      <c r="DO228" s="48">
        <v>0</v>
      </c>
      <c r="DP228" s="48">
        <v>1469.3337147558232</v>
      </c>
      <c r="DQ228" s="48">
        <v>2565.0775645946051</v>
      </c>
      <c r="DR228" s="48">
        <v>1944.9255516140979</v>
      </c>
      <c r="DS228" s="48">
        <v>1331.2886179336547</v>
      </c>
      <c r="DT228" s="48">
        <v>48.372393846697356</v>
      </c>
      <c r="DU228" s="48">
        <v>23.906548146162248</v>
      </c>
      <c r="DV228" s="48">
        <v>358.53157465610434</v>
      </c>
      <c r="DW228" s="48">
        <v>778.3821389647361</v>
      </c>
      <c r="DX228" s="48">
        <v>388.13677716464923</v>
      </c>
      <c r="DY228" s="48">
        <v>53.111282418711063</v>
      </c>
      <c r="DZ228" s="48">
        <v>49.097942062319383</v>
      </c>
      <c r="EA228" s="48">
        <v>1278.9560027876594</v>
      </c>
      <c r="EB228" s="48">
        <v>895.94344411162854</v>
      </c>
      <c r="EC228" s="48">
        <v>3471.2546954132704</v>
      </c>
      <c r="ED228" s="48">
        <v>1.0930531964125934</v>
      </c>
      <c r="EE228" s="48">
        <v>0</v>
      </c>
      <c r="EF228" s="48">
        <v>0.93386778140167814</v>
      </c>
      <c r="EG228" s="48">
        <v>0</v>
      </c>
      <c r="EH228" s="48">
        <v>0</v>
      </c>
      <c r="EI228" s="48">
        <v>172.33577418940396</v>
      </c>
      <c r="EJ228" s="48">
        <v>242.58734160607062</v>
      </c>
      <c r="EK228" s="48">
        <v>99.767260384090434</v>
      </c>
      <c r="EL228" s="48">
        <v>976.83600849336256</v>
      </c>
      <c r="EM228" s="48">
        <v>1932.2630357568271</v>
      </c>
      <c r="EN228" s="48">
        <v>1932.4460018387272</v>
      </c>
      <c r="EO228" s="48">
        <v>249.62867896546365</v>
      </c>
      <c r="EP228" s="48">
        <v>605.35829351523262</v>
      </c>
      <c r="EQ228" s="48">
        <v>583.00689557900421</v>
      </c>
      <c r="ER228" s="48">
        <v>1249.5252535111733</v>
      </c>
      <c r="ES228" s="48">
        <v>147.33094478176278</v>
      </c>
      <c r="ET228" s="48">
        <v>238.93687363363986</v>
      </c>
      <c r="EU228" s="48">
        <v>48.020811103159183</v>
      </c>
      <c r="EV228" s="48">
        <v>43.027972086303912</v>
      </c>
      <c r="EW228" s="48">
        <v>166.41663577009004</v>
      </c>
      <c r="EX228" s="48">
        <v>6215.0788461504762</v>
      </c>
      <c r="EY228" s="48">
        <v>439.02661088255979</v>
      </c>
      <c r="EZ228" s="48">
        <v>425.49480350120024</v>
      </c>
      <c r="FA228" s="48">
        <v>357.63183847177936</v>
      </c>
      <c r="FB228" s="48">
        <v>372.01782395711894</v>
      </c>
      <c r="FC228" s="48">
        <v>339.56797423265573</v>
      </c>
      <c r="FD228" s="48">
        <v>4228.0379966937426</v>
      </c>
      <c r="FE228" s="48">
        <v>490.21964544327358</v>
      </c>
      <c r="FF228" s="48">
        <v>22.290249431326334</v>
      </c>
      <c r="FG228" s="48">
        <v>2961.8002228409146</v>
      </c>
      <c r="FH228" s="48">
        <v>567.0104350009633</v>
      </c>
      <c r="FI228" s="48">
        <v>0</v>
      </c>
      <c r="FJ228" s="48">
        <v>372.62533231959242</v>
      </c>
      <c r="FK228" s="48">
        <v>110.39032100521688</v>
      </c>
      <c r="FL228" s="48">
        <v>4.3062374700829888</v>
      </c>
      <c r="FM228" s="48">
        <v>354.48700804202559</v>
      </c>
      <c r="FN228" s="48">
        <v>85.818059218032062</v>
      </c>
      <c r="FO228" s="48">
        <v>49.307988158117489</v>
      </c>
      <c r="FP228" s="48">
        <v>259.78304231590243</v>
      </c>
      <c r="FQ228" s="48">
        <v>6.6314053124097949</v>
      </c>
      <c r="FR228" s="48">
        <v>283.48321602361489</v>
      </c>
      <c r="FS228" s="48">
        <v>37.322538615307352</v>
      </c>
      <c r="FT228" s="48">
        <v>9.2497410361873396</v>
      </c>
      <c r="FU228" s="48">
        <v>73.176089035452307</v>
      </c>
      <c r="FV228" s="48">
        <v>264.58489634426945</v>
      </c>
      <c r="FW228" s="48">
        <v>313.78039511289217</v>
      </c>
      <c r="FX228" s="48">
        <v>606.00338100489353</v>
      </c>
      <c r="FY228" s="48">
        <v>461.60063448846728</v>
      </c>
      <c r="FZ228" s="48">
        <v>9.8588468771264441</v>
      </c>
      <c r="GA228" s="48">
        <v>81.082732527381182</v>
      </c>
      <c r="GB228" s="48">
        <v>7484.716315819076</v>
      </c>
      <c r="GC228" s="48">
        <v>11900.029486732383</v>
      </c>
      <c r="GD228" s="48">
        <v>3112.7490410254886</v>
      </c>
      <c r="GE228" s="48">
        <v>9076.3038717243198</v>
      </c>
      <c r="GF228" s="48">
        <v>799.35485884905256</v>
      </c>
      <c r="GG228" s="48">
        <v>7584.1536663028337</v>
      </c>
      <c r="GH228" s="48">
        <v>6646.0406929305836</v>
      </c>
      <c r="GI228" s="48">
        <v>11.740130603426429</v>
      </c>
      <c r="GJ228" s="48">
        <v>852.8704356099945</v>
      </c>
      <c r="GK228" s="48">
        <v>1778.1685404094667</v>
      </c>
      <c r="GL228" s="48">
        <v>1779.8385152720195</v>
      </c>
      <c r="GM228" s="48">
        <v>1309.7178569733048</v>
      </c>
      <c r="GN228" s="48">
        <v>53.354368373918682</v>
      </c>
      <c r="GO228" s="48">
        <v>438.39338131885404</v>
      </c>
      <c r="GP228" s="48">
        <v>192.6375137325345</v>
      </c>
      <c r="GQ228" s="48">
        <v>1426.2549196296345</v>
      </c>
      <c r="GR228" s="48">
        <v>0</v>
      </c>
      <c r="GS228" s="48">
        <v>6455.9669299626048</v>
      </c>
      <c r="GT228" s="48">
        <v>724.96650452298843</v>
      </c>
      <c r="GU228" s="48">
        <v>48374.26623972883</v>
      </c>
      <c r="GV228" s="48">
        <v>183.61881354822211</v>
      </c>
      <c r="GW228" s="48">
        <v>162.80419141905074</v>
      </c>
      <c r="GX228" s="48">
        <v>4048.3562888326182</v>
      </c>
      <c r="GY228" s="48">
        <v>6.8189687608740579</v>
      </c>
      <c r="GZ228" s="48">
        <v>0</v>
      </c>
      <c r="HA228" s="48">
        <v>151.05134686383769</v>
      </c>
      <c r="HB228" s="48">
        <v>1659.5346551503201</v>
      </c>
      <c r="HC228" s="48">
        <v>3743.5331463467346</v>
      </c>
      <c r="HD228" s="48">
        <v>1266.1438643774352</v>
      </c>
      <c r="HE228" s="48">
        <v>406.43238044103481</v>
      </c>
      <c r="HF228" s="48">
        <v>2000.6905379617374</v>
      </c>
      <c r="HG228" s="48">
        <v>1911.2795467744404</v>
      </c>
      <c r="HH228" s="48">
        <v>3599.8738691295539</v>
      </c>
      <c r="HI228" s="48">
        <v>5252.3428637489242</v>
      </c>
      <c r="HJ228" s="48">
        <v>5973.0210048597282</v>
      </c>
      <c r="HK228" s="48">
        <v>283.5161261906461</v>
      </c>
      <c r="HL228" s="48">
        <v>449.08676955186064</v>
      </c>
      <c r="HM228" s="48">
        <v>2060.0900240296128</v>
      </c>
      <c r="HN228" s="48">
        <v>603.69467074333306</v>
      </c>
      <c r="HO228" s="48">
        <v>2540.926625076479</v>
      </c>
      <c r="HP228" s="48">
        <v>4354.6854626821896</v>
      </c>
      <c r="HQ228" s="48">
        <v>679.72932941565159</v>
      </c>
      <c r="HR228" s="48">
        <v>1449.8459690328878</v>
      </c>
      <c r="HS228" s="48">
        <v>2436.4808643325805</v>
      </c>
      <c r="HT228" s="48">
        <v>1490.0073165796864</v>
      </c>
      <c r="HU228" s="48">
        <v>1970.2983844104961</v>
      </c>
      <c r="HV228" s="48">
        <v>12295.08924865912</v>
      </c>
      <c r="HW228" s="48">
        <v>288.45869387305669</v>
      </c>
      <c r="HX228" s="48">
        <v>30.684610752096699</v>
      </c>
      <c r="HY228" s="48">
        <v>26.308231855447868</v>
      </c>
      <c r="HZ228" s="48">
        <v>37.662332137001677</v>
      </c>
      <c r="IA228" s="48">
        <v>10.501350858570722</v>
      </c>
      <c r="IB228" s="48">
        <v>0.88394160535186506</v>
      </c>
      <c r="IC228" s="48">
        <v>2039.376570905619</v>
      </c>
      <c r="ID228" s="48">
        <v>1264.4278249776798</v>
      </c>
      <c r="IE228" s="48">
        <v>856.0506764142217</v>
      </c>
      <c r="IF228" s="48">
        <v>109.84140728505332</v>
      </c>
      <c r="IG228" s="48">
        <v>2745.0586941066008</v>
      </c>
      <c r="IH228" s="48">
        <v>197.51980490152252</v>
      </c>
      <c r="II228" s="48">
        <v>60.059320847928092</v>
      </c>
      <c r="IJ228" s="48">
        <v>22412.803991758174</v>
      </c>
      <c r="IK228" s="48">
        <v>16066.946163145465</v>
      </c>
      <c r="IL228" s="48">
        <v>25429.245232845489</v>
      </c>
      <c r="IM228" s="48">
        <v>7384.5168637278684</v>
      </c>
      <c r="IN228" s="48">
        <v>22363.113161617239</v>
      </c>
      <c r="IO228" s="48">
        <v>0</v>
      </c>
      <c r="IP228" s="23">
        <v>366992.99999999924</v>
      </c>
      <c r="IQ228" s="25">
        <v>52442</v>
      </c>
      <c r="IR228" s="25">
        <v>0</v>
      </c>
      <c r="IS228" s="26">
        <v>0</v>
      </c>
      <c r="IT228" s="26">
        <v>0</v>
      </c>
      <c r="IU228" s="26">
        <v>0</v>
      </c>
      <c r="IV228" s="9">
        <v>0</v>
      </c>
      <c r="IW228" s="38">
        <f t="shared" si="34"/>
        <v>419434.99999999924</v>
      </c>
    </row>
    <row r="229" spans="1:257" ht="30" customHeight="1" x14ac:dyDescent="0.25">
      <c r="A229" s="112" t="b">
        <v>1</v>
      </c>
      <c r="B229" s="113" t="b">
        <f>IFERROR(VLOOKUP(C229,'Bridge matrix'!$D$3:$E$727,2,FALSE)='symmetric IOT 245 2012'!D229,"FALSCH")</f>
        <v>1</v>
      </c>
      <c r="C229" s="108">
        <v>218</v>
      </c>
      <c r="D229" s="49" t="s">
        <v>1534</v>
      </c>
      <c r="E229" s="48">
        <v>0</v>
      </c>
      <c r="F229" s="48">
        <v>0</v>
      </c>
      <c r="G229" s="48">
        <v>0</v>
      </c>
      <c r="H229" s="48">
        <v>0</v>
      </c>
      <c r="I229" s="48">
        <v>0</v>
      </c>
      <c r="J229" s="48">
        <v>0</v>
      </c>
      <c r="K229" s="48">
        <v>0</v>
      </c>
      <c r="L229" s="48">
        <v>0</v>
      </c>
      <c r="M229" s="48">
        <v>0</v>
      </c>
      <c r="N229" s="48">
        <v>0</v>
      </c>
      <c r="O229" s="48">
        <v>0</v>
      </c>
      <c r="P229" s="48">
        <v>0</v>
      </c>
      <c r="Q229" s="48">
        <v>0</v>
      </c>
      <c r="R229" s="48">
        <v>0</v>
      </c>
      <c r="S229" s="48">
        <v>0</v>
      </c>
      <c r="T229" s="48">
        <v>0</v>
      </c>
      <c r="U229" s="48">
        <v>0</v>
      </c>
      <c r="V229" s="48">
        <v>0</v>
      </c>
      <c r="W229" s="48">
        <v>0</v>
      </c>
      <c r="X229" s="48">
        <v>0</v>
      </c>
      <c r="Y229" s="48">
        <v>0</v>
      </c>
      <c r="Z229" s="48">
        <v>0</v>
      </c>
      <c r="AA229" s="48">
        <v>0</v>
      </c>
      <c r="AB229" s="48">
        <v>0</v>
      </c>
      <c r="AC229" s="48">
        <v>0</v>
      </c>
      <c r="AD229" s="48">
        <v>0</v>
      </c>
      <c r="AE229" s="48">
        <v>0</v>
      </c>
      <c r="AF229" s="48">
        <v>0</v>
      </c>
      <c r="AG229" s="48">
        <v>0</v>
      </c>
      <c r="AH229" s="48">
        <v>0</v>
      </c>
      <c r="AI229" s="48">
        <v>0</v>
      </c>
      <c r="AJ229" s="48">
        <v>0</v>
      </c>
      <c r="AK229" s="48">
        <v>0</v>
      </c>
      <c r="AL229" s="48">
        <v>0</v>
      </c>
      <c r="AM229" s="48">
        <v>0</v>
      </c>
      <c r="AN229" s="48">
        <v>0</v>
      </c>
      <c r="AO229" s="48">
        <v>0</v>
      </c>
      <c r="AP229" s="48">
        <v>0</v>
      </c>
      <c r="AQ229" s="48">
        <v>0</v>
      </c>
      <c r="AR229" s="48">
        <v>0</v>
      </c>
      <c r="AS229" s="48">
        <v>0</v>
      </c>
      <c r="AT229" s="48">
        <v>0</v>
      </c>
      <c r="AU229" s="48">
        <v>0</v>
      </c>
      <c r="AV229" s="48">
        <v>0</v>
      </c>
      <c r="AW229" s="48">
        <v>0</v>
      </c>
      <c r="AX229" s="48">
        <v>0</v>
      </c>
      <c r="AY229" s="48">
        <v>0</v>
      </c>
      <c r="AZ229" s="48">
        <v>0</v>
      </c>
      <c r="BA229" s="48">
        <v>0</v>
      </c>
      <c r="BB229" s="48">
        <v>0</v>
      </c>
      <c r="BC229" s="48">
        <v>0</v>
      </c>
      <c r="BD229" s="48">
        <v>0</v>
      </c>
      <c r="BE229" s="48">
        <v>86513.699393853254</v>
      </c>
      <c r="BF229" s="48">
        <v>2581.6564442303247</v>
      </c>
      <c r="BG229" s="48">
        <v>171.73418920901389</v>
      </c>
      <c r="BH229" s="48">
        <v>16115.084623846193</v>
      </c>
      <c r="BI229" s="48">
        <v>1954.7132944513628</v>
      </c>
      <c r="BJ229" s="48">
        <v>12427.441780486855</v>
      </c>
      <c r="BK229" s="48">
        <v>2468.78734427579</v>
      </c>
      <c r="BL229" s="48">
        <v>22.343100906050886</v>
      </c>
      <c r="BM229" s="48">
        <v>0</v>
      </c>
      <c r="BN229" s="48">
        <v>0</v>
      </c>
      <c r="BO229" s="48">
        <v>0</v>
      </c>
      <c r="BP229" s="48">
        <v>0</v>
      </c>
      <c r="BQ229" s="48">
        <v>0</v>
      </c>
      <c r="BR229" s="48">
        <v>0</v>
      </c>
      <c r="BS229" s="48">
        <v>0</v>
      </c>
      <c r="BT229" s="48">
        <v>0</v>
      </c>
      <c r="BU229" s="48">
        <v>0.84216527577461475</v>
      </c>
      <c r="BV229" s="48">
        <v>0</v>
      </c>
      <c r="BW229" s="48">
        <v>0</v>
      </c>
      <c r="BX229" s="48">
        <v>0</v>
      </c>
      <c r="BY229" s="48">
        <v>54.130027766087416</v>
      </c>
      <c r="BZ229" s="48">
        <v>39.406445339415725</v>
      </c>
      <c r="CA229" s="48">
        <v>0</v>
      </c>
      <c r="CB229" s="48">
        <v>0</v>
      </c>
      <c r="CC229" s="48">
        <v>0</v>
      </c>
      <c r="CD229" s="48">
        <v>0</v>
      </c>
      <c r="CE229" s="48">
        <v>0</v>
      </c>
      <c r="CF229" s="48">
        <v>0</v>
      </c>
      <c r="CG229" s="48">
        <v>0</v>
      </c>
      <c r="CH229" s="48">
        <v>0</v>
      </c>
      <c r="CI229" s="48">
        <v>0</v>
      </c>
      <c r="CJ229" s="48">
        <v>0</v>
      </c>
      <c r="CK229" s="48">
        <v>0</v>
      </c>
      <c r="CL229" s="48">
        <v>0</v>
      </c>
      <c r="CM229" s="48">
        <v>0</v>
      </c>
      <c r="CN229" s="48">
        <v>0</v>
      </c>
      <c r="CO229" s="48">
        <v>396.48830167560561</v>
      </c>
      <c r="CP229" s="48">
        <v>38.284179006117142</v>
      </c>
      <c r="CQ229" s="48">
        <v>150.38870967713908</v>
      </c>
      <c r="CR229" s="48">
        <v>0</v>
      </c>
      <c r="CS229" s="48">
        <v>0</v>
      </c>
      <c r="CT229" s="48">
        <v>0</v>
      </c>
      <c r="CU229" s="48">
        <v>0</v>
      </c>
      <c r="CV229" s="48">
        <v>0</v>
      </c>
      <c r="CW229" s="48">
        <v>0</v>
      </c>
      <c r="CX229" s="48">
        <v>0</v>
      </c>
      <c r="CY229" s="48">
        <v>0</v>
      </c>
      <c r="CZ229" s="48">
        <v>0</v>
      </c>
      <c r="DA229" s="48">
        <v>0</v>
      </c>
      <c r="DB229" s="48">
        <v>0</v>
      </c>
      <c r="DC229" s="48">
        <v>0</v>
      </c>
      <c r="DD229" s="48">
        <v>0</v>
      </c>
      <c r="DE229" s="48">
        <v>0</v>
      </c>
      <c r="DF229" s="48">
        <v>0</v>
      </c>
      <c r="DG229" s="48">
        <v>0</v>
      </c>
      <c r="DH229" s="48">
        <v>0</v>
      </c>
      <c r="DI229" s="48">
        <v>0</v>
      </c>
      <c r="DJ229" s="48">
        <v>0</v>
      </c>
      <c r="DK229" s="48">
        <v>0</v>
      </c>
      <c r="DL229" s="48">
        <v>0</v>
      </c>
      <c r="DM229" s="48">
        <v>0</v>
      </c>
      <c r="DN229" s="48">
        <v>0</v>
      </c>
      <c r="DO229" s="48">
        <v>0</v>
      </c>
      <c r="DP229" s="48">
        <v>0</v>
      </c>
      <c r="DQ229" s="48">
        <v>0</v>
      </c>
      <c r="DR229" s="48">
        <v>0</v>
      </c>
      <c r="DS229" s="48">
        <v>0</v>
      </c>
      <c r="DT229" s="48">
        <v>0</v>
      </c>
      <c r="DU229" s="48">
        <v>0</v>
      </c>
      <c r="DV229" s="48">
        <v>0</v>
      </c>
      <c r="DW229" s="48">
        <v>0</v>
      </c>
      <c r="DX229" s="48">
        <v>0</v>
      </c>
      <c r="DY229" s="48">
        <v>0</v>
      </c>
      <c r="DZ229" s="48">
        <v>0</v>
      </c>
      <c r="EA229" s="48">
        <v>0</v>
      </c>
      <c r="EB229" s="48">
        <v>0</v>
      </c>
      <c r="EC229" s="48">
        <v>0</v>
      </c>
      <c r="ED229" s="48">
        <v>0</v>
      </c>
      <c r="EE229" s="48">
        <v>0</v>
      </c>
      <c r="EF229" s="48">
        <v>0</v>
      </c>
      <c r="EG229" s="48">
        <v>0</v>
      </c>
      <c r="EH229" s="48">
        <v>0</v>
      </c>
      <c r="EI229" s="48">
        <v>0</v>
      </c>
      <c r="EJ229" s="48">
        <v>0</v>
      </c>
      <c r="EK229" s="48">
        <v>0</v>
      </c>
      <c r="EL229" s="48">
        <v>0</v>
      </c>
      <c r="EM229" s="48">
        <v>0</v>
      </c>
      <c r="EN229" s="48">
        <v>0</v>
      </c>
      <c r="EO229" s="48">
        <v>0</v>
      </c>
      <c r="EP229" s="48">
        <v>0</v>
      </c>
      <c r="EQ229" s="48">
        <v>0</v>
      </c>
      <c r="ER229" s="48">
        <v>0</v>
      </c>
      <c r="ES229" s="48">
        <v>0</v>
      </c>
      <c r="ET229" s="48">
        <v>0</v>
      </c>
      <c r="EU229" s="48">
        <v>0</v>
      </c>
      <c r="EV229" s="48">
        <v>0</v>
      </c>
      <c r="EW229" s="48">
        <v>0</v>
      </c>
      <c r="EX229" s="48">
        <v>0</v>
      </c>
      <c r="EY229" s="48">
        <v>0</v>
      </c>
      <c r="EZ229" s="48">
        <v>0</v>
      </c>
      <c r="FA229" s="48">
        <v>0</v>
      </c>
      <c r="FB229" s="48">
        <v>0</v>
      </c>
      <c r="FC229" s="48">
        <v>0</v>
      </c>
      <c r="FD229" s="48">
        <v>0</v>
      </c>
      <c r="FE229" s="48">
        <v>0</v>
      </c>
      <c r="FF229" s="48">
        <v>0</v>
      </c>
      <c r="FG229" s="48">
        <v>0</v>
      </c>
      <c r="FH229" s="48">
        <v>0</v>
      </c>
      <c r="FI229" s="48">
        <v>0</v>
      </c>
      <c r="FJ229" s="48">
        <v>0</v>
      </c>
      <c r="FK229" s="48">
        <v>0</v>
      </c>
      <c r="FL229" s="48">
        <v>0</v>
      </c>
      <c r="FM229" s="48">
        <v>0</v>
      </c>
      <c r="FN229" s="48">
        <v>0</v>
      </c>
      <c r="FO229" s="48">
        <v>0</v>
      </c>
      <c r="FP229" s="48">
        <v>0</v>
      </c>
      <c r="FQ229" s="48">
        <v>0</v>
      </c>
      <c r="FR229" s="48">
        <v>0</v>
      </c>
      <c r="FS229" s="48">
        <v>0</v>
      </c>
      <c r="FT229" s="48">
        <v>0</v>
      </c>
      <c r="FU229" s="48">
        <v>0</v>
      </c>
      <c r="FV229" s="48">
        <v>0</v>
      </c>
      <c r="FW229" s="48">
        <v>0</v>
      </c>
      <c r="FX229" s="48">
        <v>0</v>
      </c>
      <c r="FY229" s="48">
        <v>0</v>
      </c>
      <c r="FZ229" s="48">
        <v>0</v>
      </c>
      <c r="GA229" s="48">
        <v>0</v>
      </c>
      <c r="GB229" s="48">
        <v>0</v>
      </c>
      <c r="GC229" s="48">
        <v>0</v>
      </c>
      <c r="GD229" s="48">
        <v>0</v>
      </c>
      <c r="GE229" s="48">
        <v>0</v>
      </c>
      <c r="GF229" s="48">
        <v>0</v>
      </c>
      <c r="GG229" s="48">
        <v>0</v>
      </c>
      <c r="GH229" s="48">
        <v>0</v>
      </c>
      <c r="GI229" s="48">
        <v>0</v>
      </c>
      <c r="GJ229" s="48">
        <v>0</v>
      </c>
      <c r="GK229" s="48">
        <v>0</v>
      </c>
      <c r="GL229" s="48">
        <v>0</v>
      </c>
      <c r="GM229" s="48">
        <v>0</v>
      </c>
      <c r="GN229" s="48">
        <v>0</v>
      </c>
      <c r="GO229" s="48">
        <v>0</v>
      </c>
      <c r="GP229" s="48">
        <v>0</v>
      </c>
      <c r="GQ229" s="48">
        <v>0</v>
      </c>
      <c r="GR229" s="48">
        <v>0</v>
      </c>
      <c r="GS229" s="48">
        <v>0</v>
      </c>
      <c r="GT229" s="48">
        <v>0</v>
      </c>
      <c r="GU229" s="48">
        <v>0</v>
      </c>
      <c r="GV229" s="48">
        <v>0</v>
      </c>
      <c r="GW229" s="48">
        <v>0</v>
      </c>
      <c r="GX229" s="48">
        <v>0</v>
      </c>
      <c r="GY229" s="48">
        <v>0</v>
      </c>
      <c r="GZ229" s="48">
        <v>0</v>
      </c>
      <c r="HA229" s="48">
        <v>0</v>
      </c>
      <c r="HB229" s="48">
        <v>0</v>
      </c>
      <c r="HC229" s="48">
        <v>0</v>
      </c>
      <c r="HD229" s="48">
        <v>0</v>
      </c>
      <c r="HE229" s="48">
        <v>0</v>
      </c>
      <c r="HF229" s="48">
        <v>0</v>
      </c>
      <c r="HG229" s="48">
        <v>0</v>
      </c>
      <c r="HH229" s="48">
        <v>0</v>
      </c>
      <c r="HI229" s="48">
        <v>0</v>
      </c>
      <c r="HJ229" s="48">
        <v>0</v>
      </c>
      <c r="HK229" s="48">
        <v>0</v>
      </c>
      <c r="HL229" s="48">
        <v>0</v>
      </c>
      <c r="HM229" s="48">
        <v>0</v>
      </c>
      <c r="HN229" s="48">
        <v>0</v>
      </c>
      <c r="HO229" s="48">
        <v>0</v>
      </c>
      <c r="HP229" s="48">
        <v>0</v>
      </c>
      <c r="HQ229" s="48">
        <v>0</v>
      </c>
      <c r="HR229" s="48">
        <v>0</v>
      </c>
      <c r="HS229" s="48">
        <v>0</v>
      </c>
      <c r="HT229" s="48">
        <v>0</v>
      </c>
      <c r="HU229" s="48">
        <v>0</v>
      </c>
      <c r="HV229" s="48">
        <v>0</v>
      </c>
      <c r="HW229" s="48">
        <v>0</v>
      </c>
      <c r="HX229" s="48">
        <v>0</v>
      </c>
      <c r="HY229" s="48">
        <v>0</v>
      </c>
      <c r="HZ229" s="48">
        <v>0</v>
      </c>
      <c r="IA229" s="48">
        <v>0</v>
      </c>
      <c r="IB229" s="48">
        <v>0</v>
      </c>
      <c r="IC229" s="48">
        <v>0</v>
      </c>
      <c r="ID229" s="48">
        <v>0</v>
      </c>
      <c r="IE229" s="48">
        <v>0</v>
      </c>
      <c r="IF229" s="48">
        <v>0</v>
      </c>
      <c r="IG229" s="48">
        <v>0</v>
      </c>
      <c r="IH229" s="48">
        <v>0</v>
      </c>
      <c r="II229" s="48">
        <v>0</v>
      </c>
      <c r="IJ229" s="48">
        <v>0</v>
      </c>
      <c r="IK229" s="48">
        <v>0</v>
      </c>
      <c r="IL229" s="48">
        <v>0</v>
      </c>
      <c r="IM229" s="48">
        <v>0</v>
      </c>
      <c r="IN229" s="48">
        <v>0</v>
      </c>
      <c r="IO229" s="48">
        <v>0</v>
      </c>
      <c r="IP229" s="23">
        <v>122934.99999999897</v>
      </c>
      <c r="IQ229" s="25">
        <v>0</v>
      </c>
      <c r="IR229" s="25">
        <v>0</v>
      </c>
      <c r="IS229" s="26">
        <v>0</v>
      </c>
      <c r="IT229" s="26">
        <v>0</v>
      </c>
      <c r="IU229" s="26">
        <v>0</v>
      </c>
      <c r="IV229" s="9">
        <v>0</v>
      </c>
      <c r="IW229" s="38">
        <f t="shared" si="34"/>
        <v>122934.99999999897</v>
      </c>
    </row>
    <row r="230" spans="1:257" ht="30" customHeight="1" x14ac:dyDescent="0.25">
      <c r="A230" s="112" t="b">
        <v>1</v>
      </c>
      <c r="B230" s="113" t="str">
        <f>IFERROR(VLOOKUP(C230,'Bridge matrix'!$D$3:$E$727,2,FALSE)='symmetric IOT 245 2012'!D230,"FALSCH")</f>
        <v>FALSCH</v>
      </c>
      <c r="C230" s="108">
        <v>219</v>
      </c>
      <c r="D230" s="49" t="s">
        <v>1535</v>
      </c>
      <c r="E230" s="48">
        <v>0</v>
      </c>
      <c r="F230" s="48">
        <v>0</v>
      </c>
      <c r="G230" s="48">
        <v>0</v>
      </c>
      <c r="H230" s="48">
        <v>0</v>
      </c>
      <c r="I230" s="48">
        <v>0</v>
      </c>
      <c r="J230" s="48">
        <v>0</v>
      </c>
      <c r="K230" s="48">
        <v>0</v>
      </c>
      <c r="L230" s="48">
        <v>0</v>
      </c>
      <c r="M230" s="48">
        <v>0</v>
      </c>
      <c r="N230" s="48">
        <v>0</v>
      </c>
      <c r="O230" s="48">
        <v>13269.289201254829</v>
      </c>
      <c r="P230" s="48">
        <v>1933.5506749070398</v>
      </c>
      <c r="Q230" s="48">
        <v>180.77537548894668</v>
      </c>
      <c r="R230" s="48">
        <v>9628.6406746092307</v>
      </c>
      <c r="S230" s="48">
        <v>32.810701608807491</v>
      </c>
      <c r="T230" s="48">
        <v>10208.274586909034</v>
      </c>
      <c r="U230" s="48">
        <v>1259.5480650833556</v>
      </c>
      <c r="V230" s="48">
        <v>2786.1645509066666</v>
      </c>
      <c r="W230" s="48">
        <v>4277.4205595662897</v>
      </c>
      <c r="X230" s="48">
        <v>56.870843302364534</v>
      </c>
      <c r="Y230" s="48">
        <v>1941.3706056399096</v>
      </c>
      <c r="Z230" s="48">
        <v>5174.1910847075733</v>
      </c>
      <c r="AA230" s="48">
        <v>371.37961732309577</v>
      </c>
      <c r="AB230" s="48">
        <v>335.61884989988488</v>
      </c>
      <c r="AC230" s="48">
        <v>85.316909653551718</v>
      </c>
      <c r="AD230" s="48">
        <v>1256.7931692391412</v>
      </c>
      <c r="AE230" s="48">
        <v>1880.9447661880267</v>
      </c>
      <c r="AF230" s="48">
        <v>898.41396907332978</v>
      </c>
      <c r="AG230" s="48">
        <v>2059.7428597318458</v>
      </c>
      <c r="AH230" s="48">
        <v>3521.7321243279221</v>
      </c>
      <c r="AI230" s="48">
        <v>2988.3657664200136</v>
      </c>
      <c r="AJ230" s="48">
        <v>1913.1366525608385</v>
      </c>
      <c r="AK230" s="48">
        <v>5657.906994569681</v>
      </c>
      <c r="AL230" s="48">
        <v>1855.6089239730256</v>
      </c>
      <c r="AM230" s="48">
        <v>164.59746205351846</v>
      </c>
      <c r="AN230" s="48">
        <v>2017.1308094444603</v>
      </c>
      <c r="AO230" s="48">
        <v>1290.8757040160392</v>
      </c>
      <c r="AP230" s="48">
        <v>4866.2549589030059</v>
      </c>
      <c r="AQ230" s="48">
        <v>1931.7078395330236</v>
      </c>
      <c r="AR230" s="48">
        <v>3116.5878466300564</v>
      </c>
      <c r="AS230" s="48">
        <v>2742.0863294790952</v>
      </c>
      <c r="AT230" s="48">
        <v>5745.4100857763469</v>
      </c>
      <c r="AU230" s="48">
        <v>730.69614138452846</v>
      </c>
      <c r="AV230" s="48">
        <v>345.54699830726503</v>
      </c>
      <c r="AW230" s="48">
        <v>216.3845305546856</v>
      </c>
      <c r="AX230" s="48">
        <v>11543.572642089788</v>
      </c>
      <c r="AY230" s="48">
        <v>1900.9570637082959</v>
      </c>
      <c r="AZ230" s="48">
        <v>296.3913639292328</v>
      </c>
      <c r="BA230" s="48">
        <v>541.98240592222146</v>
      </c>
      <c r="BB230" s="48">
        <v>12003.594076105104</v>
      </c>
      <c r="BC230" s="48">
        <v>1996.4925051967577</v>
      </c>
      <c r="BD230" s="48">
        <v>0</v>
      </c>
      <c r="BE230" s="48">
        <v>0</v>
      </c>
      <c r="BF230" s="48">
        <v>0</v>
      </c>
      <c r="BG230" s="48">
        <v>0</v>
      </c>
      <c r="BH230" s="48">
        <v>0</v>
      </c>
      <c r="BI230" s="48">
        <v>0</v>
      </c>
      <c r="BJ230" s="48">
        <v>0</v>
      </c>
      <c r="BK230" s="48">
        <v>0</v>
      </c>
      <c r="BL230" s="48">
        <v>0</v>
      </c>
      <c r="BM230" s="48">
        <v>0</v>
      </c>
      <c r="BN230" s="48">
        <v>0</v>
      </c>
      <c r="BO230" s="48">
        <v>0</v>
      </c>
      <c r="BP230" s="48">
        <v>15290.157247179804</v>
      </c>
      <c r="BQ230" s="48">
        <v>2076.6822764707013</v>
      </c>
      <c r="BR230" s="48">
        <v>88.141339853633184</v>
      </c>
      <c r="BS230" s="48">
        <v>140.96905213426265</v>
      </c>
      <c r="BT230" s="48">
        <v>610.47279386951743</v>
      </c>
      <c r="BU230" s="48">
        <v>3483.3246637438874</v>
      </c>
      <c r="BV230" s="48">
        <v>10740.445749615716</v>
      </c>
      <c r="BW230" s="48">
        <v>5492.6399072193462</v>
      </c>
      <c r="BX230" s="48">
        <v>498.26161733033894</v>
      </c>
      <c r="BY230" s="48">
        <v>3129.9952215385674</v>
      </c>
      <c r="BZ230" s="48">
        <v>2268.253679787887</v>
      </c>
      <c r="CA230" s="48">
        <v>0</v>
      </c>
      <c r="CB230" s="48">
        <v>0</v>
      </c>
      <c r="CC230" s="48">
        <v>2214.7839368959267</v>
      </c>
      <c r="CD230" s="48">
        <v>0</v>
      </c>
      <c r="CE230" s="48">
        <v>0</v>
      </c>
      <c r="CF230" s="48">
        <v>0</v>
      </c>
      <c r="CG230" s="48">
        <v>0</v>
      </c>
      <c r="CH230" s="48">
        <v>0</v>
      </c>
      <c r="CI230" s="48">
        <v>507.63774305753498</v>
      </c>
      <c r="CJ230" s="48">
        <v>456.72005135435273</v>
      </c>
      <c r="CK230" s="48">
        <v>42.066383763761642</v>
      </c>
      <c r="CL230" s="48">
        <v>242.03462433527014</v>
      </c>
      <c r="CM230" s="48">
        <v>179.55648937933995</v>
      </c>
      <c r="CN230" s="48">
        <v>0</v>
      </c>
      <c r="CO230" s="48">
        <v>1529.1490915581846</v>
      </c>
      <c r="CP230" s="48">
        <v>148.3495413595702</v>
      </c>
      <c r="CQ230" s="48">
        <v>581.3554119827046</v>
      </c>
      <c r="CR230" s="48">
        <v>1056.3524674342505</v>
      </c>
      <c r="CS230" s="48">
        <v>8.7476223558129327</v>
      </c>
      <c r="CT230" s="48">
        <v>0</v>
      </c>
      <c r="CU230" s="48">
        <v>0</v>
      </c>
      <c r="CV230" s="48">
        <v>22.646688366629075</v>
      </c>
      <c r="CW230" s="48">
        <v>4.9519559945642602</v>
      </c>
      <c r="CX230" s="48">
        <v>12371.028678706069</v>
      </c>
      <c r="CY230" s="48">
        <v>12316.285350702958</v>
      </c>
      <c r="CZ230" s="48">
        <v>5.6550841455592717</v>
      </c>
      <c r="DA230" s="48">
        <v>179.21054625297211</v>
      </c>
      <c r="DB230" s="48">
        <v>14.959263181961855</v>
      </c>
      <c r="DC230" s="48">
        <v>1.4754816806456701</v>
      </c>
      <c r="DD230" s="48">
        <v>1121.8129349949127</v>
      </c>
      <c r="DE230" s="48">
        <v>0</v>
      </c>
      <c r="DF230" s="48">
        <v>1127.2893612723362</v>
      </c>
      <c r="DG230" s="48">
        <v>540.44700501601562</v>
      </c>
      <c r="DH230" s="48">
        <v>270.78249015324798</v>
      </c>
      <c r="DI230" s="48">
        <v>0</v>
      </c>
      <c r="DJ230" s="48">
        <v>240.48792804290434</v>
      </c>
      <c r="DK230" s="48">
        <v>0</v>
      </c>
      <c r="DL230" s="48">
        <v>26698.750054075241</v>
      </c>
      <c r="DM230" s="48">
        <v>1226.2507191211271</v>
      </c>
      <c r="DN230" s="48">
        <v>52785.301542503745</v>
      </c>
      <c r="DO230" s="48">
        <v>48.85505678866528</v>
      </c>
      <c r="DP230" s="48">
        <v>189.41477923569224</v>
      </c>
      <c r="DQ230" s="48">
        <v>330.63734166430004</v>
      </c>
      <c r="DR230" s="48">
        <v>251.48291321857548</v>
      </c>
      <c r="DS230" s="48">
        <v>1595.5807791992727</v>
      </c>
      <c r="DT230" s="48">
        <v>1099.9667194993037</v>
      </c>
      <c r="DU230" s="48">
        <v>549.15299411706496</v>
      </c>
      <c r="DV230" s="48">
        <v>8142.703581614478</v>
      </c>
      <c r="DW230" s="48">
        <v>113.46489116100177</v>
      </c>
      <c r="DX230" s="48">
        <v>56.788045051161667</v>
      </c>
      <c r="DY230" s="48">
        <v>7.5107299872543436</v>
      </c>
      <c r="DZ230" s="48">
        <v>6.8297400190820508</v>
      </c>
      <c r="EA230" s="48">
        <v>286.7184056638294</v>
      </c>
      <c r="EB230" s="48">
        <v>200.56252288789042</v>
      </c>
      <c r="EC230" s="48">
        <v>514.10201031172687</v>
      </c>
      <c r="ED230" s="48">
        <v>0</v>
      </c>
      <c r="EE230" s="48">
        <v>0</v>
      </c>
      <c r="EF230" s="48">
        <v>0</v>
      </c>
      <c r="EG230" s="48">
        <v>0</v>
      </c>
      <c r="EH230" s="48">
        <v>0</v>
      </c>
      <c r="EI230" s="48">
        <v>458.91406056709468</v>
      </c>
      <c r="EJ230" s="48">
        <v>440.14897060909584</v>
      </c>
      <c r="EK230" s="48">
        <v>175.53159743257723</v>
      </c>
      <c r="EL230" s="48">
        <v>62.362999349046888</v>
      </c>
      <c r="EM230" s="48">
        <v>190.35698857861755</v>
      </c>
      <c r="EN230" s="48">
        <v>173.1284371117938</v>
      </c>
      <c r="EO230" s="48">
        <v>26.594680591030944</v>
      </c>
      <c r="EP230" s="48">
        <v>52.479377049154238</v>
      </c>
      <c r="EQ230" s="48">
        <v>60.686429033887258</v>
      </c>
      <c r="ER230" s="48">
        <v>306.96608433342038</v>
      </c>
      <c r="ES230" s="48">
        <v>37.481883684722341</v>
      </c>
      <c r="ET230" s="48">
        <v>0</v>
      </c>
      <c r="EU230" s="48">
        <v>244.04154760748116</v>
      </c>
      <c r="EV230" s="48">
        <v>217.20696895593443</v>
      </c>
      <c r="EW230" s="48">
        <v>932.92445320701904</v>
      </c>
      <c r="EX230" s="48">
        <v>792.6561341663604</v>
      </c>
      <c r="EY230" s="48">
        <v>30.666546105755465</v>
      </c>
      <c r="EZ230" s="48">
        <v>54.684782192586148</v>
      </c>
      <c r="FA230" s="48">
        <v>105.5788048467425</v>
      </c>
      <c r="FB230" s="48">
        <v>88.876370430780369</v>
      </c>
      <c r="FC230" s="48">
        <v>80.804004735679115</v>
      </c>
      <c r="FD230" s="48">
        <v>361.75228849599421</v>
      </c>
      <c r="FE230" s="48">
        <v>42.706773752458723</v>
      </c>
      <c r="FF230" s="48">
        <v>1.638291413985888</v>
      </c>
      <c r="FG230" s="48">
        <v>246.98275746657905</v>
      </c>
      <c r="FH230" s="48">
        <v>225.87961059901477</v>
      </c>
      <c r="FI230" s="48">
        <v>96.382708400686198</v>
      </c>
      <c r="FJ230" s="48">
        <v>153.63703969178803</v>
      </c>
      <c r="FK230" s="48">
        <v>45.072942183303439</v>
      </c>
      <c r="FL230" s="48">
        <v>1.5390416476879145</v>
      </c>
      <c r="FM230" s="48">
        <v>144.61766724290155</v>
      </c>
      <c r="FN230" s="48">
        <v>35.419199352623941</v>
      </c>
      <c r="FO230" s="48">
        <v>20.275740136336459</v>
      </c>
      <c r="FP230" s="48">
        <v>1001.5032389436404</v>
      </c>
      <c r="FQ230" s="48">
        <v>28.774248039911534</v>
      </c>
      <c r="FR230" s="48">
        <v>2024.9406605675979</v>
      </c>
      <c r="FS230" s="48">
        <v>21.386394113557998</v>
      </c>
      <c r="FT230" s="48">
        <v>5.2984880223882245</v>
      </c>
      <c r="FU230" s="48">
        <v>42.054227819885213</v>
      </c>
      <c r="FV230" s="48">
        <v>174.41317955940025</v>
      </c>
      <c r="FW230" s="48">
        <v>2364.6122996258732</v>
      </c>
      <c r="FX230" s="48">
        <v>4758.0664360939127</v>
      </c>
      <c r="FY230" s="48">
        <v>157.47083787839802</v>
      </c>
      <c r="FZ230" s="48">
        <v>3.4474663481955794</v>
      </c>
      <c r="GA230" s="48">
        <v>6.2832601388066953</v>
      </c>
      <c r="GB230" s="48">
        <v>9006.0606240887628</v>
      </c>
      <c r="GC230" s="48">
        <v>24568.991716362547</v>
      </c>
      <c r="GD230" s="48">
        <v>17394.258099959447</v>
      </c>
      <c r="GE230" s="48">
        <v>3661.4337732253375</v>
      </c>
      <c r="GF230" s="48">
        <v>3713.6517101788227</v>
      </c>
      <c r="GG230" s="48">
        <v>1973.5505739019086</v>
      </c>
      <c r="GH230" s="48">
        <v>1663.3880963780284</v>
      </c>
      <c r="GI230" s="48">
        <v>2.633693736277444</v>
      </c>
      <c r="GJ230" s="48">
        <v>222.14140364594252</v>
      </c>
      <c r="GK230" s="48">
        <v>462.86142057235895</v>
      </c>
      <c r="GL230" s="48">
        <v>462.82035191309035</v>
      </c>
      <c r="GM230" s="48">
        <v>327.35385146820113</v>
      </c>
      <c r="GN230" s="48">
        <v>14.093674632607408</v>
      </c>
      <c r="GO230" s="48">
        <v>110.1741828494995</v>
      </c>
      <c r="GP230" s="48">
        <v>50.206735372515666</v>
      </c>
      <c r="GQ230" s="48">
        <v>371.7069879725982</v>
      </c>
      <c r="GR230" s="48">
        <v>95.421382962130565</v>
      </c>
      <c r="GS230" s="48">
        <v>26972.95259324912</v>
      </c>
      <c r="GT230" s="48">
        <v>0</v>
      </c>
      <c r="GU230" s="48">
        <v>0</v>
      </c>
      <c r="GV230" s="48">
        <v>0</v>
      </c>
      <c r="GW230" s="48">
        <v>0</v>
      </c>
      <c r="GX230" s="48">
        <v>0</v>
      </c>
      <c r="GY230" s="48">
        <v>0</v>
      </c>
      <c r="GZ230" s="48">
        <v>0</v>
      </c>
      <c r="HA230" s="48">
        <v>0</v>
      </c>
      <c r="HB230" s="48">
        <v>2062.9066120243137</v>
      </c>
      <c r="HC230" s="48">
        <v>4651.1533371790592</v>
      </c>
      <c r="HD230" s="48">
        <v>1573.65646593221</v>
      </c>
      <c r="HE230" s="48">
        <v>722.4663229227242</v>
      </c>
      <c r="HF230" s="48">
        <v>3560.7539147722841</v>
      </c>
      <c r="HG230" s="48">
        <v>3400.7032806012066</v>
      </c>
      <c r="HH230" s="48">
        <v>6405.6455654496049</v>
      </c>
      <c r="HI230" s="48">
        <v>9345.5966560600918</v>
      </c>
      <c r="HJ230" s="48">
        <v>10630.362700058051</v>
      </c>
      <c r="HK230" s="48">
        <v>504.03365906651032</v>
      </c>
      <c r="HL230" s="48">
        <v>799.11913705648544</v>
      </c>
      <c r="HM230" s="48">
        <v>3666.4932566104044</v>
      </c>
      <c r="HN230" s="48">
        <v>1074.9118722934736</v>
      </c>
      <c r="HO230" s="48">
        <v>4520.501440464669</v>
      </c>
      <c r="HP230" s="48">
        <v>7747.8552449121144</v>
      </c>
      <c r="HQ230" s="48">
        <v>1209.5180306662267</v>
      </c>
      <c r="HR230" s="48">
        <v>2579.1716777528909</v>
      </c>
      <c r="HS230" s="48">
        <v>4341.0930798522459</v>
      </c>
      <c r="HT230" s="48">
        <v>2651.2085805607994</v>
      </c>
      <c r="HU230" s="48">
        <v>3507.1264313308188</v>
      </c>
      <c r="HV230" s="48">
        <v>0</v>
      </c>
      <c r="HW230" s="48">
        <v>0</v>
      </c>
      <c r="HX230" s="48">
        <v>2261.983266830784</v>
      </c>
      <c r="HY230" s="48">
        <v>1918.7787801169609</v>
      </c>
      <c r="HZ230" s="48">
        <v>2842.1439869468936</v>
      </c>
      <c r="IA230" s="48">
        <v>802.68297417336396</v>
      </c>
      <c r="IB230" s="48">
        <v>40.605160125743147</v>
      </c>
      <c r="IC230" s="48">
        <v>0</v>
      </c>
      <c r="ID230" s="48">
        <v>0</v>
      </c>
      <c r="IE230" s="48">
        <v>0</v>
      </c>
      <c r="IF230" s="48">
        <v>0</v>
      </c>
      <c r="IG230" s="48">
        <v>19509.082411542633</v>
      </c>
      <c r="IH230" s="48">
        <v>397.97179326276563</v>
      </c>
      <c r="II230" s="48">
        <v>409.33497966697973</v>
      </c>
      <c r="IJ230" s="48">
        <v>0</v>
      </c>
      <c r="IK230" s="48">
        <v>1338.8556431776253</v>
      </c>
      <c r="IL230" s="48">
        <v>2443.2913900886542</v>
      </c>
      <c r="IM230" s="48">
        <v>2937.6798092681884</v>
      </c>
      <c r="IN230" s="48">
        <v>1560.0269518098908</v>
      </c>
      <c r="IO230" s="48">
        <v>0</v>
      </c>
      <c r="IP230" s="23">
        <v>517117.99999999779</v>
      </c>
      <c r="IQ230" s="25">
        <v>0</v>
      </c>
      <c r="IR230" s="25">
        <v>0</v>
      </c>
      <c r="IS230" s="26">
        <v>0</v>
      </c>
      <c r="IT230" s="26">
        <v>0</v>
      </c>
      <c r="IU230" s="26">
        <v>0</v>
      </c>
      <c r="IV230" s="9">
        <v>0</v>
      </c>
      <c r="IW230" s="38">
        <f t="shared" si="34"/>
        <v>517117.99999999779</v>
      </c>
    </row>
    <row r="231" spans="1:257" ht="30" customHeight="1" x14ac:dyDescent="0.25">
      <c r="A231" s="112" t="b">
        <v>1</v>
      </c>
      <c r="B231" s="113" t="str">
        <f>IFERROR(VLOOKUP(C231,'Bridge matrix'!$D$3:$E$727,2,FALSE)='symmetric IOT 245 2012'!D231,"FALSCH")</f>
        <v>FALSCH</v>
      </c>
      <c r="C231" s="108">
        <v>220</v>
      </c>
      <c r="D231" s="49" t="s">
        <v>1536</v>
      </c>
      <c r="E231" s="48">
        <v>1852.6520442328106</v>
      </c>
      <c r="F231" s="48">
        <v>229.92928137238724</v>
      </c>
      <c r="G231" s="48">
        <v>369.45397188054358</v>
      </c>
      <c r="H231" s="48">
        <v>9.5161301187929297</v>
      </c>
      <c r="I231" s="48">
        <v>95.047064000942555</v>
      </c>
      <c r="J231" s="48">
        <v>336.9165260174845</v>
      </c>
      <c r="K231" s="48">
        <v>747.42369793705234</v>
      </c>
      <c r="L231" s="48">
        <v>25.050652077866271</v>
      </c>
      <c r="M231" s="48">
        <v>1.7426039216482239</v>
      </c>
      <c r="N231" s="48">
        <v>5.2639374209536713</v>
      </c>
      <c r="O231" s="48">
        <v>1439.1049966983767</v>
      </c>
      <c r="P231" s="48">
        <v>209.92714327434496</v>
      </c>
      <c r="Q231" s="48">
        <v>19.697277220770747</v>
      </c>
      <c r="R231" s="48">
        <v>1044.4678076775995</v>
      </c>
      <c r="S231" s="48">
        <v>3.4257733967641304</v>
      </c>
      <c r="T231" s="48">
        <v>12.931015733460859</v>
      </c>
      <c r="U231" s="48">
        <v>1.8849304593941527</v>
      </c>
      <c r="V231" s="48">
        <v>3.9242096855562338</v>
      </c>
      <c r="W231" s="48">
        <v>5.164641125648278</v>
      </c>
      <c r="X231" s="48">
        <v>0</v>
      </c>
      <c r="Y231" s="48">
        <v>2.6893459291096877</v>
      </c>
      <c r="Z231" s="48">
        <v>6.4029080347069129</v>
      </c>
      <c r="AA231" s="48">
        <v>0.76254501309239242</v>
      </c>
      <c r="AB231" s="48">
        <v>0.86295909893183664</v>
      </c>
      <c r="AC231" s="48">
        <v>0</v>
      </c>
      <c r="AD231" s="48">
        <v>1.8960585881992416</v>
      </c>
      <c r="AE231" s="48">
        <v>2.8533966192626345</v>
      </c>
      <c r="AF231" s="48">
        <v>1.0965872927409457</v>
      </c>
      <c r="AG231" s="48">
        <v>2.3636308820390273</v>
      </c>
      <c r="AH231" s="48">
        <v>4.5755043925641106</v>
      </c>
      <c r="AI231" s="48">
        <v>4.2664786979077007</v>
      </c>
      <c r="AJ231" s="48">
        <v>2.7640624475086946</v>
      </c>
      <c r="AK231" s="48">
        <v>6.7218065529881574</v>
      </c>
      <c r="AL231" s="48">
        <v>2.0294816049173563</v>
      </c>
      <c r="AM231" s="48">
        <v>0.43123091554583243</v>
      </c>
      <c r="AN231" s="48">
        <v>2.4740777794316693</v>
      </c>
      <c r="AO231" s="48">
        <v>1.8083016543228139</v>
      </c>
      <c r="AP231" s="48">
        <v>6.2272456689616051</v>
      </c>
      <c r="AQ231" s="48">
        <v>2.7134890916062737</v>
      </c>
      <c r="AR231" s="48">
        <v>3.9012567259474378</v>
      </c>
      <c r="AS231" s="48">
        <v>3.3319273127165672</v>
      </c>
      <c r="AT231" s="48">
        <v>181.14671561387914</v>
      </c>
      <c r="AU231" s="48">
        <v>23.462757066584839</v>
      </c>
      <c r="AV231" s="48">
        <v>10.89119753515836</v>
      </c>
      <c r="AW231" s="48">
        <v>6.5032219067175321</v>
      </c>
      <c r="AX231" s="48">
        <v>364.33160084609568</v>
      </c>
      <c r="AY231" s="48">
        <v>60.339054204656172</v>
      </c>
      <c r="AZ231" s="48">
        <v>9.203493390077746</v>
      </c>
      <c r="BA231" s="48">
        <v>16.723681821020698</v>
      </c>
      <c r="BB231" s="48">
        <v>378.7449355817518</v>
      </c>
      <c r="BC231" s="48">
        <v>62.549501449315464</v>
      </c>
      <c r="BD231" s="48">
        <v>0</v>
      </c>
      <c r="BE231" s="48">
        <v>1895.6942459909642</v>
      </c>
      <c r="BF231" s="48">
        <v>61.782218151217215</v>
      </c>
      <c r="BG231" s="48">
        <v>4.4464795030200532</v>
      </c>
      <c r="BH231" s="48">
        <v>383.18986099169308</v>
      </c>
      <c r="BI231" s="48">
        <v>46.125940479095128</v>
      </c>
      <c r="BJ231" s="48">
        <v>295.65580403405971</v>
      </c>
      <c r="BK231" s="48">
        <v>58.921488380254388</v>
      </c>
      <c r="BL231" s="48">
        <v>0.90284751402703733</v>
      </c>
      <c r="BM231" s="48">
        <v>168.81694583655786</v>
      </c>
      <c r="BN231" s="48">
        <v>14.532846321477265</v>
      </c>
      <c r="BO231" s="48">
        <v>0.90245385358227603</v>
      </c>
      <c r="BP231" s="48">
        <v>1802.0610393828811</v>
      </c>
      <c r="BQ231" s="48">
        <v>245.26172666737776</v>
      </c>
      <c r="BR231" s="48">
        <v>10.860472001944588</v>
      </c>
      <c r="BS231" s="48">
        <v>16.292268781218247</v>
      </c>
      <c r="BT231" s="48">
        <v>657.64660417952189</v>
      </c>
      <c r="BU231" s="48">
        <v>3746.9634408867087</v>
      </c>
      <c r="BV231" s="48">
        <v>732.91729297539769</v>
      </c>
      <c r="BW231" s="48">
        <v>374.52659037499706</v>
      </c>
      <c r="BX231" s="48">
        <v>33.958789036683356</v>
      </c>
      <c r="BY231" s="48">
        <v>1175.6526548924132</v>
      </c>
      <c r="BZ231" s="48">
        <v>852.31476424330162</v>
      </c>
      <c r="CA231" s="48">
        <v>3195.7001463629963</v>
      </c>
      <c r="CB231" s="48">
        <v>13.382016393067579</v>
      </c>
      <c r="CC231" s="48">
        <v>0</v>
      </c>
      <c r="CD231" s="48">
        <v>5975.7714065987348</v>
      </c>
      <c r="CE231" s="48">
        <v>434.7165626193003</v>
      </c>
      <c r="CF231" s="48">
        <v>66.944140871653119</v>
      </c>
      <c r="CG231" s="48">
        <v>3208.0599910704132</v>
      </c>
      <c r="CH231" s="48">
        <v>294.61614072889535</v>
      </c>
      <c r="CI231" s="48">
        <v>456.58004090386447</v>
      </c>
      <c r="CJ231" s="48">
        <v>412.03127858393401</v>
      </c>
      <c r="CK231" s="48">
        <v>38.073243047811928</v>
      </c>
      <c r="CL231" s="48">
        <v>87.99964450495969</v>
      </c>
      <c r="CM231" s="48">
        <v>161.99550746235045</v>
      </c>
      <c r="CN231" s="48">
        <v>0</v>
      </c>
      <c r="CO231" s="48">
        <v>0</v>
      </c>
      <c r="CP231" s="48">
        <v>0</v>
      </c>
      <c r="CQ231" s="48">
        <v>0</v>
      </c>
      <c r="CR231" s="48">
        <v>0</v>
      </c>
      <c r="CS231" s="48">
        <v>245.5760402696398</v>
      </c>
      <c r="CT231" s="48">
        <v>1170.7832271641066</v>
      </c>
      <c r="CU231" s="48">
        <v>1007.8418270894986</v>
      </c>
      <c r="CV231" s="48">
        <v>1273.0685312960698</v>
      </c>
      <c r="CW231" s="48">
        <v>165.08538195138465</v>
      </c>
      <c r="CX231" s="48">
        <v>375.19729978968769</v>
      </c>
      <c r="CY231" s="48">
        <v>393.78450936401032</v>
      </c>
      <c r="CZ231" s="48">
        <v>866.85945462611062</v>
      </c>
      <c r="DA231" s="48">
        <v>2564.0157059956723</v>
      </c>
      <c r="DB231" s="48">
        <v>207.60787432768103</v>
      </c>
      <c r="DC231" s="48">
        <v>13.784206437535174</v>
      </c>
      <c r="DD231" s="48">
        <v>4345.227309968499</v>
      </c>
      <c r="DE231" s="48">
        <v>163.02416752332837</v>
      </c>
      <c r="DF231" s="48">
        <v>684.42498194766438</v>
      </c>
      <c r="DG231" s="48">
        <v>60.892671447520918</v>
      </c>
      <c r="DH231" s="48">
        <v>32.04543925011594</v>
      </c>
      <c r="DI231" s="48">
        <v>13.560054580061628</v>
      </c>
      <c r="DJ231" s="48">
        <v>245.10458713584774</v>
      </c>
      <c r="DK231" s="48">
        <v>171.5193626788583</v>
      </c>
      <c r="DL231" s="48">
        <v>0</v>
      </c>
      <c r="DM231" s="48">
        <v>5112.6127469019648</v>
      </c>
      <c r="DN231" s="48">
        <v>611.08761858028754</v>
      </c>
      <c r="DO231" s="48">
        <v>3929.9525190619943</v>
      </c>
      <c r="DP231" s="48">
        <v>241.06850721764155</v>
      </c>
      <c r="DQ231" s="48">
        <v>421.26643391931395</v>
      </c>
      <c r="DR231" s="48">
        <v>320.12707583860163</v>
      </c>
      <c r="DS231" s="48">
        <v>416.39997960945539</v>
      </c>
      <c r="DT231" s="48">
        <v>302.82823987816067</v>
      </c>
      <c r="DU231" s="48">
        <v>151.31771902509701</v>
      </c>
      <c r="DV231" s="48">
        <v>2239.268293856604</v>
      </c>
      <c r="DW231" s="48">
        <v>3274.0449307250478</v>
      </c>
      <c r="DX231" s="48">
        <v>1630.7368317840394</v>
      </c>
      <c r="DY231" s="48">
        <v>232.02718852369148</v>
      </c>
      <c r="DZ231" s="48">
        <v>205.57495342610903</v>
      </c>
      <c r="EA231" s="48">
        <v>2662.8627967676239</v>
      </c>
      <c r="EB231" s="48">
        <v>1809.5738909917318</v>
      </c>
      <c r="EC231" s="48">
        <v>7092.1239159744782</v>
      </c>
      <c r="ED231" s="48">
        <v>422.62397639323802</v>
      </c>
      <c r="EE231" s="48">
        <v>119.12670700729463</v>
      </c>
      <c r="EF231" s="48">
        <v>410.135433452494</v>
      </c>
      <c r="EG231" s="48">
        <v>144.00899069755081</v>
      </c>
      <c r="EH231" s="48">
        <v>19.689502798715864</v>
      </c>
      <c r="EI231" s="48">
        <v>259.56363866665754</v>
      </c>
      <c r="EJ231" s="48">
        <v>267.11005654138364</v>
      </c>
      <c r="EK231" s="48">
        <v>106.04858177331282</v>
      </c>
      <c r="EL231" s="48">
        <v>0</v>
      </c>
      <c r="EM231" s="48">
        <v>0</v>
      </c>
      <c r="EN231" s="48">
        <v>0</v>
      </c>
      <c r="EO231" s="48">
        <v>0</v>
      </c>
      <c r="EP231" s="48">
        <v>0</v>
      </c>
      <c r="EQ231" s="48">
        <v>0</v>
      </c>
      <c r="ER231" s="48">
        <v>310.35995199686562</v>
      </c>
      <c r="ES231" s="48">
        <v>38.528551284773386</v>
      </c>
      <c r="ET231" s="48">
        <v>0</v>
      </c>
      <c r="EU231" s="48">
        <v>231.92703143864722</v>
      </c>
      <c r="EV231" s="48">
        <v>205.99887880732996</v>
      </c>
      <c r="EW231" s="48">
        <v>883.35741398222876</v>
      </c>
      <c r="EX231" s="48">
        <v>1406.7790374454141</v>
      </c>
      <c r="EY231" s="48">
        <v>76.390631913122334</v>
      </c>
      <c r="EZ231" s="48">
        <v>96.997211823171568</v>
      </c>
      <c r="FA231" s="48">
        <v>329.98224538754397</v>
      </c>
      <c r="FB231" s="48">
        <v>307.81614972623083</v>
      </c>
      <c r="FC231" s="48">
        <v>280.36600293343321</v>
      </c>
      <c r="FD231" s="48">
        <v>2473.0526796676431</v>
      </c>
      <c r="FE231" s="48">
        <v>287.92654933466895</v>
      </c>
      <c r="FF231" s="48">
        <v>13.334286422345603</v>
      </c>
      <c r="FG231" s="48">
        <v>1725.3066425760187</v>
      </c>
      <c r="FH231" s="48">
        <v>1374.3455647898079</v>
      </c>
      <c r="FI231" s="48">
        <v>569.02934783986825</v>
      </c>
      <c r="FJ231" s="48">
        <v>912.35152823064993</v>
      </c>
      <c r="FK231" s="48">
        <v>268.33786572813921</v>
      </c>
      <c r="FL231" s="48">
        <v>9.9935784767713898</v>
      </c>
      <c r="FM231" s="48">
        <v>860.06069969369742</v>
      </c>
      <c r="FN231" s="48">
        <v>208.37500812977484</v>
      </c>
      <c r="FO231" s="48">
        <v>120.32420167530918</v>
      </c>
      <c r="FP231" s="48">
        <v>529.17612284320774</v>
      </c>
      <c r="FQ231" s="48">
        <v>14.435993225252448</v>
      </c>
      <c r="FR231" s="48">
        <v>1371.867298908641</v>
      </c>
      <c r="FS231" s="48">
        <v>54.211821845259848</v>
      </c>
      <c r="FT231" s="48">
        <v>13.892348746060957</v>
      </c>
      <c r="FU231" s="48">
        <v>105.17153792687225</v>
      </c>
      <c r="FV231" s="48">
        <v>513.82986852873819</v>
      </c>
      <c r="FW231" s="48">
        <v>989.31791461692421</v>
      </c>
      <c r="FX231" s="48">
        <v>270.4851796872581</v>
      </c>
      <c r="FY231" s="48">
        <v>1160.0126264877315</v>
      </c>
      <c r="FZ231" s="48">
        <v>24.320567902232074</v>
      </c>
      <c r="GA231" s="48">
        <v>211.883197618651</v>
      </c>
      <c r="GB231" s="48">
        <v>24113.575808394562</v>
      </c>
      <c r="GC231" s="48">
        <v>171882.61818436286</v>
      </c>
      <c r="GD231" s="48">
        <v>1471.6145125993924</v>
      </c>
      <c r="GE231" s="48">
        <v>404.27545962859512</v>
      </c>
      <c r="GF231" s="48">
        <v>2650.9006314519938</v>
      </c>
      <c r="GG231" s="48">
        <v>29840.034271695626</v>
      </c>
      <c r="GH231" s="48">
        <v>23884.84552301752</v>
      </c>
      <c r="GI231" s="48">
        <v>46.372975283261077</v>
      </c>
      <c r="GJ231" s="48">
        <v>3358.923420189677</v>
      </c>
      <c r="GK231" s="48">
        <v>6999.4233193886666</v>
      </c>
      <c r="GL231" s="48">
        <v>7006.0222162915479</v>
      </c>
      <c r="GM231" s="48">
        <v>4693.6511477111617</v>
      </c>
      <c r="GN231" s="48">
        <v>210.74518608959909</v>
      </c>
      <c r="GO231" s="48">
        <v>1730.6387757266416</v>
      </c>
      <c r="GP231" s="48">
        <v>758.21269307229011</v>
      </c>
      <c r="GQ231" s="48">
        <v>5614.7492556145871</v>
      </c>
      <c r="GR231" s="48">
        <v>54040.537543812774</v>
      </c>
      <c r="GS231" s="48">
        <v>218185.96791450505</v>
      </c>
      <c r="GT231" s="48">
        <v>986.80258357601519</v>
      </c>
      <c r="GU231" s="48">
        <v>70188.614206132625</v>
      </c>
      <c r="GV231" s="48">
        <v>309.63828771200741</v>
      </c>
      <c r="GW231" s="48">
        <v>194.19984699759928</v>
      </c>
      <c r="GX231" s="48">
        <v>5853.8641929296864</v>
      </c>
      <c r="GY231" s="48">
        <v>128.01791998150065</v>
      </c>
      <c r="GZ231" s="48">
        <v>0</v>
      </c>
      <c r="HA231" s="48">
        <v>431.96992387465599</v>
      </c>
      <c r="HB231" s="48">
        <v>5180.6877515680826</v>
      </c>
      <c r="HC231" s="48">
        <v>11685.669649714833</v>
      </c>
      <c r="HD231" s="48">
        <v>3953.2991407134559</v>
      </c>
      <c r="HE231" s="48">
        <v>774.34046469835425</v>
      </c>
      <c r="HF231" s="48">
        <v>3894.6540493011144</v>
      </c>
      <c r="HG231" s="48">
        <v>3720.1709824355748</v>
      </c>
      <c r="HH231" s="48">
        <v>7006.1219786229522</v>
      </c>
      <c r="HI231" s="48">
        <v>10222.567351544381</v>
      </c>
      <c r="HJ231" s="48">
        <v>11624.517601917782</v>
      </c>
      <c r="HK231" s="48">
        <v>551.53021774301249</v>
      </c>
      <c r="HL231" s="48">
        <v>875.03974683730667</v>
      </c>
      <c r="HM231" s="48">
        <v>4011.1176919880509</v>
      </c>
      <c r="HN231" s="48">
        <v>1175.4690824468732</v>
      </c>
      <c r="HO231" s="48">
        <v>4944.5334910209313</v>
      </c>
      <c r="HP231" s="48">
        <v>8475.280400268477</v>
      </c>
      <c r="HQ231" s="48">
        <v>1322.9595579517463</v>
      </c>
      <c r="HR231" s="48">
        <v>2821.3510029618251</v>
      </c>
      <c r="HS231" s="48">
        <v>4735.6786526737023</v>
      </c>
      <c r="HT231" s="48">
        <v>2899.8203443430871</v>
      </c>
      <c r="HU231" s="48">
        <v>3835.3402531705574</v>
      </c>
      <c r="HV231" s="48">
        <v>16000.064615350835</v>
      </c>
      <c r="HW231" s="48">
        <v>3106.5216907224976</v>
      </c>
      <c r="HX231" s="48">
        <v>4875.5118967282569</v>
      </c>
      <c r="HY231" s="48">
        <v>3244.0660850296936</v>
      </c>
      <c r="HZ231" s="48">
        <v>7016.9884425928394</v>
      </c>
      <c r="IA231" s="48">
        <v>1730.4347210957253</v>
      </c>
      <c r="IB231" s="48">
        <v>87.913392554456536</v>
      </c>
      <c r="IC231" s="48">
        <v>1194.4898173869346</v>
      </c>
      <c r="ID231" s="48">
        <v>740.51521367404905</v>
      </c>
      <c r="IE231" s="48">
        <v>500.99917979830764</v>
      </c>
      <c r="IF231" s="48">
        <v>64.265357396578665</v>
      </c>
      <c r="IG231" s="48">
        <v>7832.1245274252724</v>
      </c>
      <c r="IH231" s="48">
        <v>563.05571536915886</v>
      </c>
      <c r="II231" s="48">
        <v>172.58184620130015</v>
      </c>
      <c r="IJ231" s="48">
        <v>10256.197516811455</v>
      </c>
      <c r="IK231" s="48">
        <v>117.83771750747816</v>
      </c>
      <c r="IL231" s="48">
        <v>338.63779943515112</v>
      </c>
      <c r="IM231" s="48">
        <v>406.10048528946186</v>
      </c>
      <c r="IN231" s="48">
        <v>216.31101617306263</v>
      </c>
      <c r="IO231" s="48">
        <v>0</v>
      </c>
      <c r="IP231" s="23">
        <v>886323.99999999756</v>
      </c>
      <c r="IQ231" s="25">
        <v>0</v>
      </c>
      <c r="IR231" s="25">
        <v>0</v>
      </c>
      <c r="IS231" s="26">
        <v>0</v>
      </c>
      <c r="IT231" s="26">
        <v>0</v>
      </c>
      <c r="IU231" s="26">
        <v>0</v>
      </c>
      <c r="IV231" s="9">
        <v>0</v>
      </c>
      <c r="IW231" s="38">
        <f t="shared" si="34"/>
        <v>886323.99999999756</v>
      </c>
    </row>
    <row r="232" spans="1:257" ht="30" customHeight="1" x14ac:dyDescent="0.25">
      <c r="A232" s="112" t="b">
        <v>0</v>
      </c>
      <c r="B232" s="113" t="str">
        <f>IFERROR(VLOOKUP(C232,'Bridge matrix'!$D$3:$E$727,2,FALSE)='symmetric IOT 245 2012'!D232,"FALSCH")</f>
        <v>FALSCH</v>
      </c>
      <c r="C232" s="108">
        <v>221</v>
      </c>
      <c r="D232" s="49" t="s">
        <v>1537</v>
      </c>
      <c r="E232" s="48">
        <v>2086.722312847136</v>
      </c>
      <c r="F232" s="48">
        <v>258.75690532440171</v>
      </c>
      <c r="G232" s="48">
        <v>415.90544221958373</v>
      </c>
      <c r="H232" s="48">
        <v>0</v>
      </c>
      <c r="I232" s="48">
        <v>0</v>
      </c>
      <c r="J232" s="48">
        <v>0</v>
      </c>
      <c r="K232" s="48">
        <v>0</v>
      </c>
      <c r="L232" s="48">
        <v>0</v>
      </c>
      <c r="M232" s="48">
        <v>0</v>
      </c>
      <c r="N232" s="48">
        <v>0</v>
      </c>
      <c r="O232" s="48">
        <v>393.68438617381975</v>
      </c>
      <c r="P232" s="48">
        <v>57.805097469394234</v>
      </c>
      <c r="Q232" s="48">
        <v>5.416751936755313</v>
      </c>
      <c r="R232" s="48">
        <v>285.87049673222282</v>
      </c>
      <c r="S232" s="48">
        <v>0.90305577633908041</v>
      </c>
      <c r="T232" s="48">
        <v>0</v>
      </c>
      <c r="U232" s="48">
        <v>0</v>
      </c>
      <c r="V232" s="48">
        <v>0</v>
      </c>
      <c r="W232" s="48">
        <v>0</v>
      </c>
      <c r="X232" s="48">
        <v>0</v>
      </c>
      <c r="Y232" s="48">
        <v>0</v>
      </c>
      <c r="Z232" s="48">
        <v>0</v>
      </c>
      <c r="AA232" s="48">
        <v>0</v>
      </c>
      <c r="AB232" s="48">
        <v>0</v>
      </c>
      <c r="AC232" s="48">
        <v>0</v>
      </c>
      <c r="AD232" s="48">
        <v>0</v>
      </c>
      <c r="AE232" s="48">
        <v>0</v>
      </c>
      <c r="AF232" s="48">
        <v>0</v>
      </c>
      <c r="AG232" s="48">
        <v>0</v>
      </c>
      <c r="AH232" s="48">
        <v>0</v>
      </c>
      <c r="AI232" s="48">
        <v>0</v>
      </c>
      <c r="AJ232" s="48">
        <v>0</v>
      </c>
      <c r="AK232" s="48">
        <v>0</v>
      </c>
      <c r="AL232" s="48">
        <v>0</v>
      </c>
      <c r="AM232" s="48">
        <v>0</v>
      </c>
      <c r="AN232" s="48">
        <v>0</v>
      </c>
      <c r="AO232" s="48">
        <v>0</v>
      </c>
      <c r="AP232" s="48">
        <v>0</v>
      </c>
      <c r="AQ232" s="48">
        <v>0</v>
      </c>
      <c r="AR232" s="48">
        <v>0</v>
      </c>
      <c r="AS232" s="48">
        <v>0</v>
      </c>
      <c r="AT232" s="48">
        <v>73.198423500162818</v>
      </c>
      <c r="AU232" s="48">
        <v>9.0741655125542362</v>
      </c>
      <c r="AV232" s="48">
        <v>4.5427978526508914</v>
      </c>
      <c r="AW232" s="48">
        <v>2.6514513637327832</v>
      </c>
      <c r="AX232" s="48">
        <v>145.28898768440916</v>
      </c>
      <c r="AY232" s="48">
        <v>24.527209308740851</v>
      </c>
      <c r="AZ232" s="48">
        <v>3.6316385666715321</v>
      </c>
      <c r="BA232" s="48">
        <v>7.2692440755544219</v>
      </c>
      <c r="BB232" s="48">
        <v>151.72181658689618</v>
      </c>
      <c r="BC232" s="48">
        <v>25.676225103228102</v>
      </c>
      <c r="BD232" s="48">
        <v>0</v>
      </c>
      <c r="BE232" s="48">
        <v>0</v>
      </c>
      <c r="BF232" s="48">
        <v>0</v>
      </c>
      <c r="BG232" s="48">
        <v>0</v>
      </c>
      <c r="BH232" s="48">
        <v>0</v>
      </c>
      <c r="BI232" s="48">
        <v>0</v>
      </c>
      <c r="BJ232" s="48">
        <v>0</v>
      </c>
      <c r="BK232" s="48">
        <v>0</v>
      </c>
      <c r="BL232" s="48">
        <v>0</v>
      </c>
      <c r="BM232" s="48">
        <v>0</v>
      </c>
      <c r="BN232" s="48">
        <v>0</v>
      </c>
      <c r="BO232" s="48">
        <v>0</v>
      </c>
      <c r="BP232" s="48">
        <v>1235.4100733475402</v>
      </c>
      <c r="BQ232" s="48">
        <v>168.21806192833819</v>
      </c>
      <c r="BR232" s="48">
        <v>7.4462219965201504</v>
      </c>
      <c r="BS232" s="48">
        <v>11.178677175663147</v>
      </c>
      <c r="BT232" s="48">
        <v>185.89406653720852</v>
      </c>
      <c r="BU232" s="48">
        <v>1061.784505313183</v>
      </c>
      <c r="BV232" s="48">
        <v>0</v>
      </c>
      <c r="BW232" s="48">
        <v>0</v>
      </c>
      <c r="BX232" s="48">
        <v>0</v>
      </c>
      <c r="BY232" s="48">
        <v>6.2295798794606227E-2</v>
      </c>
      <c r="BZ232" s="48">
        <v>0</v>
      </c>
      <c r="CA232" s="48">
        <v>100.60710520455379</v>
      </c>
      <c r="CB232" s="48">
        <v>0.90743884532831431</v>
      </c>
      <c r="CC232" s="48">
        <v>0</v>
      </c>
      <c r="CD232" s="48">
        <v>0</v>
      </c>
      <c r="CE232" s="48">
        <v>0</v>
      </c>
      <c r="CF232" s="48">
        <v>0</v>
      </c>
      <c r="CG232" s="48">
        <v>201.21469661005949</v>
      </c>
      <c r="CH232" s="48">
        <v>18.214629441534232</v>
      </c>
      <c r="CI232" s="48">
        <v>142.23076304614534</v>
      </c>
      <c r="CJ232" s="48">
        <v>128.68455943088503</v>
      </c>
      <c r="CK232" s="48">
        <v>11.668593169190888</v>
      </c>
      <c r="CL232" s="48">
        <v>67.378529483087448</v>
      </c>
      <c r="CM232" s="48">
        <v>50.535427766956339</v>
      </c>
      <c r="CN232" s="48">
        <v>447.52002500018267</v>
      </c>
      <c r="CO232" s="48">
        <v>657.75969295900131</v>
      </c>
      <c r="CP232" s="48">
        <v>64.180240217009001</v>
      </c>
      <c r="CQ232" s="48">
        <v>249.82814046818777</v>
      </c>
      <c r="CR232" s="48">
        <v>535.73635777698883</v>
      </c>
      <c r="CS232" s="48">
        <v>1.4060811587552906</v>
      </c>
      <c r="CT232" s="48">
        <v>5.6449700118652428</v>
      </c>
      <c r="CU232" s="48">
        <v>2.560210823570487</v>
      </c>
      <c r="CV232" s="48">
        <v>2.8177439763507506</v>
      </c>
      <c r="CW232" s="48">
        <v>0</v>
      </c>
      <c r="CX232" s="48">
        <v>782.40584527141993</v>
      </c>
      <c r="CY232" s="48">
        <v>803.57383278842394</v>
      </c>
      <c r="CZ232" s="48">
        <v>200.77368941598462</v>
      </c>
      <c r="DA232" s="48">
        <v>599.52684125485098</v>
      </c>
      <c r="DB232" s="48">
        <v>48.859551461832901</v>
      </c>
      <c r="DC232" s="48">
        <v>3.2048076710864821</v>
      </c>
      <c r="DD232" s="48">
        <v>349.51504758171598</v>
      </c>
      <c r="DE232" s="48">
        <v>45.248796613249098</v>
      </c>
      <c r="DF232" s="48">
        <v>0</v>
      </c>
      <c r="DG232" s="48">
        <v>40.525472847953587</v>
      </c>
      <c r="DH232" s="48">
        <v>21.833949771900318</v>
      </c>
      <c r="DI232" s="48">
        <v>0</v>
      </c>
      <c r="DJ232" s="48">
        <v>3.0869615108937345</v>
      </c>
      <c r="DK232" s="48">
        <v>83.013425807527682</v>
      </c>
      <c r="DL232" s="48">
        <v>623.92149314894812</v>
      </c>
      <c r="DM232" s="48">
        <v>778.21682118942385</v>
      </c>
      <c r="DN232" s="48">
        <v>71.276729042904506</v>
      </c>
      <c r="DO232" s="48">
        <v>0</v>
      </c>
      <c r="DP232" s="48">
        <v>20.8236063267804</v>
      </c>
      <c r="DQ232" s="48">
        <v>36.614148949444477</v>
      </c>
      <c r="DR232" s="48">
        <v>28.330956241148826</v>
      </c>
      <c r="DS232" s="48">
        <v>104.04432076403552</v>
      </c>
      <c r="DT232" s="48">
        <v>57.810807450949127</v>
      </c>
      <c r="DU232" s="48">
        <v>28.742891786984046</v>
      </c>
      <c r="DV232" s="48">
        <v>426.40089243762003</v>
      </c>
      <c r="DW232" s="48">
        <v>233.27283869650603</v>
      </c>
      <c r="DX232" s="48">
        <v>116.72858566324659</v>
      </c>
      <c r="DY232" s="48">
        <v>15.364942638779182</v>
      </c>
      <c r="DZ232" s="48">
        <v>14.616387138669577</v>
      </c>
      <c r="EA232" s="48">
        <v>284.91433843119387</v>
      </c>
      <c r="EB232" s="48">
        <v>200.84289128129132</v>
      </c>
      <c r="EC232" s="48">
        <v>821.05772437467738</v>
      </c>
      <c r="ED232" s="48">
        <v>4.1464494482643985</v>
      </c>
      <c r="EE232" s="48">
        <v>0.91105493265217763</v>
      </c>
      <c r="EF232" s="48">
        <v>3.76678319867634</v>
      </c>
      <c r="EG232" s="48">
        <v>0.91549650756839784</v>
      </c>
      <c r="EH232" s="48">
        <v>0</v>
      </c>
      <c r="EI232" s="48">
        <v>90.603921337558617</v>
      </c>
      <c r="EJ232" s="48">
        <v>103.00018996652909</v>
      </c>
      <c r="EK232" s="48">
        <v>41.317167476992751</v>
      </c>
      <c r="EL232" s="48">
        <v>16.739171336826939</v>
      </c>
      <c r="EM232" s="48">
        <v>50.796616318179616</v>
      </c>
      <c r="EN232" s="48">
        <v>49.370438898706986</v>
      </c>
      <c r="EO232" s="48">
        <v>7.1182654603058069</v>
      </c>
      <c r="EP232" s="48">
        <v>14.334603947355269</v>
      </c>
      <c r="EQ232" s="48">
        <v>16.119821449076341</v>
      </c>
      <c r="ER232" s="48">
        <v>0</v>
      </c>
      <c r="ES232" s="48">
        <v>0</v>
      </c>
      <c r="ET232" s="48">
        <v>0</v>
      </c>
      <c r="EU232" s="48">
        <v>48.108911626433702</v>
      </c>
      <c r="EV232" s="48">
        <v>43.021339017082184</v>
      </c>
      <c r="EW232" s="48">
        <v>181.66876632566991</v>
      </c>
      <c r="EX232" s="48">
        <v>1458.8998777493618</v>
      </c>
      <c r="EY232" s="48">
        <v>100.49896763813092</v>
      </c>
      <c r="EZ232" s="48">
        <v>99.429920677237959</v>
      </c>
      <c r="FA232" s="48">
        <v>208.95740693587811</v>
      </c>
      <c r="FB232" s="48">
        <v>201.03161968516719</v>
      </c>
      <c r="FC232" s="48">
        <v>182.59763944306374</v>
      </c>
      <c r="FD232" s="48">
        <v>1812.7981276740779</v>
      </c>
      <c r="FE232" s="48">
        <v>211.49821488176821</v>
      </c>
      <c r="FF232" s="48">
        <v>9.8801704152245495</v>
      </c>
      <c r="FG232" s="48">
        <v>1268.9105303120241</v>
      </c>
      <c r="FH232" s="48">
        <v>915.76788756260066</v>
      </c>
      <c r="FI232" s="48">
        <v>364.11150168698788</v>
      </c>
      <c r="FJ232" s="48">
        <v>608.73633160973691</v>
      </c>
      <c r="FK232" s="48">
        <v>179.07110352600142</v>
      </c>
      <c r="FL232" s="48">
        <v>6.1539749279484122</v>
      </c>
      <c r="FM232" s="48">
        <v>572.86946998771259</v>
      </c>
      <c r="FN232" s="48">
        <v>139.13371594140921</v>
      </c>
      <c r="FO232" s="48">
        <v>80.526624976591066</v>
      </c>
      <c r="FP232" s="48">
        <v>1100.2901778541959</v>
      </c>
      <c r="FQ232" s="48">
        <v>34.304793771015916</v>
      </c>
      <c r="FR232" s="48">
        <v>779.04577166921763</v>
      </c>
      <c r="FS232" s="48">
        <v>125.99058058392318</v>
      </c>
      <c r="FT232" s="48">
        <v>32.49297124946127</v>
      </c>
      <c r="FU232" s="48">
        <v>244.08282433515129</v>
      </c>
      <c r="FV232" s="48">
        <v>897.26484506678628</v>
      </c>
      <c r="FW232" s="48">
        <v>1129.7415113589152</v>
      </c>
      <c r="FX232" s="48">
        <v>2278.6240665450359</v>
      </c>
      <c r="FY232" s="48">
        <v>762.19086205475992</v>
      </c>
      <c r="FZ232" s="48">
        <v>16.316584557495723</v>
      </c>
      <c r="GA232" s="48">
        <v>158.39991627252371</v>
      </c>
      <c r="GB232" s="48">
        <v>2983.7086197219583</v>
      </c>
      <c r="GC232" s="48">
        <v>7262.0253291611225</v>
      </c>
      <c r="GD232" s="48">
        <v>198.86618102156444</v>
      </c>
      <c r="GE232" s="48">
        <v>120.70907548724732</v>
      </c>
      <c r="GF232" s="48">
        <v>555.7189243711631</v>
      </c>
      <c r="GG232" s="48">
        <v>2092.2654239926796</v>
      </c>
      <c r="GH232" s="48">
        <v>1462.8404288242216</v>
      </c>
      <c r="GI232" s="48">
        <v>3.6374021639806173</v>
      </c>
      <c r="GJ232" s="48">
        <v>235.5823311739729</v>
      </c>
      <c r="GK232" s="48">
        <v>491.12060671393186</v>
      </c>
      <c r="GL232" s="48">
        <v>491.08116211019444</v>
      </c>
      <c r="GM232" s="48">
        <v>286.35994236793249</v>
      </c>
      <c r="GN232" s="48">
        <v>14.563534392104012</v>
      </c>
      <c r="GO232" s="48">
        <v>120.29333305156433</v>
      </c>
      <c r="GP232" s="48">
        <v>52.798947187875477</v>
      </c>
      <c r="GQ232" s="48">
        <v>394.18559041258902</v>
      </c>
      <c r="GR232" s="48">
        <v>8172.4651468156762</v>
      </c>
      <c r="GS232" s="48">
        <v>12189.803355741089</v>
      </c>
      <c r="GT232" s="48">
        <v>74.083866931415685</v>
      </c>
      <c r="GU232" s="48">
        <v>4276.1116759320785</v>
      </c>
      <c r="GV232" s="48">
        <v>24.506202309424449</v>
      </c>
      <c r="GW232" s="48">
        <v>6.7493779343050271</v>
      </c>
      <c r="GX232" s="48">
        <v>365.78514745714205</v>
      </c>
      <c r="GY232" s="48">
        <v>384.56555027981483</v>
      </c>
      <c r="GZ232" s="48">
        <v>0</v>
      </c>
      <c r="HA232" s="48">
        <v>1600.6924333165064</v>
      </c>
      <c r="HB232" s="48">
        <v>956.50933250537969</v>
      </c>
      <c r="HC232" s="48">
        <v>2156.395678814481</v>
      </c>
      <c r="HD232" s="48">
        <v>729.47221636545237</v>
      </c>
      <c r="HE232" s="48">
        <v>6.6682629714318491</v>
      </c>
      <c r="HF232" s="48">
        <v>35.819292713682373</v>
      </c>
      <c r="HG232" s="48">
        <v>34.148502234542747</v>
      </c>
      <c r="HH232" s="48">
        <v>65.234781587712007</v>
      </c>
      <c r="HI232" s="48">
        <v>94.413372050866187</v>
      </c>
      <c r="HJ232" s="48">
        <v>108.36098242705864</v>
      </c>
      <c r="HK232" s="48">
        <v>4.9921298002616172</v>
      </c>
      <c r="HL232" s="48">
        <v>7.6949575450438417</v>
      </c>
      <c r="HM232" s="48">
        <v>36.742397162912383</v>
      </c>
      <c r="HN232" s="48">
        <v>10.830868266986228</v>
      </c>
      <c r="HO232" s="48">
        <v>45.845278903259818</v>
      </c>
      <c r="HP232" s="48">
        <v>78.334032179994409</v>
      </c>
      <c r="HQ232" s="48">
        <v>12.522914467860499</v>
      </c>
      <c r="HR232" s="48">
        <v>25.614139395756503</v>
      </c>
      <c r="HS232" s="48">
        <v>43.208671638156886</v>
      </c>
      <c r="HT232" s="48">
        <v>26.654862194134328</v>
      </c>
      <c r="HU232" s="48">
        <v>35.865961141620339</v>
      </c>
      <c r="HV232" s="48">
        <v>44837.240617657691</v>
      </c>
      <c r="HW232" s="48">
        <v>707.2662052004514</v>
      </c>
      <c r="HX232" s="48">
        <v>1246.9388069537058</v>
      </c>
      <c r="HY232" s="48">
        <v>1057.408257682576</v>
      </c>
      <c r="HZ232" s="48">
        <v>1566.0176708810643</v>
      </c>
      <c r="IA232" s="48">
        <v>442.68629536700894</v>
      </c>
      <c r="IB232" s="48">
        <v>22.624076040903475</v>
      </c>
      <c r="IC232" s="48">
        <v>237.18030320719541</v>
      </c>
      <c r="ID232" s="48">
        <v>147.01375673442053</v>
      </c>
      <c r="IE232" s="48">
        <v>99.742546622807168</v>
      </c>
      <c r="IF232" s="48">
        <v>12.710409253216561</v>
      </c>
      <c r="IG232" s="48">
        <v>1806.4314575043552</v>
      </c>
      <c r="IH232" s="48">
        <v>129.32643284005624</v>
      </c>
      <c r="II232" s="48">
        <v>40.09958923275633</v>
      </c>
      <c r="IJ232" s="48">
        <v>4422.2955479698558</v>
      </c>
      <c r="IK232" s="48">
        <v>70.498419558947788</v>
      </c>
      <c r="IL232" s="48">
        <v>124.8951999407266</v>
      </c>
      <c r="IM232" s="48">
        <v>150.53030654220336</v>
      </c>
      <c r="IN232" s="48">
        <v>79.604776293685518</v>
      </c>
      <c r="IO232" s="48">
        <v>0</v>
      </c>
      <c r="IP232" s="23">
        <v>138383.99999999962</v>
      </c>
      <c r="IQ232" s="25">
        <v>0</v>
      </c>
      <c r="IR232" s="25">
        <v>0</v>
      </c>
      <c r="IS232" s="26">
        <v>0</v>
      </c>
      <c r="IT232" s="26">
        <v>0</v>
      </c>
      <c r="IU232" s="26">
        <v>0</v>
      </c>
      <c r="IV232" s="9">
        <v>0</v>
      </c>
      <c r="IW232" s="38">
        <f t="shared" si="34"/>
        <v>138383.99999999962</v>
      </c>
    </row>
    <row r="233" spans="1:257" ht="30" customHeight="1" x14ac:dyDescent="0.25">
      <c r="A233" s="112" t="b">
        <v>0</v>
      </c>
      <c r="B233" s="113" t="str">
        <f>IFERROR(VLOOKUP(C233,'Bridge matrix'!$D$3:$E$727,2,FALSE)='symmetric IOT 245 2012'!D233,"FALSCH")</f>
        <v>FALSCH</v>
      </c>
      <c r="C233" s="108">
        <v>222</v>
      </c>
      <c r="D233" s="49" t="s">
        <v>1538</v>
      </c>
      <c r="E233" s="48">
        <v>45.827787922796539</v>
      </c>
      <c r="F233" s="48">
        <v>5.9656855059467695</v>
      </c>
      <c r="G233" s="48">
        <v>9.4458141801577735</v>
      </c>
      <c r="H233" s="48">
        <v>7.2989503489182459</v>
      </c>
      <c r="I233" s="48">
        <v>76.672613025769792</v>
      </c>
      <c r="J233" s="48">
        <v>272.90125978253798</v>
      </c>
      <c r="K233" s="48">
        <v>605.26194360324678</v>
      </c>
      <c r="L233" s="48">
        <v>20.07429749025162</v>
      </c>
      <c r="M233" s="48">
        <v>0.91068837490942678</v>
      </c>
      <c r="N233" s="48">
        <v>3.6965871747601189</v>
      </c>
      <c r="O233" s="48">
        <v>1407.7297542320237</v>
      </c>
      <c r="P233" s="48">
        <v>205.5728574184663</v>
      </c>
      <c r="Q233" s="48">
        <v>19.09198052115606</v>
      </c>
      <c r="R233" s="48">
        <v>1022.2613791627672</v>
      </c>
      <c r="S233" s="48">
        <v>3.6409201823527657</v>
      </c>
      <c r="T233" s="48">
        <v>95.847899548744351</v>
      </c>
      <c r="U233" s="48">
        <v>11.412813794798973</v>
      </c>
      <c r="V233" s="48">
        <v>26.387957582383052</v>
      </c>
      <c r="W233" s="48">
        <v>40.444555811228007</v>
      </c>
      <c r="X233" s="48">
        <v>0.89418691593658106</v>
      </c>
      <c r="Y233" s="48">
        <v>18.481214921326924</v>
      </c>
      <c r="Z233" s="48">
        <v>48.658401190283151</v>
      </c>
      <c r="AA233" s="48">
        <v>3.5179246491646223</v>
      </c>
      <c r="AB233" s="48">
        <v>3.532224694767375</v>
      </c>
      <c r="AC233" s="48">
        <v>0.88057161642486259</v>
      </c>
      <c r="AD233" s="48">
        <v>11.405938447081333</v>
      </c>
      <c r="AE233" s="48">
        <v>17.588114770877233</v>
      </c>
      <c r="AF233" s="48">
        <v>8.8066184211911498</v>
      </c>
      <c r="AG233" s="48">
        <v>19.365807827629688</v>
      </c>
      <c r="AH233" s="48">
        <v>33.418652946541108</v>
      </c>
      <c r="AI233" s="48">
        <v>28.132929517732713</v>
      </c>
      <c r="AJ233" s="48">
        <v>17.56720449450669</v>
      </c>
      <c r="AK233" s="48">
        <v>51.804845033643595</v>
      </c>
      <c r="AL233" s="48">
        <v>17.587799697502355</v>
      </c>
      <c r="AM233" s="48">
        <v>1.7650946503994756</v>
      </c>
      <c r="AN233" s="48">
        <v>19.359665606556529</v>
      </c>
      <c r="AO233" s="48">
        <v>12.313924440741479</v>
      </c>
      <c r="AP233" s="48">
        <v>45.759387602710312</v>
      </c>
      <c r="AQ233" s="48">
        <v>18.477945626460642</v>
      </c>
      <c r="AR233" s="48">
        <v>28.995524829988714</v>
      </c>
      <c r="AS233" s="48">
        <v>25.924324169632257</v>
      </c>
      <c r="AT233" s="48">
        <v>296.07823215485922</v>
      </c>
      <c r="AU233" s="48">
        <v>37.509266634627842</v>
      </c>
      <c r="AV233" s="48">
        <v>17.394138150561751</v>
      </c>
      <c r="AW233" s="48">
        <v>11.588400731928305</v>
      </c>
      <c r="AX233" s="48">
        <v>595.03221998268168</v>
      </c>
      <c r="AY233" s="48">
        <v>97.971297226340567</v>
      </c>
      <c r="AZ233" s="48">
        <v>15.565187609356723</v>
      </c>
      <c r="BA233" s="48">
        <v>28.386738967444956</v>
      </c>
      <c r="BB233" s="48">
        <v>619.12755850585893</v>
      </c>
      <c r="BC233" s="48">
        <v>102.59554167890788</v>
      </c>
      <c r="BD233" s="48">
        <v>872.71772440352936</v>
      </c>
      <c r="BE233" s="48">
        <v>2857.4400770580673</v>
      </c>
      <c r="BF233" s="48">
        <v>92.092157067396954</v>
      </c>
      <c r="BG233" s="48">
        <v>6.5425723047444082</v>
      </c>
      <c r="BH233" s="48">
        <v>577.01588752164491</v>
      </c>
      <c r="BI233" s="48">
        <v>70.154428182703271</v>
      </c>
      <c r="BJ233" s="48">
        <v>445.29805319635955</v>
      </c>
      <c r="BK233" s="48">
        <v>88.064784273791261</v>
      </c>
      <c r="BL233" s="48">
        <v>0.93625262500808593</v>
      </c>
      <c r="BM233" s="48">
        <v>254.4064186832781</v>
      </c>
      <c r="BN233" s="48">
        <v>22.534009157869566</v>
      </c>
      <c r="BO233" s="48">
        <v>0</v>
      </c>
      <c r="BP233" s="48">
        <v>475.14087721980701</v>
      </c>
      <c r="BQ233" s="48">
        <v>64.26544860983654</v>
      </c>
      <c r="BR233" s="48">
        <v>2.7948627367319214</v>
      </c>
      <c r="BS233" s="48">
        <v>4.6635675370834981</v>
      </c>
      <c r="BT233" s="48">
        <v>89.144951077356467</v>
      </c>
      <c r="BU233" s="48">
        <v>507.44449169365015</v>
      </c>
      <c r="BV233" s="48">
        <v>43.563830217294679</v>
      </c>
      <c r="BW233" s="48">
        <v>22.231298147108202</v>
      </c>
      <c r="BX233" s="48">
        <v>1.5583993409131307</v>
      </c>
      <c r="BY233" s="48">
        <v>0</v>
      </c>
      <c r="BZ233" s="48">
        <v>0</v>
      </c>
      <c r="CA233" s="48">
        <v>17900.52872329934</v>
      </c>
      <c r="CB233" s="48">
        <v>62.160018249534488</v>
      </c>
      <c r="CC233" s="48">
        <v>11442.740747507858</v>
      </c>
      <c r="CD233" s="48">
        <v>169.53262079818643</v>
      </c>
      <c r="CE233" s="48">
        <v>11.846675292657762</v>
      </c>
      <c r="CF233" s="48">
        <v>1.8227039652518591</v>
      </c>
      <c r="CG233" s="48">
        <v>459.38564366316069</v>
      </c>
      <c r="CH233" s="48">
        <v>42.421358276905629</v>
      </c>
      <c r="CI233" s="48">
        <v>748.13874465743254</v>
      </c>
      <c r="CJ233" s="48">
        <v>674.40444891413085</v>
      </c>
      <c r="CK233" s="48">
        <v>62.594917740468112</v>
      </c>
      <c r="CL233" s="48">
        <v>200.70381279249824</v>
      </c>
      <c r="CM233" s="48">
        <v>264.36893418338695</v>
      </c>
      <c r="CN233" s="48">
        <v>2771.8463062842184</v>
      </c>
      <c r="CO233" s="48">
        <v>893.471308733255</v>
      </c>
      <c r="CP233" s="48">
        <v>87.710400862275534</v>
      </c>
      <c r="CQ233" s="48">
        <v>340.12983770437353</v>
      </c>
      <c r="CR233" s="48">
        <v>1170.3267003413275</v>
      </c>
      <c r="CS233" s="48">
        <v>166.46850063736412</v>
      </c>
      <c r="CT233" s="48">
        <v>792.91295658651052</v>
      </c>
      <c r="CU233" s="48">
        <v>559.12375826432606</v>
      </c>
      <c r="CV233" s="48">
        <v>570.93827855037136</v>
      </c>
      <c r="CW233" s="48">
        <v>116.09810116291104</v>
      </c>
      <c r="CX233" s="48">
        <v>1038.5702111735363</v>
      </c>
      <c r="CY233" s="48">
        <v>1007.9086347864842</v>
      </c>
      <c r="CZ233" s="48">
        <v>104.18616643921283</v>
      </c>
      <c r="DA233" s="48">
        <v>326.92525643447215</v>
      </c>
      <c r="DB233" s="48">
        <v>26.3873565399321</v>
      </c>
      <c r="DC233" s="48">
        <v>1.4716061471521102</v>
      </c>
      <c r="DD233" s="48">
        <v>3692.6471087009309</v>
      </c>
      <c r="DE233" s="48">
        <v>100.16159878157274</v>
      </c>
      <c r="DF233" s="48">
        <v>604.76627878561419</v>
      </c>
      <c r="DG233" s="48">
        <v>138.39480854251303</v>
      </c>
      <c r="DH233" s="48">
        <v>68.576638833702532</v>
      </c>
      <c r="DI233" s="48">
        <v>0</v>
      </c>
      <c r="DJ233" s="48">
        <v>588.00142882107423</v>
      </c>
      <c r="DK233" s="48">
        <v>0</v>
      </c>
      <c r="DL233" s="48">
        <v>3019.0597655770844</v>
      </c>
      <c r="DM233" s="48">
        <v>1795.2434177606267</v>
      </c>
      <c r="DN233" s="48">
        <v>779.24663657321912</v>
      </c>
      <c r="DO233" s="48">
        <v>0</v>
      </c>
      <c r="DP233" s="48">
        <v>379.78406033097633</v>
      </c>
      <c r="DQ233" s="48">
        <v>664.2532320559061</v>
      </c>
      <c r="DR233" s="48">
        <v>498.66464380762437</v>
      </c>
      <c r="DS233" s="48">
        <v>1267.924239545199</v>
      </c>
      <c r="DT233" s="48">
        <v>565.07424780024292</v>
      </c>
      <c r="DU233" s="48">
        <v>282.07238010013828</v>
      </c>
      <c r="DV233" s="48">
        <v>4185.0629775584775</v>
      </c>
      <c r="DW233" s="48">
        <v>1100.1116633795618</v>
      </c>
      <c r="DX233" s="48">
        <v>548.65077866633226</v>
      </c>
      <c r="DY233" s="48">
        <v>78.196842862592874</v>
      </c>
      <c r="DZ233" s="48">
        <v>69.125154392408064</v>
      </c>
      <c r="EA233" s="48">
        <v>1387.468973260326</v>
      </c>
      <c r="EB233" s="48">
        <v>914.68907644749765</v>
      </c>
      <c r="EC233" s="48">
        <v>3844.6967018344531</v>
      </c>
      <c r="ED233" s="48">
        <v>122.27619053650048</v>
      </c>
      <c r="EE233" s="48">
        <v>34.874903500601832</v>
      </c>
      <c r="EF233" s="48">
        <v>119.52700364394308</v>
      </c>
      <c r="EG233" s="48">
        <v>41.50056982102992</v>
      </c>
      <c r="EH233" s="48">
        <v>5.502185665064407</v>
      </c>
      <c r="EI233" s="48">
        <v>54.774891697399333</v>
      </c>
      <c r="EJ233" s="48">
        <v>116.16373181719345</v>
      </c>
      <c r="EK233" s="48">
        <v>49.621708226486604</v>
      </c>
      <c r="EL233" s="48">
        <v>1294.9561090955206</v>
      </c>
      <c r="EM233" s="48">
        <v>2534.6510794640612</v>
      </c>
      <c r="EN233" s="48">
        <v>2533.8898468661</v>
      </c>
      <c r="EO233" s="48">
        <v>326.36576792985596</v>
      </c>
      <c r="EP233" s="48">
        <v>798.01962909348549</v>
      </c>
      <c r="EQ233" s="48">
        <v>763.18199017952929</v>
      </c>
      <c r="ER233" s="48">
        <v>490.5608391501558</v>
      </c>
      <c r="ES233" s="48">
        <v>59.822903642846882</v>
      </c>
      <c r="ET233" s="48">
        <v>2676.8620298168435</v>
      </c>
      <c r="EU233" s="48">
        <v>245.36172215757054</v>
      </c>
      <c r="EV233" s="48">
        <v>217.7719907567992</v>
      </c>
      <c r="EW233" s="48">
        <v>927.52131519135969</v>
      </c>
      <c r="EX233" s="48">
        <v>3565.9848605907832</v>
      </c>
      <c r="EY233" s="48">
        <v>220.6593515225689</v>
      </c>
      <c r="EZ233" s="48">
        <v>244.99928443508614</v>
      </c>
      <c r="FA233" s="48">
        <v>1177.2103614075322</v>
      </c>
      <c r="FB233" s="48">
        <v>918.51422930900026</v>
      </c>
      <c r="FC233" s="48">
        <v>831.26205990846313</v>
      </c>
      <c r="FD233" s="48">
        <v>1316.2505607399248</v>
      </c>
      <c r="FE233" s="48">
        <v>156.81573800086667</v>
      </c>
      <c r="FF233" s="48">
        <v>7.1325365887914014</v>
      </c>
      <c r="FG233" s="48">
        <v>821.15804486043976</v>
      </c>
      <c r="FH233" s="48">
        <v>2726.6472187037739</v>
      </c>
      <c r="FI233" s="48">
        <v>1487.0370649414983</v>
      </c>
      <c r="FJ233" s="48">
        <v>1811.9192996001148</v>
      </c>
      <c r="FK233" s="48">
        <v>533.83744533527772</v>
      </c>
      <c r="FL233" s="48">
        <v>19.453174857426898</v>
      </c>
      <c r="FM233" s="48">
        <v>1710.2807446458212</v>
      </c>
      <c r="FN233" s="48">
        <v>413.96130369839676</v>
      </c>
      <c r="FO233" s="48">
        <v>239.28819889273728</v>
      </c>
      <c r="FP233" s="48">
        <v>1135.2753003497969</v>
      </c>
      <c r="FQ233" s="48">
        <v>38.319568195309238</v>
      </c>
      <c r="FR233" s="48">
        <v>6021.972211580256</v>
      </c>
      <c r="FS233" s="48">
        <v>3.1443371586164002</v>
      </c>
      <c r="FT233" s="48">
        <v>0.62407125236551275</v>
      </c>
      <c r="FU233" s="48">
        <v>6.4834868310920086</v>
      </c>
      <c r="FV233" s="48">
        <v>19.272914898625285</v>
      </c>
      <c r="FW233" s="48">
        <v>491.17235954003257</v>
      </c>
      <c r="FX233" s="48">
        <v>945.70026364120656</v>
      </c>
      <c r="FY233" s="48">
        <v>695.40132030731593</v>
      </c>
      <c r="FZ233" s="48">
        <v>14.530296515749061</v>
      </c>
      <c r="GA233" s="48">
        <v>142.99540659491575</v>
      </c>
      <c r="GB233" s="48">
        <v>44004.137236240407</v>
      </c>
      <c r="GC233" s="48">
        <v>26852.942468623103</v>
      </c>
      <c r="GD233" s="48">
        <v>1024.3319456674681</v>
      </c>
      <c r="GE233" s="48">
        <v>1048.8886354944648</v>
      </c>
      <c r="GF233" s="48">
        <v>9683.9658138744999</v>
      </c>
      <c r="GG233" s="48">
        <v>8875.1252333732737</v>
      </c>
      <c r="GH233" s="48">
        <v>7783.309534350793</v>
      </c>
      <c r="GI233" s="48">
        <v>13.741504413595978</v>
      </c>
      <c r="GJ233" s="48">
        <v>998.95713002561297</v>
      </c>
      <c r="GK233" s="48">
        <v>2081.5060852213246</v>
      </c>
      <c r="GL233" s="48">
        <v>2083.1779980072602</v>
      </c>
      <c r="GM233" s="48">
        <v>1533.9394891711518</v>
      </c>
      <c r="GN233" s="48">
        <v>62.378855396055691</v>
      </c>
      <c r="GO233" s="48">
        <v>513.40159728841684</v>
      </c>
      <c r="GP233" s="48">
        <v>225.68901434199245</v>
      </c>
      <c r="GQ233" s="48">
        <v>1669.7429245234857</v>
      </c>
      <c r="GR233" s="48">
        <v>0</v>
      </c>
      <c r="GS233" s="48">
        <v>10785.284987599243</v>
      </c>
      <c r="GT233" s="48">
        <v>60.927608610970381</v>
      </c>
      <c r="GU233" s="48">
        <v>3493.0423703804568</v>
      </c>
      <c r="GV233" s="48">
        <v>20.114988345490882</v>
      </c>
      <c r="GW233" s="48">
        <v>4.577949679187304</v>
      </c>
      <c r="GX233" s="48">
        <v>298.52378272459748</v>
      </c>
      <c r="GY233" s="48">
        <v>23.479046433407714</v>
      </c>
      <c r="GZ233" s="48">
        <v>1.8529624203559563</v>
      </c>
      <c r="HA233" s="48">
        <v>69.667072016639523</v>
      </c>
      <c r="HB233" s="48">
        <v>1834.5580662707825</v>
      </c>
      <c r="HC233" s="48">
        <v>4136.2539811444158</v>
      </c>
      <c r="HD233" s="48">
        <v>1399.8016117355255</v>
      </c>
      <c r="HE233" s="48">
        <v>18.292351484772663</v>
      </c>
      <c r="HF233" s="48">
        <v>104.3612767343206</v>
      </c>
      <c r="HG233" s="48">
        <v>99.404528314292435</v>
      </c>
      <c r="HH233" s="48">
        <v>186.86548464159833</v>
      </c>
      <c r="HI233" s="48">
        <v>272.59631892435232</v>
      </c>
      <c r="HJ233" s="48">
        <v>311.35347549570633</v>
      </c>
      <c r="HK233" s="48">
        <v>14.794326832726448</v>
      </c>
      <c r="HL233" s="48">
        <v>22.79108823348826</v>
      </c>
      <c r="HM233" s="48">
        <v>106.54714280758895</v>
      </c>
      <c r="HN233" s="48">
        <v>31.197599192846123</v>
      </c>
      <c r="HO233" s="48">
        <v>132.2821636337294</v>
      </c>
      <c r="HP233" s="48">
        <v>225.86085054159591</v>
      </c>
      <c r="HQ233" s="48">
        <v>35.321593985628766</v>
      </c>
      <c r="HR233" s="48">
        <v>74.873291601611555</v>
      </c>
      <c r="HS233" s="48">
        <v>122.97607327377285</v>
      </c>
      <c r="HT233" s="48">
        <v>77.193251666518989</v>
      </c>
      <c r="HU233" s="48">
        <v>102.71204817435004</v>
      </c>
      <c r="HV233" s="48">
        <v>35840.83942947242</v>
      </c>
      <c r="HW233" s="48">
        <v>22.283029229013906</v>
      </c>
      <c r="HX233" s="48">
        <v>109.651132687146</v>
      </c>
      <c r="HY233" s="48">
        <v>93.476569721946078</v>
      </c>
      <c r="HZ233" s="48">
        <v>138.36271537607124</v>
      </c>
      <c r="IA233" s="48">
        <v>38.606257265159705</v>
      </c>
      <c r="IB233" s="48">
        <v>1.7927118914276183</v>
      </c>
      <c r="IC233" s="48">
        <v>1216.6003796751434</v>
      </c>
      <c r="ID233" s="48">
        <v>755.10589792894154</v>
      </c>
      <c r="IE233" s="48">
        <v>510.60425465089094</v>
      </c>
      <c r="IF233" s="48">
        <v>65.84894923059089</v>
      </c>
      <c r="IG233" s="48">
        <v>707.41707465830768</v>
      </c>
      <c r="IH233" s="48">
        <v>50.632327960303769</v>
      </c>
      <c r="II233" s="48">
        <v>15.407598664567143</v>
      </c>
      <c r="IJ233" s="48">
        <v>618.17938468054115</v>
      </c>
      <c r="IK233" s="48">
        <v>0</v>
      </c>
      <c r="IL233" s="48">
        <v>0</v>
      </c>
      <c r="IM233" s="48">
        <v>0</v>
      </c>
      <c r="IN233" s="48">
        <v>0</v>
      </c>
      <c r="IO233" s="48">
        <v>0</v>
      </c>
      <c r="IP233" s="23">
        <v>295058.99999999919</v>
      </c>
      <c r="IQ233" s="25">
        <v>0</v>
      </c>
      <c r="IR233" s="25">
        <v>0</v>
      </c>
      <c r="IS233" s="26">
        <v>0</v>
      </c>
      <c r="IT233" s="26">
        <v>0</v>
      </c>
      <c r="IU233" s="26">
        <v>0</v>
      </c>
      <c r="IV233" s="9">
        <v>0</v>
      </c>
      <c r="IW233" s="38">
        <f t="shared" si="34"/>
        <v>295058.99999999919</v>
      </c>
    </row>
    <row r="234" spans="1:257" ht="30" customHeight="1" x14ac:dyDescent="0.25">
      <c r="A234" s="112" t="b">
        <v>0</v>
      </c>
      <c r="B234" s="113" t="str">
        <f>IFERROR(VLOOKUP(C234,'Bridge matrix'!$D$3:$E$727,2,FALSE)='symmetric IOT 245 2012'!D234,"FALSCH")</f>
        <v>FALSCH</v>
      </c>
      <c r="C234" s="108">
        <v>223</v>
      </c>
      <c r="D234" s="49" t="s">
        <v>1539</v>
      </c>
      <c r="E234" s="48">
        <v>1661.7691897155682</v>
      </c>
      <c r="F234" s="48">
        <v>206.62105783982298</v>
      </c>
      <c r="G234" s="48">
        <v>330.75458644909111</v>
      </c>
      <c r="H234" s="48">
        <v>7.8492811562777156</v>
      </c>
      <c r="I234" s="48">
        <v>82.451607909597698</v>
      </c>
      <c r="J234" s="48">
        <v>294.45544156779937</v>
      </c>
      <c r="K234" s="48">
        <v>655.8101303619095</v>
      </c>
      <c r="L234" s="48">
        <v>21.587871883399988</v>
      </c>
      <c r="M234" s="48">
        <v>0.9798560888965735</v>
      </c>
      <c r="N234" s="48">
        <v>3.9763252054264435</v>
      </c>
      <c r="O234" s="48">
        <v>2251.2718273067499</v>
      </c>
      <c r="P234" s="48">
        <v>327.98018195627503</v>
      </c>
      <c r="Q234" s="48">
        <v>30.335978372569397</v>
      </c>
      <c r="R234" s="48">
        <v>1632.7979816814668</v>
      </c>
      <c r="S234" s="48">
        <v>5.8767756446858606</v>
      </c>
      <c r="T234" s="48">
        <v>272.552915597246</v>
      </c>
      <c r="U234" s="48">
        <v>33.210206786743228</v>
      </c>
      <c r="V234" s="48">
        <v>74.237362782903546</v>
      </c>
      <c r="W234" s="48">
        <v>114.24714181331144</v>
      </c>
      <c r="X234" s="48">
        <v>1.9535780909875813</v>
      </c>
      <c r="Y234" s="48">
        <v>51.785007906569192</v>
      </c>
      <c r="Z234" s="48">
        <v>138.57279035266123</v>
      </c>
      <c r="AA234" s="48">
        <v>9.7655738428436134</v>
      </c>
      <c r="AB234" s="48">
        <v>8.7852068884678047</v>
      </c>
      <c r="AC234" s="48">
        <v>1.946118672498568</v>
      </c>
      <c r="AD234" s="48">
        <v>33.185585360478619</v>
      </c>
      <c r="AE234" s="48">
        <v>49.83157716789588</v>
      </c>
      <c r="AF234" s="48">
        <v>24.416239147407953</v>
      </c>
      <c r="AG234" s="48">
        <v>54.758368457836561</v>
      </c>
      <c r="AH234" s="48">
        <v>93.745201302592662</v>
      </c>
      <c r="AI234" s="48">
        <v>80.079569839981289</v>
      </c>
      <c r="AJ234" s="48">
        <v>50.789317438787819</v>
      </c>
      <c r="AK234" s="48">
        <v>151.36623332187429</v>
      </c>
      <c r="AL234" s="48">
        <v>49.803890241727501</v>
      </c>
      <c r="AM234" s="48">
        <v>4.8824114649717201</v>
      </c>
      <c r="AN234" s="48">
        <v>53.715291297088875</v>
      </c>
      <c r="AO234" s="48">
        <v>34.169750034865125</v>
      </c>
      <c r="AP234" s="48">
        <v>132.97985532130249</v>
      </c>
      <c r="AQ234" s="48">
        <v>51.767036758595417</v>
      </c>
      <c r="AR234" s="48">
        <v>83.003833864137519</v>
      </c>
      <c r="AS234" s="48">
        <v>73.469614357546035</v>
      </c>
      <c r="AT234" s="48">
        <v>938.23073269731992</v>
      </c>
      <c r="AU234" s="48">
        <v>119.31693165495057</v>
      </c>
      <c r="AV234" s="48">
        <v>56.251586861473868</v>
      </c>
      <c r="AW234" s="48">
        <v>35.538485042390242</v>
      </c>
      <c r="AX234" s="48">
        <v>1885.529735914349</v>
      </c>
      <c r="AY234" s="48">
        <v>310.86541218133192</v>
      </c>
      <c r="AZ234" s="48">
        <v>48.349026341690511</v>
      </c>
      <c r="BA234" s="48">
        <v>88.81860528844328</v>
      </c>
      <c r="BB234" s="48">
        <v>1960.4503869482469</v>
      </c>
      <c r="BC234" s="48">
        <v>325.76616935446924</v>
      </c>
      <c r="BD234" s="48">
        <v>1379.5109572225383</v>
      </c>
      <c r="BE234" s="48">
        <v>3599.7526977553648</v>
      </c>
      <c r="BF234" s="48">
        <v>116.84261371322232</v>
      </c>
      <c r="BG234" s="48">
        <v>8.025594971829058</v>
      </c>
      <c r="BH234" s="48">
        <v>727.88983355557571</v>
      </c>
      <c r="BI234" s="48">
        <v>88.368370562203495</v>
      </c>
      <c r="BJ234" s="48">
        <v>561.71088074098475</v>
      </c>
      <c r="BK234" s="48">
        <v>111.46140043754478</v>
      </c>
      <c r="BL234" s="48">
        <v>1.0042754860838188</v>
      </c>
      <c r="BM234" s="48">
        <v>320.00397048229854</v>
      </c>
      <c r="BN234" s="48">
        <v>28.06008040330115</v>
      </c>
      <c r="BO234" s="48">
        <v>0</v>
      </c>
      <c r="BP234" s="48">
        <v>1633.6014233849476</v>
      </c>
      <c r="BQ234" s="48">
        <v>221.51279420749938</v>
      </c>
      <c r="BR234" s="48">
        <v>9.0378521336159103</v>
      </c>
      <c r="BS234" s="48">
        <v>15.07717596451468</v>
      </c>
      <c r="BT234" s="48">
        <v>318.75017823086444</v>
      </c>
      <c r="BU234" s="48">
        <v>1814.8171416892953</v>
      </c>
      <c r="BV234" s="48">
        <v>771.74582893026468</v>
      </c>
      <c r="BW234" s="48">
        <v>394.41961167514205</v>
      </c>
      <c r="BX234" s="48">
        <v>36.09171902158598</v>
      </c>
      <c r="BY234" s="48">
        <v>297.12797999215445</v>
      </c>
      <c r="BZ234" s="48">
        <v>216.07539286269025</v>
      </c>
      <c r="CA234" s="48">
        <v>0</v>
      </c>
      <c r="CB234" s="48">
        <v>0</v>
      </c>
      <c r="CC234" s="48">
        <v>0</v>
      </c>
      <c r="CD234" s="48">
        <v>445.91143932449353</v>
      </c>
      <c r="CE234" s="48">
        <v>32.33848568568748</v>
      </c>
      <c r="CF234" s="48">
        <v>4.8994334254574614</v>
      </c>
      <c r="CG234" s="48">
        <v>982.88203876223088</v>
      </c>
      <c r="CH234" s="48">
        <v>90.177831793813539</v>
      </c>
      <c r="CI234" s="48">
        <v>110.23712935757742</v>
      </c>
      <c r="CJ234" s="48">
        <v>103.04365543509084</v>
      </c>
      <c r="CK234" s="48">
        <v>9.5326483633670556</v>
      </c>
      <c r="CL234" s="48">
        <v>0</v>
      </c>
      <c r="CM234" s="48">
        <v>40.195973030951123</v>
      </c>
      <c r="CN234" s="48">
        <v>18.225013494199239</v>
      </c>
      <c r="CO234" s="48">
        <v>0</v>
      </c>
      <c r="CP234" s="48">
        <v>0</v>
      </c>
      <c r="CQ234" s="48">
        <v>0</v>
      </c>
      <c r="CR234" s="48">
        <v>0</v>
      </c>
      <c r="CS234" s="48">
        <v>28.09421705247863</v>
      </c>
      <c r="CT234" s="48">
        <v>119.65848105863023</v>
      </c>
      <c r="CU234" s="48">
        <v>96.672753225109886</v>
      </c>
      <c r="CV234" s="48">
        <v>130.14568002952947</v>
      </c>
      <c r="CW234" s="48">
        <v>17.976145571760416</v>
      </c>
      <c r="CX234" s="48">
        <v>336.60846553604136</v>
      </c>
      <c r="CY234" s="48">
        <v>340.64210471053798</v>
      </c>
      <c r="CZ234" s="48">
        <v>204.28997478681936</v>
      </c>
      <c r="DA234" s="48">
        <v>604.88335410680543</v>
      </c>
      <c r="DB234" s="48">
        <v>49.487156080758211</v>
      </c>
      <c r="DC234" s="48">
        <v>3.3701960672484925</v>
      </c>
      <c r="DD234" s="48">
        <v>876.46903355379277</v>
      </c>
      <c r="DE234" s="48">
        <v>908.15177796847388</v>
      </c>
      <c r="DF234" s="48">
        <v>583.65796865214395</v>
      </c>
      <c r="DG234" s="48">
        <v>230.68311874893695</v>
      </c>
      <c r="DH234" s="48">
        <v>116.23427044125833</v>
      </c>
      <c r="DI234" s="48">
        <v>84.748833738290884</v>
      </c>
      <c r="DJ234" s="48">
        <v>503.15185066789826</v>
      </c>
      <c r="DK234" s="48">
        <v>219.61447649344126</v>
      </c>
      <c r="DL234" s="48">
        <v>434.34980555179487</v>
      </c>
      <c r="DM234" s="48">
        <v>512.53061678411473</v>
      </c>
      <c r="DN234" s="48">
        <v>429.08701772197583</v>
      </c>
      <c r="DO234" s="48">
        <v>417.6410730742478</v>
      </c>
      <c r="DP234" s="48">
        <v>364.86374772068467</v>
      </c>
      <c r="DQ234" s="48">
        <v>636.01191527901233</v>
      </c>
      <c r="DR234" s="48">
        <v>482.07703533613608</v>
      </c>
      <c r="DS234" s="48">
        <v>1974.8819554294939</v>
      </c>
      <c r="DT234" s="48">
        <v>162.83541717626861</v>
      </c>
      <c r="DU234" s="48">
        <v>81.069430762779561</v>
      </c>
      <c r="DV234" s="48">
        <v>1207.5157688770237</v>
      </c>
      <c r="DW234" s="48">
        <v>2787.0379516614839</v>
      </c>
      <c r="DX234" s="48">
        <v>1389.1733619675072</v>
      </c>
      <c r="DY234" s="48">
        <v>196.72989311924857</v>
      </c>
      <c r="DZ234" s="48">
        <v>175.56616529318993</v>
      </c>
      <c r="EA234" s="48">
        <v>2400.8315131414338</v>
      </c>
      <c r="EB234" s="48">
        <v>1628.0009714442633</v>
      </c>
      <c r="EC234" s="48">
        <v>6650.3844234040762</v>
      </c>
      <c r="ED234" s="48">
        <v>0</v>
      </c>
      <c r="EE234" s="48">
        <v>0</v>
      </c>
      <c r="EF234" s="48">
        <v>0</v>
      </c>
      <c r="EG234" s="48">
        <v>0</v>
      </c>
      <c r="EH234" s="48">
        <v>0</v>
      </c>
      <c r="EI234" s="48">
        <v>837.64308758949289</v>
      </c>
      <c r="EJ234" s="48">
        <v>828.09514227543957</v>
      </c>
      <c r="EK234" s="48">
        <v>331.54970989785522</v>
      </c>
      <c r="EL234" s="48">
        <v>12.827878250576553</v>
      </c>
      <c r="EM234" s="48">
        <v>163.22869026349773</v>
      </c>
      <c r="EN234" s="48">
        <v>157.75117652403208</v>
      </c>
      <c r="EO234" s="48">
        <v>24.120203015006084</v>
      </c>
      <c r="EP234" s="48">
        <v>36.703978212663969</v>
      </c>
      <c r="EQ234" s="48">
        <v>56.217234092841167</v>
      </c>
      <c r="ER234" s="48">
        <v>583.75514421643788</v>
      </c>
      <c r="ES234" s="48">
        <v>71.140109104125372</v>
      </c>
      <c r="ET234" s="48">
        <v>0</v>
      </c>
      <c r="EU234" s="48">
        <v>275.40846296985558</v>
      </c>
      <c r="EV234" s="48">
        <v>244.53062990801999</v>
      </c>
      <c r="EW234" s="48">
        <v>1049.4589643597267</v>
      </c>
      <c r="EX234" s="48">
        <v>1088.7636529648489</v>
      </c>
      <c r="EY234" s="48">
        <v>46.642215494538277</v>
      </c>
      <c r="EZ234" s="48">
        <v>75.630571110303237</v>
      </c>
      <c r="FA234" s="48">
        <v>1034.9518935372341</v>
      </c>
      <c r="FB234" s="48">
        <v>869.5921204009212</v>
      </c>
      <c r="FC234" s="48">
        <v>788.4910973420856</v>
      </c>
      <c r="FD234" s="48">
        <v>3732.1791850577633</v>
      </c>
      <c r="FE234" s="48">
        <v>436.99433942601866</v>
      </c>
      <c r="FF234" s="48">
        <v>20.35997400747063</v>
      </c>
      <c r="FG234" s="48">
        <v>2550.4618171725483</v>
      </c>
      <c r="FH234" s="48">
        <v>2797.8644105507337</v>
      </c>
      <c r="FI234" s="48">
        <v>1292.5205935337954</v>
      </c>
      <c r="FJ234" s="48">
        <v>1851.8273459258555</v>
      </c>
      <c r="FK234" s="48">
        <v>545.20060847591913</v>
      </c>
      <c r="FL234" s="48">
        <v>19.994464600538961</v>
      </c>
      <c r="FM234" s="48">
        <v>1748.7124596567053</v>
      </c>
      <c r="FN234" s="48">
        <v>423.49541970202392</v>
      </c>
      <c r="FO234" s="48">
        <v>244.23928841182612</v>
      </c>
      <c r="FP234" s="48">
        <v>1535.3196908925256</v>
      </c>
      <c r="FQ234" s="48">
        <v>46.126653871454224</v>
      </c>
      <c r="FR234" s="48">
        <v>1767.9593303175391</v>
      </c>
      <c r="FS234" s="48">
        <v>88.243770102957569</v>
      </c>
      <c r="FT234" s="48">
        <v>22.165049701316807</v>
      </c>
      <c r="FU234" s="48">
        <v>171.01591581880277</v>
      </c>
      <c r="FV234" s="48">
        <v>609.80317025250679</v>
      </c>
      <c r="FW234" s="48">
        <v>1674.1552859773121</v>
      </c>
      <c r="FX234" s="48">
        <v>3445.5756644560984</v>
      </c>
      <c r="FY234" s="48">
        <v>973.77181640314359</v>
      </c>
      <c r="FZ234" s="48">
        <v>20.524917882069023</v>
      </c>
      <c r="GA234" s="48">
        <v>201.13424225020017</v>
      </c>
      <c r="GB234" s="48">
        <v>767.72607128624134</v>
      </c>
      <c r="GC234" s="48">
        <v>15128.950704586403</v>
      </c>
      <c r="GD234" s="48">
        <v>1060.9801957932377</v>
      </c>
      <c r="GE234" s="48">
        <v>3253.6239332727955</v>
      </c>
      <c r="GF234" s="48">
        <v>2809.9097450929557</v>
      </c>
      <c r="GG234" s="48">
        <v>10391.397057486362</v>
      </c>
      <c r="GH234" s="48">
        <v>8995.0074007071726</v>
      </c>
      <c r="GI234" s="48">
        <v>15.729358720265529</v>
      </c>
      <c r="GJ234" s="48">
        <v>1169.1991256623778</v>
      </c>
      <c r="GK234" s="48">
        <v>2437.3866936708437</v>
      </c>
      <c r="GL234" s="48">
        <v>2439.1653077900469</v>
      </c>
      <c r="GM234" s="48">
        <v>1771.6941797134252</v>
      </c>
      <c r="GN234" s="48">
        <v>73.834658063074784</v>
      </c>
      <c r="GO234" s="48">
        <v>603.88845492606742</v>
      </c>
      <c r="GP234" s="48">
        <v>263.85838235851656</v>
      </c>
      <c r="GQ234" s="48">
        <v>1955.330243999138</v>
      </c>
      <c r="GR234" s="48">
        <v>3746.4638406391632</v>
      </c>
      <c r="GS234" s="48">
        <v>9958.9660567681149</v>
      </c>
      <c r="GT234" s="48">
        <v>372.20025370694617</v>
      </c>
      <c r="GU234" s="48">
        <v>21763.017135909355</v>
      </c>
      <c r="GV234" s="48">
        <v>123.4485900743028</v>
      </c>
      <c r="GW234" s="48">
        <v>33.20538509226818</v>
      </c>
      <c r="GX234" s="48">
        <v>1858.1024559739467</v>
      </c>
      <c r="GY234" s="48">
        <v>0</v>
      </c>
      <c r="GZ234" s="48">
        <v>0</v>
      </c>
      <c r="HA234" s="48">
        <v>0</v>
      </c>
      <c r="HB234" s="48">
        <v>1036.9473835447307</v>
      </c>
      <c r="HC234" s="48">
        <v>2338.0323561026312</v>
      </c>
      <c r="HD234" s="48">
        <v>790.50496370780695</v>
      </c>
      <c r="HE234" s="48">
        <v>17.411013738284321</v>
      </c>
      <c r="HF234" s="48">
        <v>92.200902420456671</v>
      </c>
      <c r="HG234" s="48">
        <v>88.583660605834226</v>
      </c>
      <c r="HH234" s="48">
        <v>166.3683511740123</v>
      </c>
      <c r="HI234" s="48">
        <v>243.5791094977223</v>
      </c>
      <c r="HJ234" s="48">
        <v>275.68740660642118</v>
      </c>
      <c r="HK234" s="48">
        <v>12.762156720664137</v>
      </c>
      <c r="HL234" s="48">
        <v>21.188152074939339</v>
      </c>
      <c r="HM234" s="48">
        <v>96.025803584017851</v>
      </c>
      <c r="HN234" s="48">
        <v>28.332325803571599</v>
      </c>
      <c r="HO234" s="48">
        <v>117.81244986612499</v>
      </c>
      <c r="HP234" s="48">
        <v>201.82537589161811</v>
      </c>
      <c r="HQ234" s="48">
        <v>31.018227542331342</v>
      </c>
      <c r="HR234" s="48">
        <v>66.591864677973746</v>
      </c>
      <c r="HS234" s="48">
        <v>108.1584028877172</v>
      </c>
      <c r="HT234" s="48">
        <v>69.428854517228473</v>
      </c>
      <c r="HU234" s="48">
        <v>91.322311642411904</v>
      </c>
      <c r="HV234" s="48">
        <v>0</v>
      </c>
      <c r="HW234" s="48">
        <v>0</v>
      </c>
      <c r="HX234" s="48">
        <v>486.33961408362819</v>
      </c>
      <c r="HY234" s="48">
        <v>413.04836277275314</v>
      </c>
      <c r="HZ234" s="48">
        <v>612.01014021517847</v>
      </c>
      <c r="IA234" s="48">
        <v>172.68224075070538</v>
      </c>
      <c r="IB234" s="48">
        <v>8.7774709249841347</v>
      </c>
      <c r="IC234" s="48">
        <v>0</v>
      </c>
      <c r="ID234" s="48">
        <v>0</v>
      </c>
      <c r="IE234" s="48">
        <v>0</v>
      </c>
      <c r="IF234" s="48">
        <v>0</v>
      </c>
      <c r="IG234" s="48">
        <v>1255.6138259585914</v>
      </c>
      <c r="IH234" s="48">
        <v>89.973878943224463</v>
      </c>
      <c r="II234" s="48">
        <v>27.579153463336457</v>
      </c>
      <c r="IJ234" s="48">
        <v>0</v>
      </c>
      <c r="IK234" s="48">
        <v>2608.2344041556621</v>
      </c>
      <c r="IL234" s="48">
        <v>4663.4279493092545</v>
      </c>
      <c r="IM234" s="48">
        <v>5607.8385085094706</v>
      </c>
      <c r="IN234" s="48">
        <v>2977.3465831698454</v>
      </c>
      <c r="IO234" s="48">
        <v>0</v>
      </c>
      <c r="IP234" s="23">
        <v>207511.99999999948</v>
      </c>
      <c r="IQ234" s="25">
        <v>288384</v>
      </c>
      <c r="IR234" s="25">
        <v>0</v>
      </c>
      <c r="IS234" s="26">
        <v>0</v>
      </c>
      <c r="IT234" s="26">
        <v>0</v>
      </c>
      <c r="IU234" s="26">
        <v>0</v>
      </c>
      <c r="IV234" s="9">
        <v>0</v>
      </c>
      <c r="IW234" s="38">
        <f t="shared" si="34"/>
        <v>495895.99999999948</v>
      </c>
    </row>
    <row r="235" spans="1:257" ht="30" customHeight="1" x14ac:dyDescent="0.25">
      <c r="A235" s="112" t="b">
        <v>0</v>
      </c>
      <c r="B235" s="113" t="b">
        <f>IFERROR(VLOOKUP(C235,'Bridge matrix'!$D$3:$E$727,2,FALSE)='symmetric IOT 245 2012'!D235,"FALSCH")</f>
        <v>1</v>
      </c>
      <c r="C235" s="108">
        <v>224</v>
      </c>
      <c r="D235" s="49" t="s">
        <v>1540</v>
      </c>
      <c r="E235" s="48">
        <v>38.938108630668687</v>
      </c>
      <c r="F235" s="48">
        <v>4.5746520632626311</v>
      </c>
      <c r="G235" s="48">
        <v>7.4590878220852534</v>
      </c>
      <c r="H235" s="48">
        <v>0</v>
      </c>
      <c r="I235" s="48">
        <v>0</v>
      </c>
      <c r="J235" s="48">
        <v>0</v>
      </c>
      <c r="K235" s="48">
        <v>0</v>
      </c>
      <c r="L235" s="48">
        <v>0</v>
      </c>
      <c r="M235" s="48">
        <v>0</v>
      </c>
      <c r="N235" s="48">
        <v>0</v>
      </c>
      <c r="O235" s="48">
        <v>288.61975118204055</v>
      </c>
      <c r="P235" s="48">
        <v>42.496630680758948</v>
      </c>
      <c r="Q235" s="48">
        <v>3.8572028034937773</v>
      </c>
      <c r="R235" s="48">
        <v>209.87582482196413</v>
      </c>
      <c r="S235" s="48">
        <v>0.97474505900710917</v>
      </c>
      <c r="T235" s="48">
        <v>159.97937500409594</v>
      </c>
      <c r="U235" s="48">
        <v>19.502961233526065</v>
      </c>
      <c r="V235" s="48">
        <v>43.899740117929163</v>
      </c>
      <c r="W235" s="48">
        <v>67.285996314725239</v>
      </c>
      <c r="X235" s="48">
        <v>0.97648775174718483</v>
      </c>
      <c r="Y235" s="48">
        <v>30.241257855654137</v>
      </c>
      <c r="Z235" s="48">
        <v>80.453786062465738</v>
      </c>
      <c r="AA235" s="48">
        <v>5.8525172844709878</v>
      </c>
      <c r="AB235" s="48">
        <v>4.8639765142667715</v>
      </c>
      <c r="AC235" s="48">
        <v>0.96290442731822756</v>
      </c>
      <c r="AD235" s="48">
        <v>19.489815224533011</v>
      </c>
      <c r="AE235" s="48">
        <v>29.266623790750135</v>
      </c>
      <c r="AF235" s="48">
        <v>13.639725905576555</v>
      </c>
      <c r="AG235" s="48">
        <v>32.221427469858256</v>
      </c>
      <c r="AH235" s="48">
        <v>55.593583371275081</v>
      </c>
      <c r="AI235" s="48">
        <v>46.806649607647515</v>
      </c>
      <c r="AJ235" s="48">
        <v>30.243338425402662</v>
      </c>
      <c r="AK235" s="48">
        <v>88.739620186049805</v>
      </c>
      <c r="AL235" s="48">
        <v>29.258244237057621</v>
      </c>
      <c r="AM235" s="48">
        <v>2.9312306558474228</v>
      </c>
      <c r="AN235" s="48">
        <v>31.197189415728534</v>
      </c>
      <c r="AO235" s="48">
        <v>20.481862383992233</v>
      </c>
      <c r="AP235" s="48">
        <v>76.137069581947216</v>
      </c>
      <c r="AQ235" s="48">
        <v>30.233398165837645</v>
      </c>
      <c r="AR235" s="48">
        <v>48.75386522419678</v>
      </c>
      <c r="AS235" s="48">
        <v>42.619695113642841</v>
      </c>
      <c r="AT235" s="48">
        <v>64.520503497335085</v>
      </c>
      <c r="AU235" s="48">
        <v>7.7642479349943514</v>
      </c>
      <c r="AV235" s="48">
        <v>3.8930676394963428</v>
      </c>
      <c r="AW235" s="48">
        <v>2.8551536320106967</v>
      </c>
      <c r="AX235" s="48">
        <v>130.39144595331638</v>
      </c>
      <c r="AY235" s="48">
        <v>21.409944765832467</v>
      </c>
      <c r="AZ235" s="48">
        <v>2.9055535636262166</v>
      </c>
      <c r="BA235" s="48">
        <v>5.8297685462872826</v>
      </c>
      <c r="BB235" s="48">
        <v>137.32253541777555</v>
      </c>
      <c r="BC235" s="48">
        <v>22.599356840665994</v>
      </c>
      <c r="BD235" s="48">
        <v>427.1067590645975</v>
      </c>
      <c r="BE235" s="48">
        <v>0</v>
      </c>
      <c r="BF235" s="48">
        <v>0</v>
      </c>
      <c r="BG235" s="48">
        <v>0</v>
      </c>
      <c r="BH235" s="48">
        <v>0</v>
      </c>
      <c r="BI235" s="48">
        <v>0</v>
      </c>
      <c r="BJ235" s="48">
        <v>0</v>
      </c>
      <c r="BK235" s="48">
        <v>0</v>
      </c>
      <c r="BL235" s="48">
        <v>0</v>
      </c>
      <c r="BM235" s="48">
        <v>0</v>
      </c>
      <c r="BN235" s="48">
        <v>0</v>
      </c>
      <c r="BO235" s="48">
        <v>0</v>
      </c>
      <c r="BP235" s="48">
        <v>71.05453227087672</v>
      </c>
      <c r="BQ235" s="48">
        <v>9.4672382392063827</v>
      </c>
      <c r="BR235" s="48">
        <v>0</v>
      </c>
      <c r="BS235" s="48">
        <v>0.99122745193898665</v>
      </c>
      <c r="BT235" s="48">
        <v>289.05980686593779</v>
      </c>
      <c r="BU235" s="48">
        <v>1646.7947797560216</v>
      </c>
      <c r="BV235" s="48">
        <v>0</v>
      </c>
      <c r="BW235" s="48">
        <v>0</v>
      </c>
      <c r="BX235" s="48">
        <v>0</v>
      </c>
      <c r="BY235" s="48">
        <v>0</v>
      </c>
      <c r="BZ235" s="48">
        <v>0</v>
      </c>
      <c r="CA235" s="48">
        <v>107611.36394116069</v>
      </c>
      <c r="CB235" s="48">
        <v>370.53400701881549</v>
      </c>
      <c r="CC235" s="48">
        <v>0</v>
      </c>
      <c r="CD235" s="48">
        <v>0</v>
      </c>
      <c r="CE235" s="48">
        <v>0</v>
      </c>
      <c r="CF235" s="48">
        <v>0</v>
      </c>
      <c r="CG235" s="48">
        <v>39.837901655685585</v>
      </c>
      <c r="CH235" s="48">
        <v>4.0307283865680432</v>
      </c>
      <c r="CI235" s="48">
        <v>792.69402623513577</v>
      </c>
      <c r="CJ235" s="48">
        <v>731.68697347814043</v>
      </c>
      <c r="CK235" s="48">
        <v>67.252158630238711</v>
      </c>
      <c r="CL235" s="48">
        <v>0</v>
      </c>
      <c r="CM235" s="48">
        <v>287.39729489384291</v>
      </c>
      <c r="CN235" s="48">
        <v>1158.1692256547174</v>
      </c>
      <c r="CO235" s="48">
        <v>808.73487731590342</v>
      </c>
      <c r="CP235" s="48">
        <v>78.713232603845825</v>
      </c>
      <c r="CQ235" s="48">
        <v>307.99348189576176</v>
      </c>
      <c r="CR235" s="48">
        <v>72.316540305786219</v>
      </c>
      <c r="CS235" s="48">
        <v>7.0550338150421856</v>
      </c>
      <c r="CT235" s="48">
        <v>24.445115394171562</v>
      </c>
      <c r="CU235" s="48">
        <v>0</v>
      </c>
      <c r="CV235" s="48">
        <v>1.7244487496991516</v>
      </c>
      <c r="CW235" s="48">
        <v>0</v>
      </c>
      <c r="CX235" s="48">
        <v>502.08675125223118</v>
      </c>
      <c r="CY235" s="48">
        <v>493.79114884840038</v>
      </c>
      <c r="CZ235" s="48">
        <v>1468.4716238340213</v>
      </c>
      <c r="DA235" s="48">
        <v>4351.9345795433255</v>
      </c>
      <c r="DB235" s="48">
        <v>352.65009456119543</v>
      </c>
      <c r="DC235" s="48">
        <v>22.47039333446271</v>
      </c>
      <c r="DD235" s="48">
        <v>1982.3761160191225</v>
      </c>
      <c r="DE235" s="48">
        <v>4804.4801864534184</v>
      </c>
      <c r="DF235" s="48">
        <v>5130.3263110578637</v>
      </c>
      <c r="DG235" s="48">
        <v>127.4120376400971</v>
      </c>
      <c r="DH235" s="48">
        <v>63.461785109246385</v>
      </c>
      <c r="DI235" s="48">
        <v>0</v>
      </c>
      <c r="DJ235" s="48">
        <v>3288.3453368816363</v>
      </c>
      <c r="DK235" s="48">
        <v>1566.2560818290121</v>
      </c>
      <c r="DL235" s="48">
        <v>1085.7916254011886</v>
      </c>
      <c r="DM235" s="48">
        <v>239.86361135738315</v>
      </c>
      <c r="DN235" s="48">
        <v>847.94022488815642</v>
      </c>
      <c r="DO235" s="48">
        <v>1578.8315188575264</v>
      </c>
      <c r="DP235" s="48">
        <v>2598.0580966381485</v>
      </c>
      <c r="DQ235" s="48">
        <v>4534.8651489652875</v>
      </c>
      <c r="DR235" s="48">
        <v>3437.6290033752139</v>
      </c>
      <c r="DS235" s="48">
        <v>3844.5738777439374</v>
      </c>
      <c r="DT235" s="48">
        <v>308.35941775719988</v>
      </c>
      <c r="DU235" s="48">
        <v>153.678629888915</v>
      </c>
      <c r="DV235" s="48">
        <v>2281.8561398545253</v>
      </c>
      <c r="DW235" s="48">
        <v>9229.1775180609129</v>
      </c>
      <c r="DX235" s="48">
        <v>4598.0969160251252</v>
      </c>
      <c r="DY235" s="48">
        <v>659.12194769522569</v>
      </c>
      <c r="DZ235" s="48">
        <v>580.29418222947663</v>
      </c>
      <c r="EA235" s="48">
        <v>286.78454811904362</v>
      </c>
      <c r="EB235" s="48">
        <v>206.02187810178216</v>
      </c>
      <c r="EC235" s="48">
        <v>780.57836411072185</v>
      </c>
      <c r="ED235" s="48">
        <v>86.967241955594275</v>
      </c>
      <c r="EE235" s="48">
        <v>24.000681417837061</v>
      </c>
      <c r="EF235" s="48">
        <v>83.726592917071514</v>
      </c>
      <c r="EG235" s="48">
        <v>29.142208191117103</v>
      </c>
      <c r="EH235" s="48">
        <v>3.9969332415145322</v>
      </c>
      <c r="EI235" s="48">
        <v>3928.4936265173069</v>
      </c>
      <c r="EJ235" s="48">
        <v>3712.3758918142348</v>
      </c>
      <c r="EK235" s="48">
        <v>1482.2694580622442</v>
      </c>
      <c r="EL235" s="48">
        <v>0</v>
      </c>
      <c r="EM235" s="48">
        <v>321.52649753413351</v>
      </c>
      <c r="EN235" s="48">
        <v>290.61880402518852</v>
      </c>
      <c r="EO235" s="48">
        <v>55.13568850709445</v>
      </c>
      <c r="EP235" s="48">
        <v>33.015723932307999</v>
      </c>
      <c r="EQ235" s="48">
        <v>125.90700111049141</v>
      </c>
      <c r="ER235" s="48">
        <v>4381.6969850310516</v>
      </c>
      <c r="ES235" s="48">
        <v>525.61863902388393</v>
      </c>
      <c r="ET235" s="48">
        <v>0</v>
      </c>
      <c r="EU235" s="48">
        <v>2134.9114697994205</v>
      </c>
      <c r="EV235" s="48">
        <v>1897.8425112407274</v>
      </c>
      <c r="EW235" s="48">
        <v>8186.7047135962393</v>
      </c>
      <c r="EX235" s="48">
        <v>0</v>
      </c>
      <c r="EY235" s="48">
        <v>0</v>
      </c>
      <c r="EZ235" s="48">
        <v>1.2125222188063582</v>
      </c>
      <c r="FA235" s="48">
        <v>3701.1039584495775</v>
      </c>
      <c r="FB235" s="48">
        <v>2785.9990658365459</v>
      </c>
      <c r="FC235" s="48">
        <v>2517.6660374970243</v>
      </c>
      <c r="FD235" s="48">
        <v>109.19034037532776</v>
      </c>
      <c r="FE235" s="48">
        <v>13.130177525414611</v>
      </c>
      <c r="FF235" s="48">
        <v>0.85756811436920821</v>
      </c>
      <c r="FG235" s="48">
        <v>0</v>
      </c>
      <c r="FH235" s="48">
        <v>240.85150688992786</v>
      </c>
      <c r="FI235" s="48">
        <v>129.57113314682857</v>
      </c>
      <c r="FJ235" s="48">
        <v>134.56259272220282</v>
      </c>
      <c r="FK235" s="48">
        <v>50.882075611595752</v>
      </c>
      <c r="FL235" s="48">
        <v>1.7378006635639507</v>
      </c>
      <c r="FM235" s="48">
        <v>164.24660586792939</v>
      </c>
      <c r="FN235" s="48">
        <v>39.98238592161254</v>
      </c>
      <c r="FO235" s="48">
        <v>22.888659455489726</v>
      </c>
      <c r="FP235" s="48">
        <v>6893.6881575289508</v>
      </c>
      <c r="FQ235" s="48">
        <v>192.56673823228581</v>
      </c>
      <c r="FR235" s="48">
        <v>5176.8981464573963</v>
      </c>
      <c r="FS235" s="48">
        <v>105.93246458534145</v>
      </c>
      <c r="FT235" s="48">
        <v>27.412414201753702</v>
      </c>
      <c r="FU235" s="48">
        <v>204.91368258007569</v>
      </c>
      <c r="FV235" s="48">
        <v>778.9486925822622</v>
      </c>
      <c r="FW235" s="48">
        <v>1443.9036933192074</v>
      </c>
      <c r="FX235" s="48">
        <v>3043.2288384521053</v>
      </c>
      <c r="FY235" s="48">
        <v>726.57287264264323</v>
      </c>
      <c r="FZ235" s="48">
        <v>14.845668022597529</v>
      </c>
      <c r="GA235" s="48">
        <v>150.05966886476378</v>
      </c>
      <c r="GB235" s="48">
        <v>307.87169952412279</v>
      </c>
      <c r="GC235" s="48">
        <v>26813.926056881155</v>
      </c>
      <c r="GD235" s="48">
        <v>6084.2877162477644</v>
      </c>
      <c r="GE235" s="48">
        <v>81.124802288306228</v>
      </c>
      <c r="GF235" s="48">
        <v>231.70760928027488</v>
      </c>
      <c r="GG235" s="48">
        <v>2378.1864510481882</v>
      </c>
      <c r="GH235" s="48">
        <v>2097.8724015944745</v>
      </c>
      <c r="GI235" s="48">
        <v>3.9650468338996898</v>
      </c>
      <c r="GJ235" s="48">
        <v>267.57418214001819</v>
      </c>
      <c r="GK235" s="48">
        <v>557.9359493173805</v>
      </c>
      <c r="GL235" s="48">
        <v>558.88856327986662</v>
      </c>
      <c r="GM235" s="48">
        <v>413.36621055348843</v>
      </c>
      <c r="GN235" s="48">
        <v>16.862567340445366</v>
      </c>
      <c r="GO235" s="48">
        <v>137.97673103413524</v>
      </c>
      <c r="GP235" s="48">
        <v>60.509856420575325</v>
      </c>
      <c r="GQ235" s="48">
        <v>447.37117753285196</v>
      </c>
      <c r="GR235" s="48">
        <v>0</v>
      </c>
      <c r="GS235" s="48">
        <v>0</v>
      </c>
      <c r="GT235" s="48">
        <v>45.591892944304391</v>
      </c>
      <c r="GU235" s="48">
        <v>2568.157165739015</v>
      </c>
      <c r="GV235" s="48">
        <v>14.944151994230065</v>
      </c>
      <c r="GW235" s="48">
        <v>3.6650536686195738</v>
      </c>
      <c r="GX235" s="48">
        <v>221.93568493446793</v>
      </c>
      <c r="GY235" s="48">
        <v>98.11306100948859</v>
      </c>
      <c r="GZ235" s="48">
        <v>175.6583409751255</v>
      </c>
      <c r="HA235" s="48">
        <v>405.79144629828801</v>
      </c>
      <c r="HB235" s="48">
        <v>223.72920316773724</v>
      </c>
      <c r="HC235" s="48">
        <v>505.00285317826052</v>
      </c>
      <c r="HD235" s="48">
        <v>171.27052024752817</v>
      </c>
      <c r="HE235" s="48">
        <v>8.5800391846889621</v>
      </c>
      <c r="HF235" s="48">
        <v>56.193690190659623</v>
      </c>
      <c r="HG235" s="48">
        <v>53.723008435108923</v>
      </c>
      <c r="HH235" s="48">
        <v>100.2418708582051</v>
      </c>
      <c r="HI235" s="48">
        <v>146.49330109321193</v>
      </c>
      <c r="HJ235" s="48">
        <v>164.78641757916355</v>
      </c>
      <c r="HK235" s="48">
        <v>8.3268361295550797</v>
      </c>
      <c r="HL235" s="48">
        <v>12.798875337792401</v>
      </c>
      <c r="HM235" s="48">
        <v>57.917290091734849</v>
      </c>
      <c r="HN235" s="48">
        <v>16.441475966824878</v>
      </c>
      <c r="HO235" s="48">
        <v>71.015253433291676</v>
      </c>
      <c r="HP235" s="48">
        <v>121.31822333062523</v>
      </c>
      <c r="HQ235" s="48">
        <v>18.989132030126914</v>
      </c>
      <c r="HR235" s="48">
        <v>40.470596947584639</v>
      </c>
      <c r="HS235" s="48">
        <v>67.37501503092173</v>
      </c>
      <c r="HT235" s="48">
        <v>41.213585168778629</v>
      </c>
      <c r="HU235" s="48">
        <v>55.372951229924688</v>
      </c>
      <c r="HV235" s="48">
        <v>0</v>
      </c>
      <c r="HW235" s="48">
        <v>0</v>
      </c>
      <c r="HX235" s="48">
        <v>1162.4904305021282</v>
      </c>
      <c r="HY235" s="48">
        <v>985.51379374290991</v>
      </c>
      <c r="HZ235" s="48">
        <v>1459.8173607742031</v>
      </c>
      <c r="IA235" s="48">
        <v>412.91443992635971</v>
      </c>
      <c r="IB235" s="48">
        <v>20.836785902165328</v>
      </c>
      <c r="IC235" s="48">
        <v>0</v>
      </c>
      <c r="ID235" s="48">
        <v>0</v>
      </c>
      <c r="IE235" s="48">
        <v>0</v>
      </c>
      <c r="IF235" s="48">
        <v>0</v>
      </c>
      <c r="IG235" s="48">
        <v>0</v>
      </c>
      <c r="IH235" s="48">
        <v>0</v>
      </c>
      <c r="II235" s="48">
        <v>0</v>
      </c>
      <c r="IJ235" s="48">
        <v>0</v>
      </c>
      <c r="IK235" s="48">
        <v>0</v>
      </c>
      <c r="IL235" s="48">
        <v>137.43572200084711</v>
      </c>
      <c r="IM235" s="48">
        <v>164.49839660770849</v>
      </c>
      <c r="IN235" s="48">
        <v>88.216628891732725</v>
      </c>
      <c r="IO235" s="48">
        <v>0</v>
      </c>
      <c r="IP235" s="23">
        <v>284564.99999999971</v>
      </c>
      <c r="IQ235" s="25">
        <v>18745</v>
      </c>
      <c r="IR235" s="25">
        <v>0</v>
      </c>
      <c r="IS235" s="26">
        <v>0</v>
      </c>
      <c r="IT235" s="26">
        <v>0</v>
      </c>
      <c r="IU235" s="26">
        <v>0</v>
      </c>
      <c r="IV235" s="9">
        <v>0</v>
      </c>
      <c r="IW235" s="38">
        <f t="shared" si="34"/>
        <v>303309.99999999971</v>
      </c>
    </row>
    <row r="236" spans="1:257" ht="30" customHeight="1" x14ac:dyDescent="0.25">
      <c r="A236" s="112" t="b">
        <v>0</v>
      </c>
      <c r="B236" s="113" t="str">
        <f>IFERROR(VLOOKUP(C236,'Bridge matrix'!$D$3:$E$727,2,FALSE)='symmetric IOT 245 2012'!D236,"FALSCH")</f>
        <v>FALSCH</v>
      </c>
      <c r="C236" s="108">
        <v>225</v>
      </c>
      <c r="D236" s="49" t="s">
        <v>1541</v>
      </c>
      <c r="E236" s="48">
        <v>1308.3614848036805</v>
      </c>
      <c r="F236" s="48">
        <v>162.05513271462328</v>
      </c>
      <c r="G236" s="48">
        <v>260.45696113133988</v>
      </c>
      <c r="H236" s="48">
        <v>19.990773117935571</v>
      </c>
      <c r="I236" s="48">
        <v>206.98127203591218</v>
      </c>
      <c r="J236" s="48">
        <v>736.88709939285502</v>
      </c>
      <c r="K236" s="48">
        <v>1635.1149711572505</v>
      </c>
      <c r="L236" s="48">
        <v>54.980607819731098</v>
      </c>
      <c r="M236" s="48">
        <v>2.9966320404833113</v>
      </c>
      <c r="N236" s="48">
        <v>11.143494312337864</v>
      </c>
      <c r="O236" s="48">
        <v>2021.8655032654663</v>
      </c>
      <c r="P236" s="48">
        <v>294.30258060742551</v>
      </c>
      <c r="Q236" s="48">
        <v>27.827913988698992</v>
      </c>
      <c r="R236" s="48">
        <v>1466.9742322333414</v>
      </c>
      <c r="S236" s="48">
        <v>4.9728879129835057</v>
      </c>
      <c r="T236" s="48">
        <v>75.706791094616818</v>
      </c>
      <c r="U236" s="48">
        <v>9.5940421953043487</v>
      </c>
      <c r="V236" s="48">
        <v>21.100389666744395</v>
      </c>
      <c r="W236" s="48">
        <v>31.605510108333807</v>
      </c>
      <c r="X236" s="48">
        <v>0</v>
      </c>
      <c r="Y236" s="48">
        <v>14.376840032082077</v>
      </c>
      <c r="Z236" s="48">
        <v>38.572293748085301</v>
      </c>
      <c r="AA236" s="48">
        <v>2.8798316428447093</v>
      </c>
      <c r="AB236" s="48">
        <v>2.8910563465253034</v>
      </c>
      <c r="AC236" s="48">
        <v>0.97081414082593132</v>
      </c>
      <c r="AD236" s="48">
        <v>9.5881590265876113</v>
      </c>
      <c r="AE236" s="48">
        <v>14.398224586850834</v>
      </c>
      <c r="AF236" s="48">
        <v>6.7077703868836096</v>
      </c>
      <c r="AG236" s="48">
        <v>15.351589657446342</v>
      </c>
      <c r="AH236" s="48">
        <v>25.853701774419125</v>
      </c>
      <c r="AI236" s="48">
        <v>22.028098356840733</v>
      </c>
      <c r="AJ236" s="48">
        <v>14.381528522915231</v>
      </c>
      <c r="AK236" s="48">
        <v>41.157927135027059</v>
      </c>
      <c r="AL236" s="48">
        <v>13.395492258082808</v>
      </c>
      <c r="AM236" s="48">
        <v>0.9440239751987215</v>
      </c>
      <c r="AN236" s="48">
        <v>15.34663736301497</v>
      </c>
      <c r="AO236" s="48">
        <v>9.5792301591313613</v>
      </c>
      <c r="AP236" s="48">
        <v>36.456625924539246</v>
      </c>
      <c r="AQ236" s="48">
        <v>14.374336538735793</v>
      </c>
      <c r="AR236" s="48">
        <v>22.985287106401941</v>
      </c>
      <c r="AS236" s="48">
        <v>20.457976684324283</v>
      </c>
      <c r="AT236" s="48">
        <v>487.27382852763554</v>
      </c>
      <c r="AU236" s="48">
        <v>62.039703176885617</v>
      </c>
      <c r="AV236" s="48">
        <v>29.040873150537788</v>
      </c>
      <c r="AW236" s="48">
        <v>18.519462688274256</v>
      </c>
      <c r="AX236" s="48">
        <v>979.20305609129639</v>
      </c>
      <c r="AY236" s="48">
        <v>161.23082910175</v>
      </c>
      <c r="AZ236" s="48">
        <v>25.031558190554932</v>
      </c>
      <c r="BA236" s="48">
        <v>46.065767924222754</v>
      </c>
      <c r="BB236" s="48">
        <v>1017.7263747873358</v>
      </c>
      <c r="BC236" s="48">
        <v>168.82333563959023</v>
      </c>
      <c r="BD236" s="48">
        <v>1141.5270378326661</v>
      </c>
      <c r="BE236" s="48">
        <v>7672.3763511398556</v>
      </c>
      <c r="BF236" s="48">
        <v>247.92143403454648</v>
      </c>
      <c r="BG236" s="48">
        <v>16.330007567824026</v>
      </c>
      <c r="BH236" s="48">
        <v>1550.6417667845208</v>
      </c>
      <c r="BI236" s="48">
        <v>187.99346563411515</v>
      </c>
      <c r="BJ236" s="48">
        <v>1196.2209715247845</v>
      </c>
      <c r="BK236" s="48">
        <v>237.95055222926604</v>
      </c>
      <c r="BL236" s="48">
        <v>2.0432607301071406</v>
      </c>
      <c r="BM236" s="48">
        <v>682.18320915132176</v>
      </c>
      <c r="BN236" s="48">
        <v>59.067043301523881</v>
      </c>
      <c r="BO236" s="48">
        <v>0</v>
      </c>
      <c r="BP236" s="48">
        <v>321.46966960135916</v>
      </c>
      <c r="BQ236" s="48">
        <v>43.346124121601548</v>
      </c>
      <c r="BR236" s="48">
        <v>2.0291379793789943</v>
      </c>
      <c r="BS236" s="48">
        <v>3.044818130548633</v>
      </c>
      <c r="BT236" s="48">
        <v>573.30716871497009</v>
      </c>
      <c r="BU236" s="48">
        <v>3270.1685589017975</v>
      </c>
      <c r="BV236" s="48">
        <v>340.16755916473784</v>
      </c>
      <c r="BW236" s="48">
        <v>174.64499362625276</v>
      </c>
      <c r="BX236" s="48">
        <v>15.725550122442645</v>
      </c>
      <c r="BY236" s="48">
        <v>207.16394944992558</v>
      </c>
      <c r="BZ236" s="48">
        <v>150.87896757458239</v>
      </c>
      <c r="CA236" s="48">
        <v>393.62988816417692</v>
      </c>
      <c r="CB236" s="48">
        <v>1.9922274880811628</v>
      </c>
      <c r="CC236" s="48">
        <v>0</v>
      </c>
      <c r="CD236" s="48">
        <v>293.6933538089051</v>
      </c>
      <c r="CE236" s="48">
        <v>20.904915481387132</v>
      </c>
      <c r="CF236" s="48">
        <v>2.9859294594835433</v>
      </c>
      <c r="CG236" s="48">
        <v>471.28448836202131</v>
      </c>
      <c r="CH236" s="48">
        <v>43.118062430456817</v>
      </c>
      <c r="CI236" s="48">
        <v>83.71420988326426</v>
      </c>
      <c r="CJ236" s="48">
        <v>75.880824846433512</v>
      </c>
      <c r="CK236" s="48">
        <v>6.6072387762166223</v>
      </c>
      <c r="CL236" s="48">
        <v>0</v>
      </c>
      <c r="CM236" s="48">
        <v>29.475129044864016</v>
      </c>
      <c r="CN236" s="48">
        <v>0</v>
      </c>
      <c r="CO236" s="48">
        <v>0</v>
      </c>
      <c r="CP236" s="48">
        <v>0</v>
      </c>
      <c r="CQ236" s="48">
        <v>0</v>
      </c>
      <c r="CR236" s="48">
        <v>0</v>
      </c>
      <c r="CS236" s="48">
        <v>44.164072957160812</v>
      </c>
      <c r="CT236" s="48">
        <v>203.41474111721328</v>
      </c>
      <c r="CU236" s="48">
        <v>94.005902840305211</v>
      </c>
      <c r="CV236" s="48">
        <v>35.834468818109009</v>
      </c>
      <c r="CW236" s="48">
        <v>29.125771849725975</v>
      </c>
      <c r="CX236" s="48">
        <v>471.47895096774039</v>
      </c>
      <c r="CY236" s="48">
        <v>439.22884466921374</v>
      </c>
      <c r="CZ236" s="48">
        <v>198.52822147700567</v>
      </c>
      <c r="DA236" s="48">
        <v>599.83165370270831</v>
      </c>
      <c r="DB236" s="48">
        <v>48.583067710458408</v>
      </c>
      <c r="DC236" s="48">
        <v>3.4641091892120368</v>
      </c>
      <c r="DD236" s="48">
        <v>217.83797527166431</v>
      </c>
      <c r="DE236" s="48">
        <v>75.453971484463025</v>
      </c>
      <c r="DF236" s="48">
        <v>397.1755499859039</v>
      </c>
      <c r="DG236" s="48">
        <v>210.42555289466182</v>
      </c>
      <c r="DH236" s="48">
        <v>106.40043308475607</v>
      </c>
      <c r="DI236" s="48">
        <v>0</v>
      </c>
      <c r="DJ236" s="48">
        <v>143.62759072673686</v>
      </c>
      <c r="DK236" s="48">
        <v>0</v>
      </c>
      <c r="DL236" s="48">
        <v>2029.4051728980558</v>
      </c>
      <c r="DM236" s="48">
        <v>717.76757710823472</v>
      </c>
      <c r="DN236" s="48">
        <v>647.2753291054679</v>
      </c>
      <c r="DO236" s="48">
        <v>0</v>
      </c>
      <c r="DP236" s="48">
        <v>175.8478554050717</v>
      </c>
      <c r="DQ236" s="48">
        <v>306.21460082652249</v>
      </c>
      <c r="DR236" s="48">
        <v>231.65838421292059</v>
      </c>
      <c r="DS236" s="48">
        <v>1135.0402384739211</v>
      </c>
      <c r="DT236" s="48">
        <v>36.687857562665563</v>
      </c>
      <c r="DU236" s="48">
        <v>18.320310796946487</v>
      </c>
      <c r="DV236" s="48">
        <v>273.13739035556637</v>
      </c>
      <c r="DW236" s="48">
        <v>874.78323770365284</v>
      </c>
      <c r="DX236" s="48">
        <v>435.73353412668382</v>
      </c>
      <c r="DY236" s="48">
        <v>61.500689804554078</v>
      </c>
      <c r="DZ236" s="48">
        <v>55.243070951482636</v>
      </c>
      <c r="EA236" s="48">
        <v>1560.891439920684</v>
      </c>
      <c r="EB236" s="48">
        <v>1046.4001467917342</v>
      </c>
      <c r="EC236" s="48">
        <v>4217.7991234220553</v>
      </c>
      <c r="ED236" s="48">
        <v>463.26409521814321</v>
      </c>
      <c r="EE236" s="48">
        <v>131.01089858653953</v>
      </c>
      <c r="EF236" s="48">
        <v>449.66745484769336</v>
      </c>
      <c r="EG236" s="48">
        <v>157.77853172725278</v>
      </c>
      <c r="EH236" s="48">
        <v>21.984337533714257</v>
      </c>
      <c r="EI236" s="48">
        <v>286.55172189730229</v>
      </c>
      <c r="EJ236" s="48">
        <v>324.11179667308363</v>
      </c>
      <c r="EK236" s="48">
        <v>131.27841304780407</v>
      </c>
      <c r="EL236" s="48">
        <v>843.38707208413064</v>
      </c>
      <c r="EM236" s="48">
        <v>1689.9193489700094</v>
      </c>
      <c r="EN236" s="48">
        <v>1688.7817374948663</v>
      </c>
      <c r="EO236" s="48">
        <v>219.14554173799144</v>
      </c>
      <c r="EP236" s="48">
        <v>527.4366601866609</v>
      </c>
      <c r="EQ236" s="48">
        <v>511.27520230499925</v>
      </c>
      <c r="ER236" s="48">
        <v>155.66793414456845</v>
      </c>
      <c r="ES236" s="48">
        <v>18.655856307235847</v>
      </c>
      <c r="ET236" s="48">
        <v>534.70327711228413</v>
      </c>
      <c r="EU236" s="48">
        <v>83.044916049519529</v>
      </c>
      <c r="EV236" s="48">
        <v>74.232543118855588</v>
      </c>
      <c r="EW236" s="48">
        <v>316.71531507512032</v>
      </c>
      <c r="EX236" s="48">
        <v>788.57293778935593</v>
      </c>
      <c r="EY236" s="48">
        <v>41.692821428023628</v>
      </c>
      <c r="EZ236" s="48">
        <v>54.14226104518049</v>
      </c>
      <c r="FA236" s="48">
        <v>252.01377961123237</v>
      </c>
      <c r="FB236" s="48">
        <v>239.19779913367299</v>
      </c>
      <c r="FC236" s="48">
        <v>217.81731901695832</v>
      </c>
      <c r="FD236" s="48">
        <v>2008.886046666076</v>
      </c>
      <c r="FE236" s="48">
        <v>234.75436064698209</v>
      </c>
      <c r="FF236" s="48">
        <v>10.780777415387316</v>
      </c>
      <c r="FG236" s="48">
        <v>1404.7360061872785</v>
      </c>
      <c r="FH236" s="48">
        <v>1139.9400381749031</v>
      </c>
      <c r="FI236" s="48">
        <v>478.83235720897386</v>
      </c>
      <c r="FJ236" s="48">
        <v>756.53064789827954</v>
      </c>
      <c r="FK236" s="48">
        <v>222.05943147381822</v>
      </c>
      <c r="FL236" s="48">
        <v>7.6260033248847652</v>
      </c>
      <c r="FM236" s="48">
        <v>712.94707101081679</v>
      </c>
      <c r="FN236" s="48">
        <v>172.24169391847673</v>
      </c>
      <c r="FO236" s="48">
        <v>99.861743045682729</v>
      </c>
      <c r="FP236" s="48">
        <v>324.61781953938299</v>
      </c>
      <c r="FQ236" s="48">
        <v>9.8805814821825528</v>
      </c>
      <c r="FR236" s="48">
        <v>1165.9167802584896</v>
      </c>
      <c r="FS236" s="48">
        <v>27.731123822901985</v>
      </c>
      <c r="FT236" s="48">
        <v>7.0105540641158237</v>
      </c>
      <c r="FU236" s="48">
        <v>54.015765070063679</v>
      </c>
      <c r="FV236" s="48">
        <v>203.36119331005506</v>
      </c>
      <c r="FW236" s="48">
        <v>1224.1967924149653</v>
      </c>
      <c r="FX236" s="48">
        <v>2150.811526554638</v>
      </c>
      <c r="FY236" s="48">
        <v>3735.6575921929157</v>
      </c>
      <c r="FZ236" s="48">
        <v>101.59039486204266</v>
      </c>
      <c r="GA236" s="48">
        <v>2032.308130574083</v>
      </c>
      <c r="GB236" s="48">
        <v>7311.4220073647393</v>
      </c>
      <c r="GC236" s="48">
        <v>21160.522770419197</v>
      </c>
      <c r="GD236" s="48">
        <v>1313.3129263779051</v>
      </c>
      <c r="GE236" s="48">
        <v>2672.2424784971222</v>
      </c>
      <c r="GF236" s="48">
        <v>8852.6835451798597</v>
      </c>
      <c r="GG236" s="48">
        <v>17344.082097003902</v>
      </c>
      <c r="GH236" s="48">
        <v>15293.933927791943</v>
      </c>
      <c r="GI236" s="48">
        <v>26.999523758751046</v>
      </c>
      <c r="GJ236" s="48">
        <v>1952.4375963471205</v>
      </c>
      <c r="GK236" s="48">
        <v>4067.9494716870631</v>
      </c>
      <c r="GL236" s="48">
        <v>4070.6359909364091</v>
      </c>
      <c r="GM236" s="48">
        <v>3015.1259204778908</v>
      </c>
      <c r="GN236" s="48">
        <v>122.16273084765218</v>
      </c>
      <c r="GO236" s="48">
        <v>1011.8710720994441</v>
      </c>
      <c r="GP236" s="48">
        <v>440.63007400316638</v>
      </c>
      <c r="GQ236" s="48">
        <v>3262.6980716695016</v>
      </c>
      <c r="GR236" s="48">
        <v>1048.2395472402534</v>
      </c>
      <c r="GS236" s="48">
        <v>51360.409974565606</v>
      </c>
      <c r="GT236" s="48">
        <v>1438.1356452901171</v>
      </c>
      <c r="GU236" s="48">
        <v>124531.08904584951</v>
      </c>
      <c r="GV236" s="48">
        <v>803.04310592574814</v>
      </c>
      <c r="GW236" s="48">
        <v>95.63041172175592</v>
      </c>
      <c r="GX236" s="48">
        <v>10662.512201485553</v>
      </c>
      <c r="GY236" s="48">
        <v>254.98681930436493</v>
      </c>
      <c r="GZ236" s="48">
        <v>12.115032226867276</v>
      </c>
      <c r="HA236" s="48">
        <v>883.38760642151783</v>
      </c>
      <c r="HB236" s="48">
        <v>236.69304076505955</v>
      </c>
      <c r="HC236" s="48">
        <v>534.39976202618766</v>
      </c>
      <c r="HD236" s="48">
        <v>180.24826893255749</v>
      </c>
      <c r="HE236" s="48">
        <v>169.37049773773512</v>
      </c>
      <c r="HF236" s="48">
        <v>840.64365699922394</v>
      </c>
      <c r="HG236" s="48">
        <v>803.33946680000429</v>
      </c>
      <c r="HH236" s="48">
        <v>1513.4221891752131</v>
      </c>
      <c r="HI236" s="48">
        <v>2207.6993090163692</v>
      </c>
      <c r="HJ236" s="48">
        <v>2511.372098518083</v>
      </c>
      <c r="HK236" s="48">
        <v>118.82897169711042</v>
      </c>
      <c r="HL236" s="48">
        <v>188.13937446879282</v>
      </c>
      <c r="HM236" s="48">
        <v>866.61451860045793</v>
      </c>
      <c r="HN236" s="48">
        <v>253.36833344757503</v>
      </c>
      <c r="HO236" s="48">
        <v>1067.5187323473679</v>
      </c>
      <c r="HP236" s="48">
        <v>1830.5866427489202</v>
      </c>
      <c r="HQ236" s="48">
        <v>285.78646893750619</v>
      </c>
      <c r="HR236" s="48">
        <v>609.04023605184386</v>
      </c>
      <c r="HS236" s="48">
        <v>1016.8988990354586</v>
      </c>
      <c r="HT236" s="48">
        <v>626.55980329092472</v>
      </c>
      <c r="HU236" s="48">
        <v>827.88355105175708</v>
      </c>
      <c r="HV236" s="48">
        <v>0</v>
      </c>
      <c r="HW236" s="48">
        <v>0</v>
      </c>
      <c r="HX236" s="48">
        <v>1641.5876311245411</v>
      </c>
      <c r="HY236" s="48">
        <v>1391.8459167532694</v>
      </c>
      <c r="HZ236" s="48">
        <v>2062.1073649751334</v>
      </c>
      <c r="IA236" s="48">
        <v>582.07057397400479</v>
      </c>
      <c r="IB236" s="48">
        <v>29.788401659857399</v>
      </c>
      <c r="IC236" s="48">
        <v>0</v>
      </c>
      <c r="ID236" s="48">
        <v>0</v>
      </c>
      <c r="IE236" s="48">
        <v>0</v>
      </c>
      <c r="IF236" s="48">
        <v>0</v>
      </c>
      <c r="IG236" s="48">
        <v>1939.2225102019029</v>
      </c>
      <c r="IH236" s="48">
        <v>139.55632795156373</v>
      </c>
      <c r="II236" s="48">
        <v>42.620808038157591</v>
      </c>
      <c r="IJ236" s="48">
        <v>0</v>
      </c>
      <c r="IK236" s="48">
        <v>901.07356662232542</v>
      </c>
      <c r="IL236" s="48">
        <v>1619.6012001253594</v>
      </c>
      <c r="IM236" s="48">
        <v>1946.5362398153488</v>
      </c>
      <c r="IN236" s="48">
        <v>1033.6268218365831</v>
      </c>
      <c r="IO236" s="48">
        <v>0</v>
      </c>
      <c r="IP236" s="23">
        <v>389886.99999999936</v>
      </c>
      <c r="IQ236" s="25">
        <v>11250</v>
      </c>
      <c r="IR236" s="25">
        <v>0</v>
      </c>
      <c r="IS236" s="26">
        <v>0</v>
      </c>
      <c r="IT236" s="26">
        <v>0</v>
      </c>
      <c r="IU236" s="26">
        <v>0</v>
      </c>
      <c r="IV236" s="9">
        <v>0</v>
      </c>
      <c r="IW236" s="38">
        <f t="shared" si="34"/>
        <v>401136.99999999936</v>
      </c>
    </row>
    <row r="237" spans="1:257" ht="30" customHeight="1" x14ac:dyDescent="0.25">
      <c r="A237" s="112" t="b">
        <v>0</v>
      </c>
      <c r="B237" s="113" t="str">
        <f>IFERROR(VLOOKUP(C237,'Bridge matrix'!$D$3:$E$727,2,FALSE)='symmetric IOT 245 2012'!D237,"FALSCH")</f>
        <v>FALSCH</v>
      </c>
      <c r="C237" s="108">
        <v>226</v>
      </c>
      <c r="D237" s="49" t="s">
        <v>1542</v>
      </c>
      <c r="E237" s="48">
        <v>0</v>
      </c>
      <c r="F237" s="48">
        <v>0</v>
      </c>
      <c r="G237" s="48">
        <v>0</v>
      </c>
      <c r="H237" s="48">
        <v>0</v>
      </c>
      <c r="I237" s="48">
        <v>0</v>
      </c>
      <c r="J237" s="48">
        <v>0</v>
      </c>
      <c r="K237" s="48">
        <v>0</v>
      </c>
      <c r="L237" s="48">
        <v>0</v>
      </c>
      <c r="M237" s="48">
        <v>0</v>
      </c>
      <c r="N237" s="48">
        <v>0</v>
      </c>
      <c r="O237" s="48">
        <v>0</v>
      </c>
      <c r="P237" s="48">
        <v>0</v>
      </c>
      <c r="Q237" s="48">
        <v>0</v>
      </c>
      <c r="R237" s="48">
        <v>0</v>
      </c>
      <c r="S237" s="48">
        <v>0</v>
      </c>
      <c r="T237" s="48">
        <v>0</v>
      </c>
      <c r="U237" s="48">
        <v>0</v>
      </c>
      <c r="V237" s="48">
        <v>0</v>
      </c>
      <c r="W237" s="48">
        <v>0</v>
      </c>
      <c r="X237" s="48">
        <v>0</v>
      </c>
      <c r="Y237" s="48">
        <v>0</v>
      </c>
      <c r="Z237" s="48">
        <v>0</v>
      </c>
      <c r="AA237" s="48">
        <v>0</v>
      </c>
      <c r="AB237" s="48">
        <v>0</v>
      </c>
      <c r="AC237" s="48">
        <v>0</v>
      </c>
      <c r="AD237" s="48">
        <v>0</v>
      </c>
      <c r="AE237" s="48">
        <v>0</v>
      </c>
      <c r="AF237" s="48">
        <v>0</v>
      </c>
      <c r="AG237" s="48">
        <v>0</v>
      </c>
      <c r="AH237" s="48">
        <v>0</v>
      </c>
      <c r="AI237" s="48">
        <v>0</v>
      </c>
      <c r="AJ237" s="48">
        <v>0</v>
      </c>
      <c r="AK237" s="48">
        <v>0</v>
      </c>
      <c r="AL237" s="48">
        <v>0</v>
      </c>
      <c r="AM237" s="48">
        <v>0</v>
      </c>
      <c r="AN237" s="48">
        <v>0</v>
      </c>
      <c r="AO237" s="48">
        <v>0</v>
      </c>
      <c r="AP237" s="48">
        <v>0</v>
      </c>
      <c r="AQ237" s="48">
        <v>0</v>
      </c>
      <c r="AR237" s="48">
        <v>0</v>
      </c>
      <c r="AS237" s="48">
        <v>0</v>
      </c>
      <c r="AT237" s="48">
        <v>0</v>
      </c>
      <c r="AU237" s="48">
        <v>0</v>
      </c>
      <c r="AV237" s="48">
        <v>0</v>
      </c>
      <c r="AW237" s="48">
        <v>0</v>
      </c>
      <c r="AX237" s="48">
        <v>0</v>
      </c>
      <c r="AY237" s="48">
        <v>0</v>
      </c>
      <c r="AZ237" s="48">
        <v>0</v>
      </c>
      <c r="BA237" s="48">
        <v>0</v>
      </c>
      <c r="BB237" s="48">
        <v>0</v>
      </c>
      <c r="BC237" s="48">
        <v>0</v>
      </c>
      <c r="BD237" s="48">
        <v>0</v>
      </c>
      <c r="BE237" s="48">
        <v>0</v>
      </c>
      <c r="BF237" s="48">
        <v>0</v>
      </c>
      <c r="BG237" s="48">
        <v>0</v>
      </c>
      <c r="BH237" s="48">
        <v>0</v>
      </c>
      <c r="BI237" s="48">
        <v>0</v>
      </c>
      <c r="BJ237" s="48">
        <v>0</v>
      </c>
      <c r="BK237" s="48">
        <v>0</v>
      </c>
      <c r="BL237" s="48">
        <v>0</v>
      </c>
      <c r="BM237" s="48">
        <v>0</v>
      </c>
      <c r="BN237" s="48">
        <v>0</v>
      </c>
      <c r="BO237" s="48">
        <v>0</v>
      </c>
      <c r="BP237" s="48">
        <v>0</v>
      </c>
      <c r="BQ237" s="48">
        <v>0</v>
      </c>
      <c r="BR237" s="48">
        <v>0</v>
      </c>
      <c r="BS237" s="48">
        <v>0</v>
      </c>
      <c r="BT237" s="48">
        <v>0</v>
      </c>
      <c r="BU237" s="48">
        <v>0</v>
      </c>
      <c r="BV237" s="48">
        <v>0</v>
      </c>
      <c r="BW237" s="48">
        <v>0</v>
      </c>
      <c r="BX237" s="48">
        <v>0</v>
      </c>
      <c r="BY237" s="48">
        <v>0</v>
      </c>
      <c r="BZ237" s="48">
        <v>0</v>
      </c>
      <c r="CA237" s="48">
        <v>0</v>
      </c>
      <c r="CB237" s="48">
        <v>0</v>
      </c>
      <c r="CC237" s="48">
        <v>0</v>
      </c>
      <c r="CD237" s="48">
        <v>0</v>
      </c>
      <c r="CE237" s="48">
        <v>0</v>
      </c>
      <c r="CF237" s="48">
        <v>0</v>
      </c>
      <c r="CG237" s="48">
        <v>0</v>
      </c>
      <c r="CH237" s="48">
        <v>0</v>
      </c>
      <c r="CI237" s="48">
        <v>0</v>
      </c>
      <c r="CJ237" s="48">
        <v>0</v>
      </c>
      <c r="CK237" s="48">
        <v>0</v>
      </c>
      <c r="CL237" s="48">
        <v>0</v>
      </c>
      <c r="CM237" s="48">
        <v>0</v>
      </c>
      <c r="CN237" s="48">
        <v>0</v>
      </c>
      <c r="CO237" s="48">
        <v>0</v>
      </c>
      <c r="CP237" s="48">
        <v>0</v>
      </c>
      <c r="CQ237" s="48">
        <v>0</v>
      </c>
      <c r="CR237" s="48">
        <v>0</v>
      </c>
      <c r="CS237" s="48">
        <v>0</v>
      </c>
      <c r="CT237" s="48">
        <v>0</v>
      </c>
      <c r="CU237" s="48">
        <v>0</v>
      </c>
      <c r="CV237" s="48">
        <v>0</v>
      </c>
      <c r="CW237" s="48">
        <v>0</v>
      </c>
      <c r="CX237" s="48">
        <v>0</v>
      </c>
      <c r="CY237" s="48">
        <v>0</v>
      </c>
      <c r="CZ237" s="48">
        <v>0</v>
      </c>
      <c r="DA237" s="48">
        <v>0</v>
      </c>
      <c r="DB237" s="48">
        <v>0</v>
      </c>
      <c r="DC237" s="48">
        <v>0</v>
      </c>
      <c r="DD237" s="48">
        <v>0</v>
      </c>
      <c r="DE237" s="48">
        <v>0</v>
      </c>
      <c r="DF237" s="48">
        <v>0</v>
      </c>
      <c r="DG237" s="48">
        <v>0</v>
      </c>
      <c r="DH237" s="48">
        <v>0</v>
      </c>
      <c r="DI237" s="48">
        <v>0</v>
      </c>
      <c r="DJ237" s="48">
        <v>0</v>
      </c>
      <c r="DK237" s="48">
        <v>0</v>
      </c>
      <c r="DL237" s="48">
        <v>0</v>
      </c>
      <c r="DM237" s="48">
        <v>0</v>
      </c>
      <c r="DN237" s="48">
        <v>0</v>
      </c>
      <c r="DO237" s="48">
        <v>0</v>
      </c>
      <c r="DP237" s="48">
        <v>0</v>
      </c>
      <c r="DQ237" s="48">
        <v>0</v>
      </c>
      <c r="DR237" s="48">
        <v>0</v>
      </c>
      <c r="DS237" s="48">
        <v>0</v>
      </c>
      <c r="DT237" s="48">
        <v>0</v>
      </c>
      <c r="DU237" s="48">
        <v>0</v>
      </c>
      <c r="DV237" s="48">
        <v>0</v>
      </c>
      <c r="DW237" s="48">
        <v>0</v>
      </c>
      <c r="DX237" s="48">
        <v>0</v>
      </c>
      <c r="DY237" s="48">
        <v>0</v>
      </c>
      <c r="DZ237" s="48">
        <v>0</v>
      </c>
      <c r="EA237" s="48">
        <v>0</v>
      </c>
      <c r="EB237" s="48">
        <v>0</v>
      </c>
      <c r="EC237" s="48">
        <v>0</v>
      </c>
      <c r="ED237" s="48">
        <v>0</v>
      </c>
      <c r="EE237" s="48">
        <v>0</v>
      </c>
      <c r="EF237" s="48">
        <v>0</v>
      </c>
      <c r="EG237" s="48">
        <v>0</v>
      </c>
      <c r="EH237" s="48">
        <v>0</v>
      </c>
      <c r="EI237" s="48">
        <v>0</v>
      </c>
      <c r="EJ237" s="48">
        <v>0</v>
      </c>
      <c r="EK237" s="48">
        <v>0</v>
      </c>
      <c r="EL237" s="48">
        <v>0</v>
      </c>
      <c r="EM237" s="48">
        <v>0</v>
      </c>
      <c r="EN237" s="48">
        <v>0</v>
      </c>
      <c r="EO237" s="48">
        <v>0</v>
      </c>
      <c r="EP237" s="48">
        <v>0</v>
      </c>
      <c r="EQ237" s="48">
        <v>0</v>
      </c>
      <c r="ER237" s="48">
        <v>0</v>
      </c>
      <c r="ES237" s="48">
        <v>0</v>
      </c>
      <c r="ET237" s="48">
        <v>0</v>
      </c>
      <c r="EU237" s="48">
        <v>0</v>
      </c>
      <c r="EV237" s="48">
        <v>0</v>
      </c>
      <c r="EW237" s="48">
        <v>0</v>
      </c>
      <c r="EX237" s="48">
        <v>0</v>
      </c>
      <c r="EY237" s="48">
        <v>0</v>
      </c>
      <c r="EZ237" s="48">
        <v>0</v>
      </c>
      <c r="FA237" s="48">
        <v>0</v>
      </c>
      <c r="FB237" s="48">
        <v>0</v>
      </c>
      <c r="FC237" s="48">
        <v>0</v>
      </c>
      <c r="FD237" s="48">
        <v>0</v>
      </c>
      <c r="FE237" s="48">
        <v>0</v>
      </c>
      <c r="FF237" s="48">
        <v>0</v>
      </c>
      <c r="FG237" s="48">
        <v>0</v>
      </c>
      <c r="FH237" s="48">
        <v>0</v>
      </c>
      <c r="FI237" s="48">
        <v>0</v>
      </c>
      <c r="FJ237" s="48">
        <v>0</v>
      </c>
      <c r="FK237" s="48">
        <v>0</v>
      </c>
      <c r="FL237" s="48">
        <v>0</v>
      </c>
      <c r="FM237" s="48">
        <v>0</v>
      </c>
      <c r="FN237" s="48">
        <v>0</v>
      </c>
      <c r="FO237" s="48">
        <v>0</v>
      </c>
      <c r="FP237" s="48">
        <v>0</v>
      </c>
      <c r="FQ237" s="48">
        <v>0</v>
      </c>
      <c r="FR237" s="48">
        <v>0</v>
      </c>
      <c r="FS237" s="48">
        <v>0</v>
      </c>
      <c r="FT237" s="48">
        <v>0</v>
      </c>
      <c r="FU237" s="48">
        <v>0</v>
      </c>
      <c r="FV237" s="48">
        <v>0</v>
      </c>
      <c r="FW237" s="48">
        <v>0</v>
      </c>
      <c r="FX237" s="48">
        <v>0</v>
      </c>
      <c r="FY237" s="48">
        <v>0</v>
      </c>
      <c r="FZ237" s="48">
        <v>0</v>
      </c>
      <c r="GA237" s="48">
        <v>0</v>
      </c>
      <c r="GB237" s="48">
        <v>0</v>
      </c>
      <c r="GC237" s="48">
        <v>0</v>
      </c>
      <c r="GD237" s="48">
        <v>0</v>
      </c>
      <c r="GE237" s="48">
        <v>0</v>
      </c>
      <c r="GF237" s="48">
        <v>0</v>
      </c>
      <c r="GG237" s="48">
        <v>0</v>
      </c>
      <c r="GH237" s="48">
        <v>0</v>
      </c>
      <c r="GI237" s="48">
        <v>0</v>
      </c>
      <c r="GJ237" s="48">
        <v>0</v>
      </c>
      <c r="GK237" s="48">
        <v>0</v>
      </c>
      <c r="GL237" s="48">
        <v>0</v>
      </c>
      <c r="GM237" s="48">
        <v>0</v>
      </c>
      <c r="GN237" s="48">
        <v>0</v>
      </c>
      <c r="GO237" s="48">
        <v>0</v>
      </c>
      <c r="GP237" s="48">
        <v>0</v>
      </c>
      <c r="GQ237" s="48">
        <v>0</v>
      </c>
      <c r="GR237" s="48">
        <v>0</v>
      </c>
      <c r="GS237" s="48">
        <v>0</v>
      </c>
      <c r="GT237" s="48">
        <v>0</v>
      </c>
      <c r="GU237" s="48">
        <v>0</v>
      </c>
      <c r="GV237" s="48">
        <v>0</v>
      </c>
      <c r="GW237" s="48">
        <v>0</v>
      </c>
      <c r="GX237" s="48">
        <v>0</v>
      </c>
      <c r="GY237" s="48">
        <v>0</v>
      </c>
      <c r="GZ237" s="48">
        <v>0</v>
      </c>
      <c r="HA237" s="48">
        <v>0</v>
      </c>
      <c r="HB237" s="48">
        <v>0</v>
      </c>
      <c r="HC237" s="48">
        <v>0</v>
      </c>
      <c r="HD237" s="48">
        <v>0</v>
      </c>
      <c r="HE237" s="48">
        <v>0</v>
      </c>
      <c r="HF237" s="48">
        <v>0</v>
      </c>
      <c r="HG237" s="48">
        <v>0</v>
      </c>
      <c r="HH237" s="48">
        <v>0</v>
      </c>
      <c r="HI237" s="48">
        <v>0</v>
      </c>
      <c r="HJ237" s="48">
        <v>0</v>
      </c>
      <c r="HK237" s="48">
        <v>0</v>
      </c>
      <c r="HL237" s="48">
        <v>0</v>
      </c>
      <c r="HM237" s="48">
        <v>0</v>
      </c>
      <c r="HN237" s="48">
        <v>0</v>
      </c>
      <c r="HO237" s="48">
        <v>0</v>
      </c>
      <c r="HP237" s="48">
        <v>0</v>
      </c>
      <c r="HQ237" s="48">
        <v>0</v>
      </c>
      <c r="HR237" s="48">
        <v>0</v>
      </c>
      <c r="HS237" s="48">
        <v>0</v>
      </c>
      <c r="HT237" s="48">
        <v>0</v>
      </c>
      <c r="HU237" s="48">
        <v>0</v>
      </c>
      <c r="HV237" s="48">
        <v>0</v>
      </c>
      <c r="HW237" s="48">
        <v>0</v>
      </c>
      <c r="HX237" s="48">
        <v>0</v>
      </c>
      <c r="HY237" s="48">
        <v>0</v>
      </c>
      <c r="HZ237" s="48">
        <v>0</v>
      </c>
      <c r="IA237" s="48">
        <v>0</v>
      </c>
      <c r="IB237" s="48">
        <v>0</v>
      </c>
      <c r="IC237" s="48">
        <v>0</v>
      </c>
      <c r="ID237" s="48">
        <v>0</v>
      </c>
      <c r="IE237" s="48">
        <v>0</v>
      </c>
      <c r="IF237" s="48">
        <v>0</v>
      </c>
      <c r="IG237" s="48">
        <v>0</v>
      </c>
      <c r="IH237" s="48">
        <v>0</v>
      </c>
      <c r="II237" s="48">
        <v>0</v>
      </c>
      <c r="IJ237" s="48">
        <v>0</v>
      </c>
      <c r="IK237" s="48">
        <v>0</v>
      </c>
      <c r="IL237" s="48">
        <v>0</v>
      </c>
      <c r="IM237" s="48">
        <v>0</v>
      </c>
      <c r="IN237" s="48">
        <v>0</v>
      </c>
      <c r="IO237" s="48">
        <v>0</v>
      </c>
      <c r="IP237" s="23">
        <v>0</v>
      </c>
      <c r="IQ237" s="25">
        <v>1074337</v>
      </c>
      <c r="IR237" s="25">
        <v>5715052</v>
      </c>
      <c r="IS237" s="26">
        <v>0</v>
      </c>
      <c r="IT237" s="26">
        <v>0</v>
      </c>
      <c r="IU237" s="26">
        <v>0</v>
      </c>
      <c r="IV237" s="9">
        <v>0</v>
      </c>
      <c r="IW237" s="38">
        <f t="shared" si="34"/>
        <v>6789389</v>
      </c>
    </row>
    <row r="238" spans="1:257" ht="30" customHeight="1" x14ac:dyDescent="0.25">
      <c r="A238" s="112" t="b">
        <v>0</v>
      </c>
      <c r="B238" s="113" t="str">
        <f>IFERROR(VLOOKUP(C238,'Bridge matrix'!$D$3:$E$727,2,FALSE)='symmetric IOT 245 2012'!D238,"FALSCH")</f>
        <v>FALSCH</v>
      </c>
      <c r="C238" s="108">
        <v>227</v>
      </c>
      <c r="D238" s="49" t="s">
        <v>1543</v>
      </c>
      <c r="E238" s="48">
        <v>0</v>
      </c>
      <c r="F238" s="48">
        <v>0</v>
      </c>
      <c r="G238" s="48">
        <v>0</v>
      </c>
      <c r="H238" s="48">
        <v>0</v>
      </c>
      <c r="I238" s="48">
        <v>0</v>
      </c>
      <c r="J238" s="48">
        <v>0</v>
      </c>
      <c r="K238" s="48">
        <v>0</v>
      </c>
      <c r="L238" s="48">
        <v>0</v>
      </c>
      <c r="M238" s="48">
        <v>0</v>
      </c>
      <c r="N238" s="48">
        <v>0</v>
      </c>
      <c r="O238" s="48">
        <v>0</v>
      </c>
      <c r="P238" s="48">
        <v>0</v>
      </c>
      <c r="Q238" s="48">
        <v>0</v>
      </c>
      <c r="R238" s="48">
        <v>0</v>
      </c>
      <c r="S238" s="48">
        <v>0</v>
      </c>
      <c r="T238" s="48">
        <v>0</v>
      </c>
      <c r="U238" s="48">
        <v>0</v>
      </c>
      <c r="V238" s="48">
        <v>0</v>
      </c>
      <c r="W238" s="48">
        <v>0</v>
      </c>
      <c r="X238" s="48">
        <v>0</v>
      </c>
      <c r="Y238" s="48">
        <v>0</v>
      </c>
      <c r="Z238" s="48">
        <v>0</v>
      </c>
      <c r="AA238" s="48">
        <v>0</v>
      </c>
      <c r="AB238" s="48">
        <v>0</v>
      </c>
      <c r="AC238" s="48">
        <v>0</v>
      </c>
      <c r="AD238" s="48">
        <v>0</v>
      </c>
      <c r="AE238" s="48">
        <v>0</v>
      </c>
      <c r="AF238" s="48">
        <v>0</v>
      </c>
      <c r="AG238" s="48">
        <v>0</v>
      </c>
      <c r="AH238" s="48">
        <v>0</v>
      </c>
      <c r="AI238" s="48">
        <v>0</v>
      </c>
      <c r="AJ238" s="48">
        <v>0</v>
      </c>
      <c r="AK238" s="48">
        <v>0</v>
      </c>
      <c r="AL238" s="48">
        <v>0</v>
      </c>
      <c r="AM238" s="48">
        <v>0</v>
      </c>
      <c r="AN238" s="48">
        <v>0</v>
      </c>
      <c r="AO238" s="48">
        <v>0</v>
      </c>
      <c r="AP238" s="48">
        <v>0</v>
      </c>
      <c r="AQ238" s="48">
        <v>0</v>
      </c>
      <c r="AR238" s="48">
        <v>0</v>
      </c>
      <c r="AS238" s="48">
        <v>0</v>
      </c>
      <c r="AT238" s="48">
        <v>0</v>
      </c>
      <c r="AU238" s="48">
        <v>0</v>
      </c>
      <c r="AV238" s="48">
        <v>0</v>
      </c>
      <c r="AW238" s="48">
        <v>0</v>
      </c>
      <c r="AX238" s="48">
        <v>0</v>
      </c>
      <c r="AY238" s="48">
        <v>0</v>
      </c>
      <c r="AZ238" s="48">
        <v>0</v>
      </c>
      <c r="BA238" s="48">
        <v>0</v>
      </c>
      <c r="BB238" s="48">
        <v>0</v>
      </c>
      <c r="BC238" s="48">
        <v>0</v>
      </c>
      <c r="BD238" s="48">
        <v>0</v>
      </c>
      <c r="BE238" s="48">
        <v>0</v>
      </c>
      <c r="BF238" s="48">
        <v>0</v>
      </c>
      <c r="BG238" s="48">
        <v>0</v>
      </c>
      <c r="BH238" s="48">
        <v>0</v>
      </c>
      <c r="BI238" s="48">
        <v>0</v>
      </c>
      <c r="BJ238" s="48">
        <v>0</v>
      </c>
      <c r="BK238" s="48">
        <v>0</v>
      </c>
      <c r="BL238" s="48">
        <v>0</v>
      </c>
      <c r="BM238" s="48">
        <v>0</v>
      </c>
      <c r="BN238" s="48">
        <v>0</v>
      </c>
      <c r="BO238" s="48">
        <v>0</v>
      </c>
      <c r="BP238" s="48">
        <v>0</v>
      </c>
      <c r="BQ238" s="48">
        <v>0</v>
      </c>
      <c r="BR238" s="48">
        <v>0</v>
      </c>
      <c r="BS238" s="48">
        <v>0</v>
      </c>
      <c r="BT238" s="48">
        <v>0</v>
      </c>
      <c r="BU238" s="48">
        <v>0</v>
      </c>
      <c r="BV238" s="48">
        <v>0</v>
      </c>
      <c r="BW238" s="48">
        <v>0</v>
      </c>
      <c r="BX238" s="48">
        <v>0</v>
      </c>
      <c r="BY238" s="48">
        <v>0</v>
      </c>
      <c r="BZ238" s="48">
        <v>0</v>
      </c>
      <c r="CA238" s="48">
        <v>0</v>
      </c>
      <c r="CB238" s="48">
        <v>0</v>
      </c>
      <c r="CC238" s="48">
        <v>0</v>
      </c>
      <c r="CD238" s="48">
        <v>0</v>
      </c>
      <c r="CE238" s="48">
        <v>0</v>
      </c>
      <c r="CF238" s="48">
        <v>0</v>
      </c>
      <c r="CG238" s="48">
        <v>0</v>
      </c>
      <c r="CH238" s="48">
        <v>0</v>
      </c>
      <c r="CI238" s="48">
        <v>0</v>
      </c>
      <c r="CJ238" s="48">
        <v>0</v>
      </c>
      <c r="CK238" s="48">
        <v>0</v>
      </c>
      <c r="CL238" s="48">
        <v>0</v>
      </c>
      <c r="CM238" s="48">
        <v>0</v>
      </c>
      <c r="CN238" s="48">
        <v>0</v>
      </c>
      <c r="CO238" s="48">
        <v>0</v>
      </c>
      <c r="CP238" s="48">
        <v>0</v>
      </c>
      <c r="CQ238" s="48">
        <v>0</v>
      </c>
      <c r="CR238" s="48">
        <v>0</v>
      </c>
      <c r="CS238" s="48">
        <v>0</v>
      </c>
      <c r="CT238" s="48">
        <v>0</v>
      </c>
      <c r="CU238" s="48">
        <v>0</v>
      </c>
      <c r="CV238" s="48">
        <v>0</v>
      </c>
      <c r="CW238" s="48">
        <v>0</v>
      </c>
      <c r="CX238" s="48">
        <v>0</v>
      </c>
      <c r="CY238" s="48">
        <v>0</v>
      </c>
      <c r="CZ238" s="48">
        <v>0</v>
      </c>
      <c r="DA238" s="48">
        <v>0</v>
      </c>
      <c r="DB238" s="48">
        <v>0</v>
      </c>
      <c r="DC238" s="48">
        <v>0</v>
      </c>
      <c r="DD238" s="48">
        <v>0</v>
      </c>
      <c r="DE238" s="48">
        <v>0</v>
      </c>
      <c r="DF238" s="48">
        <v>0</v>
      </c>
      <c r="DG238" s="48">
        <v>0</v>
      </c>
      <c r="DH238" s="48">
        <v>0</v>
      </c>
      <c r="DI238" s="48">
        <v>0</v>
      </c>
      <c r="DJ238" s="48">
        <v>0</v>
      </c>
      <c r="DK238" s="48">
        <v>0</v>
      </c>
      <c r="DL238" s="48">
        <v>0</v>
      </c>
      <c r="DM238" s="48">
        <v>0</v>
      </c>
      <c r="DN238" s="48">
        <v>0</v>
      </c>
      <c r="DO238" s="48">
        <v>0</v>
      </c>
      <c r="DP238" s="48">
        <v>0</v>
      </c>
      <c r="DQ238" s="48">
        <v>0</v>
      </c>
      <c r="DR238" s="48">
        <v>0</v>
      </c>
      <c r="DS238" s="48">
        <v>0</v>
      </c>
      <c r="DT238" s="48">
        <v>0</v>
      </c>
      <c r="DU238" s="48">
        <v>0</v>
      </c>
      <c r="DV238" s="48">
        <v>0</v>
      </c>
      <c r="DW238" s="48">
        <v>0</v>
      </c>
      <c r="DX238" s="48">
        <v>0</v>
      </c>
      <c r="DY238" s="48">
        <v>0</v>
      </c>
      <c r="DZ238" s="48">
        <v>0</v>
      </c>
      <c r="EA238" s="48">
        <v>0</v>
      </c>
      <c r="EB238" s="48">
        <v>0</v>
      </c>
      <c r="EC238" s="48">
        <v>0</v>
      </c>
      <c r="ED238" s="48">
        <v>0</v>
      </c>
      <c r="EE238" s="48">
        <v>0</v>
      </c>
      <c r="EF238" s="48">
        <v>0</v>
      </c>
      <c r="EG238" s="48">
        <v>0</v>
      </c>
      <c r="EH238" s="48">
        <v>0</v>
      </c>
      <c r="EI238" s="48">
        <v>0</v>
      </c>
      <c r="EJ238" s="48">
        <v>0</v>
      </c>
      <c r="EK238" s="48">
        <v>0</v>
      </c>
      <c r="EL238" s="48">
        <v>0</v>
      </c>
      <c r="EM238" s="48">
        <v>0</v>
      </c>
      <c r="EN238" s="48">
        <v>0</v>
      </c>
      <c r="EO238" s="48">
        <v>0</v>
      </c>
      <c r="EP238" s="48">
        <v>0</v>
      </c>
      <c r="EQ238" s="48">
        <v>0</v>
      </c>
      <c r="ER238" s="48">
        <v>0</v>
      </c>
      <c r="ES238" s="48">
        <v>0</v>
      </c>
      <c r="ET238" s="48">
        <v>0</v>
      </c>
      <c r="EU238" s="48">
        <v>0</v>
      </c>
      <c r="EV238" s="48">
        <v>0</v>
      </c>
      <c r="EW238" s="48">
        <v>0</v>
      </c>
      <c r="EX238" s="48">
        <v>0</v>
      </c>
      <c r="EY238" s="48">
        <v>0</v>
      </c>
      <c r="EZ238" s="48">
        <v>0</v>
      </c>
      <c r="FA238" s="48">
        <v>0</v>
      </c>
      <c r="FB238" s="48">
        <v>0</v>
      </c>
      <c r="FC238" s="48">
        <v>0</v>
      </c>
      <c r="FD238" s="48">
        <v>0</v>
      </c>
      <c r="FE238" s="48">
        <v>0</v>
      </c>
      <c r="FF238" s="48">
        <v>0</v>
      </c>
      <c r="FG238" s="48">
        <v>0</v>
      </c>
      <c r="FH238" s="48">
        <v>0</v>
      </c>
      <c r="FI238" s="48">
        <v>0</v>
      </c>
      <c r="FJ238" s="48">
        <v>0</v>
      </c>
      <c r="FK238" s="48">
        <v>0</v>
      </c>
      <c r="FL238" s="48">
        <v>0</v>
      </c>
      <c r="FM238" s="48">
        <v>0</v>
      </c>
      <c r="FN238" s="48">
        <v>0</v>
      </c>
      <c r="FO238" s="48">
        <v>0</v>
      </c>
      <c r="FP238" s="48">
        <v>0</v>
      </c>
      <c r="FQ238" s="48">
        <v>0</v>
      </c>
      <c r="FR238" s="48">
        <v>0</v>
      </c>
      <c r="FS238" s="48">
        <v>0</v>
      </c>
      <c r="FT238" s="48">
        <v>0</v>
      </c>
      <c r="FU238" s="48">
        <v>0</v>
      </c>
      <c r="FV238" s="48">
        <v>0</v>
      </c>
      <c r="FW238" s="48">
        <v>0</v>
      </c>
      <c r="FX238" s="48">
        <v>0</v>
      </c>
      <c r="FY238" s="48">
        <v>0</v>
      </c>
      <c r="FZ238" s="48">
        <v>0</v>
      </c>
      <c r="GA238" s="48">
        <v>0</v>
      </c>
      <c r="GB238" s="48">
        <v>0</v>
      </c>
      <c r="GC238" s="48">
        <v>0</v>
      </c>
      <c r="GD238" s="48">
        <v>0</v>
      </c>
      <c r="GE238" s="48">
        <v>0</v>
      </c>
      <c r="GF238" s="48">
        <v>0</v>
      </c>
      <c r="GG238" s="48">
        <v>0</v>
      </c>
      <c r="GH238" s="48">
        <v>0</v>
      </c>
      <c r="GI238" s="48">
        <v>0</v>
      </c>
      <c r="GJ238" s="48">
        <v>0</v>
      </c>
      <c r="GK238" s="48">
        <v>0</v>
      </c>
      <c r="GL238" s="48">
        <v>0</v>
      </c>
      <c r="GM238" s="48">
        <v>0</v>
      </c>
      <c r="GN238" s="48">
        <v>0</v>
      </c>
      <c r="GO238" s="48">
        <v>0</v>
      </c>
      <c r="GP238" s="48">
        <v>0</v>
      </c>
      <c r="GQ238" s="48">
        <v>0</v>
      </c>
      <c r="GR238" s="48">
        <v>0</v>
      </c>
      <c r="GS238" s="48">
        <v>0</v>
      </c>
      <c r="GT238" s="48">
        <v>0</v>
      </c>
      <c r="GU238" s="48">
        <v>0</v>
      </c>
      <c r="GV238" s="48">
        <v>0</v>
      </c>
      <c r="GW238" s="48">
        <v>0</v>
      </c>
      <c r="GX238" s="48">
        <v>0</v>
      </c>
      <c r="GY238" s="48">
        <v>0</v>
      </c>
      <c r="GZ238" s="48">
        <v>0</v>
      </c>
      <c r="HA238" s="48">
        <v>0</v>
      </c>
      <c r="HB238" s="48">
        <v>0</v>
      </c>
      <c r="HC238" s="48">
        <v>0</v>
      </c>
      <c r="HD238" s="48">
        <v>0</v>
      </c>
      <c r="HE238" s="48">
        <v>0</v>
      </c>
      <c r="HF238" s="48">
        <v>0</v>
      </c>
      <c r="HG238" s="48">
        <v>0</v>
      </c>
      <c r="HH238" s="48">
        <v>0</v>
      </c>
      <c r="HI238" s="48">
        <v>0</v>
      </c>
      <c r="HJ238" s="48">
        <v>0</v>
      </c>
      <c r="HK238" s="48">
        <v>0</v>
      </c>
      <c r="HL238" s="48">
        <v>0</v>
      </c>
      <c r="HM238" s="48">
        <v>0</v>
      </c>
      <c r="HN238" s="48">
        <v>0</v>
      </c>
      <c r="HO238" s="48">
        <v>0</v>
      </c>
      <c r="HP238" s="48">
        <v>0</v>
      </c>
      <c r="HQ238" s="48">
        <v>0</v>
      </c>
      <c r="HR238" s="48">
        <v>0</v>
      </c>
      <c r="HS238" s="48">
        <v>0</v>
      </c>
      <c r="HT238" s="48">
        <v>0</v>
      </c>
      <c r="HU238" s="48">
        <v>0</v>
      </c>
      <c r="HV238" s="48">
        <v>0</v>
      </c>
      <c r="HW238" s="48">
        <v>0</v>
      </c>
      <c r="HX238" s="48">
        <v>0</v>
      </c>
      <c r="HY238" s="48">
        <v>0</v>
      </c>
      <c r="HZ238" s="48">
        <v>0</v>
      </c>
      <c r="IA238" s="48">
        <v>0</v>
      </c>
      <c r="IB238" s="48">
        <v>0</v>
      </c>
      <c r="IC238" s="48">
        <v>0</v>
      </c>
      <c r="ID238" s="48">
        <v>0</v>
      </c>
      <c r="IE238" s="48">
        <v>0</v>
      </c>
      <c r="IF238" s="48">
        <v>0</v>
      </c>
      <c r="IG238" s="48">
        <v>0</v>
      </c>
      <c r="IH238" s="48">
        <v>0</v>
      </c>
      <c r="II238" s="48">
        <v>0</v>
      </c>
      <c r="IJ238" s="48">
        <v>0</v>
      </c>
      <c r="IK238" s="48">
        <v>0</v>
      </c>
      <c r="IL238" s="48">
        <v>0</v>
      </c>
      <c r="IM238" s="48">
        <v>0</v>
      </c>
      <c r="IN238" s="48">
        <v>0</v>
      </c>
      <c r="IO238" s="48">
        <v>0</v>
      </c>
      <c r="IP238" s="23">
        <v>0</v>
      </c>
      <c r="IQ238" s="25">
        <v>0</v>
      </c>
      <c r="IR238" s="25">
        <v>142309</v>
      </c>
      <c r="IS238" s="26">
        <v>0</v>
      </c>
      <c r="IT238" s="26">
        <v>0</v>
      </c>
      <c r="IU238" s="26">
        <v>0</v>
      </c>
      <c r="IV238" s="9">
        <v>0</v>
      </c>
      <c r="IW238" s="38">
        <f t="shared" si="34"/>
        <v>142309</v>
      </c>
    </row>
    <row r="239" spans="1:257" ht="30" customHeight="1" x14ac:dyDescent="0.25">
      <c r="A239" s="112" t="b">
        <v>0</v>
      </c>
      <c r="B239" s="113" t="str">
        <f>IFERROR(VLOOKUP(C239,'Bridge matrix'!$D$3:$E$727,2,FALSE)='symmetric IOT 245 2012'!D239,"FALSCH")</f>
        <v>FALSCH</v>
      </c>
      <c r="C239" s="108">
        <v>228</v>
      </c>
      <c r="D239" s="49" t="s">
        <v>1544</v>
      </c>
      <c r="E239" s="48">
        <v>0</v>
      </c>
      <c r="F239" s="48">
        <v>0</v>
      </c>
      <c r="G239" s="48">
        <v>0</v>
      </c>
      <c r="H239" s="48">
        <v>0</v>
      </c>
      <c r="I239" s="48">
        <v>0</v>
      </c>
      <c r="J239" s="48">
        <v>0</v>
      </c>
      <c r="K239" s="48">
        <v>0</v>
      </c>
      <c r="L239" s="48">
        <v>0</v>
      </c>
      <c r="M239" s="48">
        <v>0</v>
      </c>
      <c r="N239" s="48">
        <v>0</v>
      </c>
      <c r="O239" s="48">
        <v>0</v>
      </c>
      <c r="P239" s="48">
        <v>0</v>
      </c>
      <c r="Q239" s="48">
        <v>0</v>
      </c>
      <c r="R239" s="48">
        <v>0</v>
      </c>
      <c r="S239" s="48">
        <v>0</v>
      </c>
      <c r="T239" s="48">
        <v>0</v>
      </c>
      <c r="U239" s="48">
        <v>0</v>
      </c>
      <c r="V239" s="48">
        <v>0</v>
      </c>
      <c r="W239" s="48">
        <v>0</v>
      </c>
      <c r="X239" s="48">
        <v>0</v>
      </c>
      <c r="Y239" s="48">
        <v>0</v>
      </c>
      <c r="Z239" s="48">
        <v>0</v>
      </c>
      <c r="AA239" s="48">
        <v>0</v>
      </c>
      <c r="AB239" s="48">
        <v>0</v>
      </c>
      <c r="AC239" s="48">
        <v>0</v>
      </c>
      <c r="AD239" s="48">
        <v>0</v>
      </c>
      <c r="AE239" s="48">
        <v>0</v>
      </c>
      <c r="AF239" s="48">
        <v>0</v>
      </c>
      <c r="AG239" s="48">
        <v>0</v>
      </c>
      <c r="AH239" s="48">
        <v>0</v>
      </c>
      <c r="AI239" s="48">
        <v>0</v>
      </c>
      <c r="AJ239" s="48">
        <v>0</v>
      </c>
      <c r="AK239" s="48">
        <v>0</v>
      </c>
      <c r="AL239" s="48">
        <v>0</v>
      </c>
      <c r="AM239" s="48">
        <v>0</v>
      </c>
      <c r="AN239" s="48">
        <v>0</v>
      </c>
      <c r="AO239" s="48">
        <v>0</v>
      </c>
      <c r="AP239" s="48">
        <v>0</v>
      </c>
      <c r="AQ239" s="48">
        <v>0</v>
      </c>
      <c r="AR239" s="48">
        <v>0</v>
      </c>
      <c r="AS239" s="48">
        <v>0</v>
      </c>
      <c r="AT239" s="48">
        <v>0</v>
      </c>
      <c r="AU239" s="48">
        <v>0</v>
      </c>
      <c r="AV239" s="48">
        <v>0</v>
      </c>
      <c r="AW239" s="48">
        <v>0</v>
      </c>
      <c r="AX239" s="48">
        <v>0</v>
      </c>
      <c r="AY239" s="48">
        <v>0</v>
      </c>
      <c r="AZ239" s="48">
        <v>0</v>
      </c>
      <c r="BA239" s="48">
        <v>0</v>
      </c>
      <c r="BB239" s="48">
        <v>0</v>
      </c>
      <c r="BC239" s="48">
        <v>0</v>
      </c>
      <c r="BD239" s="48">
        <v>0</v>
      </c>
      <c r="BE239" s="48">
        <v>0</v>
      </c>
      <c r="BF239" s="48">
        <v>0</v>
      </c>
      <c r="BG239" s="48">
        <v>0</v>
      </c>
      <c r="BH239" s="48">
        <v>0</v>
      </c>
      <c r="BI239" s="48">
        <v>0</v>
      </c>
      <c r="BJ239" s="48">
        <v>0</v>
      </c>
      <c r="BK239" s="48">
        <v>0</v>
      </c>
      <c r="BL239" s="48">
        <v>0</v>
      </c>
      <c r="BM239" s="48">
        <v>0</v>
      </c>
      <c r="BN239" s="48">
        <v>0</v>
      </c>
      <c r="BO239" s="48">
        <v>0</v>
      </c>
      <c r="BP239" s="48">
        <v>0</v>
      </c>
      <c r="BQ239" s="48">
        <v>0</v>
      </c>
      <c r="BR239" s="48">
        <v>0</v>
      </c>
      <c r="BS239" s="48">
        <v>0</v>
      </c>
      <c r="BT239" s="48">
        <v>0</v>
      </c>
      <c r="BU239" s="48">
        <v>0</v>
      </c>
      <c r="BV239" s="48">
        <v>0</v>
      </c>
      <c r="BW239" s="48">
        <v>0</v>
      </c>
      <c r="BX239" s="48">
        <v>0</v>
      </c>
      <c r="BY239" s="48">
        <v>0</v>
      </c>
      <c r="BZ239" s="48">
        <v>0</v>
      </c>
      <c r="CA239" s="48">
        <v>859.98383517876937</v>
      </c>
      <c r="CB239" s="48">
        <v>3.0161648212366368</v>
      </c>
      <c r="CC239" s="48">
        <v>0</v>
      </c>
      <c r="CD239" s="48">
        <v>0</v>
      </c>
      <c r="CE239" s="48">
        <v>0</v>
      </c>
      <c r="CF239" s="48">
        <v>0</v>
      </c>
      <c r="CG239" s="48">
        <v>0</v>
      </c>
      <c r="CH239" s="48">
        <v>0</v>
      </c>
      <c r="CI239" s="48">
        <v>0</v>
      </c>
      <c r="CJ239" s="48">
        <v>0</v>
      </c>
      <c r="CK239" s="48">
        <v>0</v>
      </c>
      <c r="CL239" s="48">
        <v>0</v>
      </c>
      <c r="CM239" s="48">
        <v>0</v>
      </c>
      <c r="CN239" s="48">
        <v>0</v>
      </c>
      <c r="CO239" s="48">
        <v>0</v>
      </c>
      <c r="CP239" s="48">
        <v>0</v>
      </c>
      <c r="CQ239" s="48">
        <v>0</v>
      </c>
      <c r="CR239" s="48">
        <v>0</v>
      </c>
      <c r="CS239" s="48">
        <v>0</v>
      </c>
      <c r="CT239" s="48">
        <v>0</v>
      </c>
      <c r="CU239" s="48">
        <v>0</v>
      </c>
      <c r="CV239" s="48">
        <v>0</v>
      </c>
      <c r="CW239" s="48">
        <v>0</v>
      </c>
      <c r="CX239" s="48">
        <v>0</v>
      </c>
      <c r="CY239" s="48">
        <v>0</v>
      </c>
      <c r="CZ239" s="48">
        <v>0</v>
      </c>
      <c r="DA239" s="48">
        <v>0</v>
      </c>
      <c r="DB239" s="48">
        <v>0</v>
      </c>
      <c r="DC239" s="48">
        <v>0</v>
      </c>
      <c r="DD239" s="48">
        <v>0</v>
      </c>
      <c r="DE239" s="48">
        <v>0</v>
      </c>
      <c r="DF239" s="48">
        <v>0</v>
      </c>
      <c r="DG239" s="48">
        <v>0</v>
      </c>
      <c r="DH239" s="48">
        <v>0</v>
      </c>
      <c r="DI239" s="48">
        <v>0</v>
      </c>
      <c r="DJ239" s="48">
        <v>0</v>
      </c>
      <c r="DK239" s="48">
        <v>0</v>
      </c>
      <c r="DL239" s="48">
        <v>0</v>
      </c>
      <c r="DM239" s="48">
        <v>0</v>
      </c>
      <c r="DN239" s="48">
        <v>0</v>
      </c>
      <c r="DO239" s="48">
        <v>0</v>
      </c>
      <c r="DP239" s="48">
        <v>0</v>
      </c>
      <c r="DQ239" s="48">
        <v>0</v>
      </c>
      <c r="DR239" s="48">
        <v>0</v>
      </c>
      <c r="DS239" s="48">
        <v>0</v>
      </c>
      <c r="DT239" s="48">
        <v>0</v>
      </c>
      <c r="DU239" s="48">
        <v>0</v>
      </c>
      <c r="DV239" s="48">
        <v>0</v>
      </c>
      <c r="DW239" s="48">
        <v>0</v>
      </c>
      <c r="DX239" s="48">
        <v>0</v>
      </c>
      <c r="DY239" s="48">
        <v>0</v>
      </c>
      <c r="DZ239" s="48">
        <v>0</v>
      </c>
      <c r="EA239" s="48">
        <v>0</v>
      </c>
      <c r="EB239" s="48">
        <v>0</v>
      </c>
      <c r="EC239" s="48">
        <v>0</v>
      </c>
      <c r="ED239" s="48">
        <v>0</v>
      </c>
      <c r="EE239" s="48">
        <v>0</v>
      </c>
      <c r="EF239" s="48">
        <v>0</v>
      </c>
      <c r="EG239" s="48">
        <v>0</v>
      </c>
      <c r="EH239" s="48">
        <v>0</v>
      </c>
      <c r="EI239" s="48">
        <v>0</v>
      </c>
      <c r="EJ239" s="48">
        <v>0</v>
      </c>
      <c r="EK239" s="48">
        <v>0</v>
      </c>
      <c r="EL239" s="48">
        <v>0</v>
      </c>
      <c r="EM239" s="48">
        <v>0</v>
      </c>
      <c r="EN239" s="48">
        <v>0</v>
      </c>
      <c r="EO239" s="48">
        <v>0</v>
      </c>
      <c r="EP239" s="48">
        <v>0</v>
      </c>
      <c r="EQ239" s="48">
        <v>0</v>
      </c>
      <c r="ER239" s="48">
        <v>0</v>
      </c>
      <c r="ES239" s="48">
        <v>0</v>
      </c>
      <c r="ET239" s="48">
        <v>0</v>
      </c>
      <c r="EU239" s="48">
        <v>0</v>
      </c>
      <c r="EV239" s="48">
        <v>0</v>
      </c>
      <c r="EW239" s="48">
        <v>0</v>
      </c>
      <c r="EX239" s="48">
        <v>0</v>
      </c>
      <c r="EY239" s="48">
        <v>0</v>
      </c>
      <c r="EZ239" s="48">
        <v>0</v>
      </c>
      <c r="FA239" s="48">
        <v>0</v>
      </c>
      <c r="FB239" s="48">
        <v>0</v>
      </c>
      <c r="FC239" s="48">
        <v>0</v>
      </c>
      <c r="FD239" s="48">
        <v>0</v>
      </c>
      <c r="FE239" s="48">
        <v>0</v>
      </c>
      <c r="FF239" s="48">
        <v>0</v>
      </c>
      <c r="FG239" s="48">
        <v>0</v>
      </c>
      <c r="FH239" s="48">
        <v>0</v>
      </c>
      <c r="FI239" s="48">
        <v>0</v>
      </c>
      <c r="FJ239" s="48">
        <v>0</v>
      </c>
      <c r="FK239" s="48">
        <v>0</v>
      </c>
      <c r="FL239" s="48">
        <v>0</v>
      </c>
      <c r="FM239" s="48">
        <v>0</v>
      </c>
      <c r="FN239" s="48">
        <v>0</v>
      </c>
      <c r="FO239" s="48">
        <v>0</v>
      </c>
      <c r="FP239" s="48">
        <v>0</v>
      </c>
      <c r="FQ239" s="48">
        <v>0</v>
      </c>
      <c r="FR239" s="48">
        <v>0</v>
      </c>
      <c r="FS239" s="48">
        <v>0</v>
      </c>
      <c r="FT239" s="48">
        <v>0</v>
      </c>
      <c r="FU239" s="48">
        <v>0</v>
      </c>
      <c r="FV239" s="48">
        <v>0</v>
      </c>
      <c r="FW239" s="48">
        <v>0</v>
      </c>
      <c r="FX239" s="48">
        <v>0</v>
      </c>
      <c r="FY239" s="48">
        <v>0</v>
      </c>
      <c r="FZ239" s="48">
        <v>0</v>
      </c>
      <c r="GA239" s="48">
        <v>0</v>
      </c>
      <c r="GB239" s="48">
        <v>0</v>
      </c>
      <c r="GC239" s="48">
        <v>0</v>
      </c>
      <c r="GD239" s="48">
        <v>0</v>
      </c>
      <c r="GE239" s="48">
        <v>0</v>
      </c>
      <c r="GF239" s="48">
        <v>0</v>
      </c>
      <c r="GG239" s="48">
        <v>0</v>
      </c>
      <c r="GH239" s="48">
        <v>0</v>
      </c>
      <c r="GI239" s="48">
        <v>0</v>
      </c>
      <c r="GJ239" s="48">
        <v>0</v>
      </c>
      <c r="GK239" s="48">
        <v>0</v>
      </c>
      <c r="GL239" s="48">
        <v>0</v>
      </c>
      <c r="GM239" s="48">
        <v>0</v>
      </c>
      <c r="GN239" s="48">
        <v>0</v>
      </c>
      <c r="GO239" s="48">
        <v>0</v>
      </c>
      <c r="GP239" s="48">
        <v>0</v>
      </c>
      <c r="GQ239" s="48">
        <v>0</v>
      </c>
      <c r="GR239" s="48">
        <v>0</v>
      </c>
      <c r="GS239" s="48">
        <v>0</v>
      </c>
      <c r="GT239" s="48">
        <v>0</v>
      </c>
      <c r="GU239" s="48">
        <v>0</v>
      </c>
      <c r="GV239" s="48">
        <v>0</v>
      </c>
      <c r="GW239" s="48">
        <v>0</v>
      </c>
      <c r="GX239" s="48">
        <v>0</v>
      </c>
      <c r="GY239" s="48">
        <v>0</v>
      </c>
      <c r="GZ239" s="48">
        <v>0</v>
      </c>
      <c r="HA239" s="48">
        <v>0</v>
      </c>
      <c r="HB239" s="48">
        <v>0</v>
      </c>
      <c r="HC239" s="48">
        <v>0</v>
      </c>
      <c r="HD239" s="48">
        <v>0</v>
      </c>
      <c r="HE239" s="48">
        <v>0</v>
      </c>
      <c r="HF239" s="48">
        <v>0</v>
      </c>
      <c r="HG239" s="48">
        <v>0</v>
      </c>
      <c r="HH239" s="48">
        <v>0</v>
      </c>
      <c r="HI239" s="48">
        <v>0</v>
      </c>
      <c r="HJ239" s="48">
        <v>0</v>
      </c>
      <c r="HK239" s="48">
        <v>0</v>
      </c>
      <c r="HL239" s="48">
        <v>0</v>
      </c>
      <c r="HM239" s="48">
        <v>0</v>
      </c>
      <c r="HN239" s="48">
        <v>0</v>
      </c>
      <c r="HO239" s="48">
        <v>0</v>
      </c>
      <c r="HP239" s="48">
        <v>0</v>
      </c>
      <c r="HQ239" s="48">
        <v>0</v>
      </c>
      <c r="HR239" s="48">
        <v>0</v>
      </c>
      <c r="HS239" s="48">
        <v>0</v>
      </c>
      <c r="HT239" s="48">
        <v>0</v>
      </c>
      <c r="HU239" s="48">
        <v>0</v>
      </c>
      <c r="HV239" s="48">
        <v>0</v>
      </c>
      <c r="HW239" s="48">
        <v>0</v>
      </c>
      <c r="HX239" s="48">
        <v>0</v>
      </c>
      <c r="HY239" s="48">
        <v>0</v>
      </c>
      <c r="HZ239" s="48">
        <v>0</v>
      </c>
      <c r="IA239" s="48">
        <v>0</v>
      </c>
      <c r="IB239" s="48">
        <v>0</v>
      </c>
      <c r="IC239" s="48">
        <v>0</v>
      </c>
      <c r="ID239" s="48">
        <v>0</v>
      </c>
      <c r="IE239" s="48">
        <v>0</v>
      </c>
      <c r="IF239" s="48">
        <v>0</v>
      </c>
      <c r="IG239" s="48">
        <v>0</v>
      </c>
      <c r="IH239" s="48">
        <v>0</v>
      </c>
      <c r="II239" s="48">
        <v>0</v>
      </c>
      <c r="IJ239" s="48">
        <v>0</v>
      </c>
      <c r="IK239" s="48">
        <v>0</v>
      </c>
      <c r="IL239" s="48">
        <v>0</v>
      </c>
      <c r="IM239" s="48">
        <v>0</v>
      </c>
      <c r="IN239" s="48">
        <v>0</v>
      </c>
      <c r="IO239" s="48">
        <v>0</v>
      </c>
      <c r="IP239" s="23">
        <v>863.00000000000603</v>
      </c>
      <c r="IQ239" s="25">
        <v>484997</v>
      </c>
      <c r="IR239" s="25">
        <v>0</v>
      </c>
      <c r="IS239" s="26">
        <v>0</v>
      </c>
      <c r="IT239" s="26">
        <v>0</v>
      </c>
      <c r="IU239" s="26">
        <v>0</v>
      </c>
      <c r="IV239" s="9">
        <v>0</v>
      </c>
      <c r="IW239" s="38">
        <f t="shared" si="34"/>
        <v>485860</v>
      </c>
    </row>
    <row r="240" spans="1:257" ht="30" customHeight="1" x14ac:dyDescent="0.25">
      <c r="A240" s="112" t="b">
        <v>0</v>
      </c>
      <c r="B240" s="113" t="str">
        <f>IFERROR(VLOOKUP(C240,'Bridge matrix'!$D$3:$E$727,2,FALSE)='symmetric IOT 245 2012'!D240,"FALSCH")</f>
        <v>FALSCH</v>
      </c>
      <c r="C240" s="108">
        <v>229</v>
      </c>
      <c r="D240" s="49" t="s">
        <v>1545</v>
      </c>
      <c r="E240" s="48">
        <v>0</v>
      </c>
      <c r="F240" s="48">
        <v>0</v>
      </c>
      <c r="G240" s="48">
        <v>0</v>
      </c>
      <c r="H240" s="48">
        <v>0</v>
      </c>
      <c r="I240" s="48">
        <v>0</v>
      </c>
      <c r="J240" s="48">
        <v>0</v>
      </c>
      <c r="K240" s="48">
        <v>0</v>
      </c>
      <c r="L240" s="48">
        <v>0</v>
      </c>
      <c r="M240" s="48">
        <v>0</v>
      </c>
      <c r="N240" s="48">
        <v>0</v>
      </c>
      <c r="O240" s="48">
        <v>0</v>
      </c>
      <c r="P240" s="48">
        <v>0</v>
      </c>
      <c r="Q240" s="48">
        <v>0</v>
      </c>
      <c r="R240" s="48">
        <v>0</v>
      </c>
      <c r="S240" s="48">
        <v>0</v>
      </c>
      <c r="T240" s="48">
        <v>0</v>
      </c>
      <c r="U240" s="48">
        <v>0</v>
      </c>
      <c r="V240" s="48">
        <v>0</v>
      </c>
      <c r="W240" s="48">
        <v>0</v>
      </c>
      <c r="X240" s="48">
        <v>0</v>
      </c>
      <c r="Y240" s="48">
        <v>0</v>
      </c>
      <c r="Z240" s="48">
        <v>0</v>
      </c>
      <c r="AA240" s="48">
        <v>0</v>
      </c>
      <c r="AB240" s="48">
        <v>0</v>
      </c>
      <c r="AC240" s="48">
        <v>0</v>
      </c>
      <c r="AD240" s="48">
        <v>0</v>
      </c>
      <c r="AE240" s="48">
        <v>0</v>
      </c>
      <c r="AF240" s="48">
        <v>0</v>
      </c>
      <c r="AG240" s="48">
        <v>0</v>
      </c>
      <c r="AH240" s="48">
        <v>0</v>
      </c>
      <c r="AI240" s="48">
        <v>0</v>
      </c>
      <c r="AJ240" s="48">
        <v>0</v>
      </c>
      <c r="AK240" s="48">
        <v>0</v>
      </c>
      <c r="AL240" s="48">
        <v>0</v>
      </c>
      <c r="AM240" s="48">
        <v>0</v>
      </c>
      <c r="AN240" s="48">
        <v>0</v>
      </c>
      <c r="AO240" s="48">
        <v>0</v>
      </c>
      <c r="AP240" s="48">
        <v>0</v>
      </c>
      <c r="AQ240" s="48">
        <v>0</v>
      </c>
      <c r="AR240" s="48">
        <v>0</v>
      </c>
      <c r="AS240" s="48">
        <v>0</v>
      </c>
      <c r="AT240" s="48">
        <v>0</v>
      </c>
      <c r="AU240" s="48">
        <v>0</v>
      </c>
      <c r="AV240" s="48">
        <v>0</v>
      </c>
      <c r="AW240" s="48">
        <v>0</v>
      </c>
      <c r="AX240" s="48">
        <v>0</v>
      </c>
      <c r="AY240" s="48">
        <v>0</v>
      </c>
      <c r="AZ240" s="48">
        <v>0</v>
      </c>
      <c r="BA240" s="48">
        <v>0</v>
      </c>
      <c r="BB240" s="48">
        <v>0</v>
      </c>
      <c r="BC240" s="48">
        <v>0</v>
      </c>
      <c r="BD240" s="48">
        <v>0</v>
      </c>
      <c r="BE240" s="48">
        <v>0</v>
      </c>
      <c r="BF240" s="48">
        <v>0</v>
      </c>
      <c r="BG240" s="48">
        <v>0</v>
      </c>
      <c r="BH240" s="48">
        <v>0</v>
      </c>
      <c r="BI240" s="48">
        <v>0</v>
      </c>
      <c r="BJ240" s="48">
        <v>0</v>
      </c>
      <c r="BK240" s="48">
        <v>0</v>
      </c>
      <c r="BL240" s="48">
        <v>0</v>
      </c>
      <c r="BM240" s="48">
        <v>0</v>
      </c>
      <c r="BN240" s="48">
        <v>0</v>
      </c>
      <c r="BO240" s="48">
        <v>0</v>
      </c>
      <c r="BP240" s="48">
        <v>0</v>
      </c>
      <c r="BQ240" s="48">
        <v>0</v>
      </c>
      <c r="BR240" s="48">
        <v>0</v>
      </c>
      <c r="BS240" s="48">
        <v>0</v>
      </c>
      <c r="BT240" s="48">
        <v>0</v>
      </c>
      <c r="BU240" s="48">
        <v>0</v>
      </c>
      <c r="BV240" s="48">
        <v>0</v>
      </c>
      <c r="BW240" s="48">
        <v>0</v>
      </c>
      <c r="BX240" s="48">
        <v>0</v>
      </c>
      <c r="BY240" s="48">
        <v>0</v>
      </c>
      <c r="BZ240" s="48">
        <v>0</v>
      </c>
      <c r="CA240" s="48">
        <v>0</v>
      </c>
      <c r="CB240" s="48">
        <v>0</v>
      </c>
      <c r="CC240" s="48">
        <v>0</v>
      </c>
      <c r="CD240" s="48">
        <v>0</v>
      </c>
      <c r="CE240" s="48">
        <v>0</v>
      </c>
      <c r="CF240" s="48">
        <v>0</v>
      </c>
      <c r="CG240" s="48">
        <v>0</v>
      </c>
      <c r="CH240" s="48">
        <v>0</v>
      </c>
      <c r="CI240" s="48">
        <v>0</v>
      </c>
      <c r="CJ240" s="48">
        <v>0</v>
      </c>
      <c r="CK240" s="48">
        <v>0</v>
      </c>
      <c r="CL240" s="48">
        <v>0</v>
      </c>
      <c r="CM240" s="48">
        <v>0</v>
      </c>
      <c r="CN240" s="48">
        <v>0</v>
      </c>
      <c r="CO240" s="48">
        <v>0</v>
      </c>
      <c r="CP240" s="48">
        <v>0</v>
      </c>
      <c r="CQ240" s="48">
        <v>0</v>
      </c>
      <c r="CR240" s="48">
        <v>0</v>
      </c>
      <c r="CS240" s="48">
        <v>0</v>
      </c>
      <c r="CT240" s="48">
        <v>0</v>
      </c>
      <c r="CU240" s="48">
        <v>0</v>
      </c>
      <c r="CV240" s="48">
        <v>0</v>
      </c>
      <c r="CW240" s="48">
        <v>0</v>
      </c>
      <c r="CX240" s="48">
        <v>0</v>
      </c>
      <c r="CY240" s="48">
        <v>0</v>
      </c>
      <c r="CZ240" s="48">
        <v>0</v>
      </c>
      <c r="DA240" s="48">
        <v>0</v>
      </c>
      <c r="DB240" s="48">
        <v>0</v>
      </c>
      <c r="DC240" s="48">
        <v>0</v>
      </c>
      <c r="DD240" s="48">
        <v>0</v>
      </c>
      <c r="DE240" s="48">
        <v>0</v>
      </c>
      <c r="DF240" s="48">
        <v>0</v>
      </c>
      <c r="DG240" s="48">
        <v>0</v>
      </c>
      <c r="DH240" s="48">
        <v>0</v>
      </c>
      <c r="DI240" s="48">
        <v>0</v>
      </c>
      <c r="DJ240" s="48">
        <v>0</v>
      </c>
      <c r="DK240" s="48">
        <v>0</v>
      </c>
      <c r="DL240" s="48">
        <v>0</v>
      </c>
      <c r="DM240" s="48">
        <v>0</v>
      </c>
      <c r="DN240" s="48">
        <v>0</v>
      </c>
      <c r="DO240" s="48">
        <v>0</v>
      </c>
      <c r="DP240" s="48">
        <v>0</v>
      </c>
      <c r="DQ240" s="48">
        <v>0</v>
      </c>
      <c r="DR240" s="48">
        <v>0</v>
      </c>
      <c r="DS240" s="48">
        <v>0</v>
      </c>
      <c r="DT240" s="48">
        <v>0</v>
      </c>
      <c r="DU240" s="48">
        <v>0</v>
      </c>
      <c r="DV240" s="48">
        <v>0</v>
      </c>
      <c r="DW240" s="48">
        <v>0</v>
      </c>
      <c r="DX240" s="48">
        <v>0</v>
      </c>
      <c r="DY240" s="48">
        <v>0</v>
      </c>
      <c r="DZ240" s="48">
        <v>0</v>
      </c>
      <c r="EA240" s="48">
        <v>0</v>
      </c>
      <c r="EB240" s="48">
        <v>0</v>
      </c>
      <c r="EC240" s="48">
        <v>0</v>
      </c>
      <c r="ED240" s="48">
        <v>0</v>
      </c>
      <c r="EE240" s="48">
        <v>0</v>
      </c>
      <c r="EF240" s="48">
        <v>0</v>
      </c>
      <c r="EG240" s="48">
        <v>0</v>
      </c>
      <c r="EH240" s="48">
        <v>0</v>
      </c>
      <c r="EI240" s="48">
        <v>0</v>
      </c>
      <c r="EJ240" s="48">
        <v>0</v>
      </c>
      <c r="EK240" s="48">
        <v>0</v>
      </c>
      <c r="EL240" s="48">
        <v>0</v>
      </c>
      <c r="EM240" s="48">
        <v>0</v>
      </c>
      <c r="EN240" s="48">
        <v>0</v>
      </c>
      <c r="EO240" s="48">
        <v>0</v>
      </c>
      <c r="EP240" s="48">
        <v>0</v>
      </c>
      <c r="EQ240" s="48">
        <v>0</v>
      </c>
      <c r="ER240" s="48">
        <v>0</v>
      </c>
      <c r="ES240" s="48">
        <v>0</v>
      </c>
      <c r="ET240" s="48">
        <v>0</v>
      </c>
      <c r="EU240" s="48">
        <v>0</v>
      </c>
      <c r="EV240" s="48">
        <v>0</v>
      </c>
      <c r="EW240" s="48">
        <v>0</v>
      </c>
      <c r="EX240" s="48">
        <v>0</v>
      </c>
      <c r="EY240" s="48">
        <v>0</v>
      </c>
      <c r="EZ240" s="48">
        <v>0</v>
      </c>
      <c r="FA240" s="48">
        <v>0</v>
      </c>
      <c r="FB240" s="48">
        <v>0</v>
      </c>
      <c r="FC240" s="48">
        <v>0</v>
      </c>
      <c r="FD240" s="48">
        <v>0</v>
      </c>
      <c r="FE240" s="48">
        <v>0</v>
      </c>
      <c r="FF240" s="48">
        <v>0</v>
      </c>
      <c r="FG240" s="48">
        <v>0</v>
      </c>
      <c r="FH240" s="48">
        <v>0</v>
      </c>
      <c r="FI240" s="48">
        <v>0</v>
      </c>
      <c r="FJ240" s="48">
        <v>0</v>
      </c>
      <c r="FK240" s="48">
        <v>0</v>
      </c>
      <c r="FL240" s="48">
        <v>0</v>
      </c>
      <c r="FM240" s="48">
        <v>0</v>
      </c>
      <c r="FN240" s="48">
        <v>0</v>
      </c>
      <c r="FO240" s="48">
        <v>0</v>
      </c>
      <c r="FP240" s="48">
        <v>0</v>
      </c>
      <c r="FQ240" s="48">
        <v>0</v>
      </c>
      <c r="FR240" s="48">
        <v>0</v>
      </c>
      <c r="FS240" s="48">
        <v>0</v>
      </c>
      <c r="FT240" s="48">
        <v>0</v>
      </c>
      <c r="FU240" s="48">
        <v>0</v>
      </c>
      <c r="FV240" s="48">
        <v>0</v>
      </c>
      <c r="FW240" s="48">
        <v>0</v>
      </c>
      <c r="FX240" s="48">
        <v>0</v>
      </c>
      <c r="FY240" s="48">
        <v>0</v>
      </c>
      <c r="FZ240" s="48">
        <v>0</v>
      </c>
      <c r="GA240" s="48">
        <v>0</v>
      </c>
      <c r="GB240" s="48">
        <v>0</v>
      </c>
      <c r="GC240" s="48">
        <v>0</v>
      </c>
      <c r="GD240" s="48">
        <v>0</v>
      </c>
      <c r="GE240" s="48">
        <v>0</v>
      </c>
      <c r="GF240" s="48">
        <v>0</v>
      </c>
      <c r="GG240" s="48">
        <v>0</v>
      </c>
      <c r="GH240" s="48">
        <v>0</v>
      </c>
      <c r="GI240" s="48">
        <v>0</v>
      </c>
      <c r="GJ240" s="48">
        <v>0</v>
      </c>
      <c r="GK240" s="48">
        <v>0</v>
      </c>
      <c r="GL240" s="48">
        <v>0</v>
      </c>
      <c r="GM240" s="48">
        <v>0</v>
      </c>
      <c r="GN240" s="48">
        <v>0</v>
      </c>
      <c r="GO240" s="48">
        <v>0</v>
      </c>
      <c r="GP240" s="48">
        <v>0</v>
      </c>
      <c r="GQ240" s="48">
        <v>0</v>
      </c>
      <c r="GR240" s="48">
        <v>0</v>
      </c>
      <c r="GS240" s="48">
        <v>0</v>
      </c>
      <c r="GT240" s="48">
        <v>0</v>
      </c>
      <c r="GU240" s="48">
        <v>0</v>
      </c>
      <c r="GV240" s="48">
        <v>0</v>
      </c>
      <c r="GW240" s="48">
        <v>0</v>
      </c>
      <c r="GX240" s="48">
        <v>0</v>
      </c>
      <c r="GY240" s="48">
        <v>0</v>
      </c>
      <c r="GZ240" s="48">
        <v>0</v>
      </c>
      <c r="HA240" s="48">
        <v>0</v>
      </c>
      <c r="HB240" s="48">
        <v>0</v>
      </c>
      <c r="HC240" s="48">
        <v>0</v>
      </c>
      <c r="HD240" s="48">
        <v>0</v>
      </c>
      <c r="HE240" s="48">
        <v>0</v>
      </c>
      <c r="HF240" s="48">
        <v>0</v>
      </c>
      <c r="HG240" s="48">
        <v>0</v>
      </c>
      <c r="HH240" s="48">
        <v>0</v>
      </c>
      <c r="HI240" s="48">
        <v>0</v>
      </c>
      <c r="HJ240" s="48">
        <v>0</v>
      </c>
      <c r="HK240" s="48">
        <v>0</v>
      </c>
      <c r="HL240" s="48">
        <v>0</v>
      </c>
      <c r="HM240" s="48">
        <v>0</v>
      </c>
      <c r="HN240" s="48">
        <v>0</v>
      </c>
      <c r="HO240" s="48">
        <v>0</v>
      </c>
      <c r="HP240" s="48">
        <v>0</v>
      </c>
      <c r="HQ240" s="48">
        <v>0</v>
      </c>
      <c r="HR240" s="48">
        <v>0</v>
      </c>
      <c r="HS240" s="48">
        <v>0</v>
      </c>
      <c r="HT240" s="48">
        <v>0</v>
      </c>
      <c r="HU240" s="48">
        <v>0</v>
      </c>
      <c r="HV240" s="48">
        <v>0</v>
      </c>
      <c r="HW240" s="48">
        <v>0</v>
      </c>
      <c r="HX240" s="48">
        <v>0</v>
      </c>
      <c r="HY240" s="48">
        <v>0</v>
      </c>
      <c r="HZ240" s="48">
        <v>0</v>
      </c>
      <c r="IA240" s="48">
        <v>0</v>
      </c>
      <c r="IB240" s="48">
        <v>0</v>
      </c>
      <c r="IC240" s="48">
        <v>0</v>
      </c>
      <c r="ID240" s="48">
        <v>0</v>
      </c>
      <c r="IE240" s="48">
        <v>0</v>
      </c>
      <c r="IF240" s="48">
        <v>0</v>
      </c>
      <c r="IG240" s="48">
        <v>0</v>
      </c>
      <c r="IH240" s="48">
        <v>0</v>
      </c>
      <c r="II240" s="48">
        <v>0</v>
      </c>
      <c r="IJ240" s="48">
        <v>0</v>
      </c>
      <c r="IK240" s="48">
        <v>0</v>
      </c>
      <c r="IL240" s="48">
        <v>0</v>
      </c>
      <c r="IM240" s="48">
        <v>0</v>
      </c>
      <c r="IN240" s="48">
        <v>0</v>
      </c>
      <c r="IO240" s="48">
        <v>0</v>
      </c>
      <c r="IP240" s="23">
        <v>0</v>
      </c>
      <c r="IQ240" s="25">
        <v>412150</v>
      </c>
      <c r="IR240" s="25">
        <v>0</v>
      </c>
      <c r="IS240" s="26">
        <v>0</v>
      </c>
      <c r="IT240" s="26">
        <v>0</v>
      </c>
      <c r="IU240" s="26">
        <v>0</v>
      </c>
      <c r="IV240" s="9">
        <v>0</v>
      </c>
      <c r="IW240" s="38">
        <f t="shared" si="34"/>
        <v>412150</v>
      </c>
    </row>
    <row r="241" spans="1:257" ht="30" customHeight="1" x14ac:dyDescent="0.25">
      <c r="A241" s="112" t="b">
        <v>0</v>
      </c>
      <c r="B241" s="113" t="str">
        <f>IFERROR(VLOOKUP(C241,'Bridge matrix'!$D$3:$E$727,2,FALSE)='symmetric IOT 245 2012'!D241,"FALSCH")</f>
        <v>FALSCH</v>
      </c>
      <c r="C241" s="108">
        <v>230</v>
      </c>
      <c r="D241" s="49" t="s">
        <v>1546</v>
      </c>
      <c r="E241" s="48">
        <v>0</v>
      </c>
      <c r="F241" s="48">
        <v>0</v>
      </c>
      <c r="G241" s="48">
        <v>0</v>
      </c>
      <c r="H241" s="48">
        <v>0</v>
      </c>
      <c r="I241" s="48">
        <v>0</v>
      </c>
      <c r="J241" s="48">
        <v>0</v>
      </c>
      <c r="K241" s="48">
        <v>0</v>
      </c>
      <c r="L241" s="48">
        <v>0</v>
      </c>
      <c r="M241" s="48">
        <v>0</v>
      </c>
      <c r="N241" s="48">
        <v>0</v>
      </c>
      <c r="O241" s="48">
        <v>0</v>
      </c>
      <c r="P241" s="48">
        <v>0</v>
      </c>
      <c r="Q241" s="48">
        <v>0</v>
      </c>
      <c r="R241" s="48">
        <v>0</v>
      </c>
      <c r="S241" s="48">
        <v>0</v>
      </c>
      <c r="T241" s="48">
        <v>0</v>
      </c>
      <c r="U241" s="48">
        <v>0</v>
      </c>
      <c r="V241" s="48">
        <v>0</v>
      </c>
      <c r="W241" s="48">
        <v>0</v>
      </c>
      <c r="X241" s="48">
        <v>0</v>
      </c>
      <c r="Y241" s="48">
        <v>0</v>
      </c>
      <c r="Z241" s="48">
        <v>0</v>
      </c>
      <c r="AA241" s="48">
        <v>0</v>
      </c>
      <c r="AB241" s="48">
        <v>0</v>
      </c>
      <c r="AC241" s="48">
        <v>0</v>
      </c>
      <c r="AD241" s="48">
        <v>0</v>
      </c>
      <c r="AE241" s="48">
        <v>0</v>
      </c>
      <c r="AF241" s="48">
        <v>0</v>
      </c>
      <c r="AG241" s="48">
        <v>0</v>
      </c>
      <c r="AH241" s="48">
        <v>0</v>
      </c>
      <c r="AI241" s="48">
        <v>0</v>
      </c>
      <c r="AJ241" s="48">
        <v>0</v>
      </c>
      <c r="AK241" s="48">
        <v>0</v>
      </c>
      <c r="AL241" s="48">
        <v>0</v>
      </c>
      <c r="AM241" s="48">
        <v>0</v>
      </c>
      <c r="AN241" s="48">
        <v>0</v>
      </c>
      <c r="AO241" s="48">
        <v>0</v>
      </c>
      <c r="AP241" s="48">
        <v>0</v>
      </c>
      <c r="AQ241" s="48">
        <v>0</v>
      </c>
      <c r="AR241" s="48">
        <v>0</v>
      </c>
      <c r="AS241" s="48">
        <v>0</v>
      </c>
      <c r="AT241" s="48">
        <v>0</v>
      </c>
      <c r="AU241" s="48">
        <v>0</v>
      </c>
      <c r="AV241" s="48">
        <v>0</v>
      </c>
      <c r="AW241" s="48">
        <v>0</v>
      </c>
      <c r="AX241" s="48">
        <v>0</v>
      </c>
      <c r="AY241" s="48">
        <v>0</v>
      </c>
      <c r="AZ241" s="48">
        <v>0</v>
      </c>
      <c r="BA241" s="48">
        <v>0</v>
      </c>
      <c r="BB241" s="48">
        <v>0</v>
      </c>
      <c r="BC241" s="48">
        <v>0</v>
      </c>
      <c r="BD241" s="48">
        <v>0</v>
      </c>
      <c r="BE241" s="48">
        <v>0</v>
      </c>
      <c r="BF241" s="48">
        <v>0</v>
      </c>
      <c r="BG241" s="48">
        <v>0</v>
      </c>
      <c r="BH241" s="48">
        <v>0</v>
      </c>
      <c r="BI241" s="48">
        <v>0</v>
      </c>
      <c r="BJ241" s="48">
        <v>0</v>
      </c>
      <c r="BK241" s="48">
        <v>0</v>
      </c>
      <c r="BL241" s="48">
        <v>0</v>
      </c>
      <c r="BM241" s="48">
        <v>0</v>
      </c>
      <c r="BN241" s="48">
        <v>0</v>
      </c>
      <c r="BO241" s="48">
        <v>0</v>
      </c>
      <c r="BP241" s="48">
        <v>0</v>
      </c>
      <c r="BQ241" s="48">
        <v>0</v>
      </c>
      <c r="BR241" s="48">
        <v>0</v>
      </c>
      <c r="BS241" s="48">
        <v>0</v>
      </c>
      <c r="BT241" s="48">
        <v>0</v>
      </c>
      <c r="BU241" s="48">
        <v>0</v>
      </c>
      <c r="BV241" s="48">
        <v>0</v>
      </c>
      <c r="BW241" s="48">
        <v>0</v>
      </c>
      <c r="BX241" s="48">
        <v>0</v>
      </c>
      <c r="BY241" s="48">
        <v>0</v>
      </c>
      <c r="BZ241" s="48">
        <v>0</v>
      </c>
      <c r="CA241" s="48">
        <v>0</v>
      </c>
      <c r="CB241" s="48">
        <v>0</v>
      </c>
      <c r="CC241" s="48">
        <v>0</v>
      </c>
      <c r="CD241" s="48">
        <v>0</v>
      </c>
      <c r="CE241" s="48">
        <v>0</v>
      </c>
      <c r="CF241" s="48">
        <v>0</v>
      </c>
      <c r="CG241" s="48">
        <v>0</v>
      </c>
      <c r="CH241" s="48">
        <v>0</v>
      </c>
      <c r="CI241" s="48">
        <v>0</v>
      </c>
      <c r="CJ241" s="48">
        <v>0</v>
      </c>
      <c r="CK241" s="48">
        <v>0</v>
      </c>
      <c r="CL241" s="48">
        <v>0</v>
      </c>
      <c r="CM241" s="48">
        <v>0</v>
      </c>
      <c r="CN241" s="48">
        <v>0</v>
      </c>
      <c r="CO241" s="48">
        <v>0</v>
      </c>
      <c r="CP241" s="48">
        <v>0</v>
      </c>
      <c r="CQ241" s="48">
        <v>0</v>
      </c>
      <c r="CR241" s="48">
        <v>0</v>
      </c>
      <c r="CS241" s="48">
        <v>0</v>
      </c>
      <c r="CT241" s="48">
        <v>0</v>
      </c>
      <c r="CU241" s="48">
        <v>0</v>
      </c>
      <c r="CV241" s="48">
        <v>0</v>
      </c>
      <c r="CW241" s="48">
        <v>0</v>
      </c>
      <c r="CX241" s="48">
        <v>0</v>
      </c>
      <c r="CY241" s="48">
        <v>0</v>
      </c>
      <c r="CZ241" s="48">
        <v>0</v>
      </c>
      <c r="DA241" s="48">
        <v>0</v>
      </c>
      <c r="DB241" s="48">
        <v>0</v>
      </c>
      <c r="DC241" s="48">
        <v>0</v>
      </c>
      <c r="DD241" s="48">
        <v>0</v>
      </c>
      <c r="DE241" s="48">
        <v>0</v>
      </c>
      <c r="DF241" s="48">
        <v>0</v>
      </c>
      <c r="DG241" s="48">
        <v>0</v>
      </c>
      <c r="DH241" s="48">
        <v>0</v>
      </c>
      <c r="DI241" s="48">
        <v>0</v>
      </c>
      <c r="DJ241" s="48">
        <v>0</v>
      </c>
      <c r="DK241" s="48">
        <v>0</v>
      </c>
      <c r="DL241" s="48">
        <v>0</v>
      </c>
      <c r="DM241" s="48">
        <v>0</v>
      </c>
      <c r="DN241" s="48">
        <v>0</v>
      </c>
      <c r="DO241" s="48">
        <v>0</v>
      </c>
      <c r="DP241" s="48">
        <v>0</v>
      </c>
      <c r="DQ241" s="48">
        <v>0</v>
      </c>
      <c r="DR241" s="48">
        <v>0</v>
      </c>
      <c r="DS241" s="48">
        <v>0</v>
      </c>
      <c r="DT241" s="48">
        <v>0</v>
      </c>
      <c r="DU241" s="48">
        <v>0</v>
      </c>
      <c r="DV241" s="48">
        <v>0</v>
      </c>
      <c r="DW241" s="48">
        <v>0</v>
      </c>
      <c r="DX241" s="48">
        <v>0</v>
      </c>
      <c r="DY241" s="48">
        <v>0</v>
      </c>
      <c r="DZ241" s="48">
        <v>0</v>
      </c>
      <c r="EA241" s="48">
        <v>0</v>
      </c>
      <c r="EB241" s="48">
        <v>0</v>
      </c>
      <c r="EC241" s="48">
        <v>0</v>
      </c>
      <c r="ED241" s="48">
        <v>0</v>
      </c>
      <c r="EE241" s="48">
        <v>0</v>
      </c>
      <c r="EF241" s="48">
        <v>0</v>
      </c>
      <c r="EG241" s="48">
        <v>0</v>
      </c>
      <c r="EH241" s="48">
        <v>0</v>
      </c>
      <c r="EI241" s="48">
        <v>0</v>
      </c>
      <c r="EJ241" s="48">
        <v>0</v>
      </c>
      <c r="EK241" s="48">
        <v>0</v>
      </c>
      <c r="EL241" s="48">
        <v>0</v>
      </c>
      <c r="EM241" s="48">
        <v>0</v>
      </c>
      <c r="EN241" s="48">
        <v>0</v>
      </c>
      <c r="EO241" s="48">
        <v>0</v>
      </c>
      <c r="EP241" s="48">
        <v>0</v>
      </c>
      <c r="EQ241" s="48">
        <v>0</v>
      </c>
      <c r="ER241" s="48">
        <v>0</v>
      </c>
      <c r="ES241" s="48">
        <v>0</v>
      </c>
      <c r="ET241" s="48">
        <v>0</v>
      </c>
      <c r="EU241" s="48">
        <v>0</v>
      </c>
      <c r="EV241" s="48">
        <v>0</v>
      </c>
      <c r="EW241" s="48">
        <v>0</v>
      </c>
      <c r="EX241" s="48">
        <v>0</v>
      </c>
      <c r="EY241" s="48">
        <v>0</v>
      </c>
      <c r="EZ241" s="48">
        <v>0</v>
      </c>
      <c r="FA241" s="48">
        <v>0</v>
      </c>
      <c r="FB241" s="48">
        <v>0</v>
      </c>
      <c r="FC241" s="48">
        <v>0</v>
      </c>
      <c r="FD241" s="48">
        <v>0</v>
      </c>
      <c r="FE241" s="48">
        <v>0</v>
      </c>
      <c r="FF241" s="48">
        <v>0</v>
      </c>
      <c r="FG241" s="48">
        <v>0</v>
      </c>
      <c r="FH241" s="48">
        <v>0</v>
      </c>
      <c r="FI241" s="48">
        <v>0</v>
      </c>
      <c r="FJ241" s="48">
        <v>0</v>
      </c>
      <c r="FK241" s="48">
        <v>0</v>
      </c>
      <c r="FL241" s="48">
        <v>0</v>
      </c>
      <c r="FM241" s="48">
        <v>0</v>
      </c>
      <c r="FN241" s="48">
        <v>0</v>
      </c>
      <c r="FO241" s="48">
        <v>0</v>
      </c>
      <c r="FP241" s="48">
        <v>0</v>
      </c>
      <c r="FQ241" s="48">
        <v>0</v>
      </c>
      <c r="FR241" s="48">
        <v>0</v>
      </c>
      <c r="FS241" s="48">
        <v>0</v>
      </c>
      <c r="FT241" s="48">
        <v>0</v>
      </c>
      <c r="FU241" s="48">
        <v>0</v>
      </c>
      <c r="FV241" s="48">
        <v>0</v>
      </c>
      <c r="FW241" s="48">
        <v>0</v>
      </c>
      <c r="FX241" s="48">
        <v>0</v>
      </c>
      <c r="FY241" s="48">
        <v>0</v>
      </c>
      <c r="FZ241" s="48">
        <v>0</v>
      </c>
      <c r="GA241" s="48">
        <v>0</v>
      </c>
      <c r="GB241" s="48">
        <v>0</v>
      </c>
      <c r="GC241" s="48">
        <v>0</v>
      </c>
      <c r="GD241" s="48">
        <v>0</v>
      </c>
      <c r="GE241" s="48">
        <v>0</v>
      </c>
      <c r="GF241" s="48">
        <v>0</v>
      </c>
      <c r="GG241" s="48">
        <v>0</v>
      </c>
      <c r="GH241" s="48">
        <v>0</v>
      </c>
      <c r="GI241" s="48">
        <v>0</v>
      </c>
      <c r="GJ241" s="48">
        <v>0</v>
      </c>
      <c r="GK241" s="48">
        <v>0</v>
      </c>
      <c r="GL241" s="48">
        <v>0</v>
      </c>
      <c r="GM241" s="48">
        <v>0</v>
      </c>
      <c r="GN241" s="48">
        <v>0</v>
      </c>
      <c r="GO241" s="48">
        <v>0</v>
      </c>
      <c r="GP241" s="48">
        <v>0</v>
      </c>
      <c r="GQ241" s="48">
        <v>0</v>
      </c>
      <c r="GR241" s="48">
        <v>0</v>
      </c>
      <c r="GS241" s="48">
        <v>0</v>
      </c>
      <c r="GT241" s="48">
        <v>0</v>
      </c>
      <c r="GU241" s="48">
        <v>0</v>
      </c>
      <c r="GV241" s="48">
        <v>0</v>
      </c>
      <c r="GW241" s="48">
        <v>0</v>
      </c>
      <c r="GX241" s="48">
        <v>0</v>
      </c>
      <c r="GY241" s="48">
        <v>0</v>
      </c>
      <c r="GZ241" s="48">
        <v>0</v>
      </c>
      <c r="HA241" s="48">
        <v>0</v>
      </c>
      <c r="HB241" s="48">
        <v>0</v>
      </c>
      <c r="HC241" s="48">
        <v>0</v>
      </c>
      <c r="HD241" s="48">
        <v>0</v>
      </c>
      <c r="HE241" s="48">
        <v>0</v>
      </c>
      <c r="HF241" s="48">
        <v>0</v>
      </c>
      <c r="HG241" s="48">
        <v>0</v>
      </c>
      <c r="HH241" s="48">
        <v>0</v>
      </c>
      <c r="HI241" s="48">
        <v>0</v>
      </c>
      <c r="HJ241" s="48">
        <v>0</v>
      </c>
      <c r="HK241" s="48">
        <v>0</v>
      </c>
      <c r="HL241" s="48">
        <v>0</v>
      </c>
      <c r="HM241" s="48">
        <v>0</v>
      </c>
      <c r="HN241" s="48">
        <v>0</v>
      </c>
      <c r="HO241" s="48">
        <v>0</v>
      </c>
      <c r="HP241" s="48">
        <v>0</v>
      </c>
      <c r="HQ241" s="48">
        <v>0</v>
      </c>
      <c r="HR241" s="48">
        <v>0</v>
      </c>
      <c r="HS241" s="48">
        <v>0</v>
      </c>
      <c r="HT241" s="48">
        <v>0</v>
      </c>
      <c r="HU241" s="48">
        <v>0</v>
      </c>
      <c r="HV241" s="48">
        <v>0</v>
      </c>
      <c r="HW241" s="48">
        <v>0</v>
      </c>
      <c r="HX241" s="48">
        <v>0</v>
      </c>
      <c r="HY241" s="48">
        <v>0</v>
      </c>
      <c r="HZ241" s="48">
        <v>0</v>
      </c>
      <c r="IA241" s="48">
        <v>0</v>
      </c>
      <c r="IB241" s="48">
        <v>0</v>
      </c>
      <c r="IC241" s="48">
        <v>0</v>
      </c>
      <c r="ID241" s="48">
        <v>0</v>
      </c>
      <c r="IE241" s="48">
        <v>0</v>
      </c>
      <c r="IF241" s="48">
        <v>0</v>
      </c>
      <c r="IG241" s="48">
        <v>0</v>
      </c>
      <c r="IH241" s="48">
        <v>0</v>
      </c>
      <c r="II241" s="48">
        <v>0</v>
      </c>
      <c r="IJ241" s="48">
        <v>0</v>
      </c>
      <c r="IK241" s="48">
        <v>0</v>
      </c>
      <c r="IL241" s="48">
        <v>0</v>
      </c>
      <c r="IM241" s="48">
        <v>0</v>
      </c>
      <c r="IN241" s="48">
        <v>0</v>
      </c>
      <c r="IO241" s="48">
        <v>0</v>
      </c>
      <c r="IP241" s="23">
        <v>0</v>
      </c>
      <c r="IQ241" s="25">
        <v>610818</v>
      </c>
      <c r="IR241" s="25">
        <v>0</v>
      </c>
      <c r="IS241" s="26">
        <v>0</v>
      </c>
      <c r="IT241" s="26">
        <v>0</v>
      </c>
      <c r="IU241" s="26">
        <v>0</v>
      </c>
      <c r="IV241" s="9">
        <v>0</v>
      </c>
      <c r="IW241" s="38">
        <f t="shared" si="34"/>
        <v>610818</v>
      </c>
    </row>
    <row r="242" spans="1:257" ht="30" customHeight="1" x14ac:dyDescent="0.25">
      <c r="A242" s="112" t="b">
        <v>0</v>
      </c>
      <c r="B242" s="113" t="b">
        <f>IFERROR(VLOOKUP(C242,'Bridge matrix'!$D$3:$E$727,2,FALSE)='symmetric IOT 245 2012'!D242,"FALSCH")</f>
        <v>1</v>
      </c>
      <c r="C242" s="108">
        <v>231</v>
      </c>
      <c r="D242" s="49" t="s">
        <v>1547</v>
      </c>
      <c r="E242" s="48">
        <v>0</v>
      </c>
      <c r="F242" s="48">
        <v>0</v>
      </c>
      <c r="G242" s="48">
        <v>0</v>
      </c>
      <c r="H242" s="48">
        <v>0</v>
      </c>
      <c r="I242" s="48">
        <v>0</v>
      </c>
      <c r="J242" s="48">
        <v>0</v>
      </c>
      <c r="K242" s="48">
        <v>0</v>
      </c>
      <c r="L242" s="48">
        <v>0</v>
      </c>
      <c r="M242" s="48">
        <v>0</v>
      </c>
      <c r="N242" s="48">
        <v>0</v>
      </c>
      <c r="O242" s="48">
        <v>0</v>
      </c>
      <c r="P242" s="48">
        <v>0</v>
      </c>
      <c r="Q242" s="48">
        <v>0</v>
      </c>
      <c r="R242" s="48">
        <v>0</v>
      </c>
      <c r="S242" s="48">
        <v>0</v>
      </c>
      <c r="T242" s="48">
        <v>0</v>
      </c>
      <c r="U242" s="48">
        <v>0</v>
      </c>
      <c r="V242" s="48">
        <v>0</v>
      </c>
      <c r="W242" s="48">
        <v>0</v>
      </c>
      <c r="X242" s="48">
        <v>0</v>
      </c>
      <c r="Y242" s="48">
        <v>0</v>
      </c>
      <c r="Z242" s="48">
        <v>0</v>
      </c>
      <c r="AA242" s="48">
        <v>0</v>
      </c>
      <c r="AB242" s="48">
        <v>0</v>
      </c>
      <c r="AC242" s="48">
        <v>0</v>
      </c>
      <c r="AD242" s="48">
        <v>0</v>
      </c>
      <c r="AE242" s="48">
        <v>0</v>
      </c>
      <c r="AF242" s="48">
        <v>0</v>
      </c>
      <c r="AG242" s="48">
        <v>0</v>
      </c>
      <c r="AH242" s="48">
        <v>0</v>
      </c>
      <c r="AI242" s="48">
        <v>0</v>
      </c>
      <c r="AJ242" s="48">
        <v>0</v>
      </c>
      <c r="AK242" s="48">
        <v>0</v>
      </c>
      <c r="AL242" s="48">
        <v>0</v>
      </c>
      <c r="AM242" s="48">
        <v>0</v>
      </c>
      <c r="AN242" s="48">
        <v>0</v>
      </c>
      <c r="AO242" s="48">
        <v>0</v>
      </c>
      <c r="AP242" s="48">
        <v>0</v>
      </c>
      <c r="AQ242" s="48">
        <v>0</v>
      </c>
      <c r="AR242" s="48">
        <v>0</v>
      </c>
      <c r="AS242" s="48">
        <v>0</v>
      </c>
      <c r="AT242" s="48">
        <v>0</v>
      </c>
      <c r="AU242" s="48">
        <v>0</v>
      </c>
      <c r="AV242" s="48">
        <v>0</v>
      </c>
      <c r="AW242" s="48">
        <v>0</v>
      </c>
      <c r="AX242" s="48">
        <v>0</v>
      </c>
      <c r="AY242" s="48">
        <v>0</v>
      </c>
      <c r="AZ242" s="48">
        <v>0</v>
      </c>
      <c r="BA242" s="48">
        <v>0</v>
      </c>
      <c r="BB242" s="48">
        <v>0</v>
      </c>
      <c r="BC242" s="48">
        <v>0</v>
      </c>
      <c r="BD242" s="48">
        <v>0</v>
      </c>
      <c r="BE242" s="48">
        <v>0</v>
      </c>
      <c r="BF242" s="48">
        <v>0</v>
      </c>
      <c r="BG242" s="48">
        <v>0</v>
      </c>
      <c r="BH242" s="48">
        <v>0</v>
      </c>
      <c r="BI242" s="48">
        <v>0</v>
      </c>
      <c r="BJ242" s="48">
        <v>0</v>
      </c>
      <c r="BK242" s="48">
        <v>0</v>
      </c>
      <c r="BL242" s="48">
        <v>0</v>
      </c>
      <c r="BM242" s="48">
        <v>0</v>
      </c>
      <c r="BN242" s="48">
        <v>0</v>
      </c>
      <c r="BO242" s="48">
        <v>0</v>
      </c>
      <c r="BP242" s="48">
        <v>0</v>
      </c>
      <c r="BQ242" s="48">
        <v>0</v>
      </c>
      <c r="BR242" s="48">
        <v>0</v>
      </c>
      <c r="BS242" s="48">
        <v>0</v>
      </c>
      <c r="BT242" s="48">
        <v>0</v>
      </c>
      <c r="BU242" s="48">
        <v>0</v>
      </c>
      <c r="BV242" s="48">
        <v>0</v>
      </c>
      <c r="BW242" s="48">
        <v>0</v>
      </c>
      <c r="BX242" s="48">
        <v>0</v>
      </c>
      <c r="BY242" s="48">
        <v>0</v>
      </c>
      <c r="BZ242" s="48">
        <v>0</v>
      </c>
      <c r="CA242" s="48">
        <v>0</v>
      </c>
      <c r="CB242" s="48">
        <v>0</v>
      </c>
      <c r="CC242" s="48">
        <v>0</v>
      </c>
      <c r="CD242" s="48">
        <v>0</v>
      </c>
      <c r="CE242" s="48">
        <v>0</v>
      </c>
      <c r="CF242" s="48">
        <v>0</v>
      </c>
      <c r="CG242" s="48">
        <v>0</v>
      </c>
      <c r="CH242" s="48">
        <v>0</v>
      </c>
      <c r="CI242" s="48">
        <v>0</v>
      </c>
      <c r="CJ242" s="48">
        <v>0</v>
      </c>
      <c r="CK242" s="48">
        <v>0</v>
      </c>
      <c r="CL242" s="48">
        <v>3.3212300231855809E-13</v>
      </c>
      <c r="CM242" s="48">
        <v>0</v>
      </c>
      <c r="CN242" s="48">
        <v>4.9413251406095482E-13</v>
      </c>
      <c r="CO242" s="48">
        <v>0</v>
      </c>
      <c r="CP242" s="48">
        <v>0</v>
      </c>
      <c r="CQ242" s="48">
        <v>0</v>
      </c>
      <c r="CR242" s="48">
        <v>0</v>
      </c>
      <c r="CS242" s="48">
        <v>0</v>
      </c>
      <c r="CT242" s="48">
        <v>6.6146321019261451E-16</v>
      </c>
      <c r="CU242" s="48">
        <v>0</v>
      </c>
      <c r="CV242" s="48">
        <v>9.4091740669525097E-11</v>
      </c>
      <c r="CW242" s="48">
        <v>0</v>
      </c>
      <c r="CX242" s="48">
        <v>6.1567832988545284E-17</v>
      </c>
      <c r="CY242" s="48">
        <v>1.5738106068458137E-12</v>
      </c>
      <c r="CZ242" s="48">
        <v>1.2055996621056968E-13</v>
      </c>
      <c r="DA242" s="48">
        <v>0</v>
      </c>
      <c r="DB242" s="48">
        <v>0</v>
      </c>
      <c r="DC242" s="48">
        <v>2.9623541768519515E-16</v>
      </c>
      <c r="DD242" s="48">
        <v>5.1644601658206757E-13</v>
      </c>
      <c r="DE242" s="48">
        <v>7.6881359033590672E-13</v>
      </c>
      <c r="DF242" s="48">
        <v>0</v>
      </c>
      <c r="DG242" s="48">
        <v>0</v>
      </c>
      <c r="DH242" s="48">
        <v>0</v>
      </c>
      <c r="DI242" s="48">
        <v>3.2966097345420735E-12</v>
      </c>
      <c r="DJ242" s="48">
        <v>0</v>
      </c>
      <c r="DK242" s="48">
        <v>2.2633365922625053E-12</v>
      </c>
      <c r="DL242" s="48">
        <v>0</v>
      </c>
      <c r="DM242" s="48">
        <v>0</v>
      </c>
      <c r="DN242" s="48">
        <v>0</v>
      </c>
      <c r="DO242" s="48">
        <v>0</v>
      </c>
      <c r="DP242" s="48">
        <v>0</v>
      </c>
      <c r="DQ242" s="48">
        <v>0</v>
      </c>
      <c r="DR242" s="48">
        <v>6.1079119424246409E-4</v>
      </c>
      <c r="DS242" s="48">
        <v>0</v>
      </c>
      <c r="DT242" s="48">
        <v>0</v>
      </c>
      <c r="DU242" s="48">
        <v>0</v>
      </c>
      <c r="DV242" s="48">
        <v>0</v>
      </c>
      <c r="DW242" s="48">
        <v>0</v>
      </c>
      <c r="DX242" s="48">
        <v>0</v>
      </c>
      <c r="DY242" s="48">
        <v>2.0437533551590452E-9</v>
      </c>
      <c r="DZ242" s="48">
        <v>0</v>
      </c>
      <c r="EA242" s="48">
        <v>0</v>
      </c>
      <c r="EB242" s="48">
        <v>5.6890449448717415E-3</v>
      </c>
      <c r="EC242" s="48">
        <v>0</v>
      </c>
      <c r="ED242" s="48">
        <v>0</v>
      </c>
      <c r="EE242" s="48">
        <v>0</v>
      </c>
      <c r="EF242" s="48">
        <v>0</v>
      </c>
      <c r="EG242" s="48">
        <v>0</v>
      </c>
      <c r="EH242" s="48">
        <v>0</v>
      </c>
      <c r="EI242" s="48">
        <v>3.1758880546069516E-8</v>
      </c>
      <c r="EJ242" s="48">
        <v>1.8388630020015721E-12</v>
      </c>
      <c r="EK242" s="48">
        <v>0</v>
      </c>
      <c r="EL242" s="48">
        <v>0</v>
      </c>
      <c r="EM242" s="48">
        <v>0</v>
      </c>
      <c r="EN242" s="48">
        <v>0</v>
      </c>
      <c r="EO242" s="48">
        <v>0</v>
      </c>
      <c r="EP242" s="48">
        <v>0</v>
      </c>
      <c r="EQ242" s="48">
        <v>0</v>
      </c>
      <c r="ER242" s="48">
        <v>0</v>
      </c>
      <c r="ES242" s="48">
        <v>2.2762599924177946E-6</v>
      </c>
      <c r="ET242" s="48">
        <v>0</v>
      </c>
      <c r="EU242" s="48">
        <v>0</v>
      </c>
      <c r="EV242" s="48">
        <v>0</v>
      </c>
      <c r="EW242" s="48">
        <v>0</v>
      </c>
      <c r="EX242" s="48">
        <v>1.4230189415467605E-3</v>
      </c>
      <c r="EY242" s="48">
        <v>1.1093767994773217E-7</v>
      </c>
      <c r="EZ242" s="48">
        <v>0</v>
      </c>
      <c r="FA242" s="48">
        <v>3.5976929155734061E-8</v>
      </c>
      <c r="FB242" s="48">
        <v>9.8633090249691863E-10</v>
      </c>
      <c r="FC242" s="48">
        <v>0</v>
      </c>
      <c r="FD242" s="48">
        <v>0</v>
      </c>
      <c r="FE242" s="48">
        <v>0</v>
      </c>
      <c r="FF242" s="48">
        <v>0</v>
      </c>
      <c r="FG242" s="48">
        <v>0</v>
      </c>
      <c r="FH242" s="48">
        <v>0</v>
      </c>
      <c r="FI242" s="48">
        <v>0</v>
      </c>
      <c r="FJ242" s="48">
        <v>0</v>
      </c>
      <c r="FK242" s="48">
        <v>0</v>
      </c>
      <c r="FL242" s="48">
        <v>0</v>
      </c>
      <c r="FM242" s="48">
        <v>1.8812320242363073E-4</v>
      </c>
      <c r="FN242" s="48">
        <v>0</v>
      </c>
      <c r="FO242" s="48">
        <v>0</v>
      </c>
      <c r="FP242" s="48">
        <v>8.0063387030730928E-3</v>
      </c>
      <c r="FQ242" s="48">
        <v>1.4567073784906335E-8</v>
      </c>
      <c r="FR242" s="48">
        <v>0</v>
      </c>
      <c r="FS242" s="48">
        <v>0</v>
      </c>
      <c r="FT242" s="48">
        <v>0</v>
      </c>
      <c r="FU242" s="48">
        <v>0</v>
      </c>
      <c r="FV242" s="48">
        <v>6.6815929337371916E-9</v>
      </c>
      <c r="FW242" s="48">
        <v>0</v>
      </c>
      <c r="FX242" s="48">
        <v>0</v>
      </c>
      <c r="FY242" s="48">
        <v>0</v>
      </c>
      <c r="FZ242" s="48">
        <v>0</v>
      </c>
      <c r="GA242" s="48">
        <v>0</v>
      </c>
      <c r="GB242" s="48">
        <v>356.09705980420841</v>
      </c>
      <c r="GC242" s="48">
        <v>0</v>
      </c>
      <c r="GD242" s="48">
        <v>0</v>
      </c>
      <c r="GE242" s="48">
        <v>767.35724529811125</v>
      </c>
      <c r="GF242" s="48">
        <v>1045.9819914599861</v>
      </c>
      <c r="GG242" s="48">
        <v>4.0427591689803606</v>
      </c>
      <c r="GH242" s="48">
        <v>0</v>
      </c>
      <c r="GI242" s="48">
        <v>0</v>
      </c>
      <c r="GJ242" s="48">
        <v>0</v>
      </c>
      <c r="GK242" s="48">
        <v>1.0107726356047739</v>
      </c>
      <c r="GL242" s="48">
        <v>1.010694738134442</v>
      </c>
      <c r="GM242" s="48">
        <v>7.9370167238138709E-2</v>
      </c>
      <c r="GN242" s="48">
        <v>0</v>
      </c>
      <c r="GO242" s="48">
        <v>0</v>
      </c>
      <c r="GP242" s="48">
        <v>0</v>
      </c>
      <c r="GQ242" s="48">
        <v>1.011745343920289</v>
      </c>
      <c r="GR242" s="48">
        <v>0</v>
      </c>
      <c r="GS242" s="48">
        <v>0</v>
      </c>
      <c r="GT242" s="48">
        <v>189.80699695097215</v>
      </c>
      <c r="GU242" s="48">
        <v>11044.540418307946</v>
      </c>
      <c r="GV242" s="48">
        <v>62.336080991289393</v>
      </c>
      <c r="GW242" s="48">
        <v>16.736429635407642</v>
      </c>
      <c r="GX242" s="48">
        <v>940.65559053930292</v>
      </c>
      <c r="GY242" s="48">
        <v>108.1534548540095</v>
      </c>
      <c r="GZ242" s="48">
        <v>0</v>
      </c>
      <c r="HA242" s="48">
        <v>436.97276457151008</v>
      </c>
      <c r="HB242" s="48">
        <v>119.49378263442748</v>
      </c>
      <c r="HC242" s="48">
        <v>268.56356880337393</v>
      </c>
      <c r="HD242" s="48">
        <v>91.1377056892686</v>
      </c>
      <c r="HE242" s="48">
        <v>16.910386067456376</v>
      </c>
      <c r="HF242" s="48">
        <v>81.123388311281289</v>
      </c>
      <c r="HG242" s="48">
        <v>78.119832923155414</v>
      </c>
      <c r="HH242" s="48">
        <v>146.40155383346257</v>
      </c>
      <c r="HI242" s="48">
        <v>213.89684933257618</v>
      </c>
      <c r="HJ242" s="48">
        <v>241.38254273676949</v>
      </c>
      <c r="HK242" s="48">
        <v>12.018357553018236</v>
      </c>
      <c r="HL242" s="48">
        <v>18.568429294621549</v>
      </c>
      <c r="HM242" s="48">
        <v>84.478936704189252</v>
      </c>
      <c r="HN242" s="48">
        <v>25.038061166602041</v>
      </c>
      <c r="HO242" s="48">
        <v>103.15845406685634</v>
      </c>
      <c r="HP242" s="48">
        <v>177.27075571334086</v>
      </c>
      <c r="HQ242" s="48">
        <v>28.043217781392119</v>
      </c>
      <c r="HR242" s="48">
        <v>59.370705268738135</v>
      </c>
      <c r="HS242" s="48">
        <v>99.05302848556363</v>
      </c>
      <c r="HT242" s="48">
        <v>61.092820242968727</v>
      </c>
      <c r="HU242" s="48">
        <v>80.12253061893756</v>
      </c>
      <c r="HV242" s="48">
        <v>0</v>
      </c>
      <c r="HW242" s="48">
        <v>0</v>
      </c>
      <c r="HX242" s="48">
        <v>0</v>
      </c>
      <c r="HY242" s="48">
        <v>0</v>
      </c>
      <c r="HZ242" s="48">
        <v>0</v>
      </c>
      <c r="IA242" s="48">
        <v>0</v>
      </c>
      <c r="IB242" s="48">
        <v>0</v>
      </c>
      <c r="IC242" s="48">
        <v>0</v>
      </c>
      <c r="ID242" s="48">
        <v>0</v>
      </c>
      <c r="IE242" s="48">
        <v>0</v>
      </c>
      <c r="IF242" s="48">
        <v>0</v>
      </c>
      <c r="IG242" s="48">
        <v>0</v>
      </c>
      <c r="IH242" s="48">
        <v>0</v>
      </c>
      <c r="II242" s="48">
        <v>0</v>
      </c>
      <c r="IJ242" s="48">
        <v>2.8080596391976718E-2</v>
      </c>
      <c r="IK242" s="48">
        <v>667.36261170199884</v>
      </c>
      <c r="IL242" s="48">
        <v>1165.798718114994</v>
      </c>
      <c r="IM242" s="48">
        <v>1402.3635528418963</v>
      </c>
      <c r="IN242" s="48">
        <v>744.39283525374788</v>
      </c>
      <c r="IO242" s="48">
        <v>0</v>
      </c>
      <c r="IP242" s="23">
        <v>20960.999999999956</v>
      </c>
      <c r="IQ242" s="25">
        <v>151641</v>
      </c>
      <c r="IR242" s="25">
        <v>0</v>
      </c>
      <c r="IS242" s="26">
        <v>0</v>
      </c>
      <c r="IT242" s="26">
        <v>0</v>
      </c>
      <c r="IU242" s="26">
        <v>0</v>
      </c>
      <c r="IV242" s="9">
        <v>0</v>
      </c>
      <c r="IW242" s="38">
        <f t="shared" si="34"/>
        <v>172601.99999999994</v>
      </c>
    </row>
    <row r="243" spans="1:257" ht="30" customHeight="1" x14ac:dyDescent="0.25">
      <c r="A243" s="112" t="b">
        <v>0</v>
      </c>
      <c r="B243" s="113" t="str">
        <f>IFERROR(VLOOKUP(C243,'Bridge matrix'!$D$3:$E$727,2,FALSE)='symmetric IOT 245 2012'!D243,"FALSCH")</f>
        <v>FALSCH</v>
      </c>
      <c r="C243" s="108">
        <v>232</v>
      </c>
      <c r="D243" s="49" t="s">
        <v>1548</v>
      </c>
      <c r="E243" s="48">
        <v>0</v>
      </c>
      <c r="F243" s="48">
        <v>0</v>
      </c>
      <c r="G243" s="48">
        <v>0</v>
      </c>
      <c r="H243" s="48">
        <v>0</v>
      </c>
      <c r="I243" s="48">
        <v>0</v>
      </c>
      <c r="J243" s="48">
        <v>0</v>
      </c>
      <c r="K243" s="48">
        <v>0</v>
      </c>
      <c r="L243" s="48">
        <v>0</v>
      </c>
      <c r="M243" s="48">
        <v>0</v>
      </c>
      <c r="N243" s="48">
        <v>0</v>
      </c>
      <c r="O243" s="48">
        <v>0</v>
      </c>
      <c r="P243" s="48">
        <v>0</v>
      </c>
      <c r="Q243" s="48">
        <v>0</v>
      </c>
      <c r="R243" s="48">
        <v>0</v>
      </c>
      <c r="S243" s="48">
        <v>0</v>
      </c>
      <c r="T243" s="48">
        <v>0</v>
      </c>
      <c r="U243" s="48">
        <v>0</v>
      </c>
      <c r="V243" s="48">
        <v>0</v>
      </c>
      <c r="W243" s="48">
        <v>0</v>
      </c>
      <c r="X243" s="48">
        <v>0</v>
      </c>
      <c r="Y243" s="48">
        <v>0</v>
      </c>
      <c r="Z243" s="48">
        <v>0</v>
      </c>
      <c r="AA243" s="48">
        <v>0</v>
      </c>
      <c r="AB243" s="48">
        <v>0</v>
      </c>
      <c r="AC243" s="48">
        <v>0</v>
      </c>
      <c r="AD243" s="48">
        <v>0</v>
      </c>
      <c r="AE243" s="48">
        <v>0</v>
      </c>
      <c r="AF243" s="48">
        <v>0</v>
      </c>
      <c r="AG243" s="48">
        <v>0</v>
      </c>
      <c r="AH243" s="48">
        <v>0</v>
      </c>
      <c r="AI243" s="48">
        <v>0</v>
      </c>
      <c r="AJ243" s="48">
        <v>0</v>
      </c>
      <c r="AK243" s="48">
        <v>0</v>
      </c>
      <c r="AL243" s="48">
        <v>0</v>
      </c>
      <c r="AM243" s="48">
        <v>0</v>
      </c>
      <c r="AN243" s="48">
        <v>0</v>
      </c>
      <c r="AO243" s="48">
        <v>0</v>
      </c>
      <c r="AP243" s="48">
        <v>0</v>
      </c>
      <c r="AQ243" s="48">
        <v>0</v>
      </c>
      <c r="AR243" s="48">
        <v>0</v>
      </c>
      <c r="AS243" s="48">
        <v>0</v>
      </c>
      <c r="AT243" s="48">
        <v>0</v>
      </c>
      <c r="AU243" s="48">
        <v>0</v>
      </c>
      <c r="AV243" s="48">
        <v>0</v>
      </c>
      <c r="AW243" s="48">
        <v>0</v>
      </c>
      <c r="AX243" s="48">
        <v>0</v>
      </c>
      <c r="AY243" s="48">
        <v>0</v>
      </c>
      <c r="AZ243" s="48">
        <v>0</v>
      </c>
      <c r="BA243" s="48">
        <v>0</v>
      </c>
      <c r="BB243" s="48">
        <v>0</v>
      </c>
      <c r="BC243" s="48">
        <v>0</v>
      </c>
      <c r="BD243" s="48">
        <v>0</v>
      </c>
      <c r="BE243" s="48">
        <v>0</v>
      </c>
      <c r="BF243" s="48">
        <v>0</v>
      </c>
      <c r="BG243" s="48">
        <v>0</v>
      </c>
      <c r="BH243" s="48">
        <v>0</v>
      </c>
      <c r="BI243" s="48">
        <v>0</v>
      </c>
      <c r="BJ243" s="48">
        <v>0</v>
      </c>
      <c r="BK243" s="48">
        <v>0</v>
      </c>
      <c r="BL243" s="48">
        <v>0</v>
      </c>
      <c r="BM243" s="48">
        <v>0</v>
      </c>
      <c r="BN243" s="48">
        <v>0</v>
      </c>
      <c r="BO243" s="48">
        <v>0</v>
      </c>
      <c r="BP243" s="48">
        <v>0</v>
      </c>
      <c r="BQ243" s="48">
        <v>0</v>
      </c>
      <c r="BR243" s="48">
        <v>0</v>
      </c>
      <c r="BS243" s="48">
        <v>0</v>
      </c>
      <c r="BT243" s="48">
        <v>0</v>
      </c>
      <c r="BU243" s="48">
        <v>0</v>
      </c>
      <c r="BV243" s="48">
        <v>0</v>
      </c>
      <c r="BW243" s="48">
        <v>0</v>
      </c>
      <c r="BX243" s="48">
        <v>0</v>
      </c>
      <c r="BY243" s="48">
        <v>0</v>
      </c>
      <c r="BZ243" s="48">
        <v>0</v>
      </c>
      <c r="CA243" s="48">
        <v>0</v>
      </c>
      <c r="CB243" s="48">
        <v>0</v>
      </c>
      <c r="CC243" s="48">
        <v>0</v>
      </c>
      <c r="CD243" s="48">
        <v>0</v>
      </c>
      <c r="CE243" s="48">
        <v>0</v>
      </c>
      <c r="CF243" s="48">
        <v>0</v>
      </c>
      <c r="CG243" s="48">
        <v>0</v>
      </c>
      <c r="CH243" s="48">
        <v>0</v>
      </c>
      <c r="CI243" s="48">
        <v>0</v>
      </c>
      <c r="CJ243" s="48">
        <v>0</v>
      </c>
      <c r="CK243" s="48">
        <v>0</v>
      </c>
      <c r="CL243" s="48">
        <v>0</v>
      </c>
      <c r="CM243" s="48">
        <v>0</v>
      </c>
      <c r="CN243" s="48">
        <v>0</v>
      </c>
      <c r="CO243" s="48">
        <v>0</v>
      </c>
      <c r="CP243" s="48">
        <v>0</v>
      </c>
      <c r="CQ243" s="48">
        <v>0</v>
      </c>
      <c r="CR243" s="48">
        <v>0</v>
      </c>
      <c r="CS243" s="48">
        <v>0</v>
      </c>
      <c r="CT243" s="48">
        <v>0</v>
      </c>
      <c r="CU243" s="48">
        <v>0</v>
      </c>
      <c r="CV243" s="48">
        <v>0</v>
      </c>
      <c r="CW243" s="48">
        <v>0</v>
      </c>
      <c r="CX243" s="48">
        <v>0</v>
      </c>
      <c r="CY243" s="48">
        <v>0</v>
      </c>
      <c r="CZ243" s="48">
        <v>0</v>
      </c>
      <c r="DA243" s="48">
        <v>0</v>
      </c>
      <c r="DB243" s="48">
        <v>0</v>
      </c>
      <c r="DC243" s="48">
        <v>0</v>
      </c>
      <c r="DD243" s="48">
        <v>0</v>
      </c>
      <c r="DE243" s="48">
        <v>0</v>
      </c>
      <c r="DF243" s="48">
        <v>0</v>
      </c>
      <c r="DG243" s="48">
        <v>0</v>
      </c>
      <c r="DH243" s="48">
        <v>0</v>
      </c>
      <c r="DI243" s="48">
        <v>0</v>
      </c>
      <c r="DJ243" s="48">
        <v>0</v>
      </c>
      <c r="DK243" s="48">
        <v>0</v>
      </c>
      <c r="DL243" s="48">
        <v>0</v>
      </c>
      <c r="DM243" s="48">
        <v>0</v>
      </c>
      <c r="DN243" s="48">
        <v>0</v>
      </c>
      <c r="DO243" s="48">
        <v>0</v>
      </c>
      <c r="DP243" s="48">
        <v>0</v>
      </c>
      <c r="DQ243" s="48">
        <v>0</v>
      </c>
      <c r="DR243" s="48">
        <v>0</v>
      </c>
      <c r="DS243" s="48">
        <v>0</v>
      </c>
      <c r="DT243" s="48">
        <v>0</v>
      </c>
      <c r="DU243" s="48">
        <v>0</v>
      </c>
      <c r="DV243" s="48">
        <v>0</v>
      </c>
      <c r="DW243" s="48">
        <v>0</v>
      </c>
      <c r="DX243" s="48">
        <v>0</v>
      </c>
      <c r="DY243" s="48">
        <v>0</v>
      </c>
      <c r="DZ243" s="48">
        <v>0</v>
      </c>
      <c r="EA243" s="48">
        <v>0</v>
      </c>
      <c r="EB243" s="48">
        <v>0</v>
      </c>
      <c r="EC243" s="48">
        <v>0</v>
      </c>
      <c r="ED243" s="48">
        <v>0</v>
      </c>
      <c r="EE243" s="48">
        <v>0</v>
      </c>
      <c r="EF243" s="48">
        <v>0</v>
      </c>
      <c r="EG243" s="48">
        <v>0</v>
      </c>
      <c r="EH243" s="48">
        <v>0</v>
      </c>
      <c r="EI243" s="48">
        <v>0</v>
      </c>
      <c r="EJ243" s="48">
        <v>0</v>
      </c>
      <c r="EK243" s="48">
        <v>0</v>
      </c>
      <c r="EL243" s="48">
        <v>0</v>
      </c>
      <c r="EM243" s="48">
        <v>0</v>
      </c>
      <c r="EN243" s="48">
        <v>0</v>
      </c>
      <c r="EO243" s="48">
        <v>0</v>
      </c>
      <c r="EP243" s="48">
        <v>0</v>
      </c>
      <c r="EQ243" s="48">
        <v>0</v>
      </c>
      <c r="ER243" s="48">
        <v>0</v>
      </c>
      <c r="ES243" s="48">
        <v>0</v>
      </c>
      <c r="ET243" s="48">
        <v>0</v>
      </c>
      <c r="EU243" s="48">
        <v>0</v>
      </c>
      <c r="EV243" s="48">
        <v>0</v>
      </c>
      <c r="EW243" s="48">
        <v>0</v>
      </c>
      <c r="EX243" s="48">
        <v>0</v>
      </c>
      <c r="EY243" s="48">
        <v>0</v>
      </c>
      <c r="EZ243" s="48">
        <v>0</v>
      </c>
      <c r="FA243" s="48">
        <v>0</v>
      </c>
      <c r="FB243" s="48">
        <v>0</v>
      </c>
      <c r="FC243" s="48">
        <v>0</v>
      </c>
      <c r="FD243" s="48">
        <v>0</v>
      </c>
      <c r="FE243" s="48">
        <v>0</v>
      </c>
      <c r="FF243" s="48">
        <v>0</v>
      </c>
      <c r="FG243" s="48">
        <v>0</v>
      </c>
      <c r="FH243" s="48">
        <v>0</v>
      </c>
      <c r="FI243" s="48">
        <v>0</v>
      </c>
      <c r="FJ243" s="48">
        <v>0</v>
      </c>
      <c r="FK243" s="48">
        <v>0</v>
      </c>
      <c r="FL243" s="48">
        <v>0</v>
      </c>
      <c r="FM243" s="48">
        <v>0</v>
      </c>
      <c r="FN243" s="48">
        <v>0</v>
      </c>
      <c r="FO243" s="48">
        <v>0</v>
      </c>
      <c r="FP243" s="48">
        <v>0</v>
      </c>
      <c r="FQ243" s="48">
        <v>0</v>
      </c>
      <c r="FR243" s="48">
        <v>0</v>
      </c>
      <c r="FS243" s="48">
        <v>0</v>
      </c>
      <c r="FT243" s="48">
        <v>0</v>
      </c>
      <c r="FU243" s="48">
        <v>0</v>
      </c>
      <c r="FV243" s="48">
        <v>0</v>
      </c>
      <c r="FW243" s="48">
        <v>0</v>
      </c>
      <c r="FX243" s="48">
        <v>0</v>
      </c>
      <c r="FY243" s="48">
        <v>0</v>
      </c>
      <c r="FZ243" s="48">
        <v>0</v>
      </c>
      <c r="GA243" s="48">
        <v>0</v>
      </c>
      <c r="GB243" s="48">
        <v>0</v>
      </c>
      <c r="GC243" s="48">
        <v>0</v>
      </c>
      <c r="GD243" s="48">
        <v>0</v>
      </c>
      <c r="GE243" s="48">
        <v>0</v>
      </c>
      <c r="GF243" s="48">
        <v>0</v>
      </c>
      <c r="GG243" s="48">
        <v>0</v>
      </c>
      <c r="GH243" s="48">
        <v>0</v>
      </c>
      <c r="GI243" s="48">
        <v>0</v>
      </c>
      <c r="GJ243" s="48">
        <v>0</v>
      </c>
      <c r="GK243" s="48">
        <v>0</v>
      </c>
      <c r="GL243" s="48">
        <v>0</v>
      </c>
      <c r="GM243" s="48">
        <v>0</v>
      </c>
      <c r="GN243" s="48">
        <v>0</v>
      </c>
      <c r="GO243" s="48">
        <v>0</v>
      </c>
      <c r="GP243" s="48">
        <v>0</v>
      </c>
      <c r="GQ243" s="48">
        <v>0</v>
      </c>
      <c r="GR243" s="48">
        <v>0</v>
      </c>
      <c r="GS243" s="48">
        <v>0</v>
      </c>
      <c r="GT243" s="48">
        <v>0</v>
      </c>
      <c r="GU243" s="48">
        <v>0</v>
      </c>
      <c r="GV243" s="48">
        <v>0</v>
      </c>
      <c r="GW243" s="48">
        <v>0</v>
      </c>
      <c r="GX243" s="48">
        <v>0</v>
      </c>
      <c r="GY243" s="48">
        <v>0</v>
      </c>
      <c r="GZ243" s="48">
        <v>0</v>
      </c>
      <c r="HA243" s="48">
        <v>0</v>
      </c>
      <c r="HB243" s="48">
        <v>0</v>
      </c>
      <c r="HC243" s="48">
        <v>0</v>
      </c>
      <c r="HD243" s="48">
        <v>0</v>
      </c>
      <c r="HE243" s="48">
        <v>0</v>
      </c>
      <c r="HF243" s="48">
        <v>0</v>
      </c>
      <c r="HG243" s="48">
        <v>0</v>
      </c>
      <c r="HH243" s="48">
        <v>0</v>
      </c>
      <c r="HI243" s="48">
        <v>0</v>
      </c>
      <c r="HJ243" s="48">
        <v>0</v>
      </c>
      <c r="HK243" s="48">
        <v>0</v>
      </c>
      <c r="HL243" s="48">
        <v>0</v>
      </c>
      <c r="HM243" s="48">
        <v>0</v>
      </c>
      <c r="HN243" s="48">
        <v>0</v>
      </c>
      <c r="HO243" s="48">
        <v>0</v>
      </c>
      <c r="HP243" s="48">
        <v>0</v>
      </c>
      <c r="HQ243" s="48">
        <v>0</v>
      </c>
      <c r="HR243" s="48">
        <v>0</v>
      </c>
      <c r="HS243" s="48">
        <v>0</v>
      </c>
      <c r="HT243" s="48">
        <v>0</v>
      </c>
      <c r="HU243" s="48">
        <v>0</v>
      </c>
      <c r="HV243" s="48">
        <v>0</v>
      </c>
      <c r="HW243" s="48">
        <v>0</v>
      </c>
      <c r="HX243" s="48">
        <v>0</v>
      </c>
      <c r="HY243" s="48">
        <v>0</v>
      </c>
      <c r="HZ243" s="48">
        <v>0</v>
      </c>
      <c r="IA243" s="48">
        <v>0</v>
      </c>
      <c r="IB243" s="48">
        <v>0</v>
      </c>
      <c r="IC243" s="48">
        <v>0</v>
      </c>
      <c r="ID243" s="48">
        <v>0</v>
      </c>
      <c r="IE243" s="48">
        <v>0</v>
      </c>
      <c r="IF243" s="48">
        <v>0</v>
      </c>
      <c r="IG243" s="48">
        <v>0</v>
      </c>
      <c r="IH243" s="48">
        <v>0</v>
      </c>
      <c r="II243" s="48">
        <v>0</v>
      </c>
      <c r="IJ243" s="48">
        <v>0</v>
      </c>
      <c r="IK243" s="48">
        <v>0</v>
      </c>
      <c r="IL243" s="48">
        <v>0</v>
      </c>
      <c r="IM243" s="48">
        <v>0</v>
      </c>
      <c r="IN243" s="48">
        <v>0</v>
      </c>
      <c r="IO243" s="48">
        <v>0</v>
      </c>
      <c r="IP243" s="23">
        <v>0</v>
      </c>
      <c r="IQ243" s="25">
        <v>0</v>
      </c>
      <c r="IR243" s="25">
        <v>0</v>
      </c>
      <c r="IS243" s="26">
        <v>8767</v>
      </c>
      <c r="IT243" s="26">
        <v>0</v>
      </c>
      <c r="IU243" s="26">
        <v>0</v>
      </c>
      <c r="IV243" s="9">
        <v>0</v>
      </c>
      <c r="IW243" s="38">
        <f t="shared" si="34"/>
        <v>8767</v>
      </c>
    </row>
    <row r="244" spans="1:257" ht="30" customHeight="1" x14ac:dyDescent="0.25">
      <c r="A244" s="112" t="b">
        <v>0</v>
      </c>
      <c r="B244" s="113" t="b">
        <f>IFERROR(VLOOKUP(C244,'Bridge matrix'!$D$3:$E$727,2,FALSE)='symmetric IOT 245 2012'!D244,"FALSCH")</f>
        <v>1</v>
      </c>
      <c r="C244" s="108">
        <v>233</v>
      </c>
      <c r="D244" s="49" t="s">
        <v>1549</v>
      </c>
      <c r="E244" s="48">
        <v>0</v>
      </c>
      <c r="F244" s="48">
        <v>0</v>
      </c>
      <c r="G244" s="48">
        <v>0</v>
      </c>
      <c r="H244" s="48">
        <v>0</v>
      </c>
      <c r="I244" s="48">
        <v>0</v>
      </c>
      <c r="J244" s="48">
        <v>0</v>
      </c>
      <c r="K244" s="48">
        <v>0</v>
      </c>
      <c r="L244" s="48">
        <v>0</v>
      </c>
      <c r="M244" s="48">
        <v>0</v>
      </c>
      <c r="N244" s="48">
        <v>0</v>
      </c>
      <c r="O244" s="48">
        <v>0</v>
      </c>
      <c r="P244" s="48">
        <v>0</v>
      </c>
      <c r="Q244" s="48">
        <v>0</v>
      </c>
      <c r="R244" s="48">
        <v>0</v>
      </c>
      <c r="S244" s="48">
        <v>0</v>
      </c>
      <c r="T244" s="48">
        <v>0</v>
      </c>
      <c r="U244" s="48">
        <v>0</v>
      </c>
      <c r="V244" s="48">
        <v>0</v>
      </c>
      <c r="W244" s="48">
        <v>0</v>
      </c>
      <c r="X244" s="48">
        <v>0</v>
      </c>
      <c r="Y244" s="48">
        <v>0</v>
      </c>
      <c r="Z244" s="48">
        <v>0</v>
      </c>
      <c r="AA244" s="48">
        <v>0</v>
      </c>
      <c r="AB244" s="48">
        <v>0</v>
      </c>
      <c r="AC244" s="48">
        <v>0</v>
      </c>
      <c r="AD244" s="48">
        <v>0</v>
      </c>
      <c r="AE244" s="48">
        <v>0</v>
      </c>
      <c r="AF244" s="48">
        <v>0</v>
      </c>
      <c r="AG244" s="48">
        <v>0</v>
      </c>
      <c r="AH244" s="48">
        <v>0</v>
      </c>
      <c r="AI244" s="48">
        <v>0</v>
      </c>
      <c r="AJ244" s="48">
        <v>0</v>
      </c>
      <c r="AK244" s="48">
        <v>0</v>
      </c>
      <c r="AL244" s="48">
        <v>0</v>
      </c>
      <c r="AM244" s="48">
        <v>0</v>
      </c>
      <c r="AN244" s="48">
        <v>0</v>
      </c>
      <c r="AO244" s="48">
        <v>0</v>
      </c>
      <c r="AP244" s="48">
        <v>0</v>
      </c>
      <c r="AQ244" s="48">
        <v>0</v>
      </c>
      <c r="AR244" s="48">
        <v>0</v>
      </c>
      <c r="AS244" s="48">
        <v>0</v>
      </c>
      <c r="AT244" s="48">
        <v>0</v>
      </c>
      <c r="AU244" s="48">
        <v>0</v>
      </c>
      <c r="AV244" s="48">
        <v>0</v>
      </c>
      <c r="AW244" s="48">
        <v>0</v>
      </c>
      <c r="AX244" s="48">
        <v>0</v>
      </c>
      <c r="AY244" s="48">
        <v>0</v>
      </c>
      <c r="AZ244" s="48">
        <v>0</v>
      </c>
      <c r="BA244" s="48">
        <v>0</v>
      </c>
      <c r="BB244" s="48">
        <v>0</v>
      </c>
      <c r="BC244" s="48">
        <v>0</v>
      </c>
      <c r="BD244" s="48">
        <v>0</v>
      </c>
      <c r="BE244" s="48">
        <v>0</v>
      </c>
      <c r="BF244" s="48">
        <v>0</v>
      </c>
      <c r="BG244" s="48">
        <v>0</v>
      </c>
      <c r="BH244" s="48">
        <v>0</v>
      </c>
      <c r="BI244" s="48">
        <v>0</v>
      </c>
      <c r="BJ244" s="48">
        <v>0</v>
      </c>
      <c r="BK244" s="48">
        <v>0</v>
      </c>
      <c r="BL244" s="48">
        <v>0</v>
      </c>
      <c r="BM244" s="48">
        <v>0</v>
      </c>
      <c r="BN244" s="48">
        <v>0</v>
      </c>
      <c r="BO244" s="48">
        <v>0</v>
      </c>
      <c r="BP244" s="48">
        <v>0</v>
      </c>
      <c r="BQ244" s="48">
        <v>0</v>
      </c>
      <c r="BR244" s="48">
        <v>0</v>
      </c>
      <c r="BS244" s="48">
        <v>0</v>
      </c>
      <c r="BT244" s="48">
        <v>0</v>
      </c>
      <c r="BU244" s="48">
        <v>0</v>
      </c>
      <c r="BV244" s="48">
        <v>0</v>
      </c>
      <c r="BW244" s="48">
        <v>0</v>
      </c>
      <c r="BX244" s="48">
        <v>0</v>
      </c>
      <c r="BY244" s="48">
        <v>0</v>
      </c>
      <c r="BZ244" s="48">
        <v>0</v>
      </c>
      <c r="CA244" s="48">
        <v>0</v>
      </c>
      <c r="CB244" s="48">
        <v>0</v>
      </c>
      <c r="CC244" s="48">
        <v>0</v>
      </c>
      <c r="CD244" s="48">
        <v>0</v>
      </c>
      <c r="CE244" s="48">
        <v>0</v>
      </c>
      <c r="CF244" s="48">
        <v>0</v>
      </c>
      <c r="CG244" s="48">
        <v>0</v>
      </c>
      <c r="CH244" s="48">
        <v>0</v>
      </c>
      <c r="CI244" s="48">
        <v>0</v>
      </c>
      <c r="CJ244" s="48">
        <v>0</v>
      </c>
      <c r="CK244" s="48">
        <v>0</v>
      </c>
      <c r="CL244" s="48">
        <v>0</v>
      </c>
      <c r="CM244" s="48">
        <v>0</v>
      </c>
      <c r="CN244" s="48">
        <v>0</v>
      </c>
      <c r="CO244" s="48">
        <v>0</v>
      </c>
      <c r="CP244" s="48">
        <v>0</v>
      </c>
      <c r="CQ244" s="48">
        <v>0</v>
      </c>
      <c r="CR244" s="48">
        <v>0</v>
      </c>
      <c r="CS244" s="48">
        <v>0</v>
      </c>
      <c r="CT244" s="48">
        <v>0</v>
      </c>
      <c r="CU244" s="48">
        <v>0</v>
      </c>
      <c r="CV244" s="48">
        <v>0</v>
      </c>
      <c r="CW244" s="48">
        <v>0</v>
      </c>
      <c r="CX244" s="48">
        <v>0</v>
      </c>
      <c r="CY244" s="48">
        <v>0</v>
      </c>
      <c r="CZ244" s="48">
        <v>0</v>
      </c>
      <c r="DA244" s="48">
        <v>0</v>
      </c>
      <c r="DB244" s="48">
        <v>0</v>
      </c>
      <c r="DC244" s="48">
        <v>0</v>
      </c>
      <c r="DD244" s="48">
        <v>0</v>
      </c>
      <c r="DE244" s="48">
        <v>0</v>
      </c>
      <c r="DF244" s="48">
        <v>0</v>
      </c>
      <c r="DG244" s="48">
        <v>0</v>
      </c>
      <c r="DH244" s="48">
        <v>0</v>
      </c>
      <c r="DI244" s="48">
        <v>0</v>
      </c>
      <c r="DJ244" s="48">
        <v>0</v>
      </c>
      <c r="DK244" s="48">
        <v>0</v>
      </c>
      <c r="DL244" s="48">
        <v>0</v>
      </c>
      <c r="DM244" s="48">
        <v>0</v>
      </c>
      <c r="DN244" s="48">
        <v>0</v>
      </c>
      <c r="DO244" s="48">
        <v>0</v>
      </c>
      <c r="DP244" s="48">
        <v>0</v>
      </c>
      <c r="DQ244" s="48">
        <v>0</v>
      </c>
      <c r="DR244" s="48">
        <v>0</v>
      </c>
      <c r="DS244" s="48">
        <v>0</v>
      </c>
      <c r="DT244" s="48">
        <v>0</v>
      </c>
      <c r="DU244" s="48">
        <v>0</v>
      </c>
      <c r="DV244" s="48">
        <v>0</v>
      </c>
      <c r="DW244" s="48">
        <v>0</v>
      </c>
      <c r="DX244" s="48">
        <v>0</v>
      </c>
      <c r="DY244" s="48">
        <v>0</v>
      </c>
      <c r="DZ244" s="48">
        <v>0</v>
      </c>
      <c r="EA244" s="48">
        <v>0</v>
      </c>
      <c r="EB244" s="48">
        <v>0</v>
      </c>
      <c r="EC244" s="48">
        <v>0</v>
      </c>
      <c r="ED244" s="48">
        <v>0</v>
      </c>
      <c r="EE244" s="48">
        <v>0</v>
      </c>
      <c r="EF244" s="48">
        <v>0</v>
      </c>
      <c r="EG244" s="48">
        <v>0</v>
      </c>
      <c r="EH244" s="48">
        <v>0</v>
      </c>
      <c r="EI244" s="48">
        <v>0</v>
      </c>
      <c r="EJ244" s="48">
        <v>0</v>
      </c>
      <c r="EK244" s="48">
        <v>0</v>
      </c>
      <c r="EL244" s="48">
        <v>0</v>
      </c>
      <c r="EM244" s="48">
        <v>0</v>
      </c>
      <c r="EN244" s="48">
        <v>0</v>
      </c>
      <c r="EO244" s="48">
        <v>0</v>
      </c>
      <c r="EP244" s="48">
        <v>0</v>
      </c>
      <c r="EQ244" s="48">
        <v>0</v>
      </c>
      <c r="ER244" s="48">
        <v>0</v>
      </c>
      <c r="ES244" s="48">
        <v>0</v>
      </c>
      <c r="ET244" s="48">
        <v>0</v>
      </c>
      <c r="EU244" s="48">
        <v>0</v>
      </c>
      <c r="EV244" s="48">
        <v>0</v>
      </c>
      <c r="EW244" s="48">
        <v>0</v>
      </c>
      <c r="EX244" s="48">
        <v>0</v>
      </c>
      <c r="EY244" s="48">
        <v>0</v>
      </c>
      <c r="EZ244" s="48">
        <v>0</v>
      </c>
      <c r="FA244" s="48">
        <v>0</v>
      </c>
      <c r="FB244" s="48">
        <v>0</v>
      </c>
      <c r="FC244" s="48">
        <v>0</v>
      </c>
      <c r="FD244" s="48">
        <v>0</v>
      </c>
      <c r="FE244" s="48">
        <v>0</v>
      </c>
      <c r="FF244" s="48">
        <v>0</v>
      </c>
      <c r="FG244" s="48">
        <v>0</v>
      </c>
      <c r="FH244" s="48">
        <v>0</v>
      </c>
      <c r="FI244" s="48">
        <v>0</v>
      </c>
      <c r="FJ244" s="48">
        <v>0</v>
      </c>
      <c r="FK244" s="48">
        <v>0</v>
      </c>
      <c r="FL244" s="48">
        <v>0</v>
      </c>
      <c r="FM244" s="48">
        <v>0</v>
      </c>
      <c r="FN244" s="48">
        <v>0</v>
      </c>
      <c r="FO244" s="48">
        <v>0</v>
      </c>
      <c r="FP244" s="48">
        <v>0</v>
      </c>
      <c r="FQ244" s="48">
        <v>0</v>
      </c>
      <c r="FR244" s="48">
        <v>0</v>
      </c>
      <c r="FS244" s="48">
        <v>0</v>
      </c>
      <c r="FT244" s="48">
        <v>0</v>
      </c>
      <c r="FU244" s="48">
        <v>0</v>
      </c>
      <c r="FV244" s="48">
        <v>0</v>
      </c>
      <c r="FW244" s="48">
        <v>0</v>
      </c>
      <c r="FX244" s="48">
        <v>0</v>
      </c>
      <c r="FY244" s="48">
        <v>0</v>
      </c>
      <c r="FZ244" s="48">
        <v>0</v>
      </c>
      <c r="GA244" s="48">
        <v>0</v>
      </c>
      <c r="GB244" s="48">
        <v>0</v>
      </c>
      <c r="GC244" s="48">
        <v>0</v>
      </c>
      <c r="GD244" s="48">
        <v>0</v>
      </c>
      <c r="GE244" s="48">
        <v>0</v>
      </c>
      <c r="GF244" s="48">
        <v>0</v>
      </c>
      <c r="GG244" s="48">
        <v>0</v>
      </c>
      <c r="GH244" s="48">
        <v>0</v>
      </c>
      <c r="GI244" s="48">
        <v>0</v>
      </c>
      <c r="GJ244" s="48">
        <v>0</v>
      </c>
      <c r="GK244" s="48">
        <v>0</v>
      </c>
      <c r="GL244" s="48">
        <v>0</v>
      </c>
      <c r="GM244" s="48">
        <v>0</v>
      </c>
      <c r="GN244" s="48">
        <v>0</v>
      </c>
      <c r="GO244" s="48">
        <v>0</v>
      </c>
      <c r="GP244" s="48">
        <v>0</v>
      </c>
      <c r="GQ244" s="48">
        <v>0</v>
      </c>
      <c r="GR244" s="48">
        <v>0</v>
      </c>
      <c r="GS244" s="48">
        <v>0</v>
      </c>
      <c r="GT244" s="48">
        <v>0</v>
      </c>
      <c r="GU244" s="48">
        <v>0</v>
      </c>
      <c r="GV244" s="48">
        <v>0</v>
      </c>
      <c r="GW244" s="48">
        <v>0</v>
      </c>
      <c r="GX244" s="48">
        <v>0</v>
      </c>
      <c r="GY244" s="48">
        <v>0</v>
      </c>
      <c r="GZ244" s="48">
        <v>0</v>
      </c>
      <c r="HA244" s="48">
        <v>0</v>
      </c>
      <c r="HB244" s="48">
        <v>0</v>
      </c>
      <c r="HC244" s="48">
        <v>0</v>
      </c>
      <c r="HD244" s="48">
        <v>0</v>
      </c>
      <c r="HE244" s="48">
        <v>0</v>
      </c>
      <c r="HF244" s="48">
        <v>0</v>
      </c>
      <c r="HG244" s="48">
        <v>0</v>
      </c>
      <c r="HH244" s="48">
        <v>0</v>
      </c>
      <c r="HI244" s="48">
        <v>0</v>
      </c>
      <c r="HJ244" s="48">
        <v>0</v>
      </c>
      <c r="HK244" s="48">
        <v>0</v>
      </c>
      <c r="HL244" s="48">
        <v>0</v>
      </c>
      <c r="HM244" s="48">
        <v>0</v>
      </c>
      <c r="HN244" s="48">
        <v>0</v>
      </c>
      <c r="HO244" s="48">
        <v>0</v>
      </c>
      <c r="HP244" s="48">
        <v>0</v>
      </c>
      <c r="HQ244" s="48">
        <v>0</v>
      </c>
      <c r="HR244" s="48">
        <v>0</v>
      </c>
      <c r="HS244" s="48">
        <v>0</v>
      </c>
      <c r="HT244" s="48">
        <v>0</v>
      </c>
      <c r="HU244" s="48">
        <v>0</v>
      </c>
      <c r="HV244" s="48">
        <v>0</v>
      </c>
      <c r="HW244" s="48">
        <v>0</v>
      </c>
      <c r="HX244" s="48">
        <v>0</v>
      </c>
      <c r="HY244" s="48">
        <v>0</v>
      </c>
      <c r="HZ244" s="48">
        <v>0</v>
      </c>
      <c r="IA244" s="48">
        <v>0</v>
      </c>
      <c r="IB244" s="48">
        <v>0</v>
      </c>
      <c r="IC244" s="48">
        <v>0</v>
      </c>
      <c r="ID244" s="48">
        <v>0</v>
      </c>
      <c r="IE244" s="48">
        <v>0</v>
      </c>
      <c r="IF244" s="48">
        <v>0</v>
      </c>
      <c r="IG244" s="48">
        <v>0</v>
      </c>
      <c r="IH244" s="48">
        <v>0</v>
      </c>
      <c r="II244" s="48">
        <v>0</v>
      </c>
      <c r="IJ244" s="48">
        <v>0</v>
      </c>
      <c r="IK244" s="48">
        <v>0</v>
      </c>
      <c r="IL244" s="48">
        <v>0</v>
      </c>
      <c r="IM244" s="48">
        <v>0</v>
      </c>
      <c r="IN244" s="48">
        <v>0</v>
      </c>
      <c r="IO244" s="48">
        <v>0</v>
      </c>
      <c r="IP244" s="23">
        <v>0</v>
      </c>
      <c r="IQ244" s="25">
        <v>10245</v>
      </c>
      <c r="IR244" s="25">
        <v>1683746</v>
      </c>
      <c r="IS244" s="26">
        <v>0</v>
      </c>
      <c r="IT244" s="26">
        <v>0</v>
      </c>
      <c r="IU244" s="26">
        <v>0</v>
      </c>
      <c r="IV244" s="9">
        <v>0</v>
      </c>
      <c r="IW244" s="38">
        <f t="shared" si="34"/>
        <v>1693991</v>
      </c>
    </row>
    <row r="245" spans="1:257" ht="30" customHeight="1" x14ac:dyDescent="0.25">
      <c r="A245" s="112" t="b">
        <v>0</v>
      </c>
      <c r="B245" s="113" t="b">
        <f>IFERROR(VLOOKUP(C245,'Bridge matrix'!$D$3:$E$727,2,FALSE)='symmetric IOT 245 2012'!D245,"FALSCH")</f>
        <v>1</v>
      </c>
      <c r="C245" s="108">
        <v>234</v>
      </c>
      <c r="D245" s="49" t="s">
        <v>1550</v>
      </c>
      <c r="E245" s="48">
        <v>0</v>
      </c>
      <c r="F245" s="48">
        <v>0</v>
      </c>
      <c r="G245" s="48">
        <v>0</v>
      </c>
      <c r="H245" s="48">
        <v>0</v>
      </c>
      <c r="I245" s="48">
        <v>0</v>
      </c>
      <c r="J245" s="48">
        <v>0</v>
      </c>
      <c r="K245" s="48">
        <v>0</v>
      </c>
      <c r="L245" s="48">
        <v>0</v>
      </c>
      <c r="M245" s="48">
        <v>0</v>
      </c>
      <c r="N245" s="48">
        <v>0</v>
      </c>
      <c r="O245" s="48">
        <v>0</v>
      </c>
      <c r="P245" s="48">
        <v>0</v>
      </c>
      <c r="Q245" s="48">
        <v>0</v>
      </c>
      <c r="R245" s="48">
        <v>0</v>
      </c>
      <c r="S245" s="48">
        <v>0</v>
      </c>
      <c r="T245" s="48">
        <v>0</v>
      </c>
      <c r="U245" s="48">
        <v>0</v>
      </c>
      <c r="V245" s="48">
        <v>0</v>
      </c>
      <c r="W245" s="48">
        <v>0</v>
      </c>
      <c r="X245" s="48">
        <v>0</v>
      </c>
      <c r="Y245" s="48">
        <v>0</v>
      </c>
      <c r="Z245" s="48">
        <v>0</v>
      </c>
      <c r="AA245" s="48">
        <v>0</v>
      </c>
      <c r="AB245" s="48">
        <v>0</v>
      </c>
      <c r="AC245" s="48">
        <v>0</v>
      </c>
      <c r="AD245" s="48">
        <v>0</v>
      </c>
      <c r="AE245" s="48">
        <v>0</v>
      </c>
      <c r="AF245" s="48">
        <v>0</v>
      </c>
      <c r="AG245" s="48">
        <v>0</v>
      </c>
      <c r="AH245" s="48">
        <v>0</v>
      </c>
      <c r="AI245" s="48">
        <v>0</v>
      </c>
      <c r="AJ245" s="48">
        <v>0</v>
      </c>
      <c r="AK245" s="48">
        <v>0</v>
      </c>
      <c r="AL245" s="48">
        <v>0</v>
      </c>
      <c r="AM245" s="48">
        <v>0</v>
      </c>
      <c r="AN245" s="48">
        <v>0</v>
      </c>
      <c r="AO245" s="48">
        <v>0</v>
      </c>
      <c r="AP245" s="48">
        <v>0</v>
      </c>
      <c r="AQ245" s="48">
        <v>0</v>
      </c>
      <c r="AR245" s="48">
        <v>0</v>
      </c>
      <c r="AS245" s="48">
        <v>0</v>
      </c>
      <c r="AT245" s="48">
        <v>0</v>
      </c>
      <c r="AU245" s="48">
        <v>0</v>
      </c>
      <c r="AV245" s="48">
        <v>0</v>
      </c>
      <c r="AW245" s="48">
        <v>0</v>
      </c>
      <c r="AX245" s="48">
        <v>0</v>
      </c>
      <c r="AY245" s="48">
        <v>0</v>
      </c>
      <c r="AZ245" s="48">
        <v>0</v>
      </c>
      <c r="BA245" s="48">
        <v>0</v>
      </c>
      <c r="BB245" s="48">
        <v>0</v>
      </c>
      <c r="BC245" s="48">
        <v>0</v>
      </c>
      <c r="BD245" s="48">
        <v>0</v>
      </c>
      <c r="BE245" s="48">
        <v>0</v>
      </c>
      <c r="BF245" s="48">
        <v>0</v>
      </c>
      <c r="BG245" s="48">
        <v>0</v>
      </c>
      <c r="BH245" s="48">
        <v>0</v>
      </c>
      <c r="BI245" s="48">
        <v>0</v>
      </c>
      <c r="BJ245" s="48">
        <v>0</v>
      </c>
      <c r="BK245" s="48">
        <v>0</v>
      </c>
      <c r="BL245" s="48">
        <v>0</v>
      </c>
      <c r="BM245" s="48">
        <v>0</v>
      </c>
      <c r="BN245" s="48">
        <v>0</v>
      </c>
      <c r="BO245" s="48">
        <v>0</v>
      </c>
      <c r="BP245" s="48">
        <v>0</v>
      </c>
      <c r="BQ245" s="48">
        <v>0</v>
      </c>
      <c r="BR245" s="48">
        <v>0</v>
      </c>
      <c r="BS245" s="48">
        <v>0</v>
      </c>
      <c r="BT245" s="48">
        <v>0</v>
      </c>
      <c r="BU245" s="48">
        <v>0</v>
      </c>
      <c r="BV245" s="48">
        <v>0</v>
      </c>
      <c r="BW245" s="48">
        <v>0</v>
      </c>
      <c r="BX245" s="48">
        <v>0</v>
      </c>
      <c r="BY245" s="48">
        <v>0</v>
      </c>
      <c r="BZ245" s="48">
        <v>0</v>
      </c>
      <c r="CA245" s="48">
        <v>0</v>
      </c>
      <c r="CB245" s="48">
        <v>0</v>
      </c>
      <c r="CC245" s="48">
        <v>0</v>
      </c>
      <c r="CD245" s="48">
        <v>0</v>
      </c>
      <c r="CE245" s="48">
        <v>0</v>
      </c>
      <c r="CF245" s="48">
        <v>0</v>
      </c>
      <c r="CG245" s="48">
        <v>0</v>
      </c>
      <c r="CH245" s="48">
        <v>0</v>
      </c>
      <c r="CI245" s="48">
        <v>0</v>
      </c>
      <c r="CJ245" s="48">
        <v>0</v>
      </c>
      <c r="CK245" s="48">
        <v>0</v>
      </c>
      <c r="CL245" s="48">
        <v>0</v>
      </c>
      <c r="CM245" s="48">
        <v>0</v>
      </c>
      <c r="CN245" s="48">
        <v>0</v>
      </c>
      <c r="CO245" s="48">
        <v>0</v>
      </c>
      <c r="CP245" s="48">
        <v>0</v>
      </c>
      <c r="CQ245" s="48">
        <v>0</v>
      </c>
      <c r="CR245" s="48">
        <v>0</v>
      </c>
      <c r="CS245" s="48">
        <v>0</v>
      </c>
      <c r="CT245" s="48">
        <v>0</v>
      </c>
      <c r="CU245" s="48">
        <v>0</v>
      </c>
      <c r="CV245" s="48">
        <v>0</v>
      </c>
      <c r="CW245" s="48">
        <v>0</v>
      </c>
      <c r="CX245" s="48">
        <v>0</v>
      </c>
      <c r="CY245" s="48">
        <v>0</v>
      </c>
      <c r="CZ245" s="48">
        <v>0</v>
      </c>
      <c r="DA245" s="48">
        <v>0</v>
      </c>
      <c r="DB245" s="48">
        <v>0</v>
      </c>
      <c r="DC245" s="48">
        <v>0</v>
      </c>
      <c r="DD245" s="48">
        <v>0</v>
      </c>
      <c r="DE245" s="48">
        <v>0</v>
      </c>
      <c r="DF245" s="48">
        <v>0</v>
      </c>
      <c r="DG245" s="48">
        <v>0</v>
      </c>
      <c r="DH245" s="48">
        <v>0</v>
      </c>
      <c r="DI245" s="48">
        <v>0</v>
      </c>
      <c r="DJ245" s="48">
        <v>0</v>
      </c>
      <c r="DK245" s="48">
        <v>0</v>
      </c>
      <c r="DL245" s="48">
        <v>0</v>
      </c>
      <c r="DM245" s="48">
        <v>0</v>
      </c>
      <c r="DN245" s="48">
        <v>0</v>
      </c>
      <c r="DO245" s="48">
        <v>0</v>
      </c>
      <c r="DP245" s="48">
        <v>0</v>
      </c>
      <c r="DQ245" s="48">
        <v>0</v>
      </c>
      <c r="DR245" s="48">
        <v>0</v>
      </c>
      <c r="DS245" s="48">
        <v>0</v>
      </c>
      <c r="DT245" s="48">
        <v>0</v>
      </c>
      <c r="DU245" s="48">
        <v>0</v>
      </c>
      <c r="DV245" s="48">
        <v>0</v>
      </c>
      <c r="DW245" s="48">
        <v>0</v>
      </c>
      <c r="DX245" s="48">
        <v>0</v>
      </c>
      <c r="DY245" s="48">
        <v>0</v>
      </c>
      <c r="DZ245" s="48">
        <v>0</v>
      </c>
      <c r="EA245" s="48">
        <v>0</v>
      </c>
      <c r="EB245" s="48">
        <v>0</v>
      </c>
      <c r="EC245" s="48">
        <v>0</v>
      </c>
      <c r="ED245" s="48">
        <v>0</v>
      </c>
      <c r="EE245" s="48">
        <v>0</v>
      </c>
      <c r="EF245" s="48">
        <v>0</v>
      </c>
      <c r="EG245" s="48">
        <v>0</v>
      </c>
      <c r="EH245" s="48">
        <v>0</v>
      </c>
      <c r="EI245" s="48">
        <v>0</v>
      </c>
      <c r="EJ245" s="48">
        <v>0</v>
      </c>
      <c r="EK245" s="48">
        <v>0</v>
      </c>
      <c r="EL245" s="48">
        <v>0</v>
      </c>
      <c r="EM245" s="48">
        <v>0</v>
      </c>
      <c r="EN245" s="48">
        <v>0</v>
      </c>
      <c r="EO245" s="48">
        <v>0</v>
      </c>
      <c r="EP245" s="48">
        <v>0</v>
      </c>
      <c r="EQ245" s="48">
        <v>0</v>
      </c>
      <c r="ER245" s="48">
        <v>0</v>
      </c>
      <c r="ES245" s="48">
        <v>0</v>
      </c>
      <c r="ET245" s="48">
        <v>0</v>
      </c>
      <c r="EU245" s="48">
        <v>0</v>
      </c>
      <c r="EV245" s="48">
        <v>0</v>
      </c>
      <c r="EW245" s="48">
        <v>0</v>
      </c>
      <c r="EX245" s="48">
        <v>0</v>
      </c>
      <c r="EY245" s="48">
        <v>0</v>
      </c>
      <c r="EZ245" s="48">
        <v>0</v>
      </c>
      <c r="FA245" s="48">
        <v>0</v>
      </c>
      <c r="FB245" s="48">
        <v>0</v>
      </c>
      <c r="FC245" s="48">
        <v>0</v>
      </c>
      <c r="FD245" s="48">
        <v>0</v>
      </c>
      <c r="FE245" s="48">
        <v>0</v>
      </c>
      <c r="FF245" s="48">
        <v>0</v>
      </c>
      <c r="FG245" s="48">
        <v>0</v>
      </c>
      <c r="FH245" s="48">
        <v>0</v>
      </c>
      <c r="FI245" s="48">
        <v>0</v>
      </c>
      <c r="FJ245" s="48">
        <v>0</v>
      </c>
      <c r="FK245" s="48">
        <v>0</v>
      </c>
      <c r="FL245" s="48">
        <v>0</v>
      </c>
      <c r="FM245" s="48">
        <v>0</v>
      </c>
      <c r="FN245" s="48">
        <v>0</v>
      </c>
      <c r="FO245" s="48">
        <v>0</v>
      </c>
      <c r="FP245" s="48">
        <v>0</v>
      </c>
      <c r="FQ245" s="48">
        <v>0</v>
      </c>
      <c r="FR245" s="48">
        <v>0</v>
      </c>
      <c r="FS245" s="48">
        <v>0</v>
      </c>
      <c r="FT245" s="48">
        <v>0</v>
      </c>
      <c r="FU245" s="48">
        <v>0</v>
      </c>
      <c r="FV245" s="48">
        <v>0</v>
      </c>
      <c r="FW245" s="48">
        <v>0</v>
      </c>
      <c r="FX245" s="48">
        <v>0</v>
      </c>
      <c r="FY245" s="48">
        <v>0</v>
      </c>
      <c r="FZ245" s="48">
        <v>0</v>
      </c>
      <c r="GA245" s="48">
        <v>0</v>
      </c>
      <c r="GB245" s="48">
        <v>0</v>
      </c>
      <c r="GC245" s="48">
        <v>0</v>
      </c>
      <c r="GD245" s="48">
        <v>0</v>
      </c>
      <c r="GE245" s="48">
        <v>0</v>
      </c>
      <c r="GF245" s="48">
        <v>0</v>
      </c>
      <c r="GG245" s="48">
        <v>0</v>
      </c>
      <c r="GH245" s="48">
        <v>0</v>
      </c>
      <c r="GI245" s="48">
        <v>0</v>
      </c>
      <c r="GJ245" s="48">
        <v>0</v>
      </c>
      <c r="GK245" s="48">
        <v>0</v>
      </c>
      <c r="GL245" s="48">
        <v>0</v>
      </c>
      <c r="GM245" s="48">
        <v>0</v>
      </c>
      <c r="GN245" s="48">
        <v>0</v>
      </c>
      <c r="GO245" s="48">
        <v>0</v>
      </c>
      <c r="GP245" s="48">
        <v>0</v>
      </c>
      <c r="GQ245" s="48">
        <v>0</v>
      </c>
      <c r="GR245" s="48">
        <v>0</v>
      </c>
      <c r="GS245" s="48">
        <v>0</v>
      </c>
      <c r="GT245" s="48">
        <v>0</v>
      </c>
      <c r="GU245" s="48">
        <v>0</v>
      </c>
      <c r="GV245" s="48">
        <v>0</v>
      </c>
      <c r="GW245" s="48">
        <v>0</v>
      </c>
      <c r="GX245" s="48">
        <v>0</v>
      </c>
      <c r="GY245" s="48">
        <v>0</v>
      </c>
      <c r="GZ245" s="48">
        <v>0</v>
      </c>
      <c r="HA245" s="48">
        <v>0</v>
      </c>
      <c r="HB245" s="48">
        <v>0</v>
      </c>
      <c r="HC245" s="48">
        <v>0</v>
      </c>
      <c r="HD245" s="48">
        <v>0</v>
      </c>
      <c r="HE245" s="48">
        <v>0</v>
      </c>
      <c r="HF245" s="48">
        <v>0</v>
      </c>
      <c r="HG245" s="48">
        <v>0</v>
      </c>
      <c r="HH245" s="48">
        <v>0</v>
      </c>
      <c r="HI245" s="48">
        <v>0</v>
      </c>
      <c r="HJ245" s="48">
        <v>0</v>
      </c>
      <c r="HK245" s="48">
        <v>0</v>
      </c>
      <c r="HL245" s="48">
        <v>0</v>
      </c>
      <c r="HM245" s="48">
        <v>0</v>
      </c>
      <c r="HN245" s="48">
        <v>0</v>
      </c>
      <c r="HO245" s="48">
        <v>0</v>
      </c>
      <c r="HP245" s="48">
        <v>0</v>
      </c>
      <c r="HQ245" s="48">
        <v>0</v>
      </c>
      <c r="HR245" s="48">
        <v>0</v>
      </c>
      <c r="HS245" s="48">
        <v>0</v>
      </c>
      <c r="HT245" s="48">
        <v>0</v>
      </c>
      <c r="HU245" s="48">
        <v>0</v>
      </c>
      <c r="HV245" s="48">
        <v>0</v>
      </c>
      <c r="HW245" s="48">
        <v>0</v>
      </c>
      <c r="HX245" s="48">
        <v>0</v>
      </c>
      <c r="HY245" s="48">
        <v>0</v>
      </c>
      <c r="HZ245" s="48">
        <v>0</v>
      </c>
      <c r="IA245" s="48">
        <v>0</v>
      </c>
      <c r="IB245" s="48">
        <v>0</v>
      </c>
      <c r="IC245" s="48">
        <v>0</v>
      </c>
      <c r="ID245" s="48">
        <v>0</v>
      </c>
      <c r="IE245" s="48">
        <v>0</v>
      </c>
      <c r="IF245" s="48">
        <v>0</v>
      </c>
      <c r="IG245" s="48">
        <v>0</v>
      </c>
      <c r="IH245" s="48">
        <v>0</v>
      </c>
      <c r="II245" s="48">
        <v>0</v>
      </c>
      <c r="IJ245" s="48">
        <v>0</v>
      </c>
      <c r="IK245" s="48">
        <v>0</v>
      </c>
      <c r="IL245" s="48">
        <v>0</v>
      </c>
      <c r="IM245" s="48">
        <v>0</v>
      </c>
      <c r="IN245" s="48">
        <v>0</v>
      </c>
      <c r="IO245" s="48">
        <v>0</v>
      </c>
      <c r="IP245" s="23">
        <v>0</v>
      </c>
      <c r="IQ245" s="25">
        <v>8847</v>
      </c>
      <c r="IR245" s="25">
        <v>1043650</v>
      </c>
      <c r="IS245" s="26">
        <v>0</v>
      </c>
      <c r="IT245" s="26">
        <v>0</v>
      </c>
      <c r="IU245" s="26">
        <v>0</v>
      </c>
      <c r="IV245" s="9">
        <v>0</v>
      </c>
      <c r="IW245" s="38">
        <f t="shared" si="34"/>
        <v>1052497</v>
      </c>
    </row>
    <row r="246" spans="1:257" ht="30" customHeight="1" x14ac:dyDescent="0.25">
      <c r="A246" s="112" t="b">
        <v>0</v>
      </c>
      <c r="B246" s="113" t="b">
        <f>IFERROR(VLOOKUP(C246,'Bridge matrix'!$D$3:$E$727,2,FALSE)='symmetric IOT 245 2012'!D246,"FALSCH")</f>
        <v>1</v>
      </c>
      <c r="C246" s="108">
        <v>235</v>
      </c>
      <c r="D246" s="49" t="s">
        <v>1551</v>
      </c>
      <c r="E246" s="48">
        <v>0</v>
      </c>
      <c r="F246" s="48">
        <v>0</v>
      </c>
      <c r="G246" s="48">
        <v>0</v>
      </c>
      <c r="H246" s="48">
        <v>0</v>
      </c>
      <c r="I246" s="48">
        <v>0</v>
      </c>
      <c r="J246" s="48">
        <v>0</v>
      </c>
      <c r="K246" s="48">
        <v>0</v>
      </c>
      <c r="L246" s="48">
        <v>0</v>
      </c>
      <c r="M246" s="48">
        <v>0</v>
      </c>
      <c r="N246" s="48">
        <v>0</v>
      </c>
      <c r="O246" s="48">
        <v>0</v>
      </c>
      <c r="P246" s="48">
        <v>0</v>
      </c>
      <c r="Q246" s="48">
        <v>0</v>
      </c>
      <c r="R246" s="48">
        <v>0</v>
      </c>
      <c r="S246" s="48">
        <v>0</v>
      </c>
      <c r="T246" s="48">
        <v>0</v>
      </c>
      <c r="U246" s="48">
        <v>0</v>
      </c>
      <c r="V246" s="48">
        <v>0</v>
      </c>
      <c r="W246" s="48">
        <v>0</v>
      </c>
      <c r="X246" s="48">
        <v>0</v>
      </c>
      <c r="Y246" s="48">
        <v>0</v>
      </c>
      <c r="Z246" s="48">
        <v>0</v>
      </c>
      <c r="AA246" s="48">
        <v>0</v>
      </c>
      <c r="AB246" s="48">
        <v>0</v>
      </c>
      <c r="AC246" s="48">
        <v>0</v>
      </c>
      <c r="AD246" s="48">
        <v>0</v>
      </c>
      <c r="AE246" s="48">
        <v>0</v>
      </c>
      <c r="AF246" s="48">
        <v>0</v>
      </c>
      <c r="AG246" s="48">
        <v>0</v>
      </c>
      <c r="AH246" s="48">
        <v>0</v>
      </c>
      <c r="AI246" s="48">
        <v>0</v>
      </c>
      <c r="AJ246" s="48">
        <v>0</v>
      </c>
      <c r="AK246" s="48">
        <v>0</v>
      </c>
      <c r="AL246" s="48">
        <v>0</v>
      </c>
      <c r="AM246" s="48">
        <v>0</v>
      </c>
      <c r="AN246" s="48">
        <v>0</v>
      </c>
      <c r="AO246" s="48">
        <v>0</v>
      </c>
      <c r="AP246" s="48">
        <v>0</v>
      </c>
      <c r="AQ246" s="48">
        <v>0</v>
      </c>
      <c r="AR246" s="48">
        <v>0</v>
      </c>
      <c r="AS246" s="48">
        <v>0</v>
      </c>
      <c r="AT246" s="48">
        <v>0</v>
      </c>
      <c r="AU246" s="48">
        <v>0</v>
      </c>
      <c r="AV246" s="48">
        <v>0</v>
      </c>
      <c r="AW246" s="48">
        <v>0</v>
      </c>
      <c r="AX246" s="48">
        <v>0</v>
      </c>
      <c r="AY246" s="48">
        <v>0</v>
      </c>
      <c r="AZ246" s="48">
        <v>0</v>
      </c>
      <c r="BA246" s="48">
        <v>0</v>
      </c>
      <c r="BB246" s="48">
        <v>0</v>
      </c>
      <c r="BC246" s="48">
        <v>0</v>
      </c>
      <c r="BD246" s="48">
        <v>0</v>
      </c>
      <c r="BE246" s="48">
        <v>0</v>
      </c>
      <c r="BF246" s="48">
        <v>0</v>
      </c>
      <c r="BG246" s="48">
        <v>0</v>
      </c>
      <c r="BH246" s="48">
        <v>0</v>
      </c>
      <c r="BI246" s="48">
        <v>0</v>
      </c>
      <c r="BJ246" s="48">
        <v>0</v>
      </c>
      <c r="BK246" s="48">
        <v>0</v>
      </c>
      <c r="BL246" s="48">
        <v>0</v>
      </c>
      <c r="BM246" s="48">
        <v>0</v>
      </c>
      <c r="BN246" s="48">
        <v>0</v>
      </c>
      <c r="BO246" s="48">
        <v>0</v>
      </c>
      <c r="BP246" s="48">
        <v>0</v>
      </c>
      <c r="BQ246" s="48">
        <v>0</v>
      </c>
      <c r="BR246" s="48">
        <v>0</v>
      </c>
      <c r="BS246" s="48">
        <v>0</v>
      </c>
      <c r="BT246" s="48">
        <v>0</v>
      </c>
      <c r="BU246" s="48">
        <v>0</v>
      </c>
      <c r="BV246" s="48">
        <v>0</v>
      </c>
      <c r="BW246" s="48">
        <v>0</v>
      </c>
      <c r="BX246" s="48">
        <v>0</v>
      </c>
      <c r="BY246" s="48">
        <v>0</v>
      </c>
      <c r="BZ246" s="48">
        <v>0</v>
      </c>
      <c r="CA246" s="48">
        <v>0</v>
      </c>
      <c r="CB246" s="48">
        <v>0</v>
      </c>
      <c r="CC246" s="48">
        <v>0</v>
      </c>
      <c r="CD246" s="48">
        <v>0</v>
      </c>
      <c r="CE246" s="48">
        <v>0</v>
      </c>
      <c r="CF246" s="48">
        <v>0</v>
      </c>
      <c r="CG246" s="48">
        <v>0</v>
      </c>
      <c r="CH246" s="48">
        <v>0</v>
      </c>
      <c r="CI246" s="48">
        <v>0</v>
      </c>
      <c r="CJ246" s="48">
        <v>0</v>
      </c>
      <c r="CK246" s="48">
        <v>0</v>
      </c>
      <c r="CL246" s="48">
        <v>0</v>
      </c>
      <c r="CM246" s="48">
        <v>0</v>
      </c>
      <c r="CN246" s="48">
        <v>0</v>
      </c>
      <c r="CO246" s="48">
        <v>0</v>
      </c>
      <c r="CP246" s="48">
        <v>0</v>
      </c>
      <c r="CQ246" s="48">
        <v>0</v>
      </c>
      <c r="CR246" s="48">
        <v>0</v>
      </c>
      <c r="CS246" s="48">
        <v>0</v>
      </c>
      <c r="CT246" s="48">
        <v>0</v>
      </c>
      <c r="CU246" s="48">
        <v>0</v>
      </c>
      <c r="CV246" s="48">
        <v>0</v>
      </c>
      <c r="CW246" s="48">
        <v>0</v>
      </c>
      <c r="CX246" s="48">
        <v>0</v>
      </c>
      <c r="CY246" s="48">
        <v>0</v>
      </c>
      <c r="CZ246" s="48">
        <v>0</v>
      </c>
      <c r="DA246" s="48">
        <v>0</v>
      </c>
      <c r="DB246" s="48">
        <v>0</v>
      </c>
      <c r="DC246" s="48">
        <v>0</v>
      </c>
      <c r="DD246" s="48">
        <v>0</v>
      </c>
      <c r="DE246" s="48">
        <v>0</v>
      </c>
      <c r="DF246" s="48">
        <v>0</v>
      </c>
      <c r="DG246" s="48">
        <v>0</v>
      </c>
      <c r="DH246" s="48">
        <v>0</v>
      </c>
      <c r="DI246" s="48">
        <v>0</v>
      </c>
      <c r="DJ246" s="48">
        <v>0</v>
      </c>
      <c r="DK246" s="48">
        <v>0</v>
      </c>
      <c r="DL246" s="48">
        <v>0</v>
      </c>
      <c r="DM246" s="48">
        <v>0</v>
      </c>
      <c r="DN246" s="48">
        <v>0</v>
      </c>
      <c r="DO246" s="48">
        <v>0</v>
      </c>
      <c r="DP246" s="48">
        <v>0</v>
      </c>
      <c r="DQ246" s="48">
        <v>0</v>
      </c>
      <c r="DR246" s="48">
        <v>0</v>
      </c>
      <c r="DS246" s="48">
        <v>0</v>
      </c>
      <c r="DT246" s="48">
        <v>0</v>
      </c>
      <c r="DU246" s="48">
        <v>0</v>
      </c>
      <c r="DV246" s="48">
        <v>0</v>
      </c>
      <c r="DW246" s="48">
        <v>0</v>
      </c>
      <c r="DX246" s="48">
        <v>0</v>
      </c>
      <c r="DY246" s="48">
        <v>0</v>
      </c>
      <c r="DZ246" s="48">
        <v>0</v>
      </c>
      <c r="EA246" s="48">
        <v>0</v>
      </c>
      <c r="EB246" s="48">
        <v>0</v>
      </c>
      <c r="EC246" s="48">
        <v>0</v>
      </c>
      <c r="ED246" s="48">
        <v>0</v>
      </c>
      <c r="EE246" s="48">
        <v>0</v>
      </c>
      <c r="EF246" s="48">
        <v>0</v>
      </c>
      <c r="EG246" s="48">
        <v>0</v>
      </c>
      <c r="EH246" s="48">
        <v>0</v>
      </c>
      <c r="EI246" s="48">
        <v>0</v>
      </c>
      <c r="EJ246" s="48">
        <v>0</v>
      </c>
      <c r="EK246" s="48">
        <v>0</v>
      </c>
      <c r="EL246" s="48">
        <v>0</v>
      </c>
      <c r="EM246" s="48">
        <v>0</v>
      </c>
      <c r="EN246" s="48">
        <v>0</v>
      </c>
      <c r="EO246" s="48">
        <v>0</v>
      </c>
      <c r="EP246" s="48">
        <v>0</v>
      </c>
      <c r="EQ246" s="48">
        <v>0</v>
      </c>
      <c r="ER246" s="48">
        <v>0</v>
      </c>
      <c r="ES246" s="48">
        <v>0</v>
      </c>
      <c r="ET246" s="48">
        <v>0</v>
      </c>
      <c r="EU246" s="48">
        <v>0</v>
      </c>
      <c r="EV246" s="48">
        <v>0</v>
      </c>
      <c r="EW246" s="48">
        <v>0</v>
      </c>
      <c r="EX246" s="48">
        <v>0</v>
      </c>
      <c r="EY246" s="48">
        <v>0</v>
      </c>
      <c r="EZ246" s="48">
        <v>0</v>
      </c>
      <c r="FA246" s="48">
        <v>0</v>
      </c>
      <c r="FB246" s="48">
        <v>0</v>
      </c>
      <c r="FC246" s="48">
        <v>0</v>
      </c>
      <c r="FD246" s="48">
        <v>0</v>
      </c>
      <c r="FE246" s="48">
        <v>0</v>
      </c>
      <c r="FF246" s="48">
        <v>0</v>
      </c>
      <c r="FG246" s="48">
        <v>0</v>
      </c>
      <c r="FH246" s="48">
        <v>0</v>
      </c>
      <c r="FI246" s="48">
        <v>0</v>
      </c>
      <c r="FJ246" s="48">
        <v>0</v>
      </c>
      <c r="FK246" s="48">
        <v>0</v>
      </c>
      <c r="FL246" s="48">
        <v>0</v>
      </c>
      <c r="FM246" s="48">
        <v>0</v>
      </c>
      <c r="FN246" s="48">
        <v>0</v>
      </c>
      <c r="FO246" s="48">
        <v>0</v>
      </c>
      <c r="FP246" s="48">
        <v>0</v>
      </c>
      <c r="FQ246" s="48">
        <v>0</v>
      </c>
      <c r="FR246" s="48">
        <v>0</v>
      </c>
      <c r="FS246" s="48">
        <v>0</v>
      </c>
      <c r="FT246" s="48">
        <v>0</v>
      </c>
      <c r="FU246" s="48">
        <v>0</v>
      </c>
      <c r="FV246" s="48">
        <v>0</v>
      </c>
      <c r="FW246" s="48">
        <v>0</v>
      </c>
      <c r="FX246" s="48">
        <v>0</v>
      </c>
      <c r="FY246" s="48">
        <v>0</v>
      </c>
      <c r="FZ246" s="48">
        <v>0</v>
      </c>
      <c r="GA246" s="48">
        <v>0</v>
      </c>
      <c r="GB246" s="48">
        <v>0</v>
      </c>
      <c r="GC246" s="48">
        <v>0</v>
      </c>
      <c r="GD246" s="48">
        <v>0</v>
      </c>
      <c r="GE246" s="48">
        <v>0</v>
      </c>
      <c r="GF246" s="48">
        <v>0</v>
      </c>
      <c r="GG246" s="48">
        <v>0</v>
      </c>
      <c r="GH246" s="48">
        <v>0</v>
      </c>
      <c r="GI246" s="48">
        <v>0</v>
      </c>
      <c r="GJ246" s="48">
        <v>0</v>
      </c>
      <c r="GK246" s="48">
        <v>0</v>
      </c>
      <c r="GL246" s="48">
        <v>0</v>
      </c>
      <c r="GM246" s="48">
        <v>0</v>
      </c>
      <c r="GN246" s="48">
        <v>0</v>
      </c>
      <c r="GO246" s="48">
        <v>0</v>
      </c>
      <c r="GP246" s="48">
        <v>0</v>
      </c>
      <c r="GQ246" s="48">
        <v>0</v>
      </c>
      <c r="GR246" s="48">
        <v>0</v>
      </c>
      <c r="GS246" s="48">
        <v>0</v>
      </c>
      <c r="GT246" s="48">
        <v>0</v>
      </c>
      <c r="GU246" s="48">
        <v>0</v>
      </c>
      <c r="GV246" s="48">
        <v>0</v>
      </c>
      <c r="GW246" s="48">
        <v>0</v>
      </c>
      <c r="GX246" s="48">
        <v>0</v>
      </c>
      <c r="GY246" s="48">
        <v>0</v>
      </c>
      <c r="GZ246" s="48">
        <v>0</v>
      </c>
      <c r="HA246" s="48">
        <v>0</v>
      </c>
      <c r="HB246" s="48">
        <v>0</v>
      </c>
      <c r="HC246" s="48">
        <v>0</v>
      </c>
      <c r="HD246" s="48">
        <v>0</v>
      </c>
      <c r="HE246" s="48">
        <v>0</v>
      </c>
      <c r="HF246" s="48">
        <v>0</v>
      </c>
      <c r="HG246" s="48">
        <v>0</v>
      </c>
      <c r="HH246" s="48">
        <v>0</v>
      </c>
      <c r="HI246" s="48">
        <v>0</v>
      </c>
      <c r="HJ246" s="48">
        <v>0</v>
      </c>
      <c r="HK246" s="48">
        <v>0</v>
      </c>
      <c r="HL246" s="48">
        <v>0</v>
      </c>
      <c r="HM246" s="48">
        <v>0</v>
      </c>
      <c r="HN246" s="48">
        <v>0</v>
      </c>
      <c r="HO246" s="48">
        <v>0</v>
      </c>
      <c r="HP246" s="48">
        <v>0</v>
      </c>
      <c r="HQ246" s="48">
        <v>0</v>
      </c>
      <c r="HR246" s="48">
        <v>0</v>
      </c>
      <c r="HS246" s="48">
        <v>0</v>
      </c>
      <c r="HT246" s="48">
        <v>0</v>
      </c>
      <c r="HU246" s="48">
        <v>0</v>
      </c>
      <c r="HV246" s="48">
        <v>0</v>
      </c>
      <c r="HW246" s="48">
        <v>0</v>
      </c>
      <c r="HX246" s="48">
        <v>0</v>
      </c>
      <c r="HY246" s="48">
        <v>0</v>
      </c>
      <c r="HZ246" s="48">
        <v>0</v>
      </c>
      <c r="IA246" s="48">
        <v>0</v>
      </c>
      <c r="IB246" s="48">
        <v>0</v>
      </c>
      <c r="IC246" s="48">
        <v>0</v>
      </c>
      <c r="ID246" s="48">
        <v>0</v>
      </c>
      <c r="IE246" s="48">
        <v>0</v>
      </c>
      <c r="IF246" s="48">
        <v>0</v>
      </c>
      <c r="IG246" s="48">
        <v>0</v>
      </c>
      <c r="IH246" s="48">
        <v>0</v>
      </c>
      <c r="II246" s="48">
        <v>0</v>
      </c>
      <c r="IJ246" s="48">
        <v>0</v>
      </c>
      <c r="IK246" s="48">
        <v>0</v>
      </c>
      <c r="IL246" s="48">
        <v>0</v>
      </c>
      <c r="IM246" s="48">
        <v>0</v>
      </c>
      <c r="IN246" s="48">
        <v>0</v>
      </c>
      <c r="IO246" s="48">
        <v>0</v>
      </c>
      <c r="IP246" s="23">
        <v>0</v>
      </c>
      <c r="IQ246" s="25">
        <v>46805</v>
      </c>
      <c r="IR246" s="25">
        <v>666116</v>
      </c>
      <c r="IS246" s="26">
        <v>0</v>
      </c>
      <c r="IT246" s="26">
        <v>0</v>
      </c>
      <c r="IU246" s="26">
        <v>0</v>
      </c>
      <c r="IV246" s="9">
        <v>0</v>
      </c>
      <c r="IW246" s="38">
        <f t="shared" si="34"/>
        <v>712921</v>
      </c>
    </row>
    <row r="247" spans="1:257" ht="30" customHeight="1" x14ac:dyDescent="0.25">
      <c r="A247" s="112" t="b">
        <v>1</v>
      </c>
      <c r="B247" s="113" t="b">
        <f>IFERROR(VLOOKUP(C247,'Bridge matrix'!$D$3:$E$727,2,FALSE)='symmetric IOT 245 2012'!D247,"FALSCH")</f>
        <v>1</v>
      </c>
      <c r="C247" s="108">
        <v>236</v>
      </c>
      <c r="D247" s="49" t="s">
        <v>1552</v>
      </c>
      <c r="E247" s="48">
        <v>0</v>
      </c>
      <c r="F247" s="48">
        <v>0</v>
      </c>
      <c r="G247" s="48">
        <v>0</v>
      </c>
      <c r="H247" s="48">
        <v>0</v>
      </c>
      <c r="I247" s="48">
        <v>0</v>
      </c>
      <c r="J247" s="48">
        <v>0</v>
      </c>
      <c r="K247" s="48">
        <v>0</v>
      </c>
      <c r="L247" s="48">
        <v>0</v>
      </c>
      <c r="M247" s="48">
        <v>0</v>
      </c>
      <c r="N247" s="48">
        <v>0</v>
      </c>
      <c r="O247" s="48">
        <v>0</v>
      </c>
      <c r="P247" s="48">
        <v>0</v>
      </c>
      <c r="Q247" s="48">
        <v>0</v>
      </c>
      <c r="R247" s="48">
        <v>0</v>
      </c>
      <c r="S247" s="48">
        <v>0</v>
      </c>
      <c r="T247" s="48">
        <v>0</v>
      </c>
      <c r="U247" s="48">
        <v>0</v>
      </c>
      <c r="V247" s="48">
        <v>0</v>
      </c>
      <c r="W247" s="48">
        <v>0</v>
      </c>
      <c r="X247" s="48">
        <v>0</v>
      </c>
      <c r="Y247" s="48">
        <v>0</v>
      </c>
      <c r="Z247" s="48">
        <v>0</v>
      </c>
      <c r="AA247" s="48">
        <v>0</v>
      </c>
      <c r="AB247" s="48">
        <v>0</v>
      </c>
      <c r="AC247" s="48">
        <v>0</v>
      </c>
      <c r="AD247" s="48">
        <v>0</v>
      </c>
      <c r="AE247" s="48">
        <v>0</v>
      </c>
      <c r="AF247" s="48">
        <v>0</v>
      </c>
      <c r="AG247" s="48">
        <v>0</v>
      </c>
      <c r="AH247" s="48">
        <v>0</v>
      </c>
      <c r="AI247" s="48">
        <v>0</v>
      </c>
      <c r="AJ247" s="48">
        <v>0</v>
      </c>
      <c r="AK247" s="48">
        <v>0</v>
      </c>
      <c r="AL247" s="48">
        <v>0</v>
      </c>
      <c r="AM247" s="48">
        <v>0</v>
      </c>
      <c r="AN247" s="48">
        <v>0</v>
      </c>
      <c r="AO247" s="48">
        <v>0</v>
      </c>
      <c r="AP247" s="48">
        <v>0</v>
      </c>
      <c r="AQ247" s="48">
        <v>0</v>
      </c>
      <c r="AR247" s="48">
        <v>0</v>
      </c>
      <c r="AS247" s="48">
        <v>0</v>
      </c>
      <c r="AT247" s="48">
        <v>0</v>
      </c>
      <c r="AU247" s="48">
        <v>0</v>
      </c>
      <c r="AV247" s="48">
        <v>0</v>
      </c>
      <c r="AW247" s="48">
        <v>0</v>
      </c>
      <c r="AX247" s="48">
        <v>0</v>
      </c>
      <c r="AY247" s="48">
        <v>0</v>
      </c>
      <c r="AZ247" s="48">
        <v>0</v>
      </c>
      <c r="BA247" s="48">
        <v>0</v>
      </c>
      <c r="BB247" s="48">
        <v>0</v>
      </c>
      <c r="BC247" s="48">
        <v>0</v>
      </c>
      <c r="BD247" s="48">
        <v>0</v>
      </c>
      <c r="BE247" s="48">
        <v>0</v>
      </c>
      <c r="BF247" s="48">
        <v>0</v>
      </c>
      <c r="BG247" s="48">
        <v>0</v>
      </c>
      <c r="BH247" s="48">
        <v>0</v>
      </c>
      <c r="BI247" s="48">
        <v>0</v>
      </c>
      <c r="BJ247" s="48">
        <v>0</v>
      </c>
      <c r="BK247" s="48">
        <v>0</v>
      </c>
      <c r="BL247" s="48">
        <v>0</v>
      </c>
      <c r="BM247" s="48">
        <v>0</v>
      </c>
      <c r="BN247" s="48">
        <v>0</v>
      </c>
      <c r="BO247" s="48">
        <v>0</v>
      </c>
      <c r="BP247" s="48">
        <v>0</v>
      </c>
      <c r="BQ247" s="48">
        <v>0</v>
      </c>
      <c r="BR247" s="48">
        <v>0</v>
      </c>
      <c r="BS247" s="48">
        <v>0</v>
      </c>
      <c r="BT247" s="48">
        <v>0</v>
      </c>
      <c r="BU247" s="48">
        <v>0</v>
      </c>
      <c r="BV247" s="48">
        <v>0</v>
      </c>
      <c r="BW247" s="48">
        <v>0</v>
      </c>
      <c r="BX247" s="48">
        <v>0</v>
      </c>
      <c r="BY247" s="48">
        <v>0</v>
      </c>
      <c r="BZ247" s="48">
        <v>0</v>
      </c>
      <c r="CA247" s="48">
        <v>0</v>
      </c>
      <c r="CB247" s="48">
        <v>0</v>
      </c>
      <c r="CC247" s="48">
        <v>0</v>
      </c>
      <c r="CD247" s="48">
        <v>0</v>
      </c>
      <c r="CE247" s="48">
        <v>0</v>
      </c>
      <c r="CF247" s="48">
        <v>0</v>
      </c>
      <c r="CG247" s="48">
        <v>0</v>
      </c>
      <c r="CH247" s="48">
        <v>0</v>
      </c>
      <c r="CI247" s="48">
        <v>0</v>
      </c>
      <c r="CJ247" s="48">
        <v>0</v>
      </c>
      <c r="CK247" s="48">
        <v>0</v>
      </c>
      <c r="CL247" s="48">
        <v>0</v>
      </c>
      <c r="CM247" s="48">
        <v>0</v>
      </c>
      <c r="CN247" s="48">
        <v>0</v>
      </c>
      <c r="CO247" s="48">
        <v>0</v>
      </c>
      <c r="CP247" s="48">
        <v>0</v>
      </c>
      <c r="CQ247" s="48">
        <v>0</v>
      </c>
      <c r="CR247" s="48">
        <v>0</v>
      </c>
      <c r="CS247" s="48">
        <v>0</v>
      </c>
      <c r="CT247" s="48">
        <v>0</v>
      </c>
      <c r="CU247" s="48">
        <v>0</v>
      </c>
      <c r="CV247" s="48">
        <v>0</v>
      </c>
      <c r="CW247" s="48">
        <v>0</v>
      </c>
      <c r="CX247" s="48">
        <v>0</v>
      </c>
      <c r="CY247" s="48">
        <v>0</v>
      </c>
      <c r="CZ247" s="48">
        <v>0</v>
      </c>
      <c r="DA247" s="48">
        <v>0</v>
      </c>
      <c r="DB247" s="48">
        <v>0</v>
      </c>
      <c r="DC247" s="48">
        <v>0</v>
      </c>
      <c r="DD247" s="48">
        <v>0</v>
      </c>
      <c r="DE247" s="48">
        <v>0</v>
      </c>
      <c r="DF247" s="48">
        <v>0</v>
      </c>
      <c r="DG247" s="48">
        <v>0</v>
      </c>
      <c r="DH247" s="48">
        <v>0</v>
      </c>
      <c r="DI247" s="48">
        <v>0</v>
      </c>
      <c r="DJ247" s="48">
        <v>0</v>
      </c>
      <c r="DK247" s="48">
        <v>0</v>
      </c>
      <c r="DL247" s="48">
        <v>0</v>
      </c>
      <c r="DM247" s="48">
        <v>0</v>
      </c>
      <c r="DN247" s="48">
        <v>0</v>
      </c>
      <c r="DO247" s="48">
        <v>0</v>
      </c>
      <c r="DP247" s="48">
        <v>0</v>
      </c>
      <c r="DQ247" s="48">
        <v>0</v>
      </c>
      <c r="DR247" s="48">
        <v>0</v>
      </c>
      <c r="DS247" s="48">
        <v>0</v>
      </c>
      <c r="DT247" s="48">
        <v>0</v>
      </c>
      <c r="DU247" s="48">
        <v>0</v>
      </c>
      <c r="DV247" s="48">
        <v>0</v>
      </c>
      <c r="DW247" s="48">
        <v>0</v>
      </c>
      <c r="DX247" s="48">
        <v>0</v>
      </c>
      <c r="DY247" s="48">
        <v>0</v>
      </c>
      <c r="DZ247" s="48">
        <v>0</v>
      </c>
      <c r="EA247" s="48">
        <v>0</v>
      </c>
      <c r="EB247" s="48">
        <v>0</v>
      </c>
      <c r="EC247" s="48">
        <v>0</v>
      </c>
      <c r="ED247" s="48">
        <v>0</v>
      </c>
      <c r="EE247" s="48">
        <v>0</v>
      </c>
      <c r="EF247" s="48">
        <v>0</v>
      </c>
      <c r="EG247" s="48">
        <v>0</v>
      </c>
      <c r="EH247" s="48">
        <v>0</v>
      </c>
      <c r="EI247" s="48">
        <v>0</v>
      </c>
      <c r="EJ247" s="48">
        <v>0</v>
      </c>
      <c r="EK247" s="48">
        <v>0</v>
      </c>
      <c r="EL247" s="48">
        <v>0</v>
      </c>
      <c r="EM247" s="48">
        <v>0</v>
      </c>
      <c r="EN247" s="48">
        <v>0</v>
      </c>
      <c r="EO247" s="48">
        <v>0</v>
      </c>
      <c r="EP247" s="48">
        <v>0</v>
      </c>
      <c r="EQ247" s="48">
        <v>0</v>
      </c>
      <c r="ER247" s="48">
        <v>0</v>
      </c>
      <c r="ES247" s="48">
        <v>0</v>
      </c>
      <c r="ET247" s="48">
        <v>0</v>
      </c>
      <c r="EU247" s="48">
        <v>0</v>
      </c>
      <c r="EV247" s="48">
        <v>0</v>
      </c>
      <c r="EW247" s="48">
        <v>0</v>
      </c>
      <c r="EX247" s="48">
        <v>0</v>
      </c>
      <c r="EY247" s="48">
        <v>0</v>
      </c>
      <c r="EZ247" s="48">
        <v>0</v>
      </c>
      <c r="FA247" s="48">
        <v>0</v>
      </c>
      <c r="FB247" s="48">
        <v>0</v>
      </c>
      <c r="FC247" s="48">
        <v>0</v>
      </c>
      <c r="FD247" s="48">
        <v>0</v>
      </c>
      <c r="FE247" s="48">
        <v>0</v>
      </c>
      <c r="FF247" s="48">
        <v>0</v>
      </c>
      <c r="FG247" s="48">
        <v>0</v>
      </c>
      <c r="FH247" s="48">
        <v>0</v>
      </c>
      <c r="FI247" s="48">
        <v>0</v>
      </c>
      <c r="FJ247" s="48">
        <v>0</v>
      </c>
      <c r="FK247" s="48">
        <v>0</v>
      </c>
      <c r="FL247" s="48">
        <v>0</v>
      </c>
      <c r="FM247" s="48">
        <v>0</v>
      </c>
      <c r="FN247" s="48">
        <v>0</v>
      </c>
      <c r="FO247" s="48">
        <v>0</v>
      </c>
      <c r="FP247" s="48">
        <v>0</v>
      </c>
      <c r="FQ247" s="48">
        <v>0</v>
      </c>
      <c r="FR247" s="48">
        <v>0</v>
      </c>
      <c r="FS247" s="48">
        <v>0</v>
      </c>
      <c r="FT247" s="48">
        <v>0</v>
      </c>
      <c r="FU247" s="48">
        <v>0</v>
      </c>
      <c r="FV247" s="48">
        <v>0</v>
      </c>
      <c r="FW247" s="48">
        <v>0</v>
      </c>
      <c r="FX247" s="48">
        <v>0</v>
      </c>
      <c r="FY247" s="48">
        <v>0</v>
      </c>
      <c r="FZ247" s="48">
        <v>0</v>
      </c>
      <c r="GA247" s="48">
        <v>0</v>
      </c>
      <c r="GB247" s="48">
        <v>0</v>
      </c>
      <c r="GC247" s="48">
        <v>0</v>
      </c>
      <c r="GD247" s="48">
        <v>0</v>
      </c>
      <c r="GE247" s="48">
        <v>0</v>
      </c>
      <c r="GF247" s="48">
        <v>0</v>
      </c>
      <c r="GG247" s="48">
        <v>0</v>
      </c>
      <c r="GH247" s="48">
        <v>0</v>
      </c>
      <c r="GI247" s="48">
        <v>0</v>
      </c>
      <c r="GJ247" s="48">
        <v>0</v>
      </c>
      <c r="GK247" s="48">
        <v>0</v>
      </c>
      <c r="GL247" s="48">
        <v>0</v>
      </c>
      <c r="GM247" s="48">
        <v>0</v>
      </c>
      <c r="GN247" s="48">
        <v>0</v>
      </c>
      <c r="GO247" s="48">
        <v>0</v>
      </c>
      <c r="GP247" s="48">
        <v>0</v>
      </c>
      <c r="GQ247" s="48">
        <v>0</v>
      </c>
      <c r="GR247" s="48">
        <v>0</v>
      </c>
      <c r="GS247" s="48">
        <v>0</v>
      </c>
      <c r="GT247" s="48">
        <v>0</v>
      </c>
      <c r="GU247" s="48">
        <v>0</v>
      </c>
      <c r="GV247" s="48">
        <v>0</v>
      </c>
      <c r="GW247" s="48">
        <v>0</v>
      </c>
      <c r="GX247" s="48">
        <v>0</v>
      </c>
      <c r="GY247" s="48">
        <v>0</v>
      </c>
      <c r="GZ247" s="48">
        <v>0</v>
      </c>
      <c r="HA247" s="48">
        <v>0</v>
      </c>
      <c r="HB247" s="48">
        <v>0</v>
      </c>
      <c r="HC247" s="48">
        <v>0</v>
      </c>
      <c r="HD247" s="48">
        <v>0</v>
      </c>
      <c r="HE247" s="48">
        <v>0</v>
      </c>
      <c r="HF247" s="48">
        <v>0</v>
      </c>
      <c r="HG247" s="48">
        <v>0</v>
      </c>
      <c r="HH247" s="48">
        <v>0</v>
      </c>
      <c r="HI247" s="48">
        <v>0</v>
      </c>
      <c r="HJ247" s="48">
        <v>0</v>
      </c>
      <c r="HK247" s="48">
        <v>0</v>
      </c>
      <c r="HL247" s="48">
        <v>0</v>
      </c>
      <c r="HM247" s="48">
        <v>0</v>
      </c>
      <c r="HN247" s="48">
        <v>0</v>
      </c>
      <c r="HO247" s="48">
        <v>0</v>
      </c>
      <c r="HP247" s="48">
        <v>0</v>
      </c>
      <c r="HQ247" s="48">
        <v>0</v>
      </c>
      <c r="HR247" s="48">
        <v>0</v>
      </c>
      <c r="HS247" s="48">
        <v>0</v>
      </c>
      <c r="HT247" s="48">
        <v>0</v>
      </c>
      <c r="HU247" s="48">
        <v>0</v>
      </c>
      <c r="HV247" s="48">
        <v>0</v>
      </c>
      <c r="HW247" s="48">
        <v>0</v>
      </c>
      <c r="HX247" s="48">
        <v>0</v>
      </c>
      <c r="HY247" s="48">
        <v>0</v>
      </c>
      <c r="HZ247" s="48">
        <v>0</v>
      </c>
      <c r="IA247" s="48">
        <v>0</v>
      </c>
      <c r="IB247" s="48">
        <v>0</v>
      </c>
      <c r="IC247" s="48">
        <v>0</v>
      </c>
      <c r="ID247" s="48">
        <v>0</v>
      </c>
      <c r="IE247" s="48">
        <v>0</v>
      </c>
      <c r="IF247" s="48">
        <v>0</v>
      </c>
      <c r="IG247" s="48">
        <v>0</v>
      </c>
      <c r="IH247" s="48">
        <v>0</v>
      </c>
      <c r="II247" s="48">
        <v>0</v>
      </c>
      <c r="IJ247" s="48">
        <v>0</v>
      </c>
      <c r="IK247" s="48">
        <v>0</v>
      </c>
      <c r="IL247" s="48">
        <v>0</v>
      </c>
      <c r="IM247" s="48">
        <v>0</v>
      </c>
      <c r="IN247" s="48">
        <v>0</v>
      </c>
      <c r="IO247" s="48">
        <v>0</v>
      </c>
      <c r="IP247" s="23">
        <v>0</v>
      </c>
      <c r="IQ247" s="25">
        <v>1981</v>
      </c>
      <c r="IR247" s="25">
        <v>89752</v>
      </c>
      <c r="IS247" s="26">
        <v>0</v>
      </c>
      <c r="IT247" s="26">
        <v>0</v>
      </c>
      <c r="IU247" s="26">
        <v>0</v>
      </c>
      <c r="IV247" s="9">
        <v>0</v>
      </c>
      <c r="IW247" s="38">
        <f t="shared" si="34"/>
        <v>91733</v>
      </c>
    </row>
    <row r="248" spans="1:257" ht="30" customHeight="1" x14ac:dyDescent="0.25">
      <c r="A248" s="112" t="b">
        <v>0</v>
      </c>
      <c r="B248" s="113" t="str">
        <f>IFERROR(VLOOKUP(C248,'Bridge matrix'!$D$3:$E$727,2,FALSE)='symmetric IOT 245 2012'!D248,"FALSCH")</f>
        <v>FALSCH</v>
      </c>
      <c r="C248" s="108">
        <v>237</v>
      </c>
      <c r="D248" s="49" t="s">
        <v>1553</v>
      </c>
      <c r="E248" s="48">
        <v>0</v>
      </c>
      <c r="F248" s="48">
        <v>0</v>
      </c>
      <c r="G248" s="48">
        <v>0</v>
      </c>
      <c r="H248" s="48">
        <v>0</v>
      </c>
      <c r="I248" s="48">
        <v>0</v>
      </c>
      <c r="J248" s="48">
        <v>0</v>
      </c>
      <c r="K248" s="48">
        <v>0</v>
      </c>
      <c r="L248" s="48">
        <v>0</v>
      </c>
      <c r="M248" s="48">
        <v>0</v>
      </c>
      <c r="N248" s="48">
        <v>0</v>
      </c>
      <c r="O248" s="48">
        <v>0</v>
      </c>
      <c r="P248" s="48">
        <v>0</v>
      </c>
      <c r="Q248" s="48">
        <v>0</v>
      </c>
      <c r="R248" s="48">
        <v>0</v>
      </c>
      <c r="S248" s="48">
        <v>0</v>
      </c>
      <c r="T248" s="48">
        <v>0</v>
      </c>
      <c r="U248" s="48">
        <v>0</v>
      </c>
      <c r="V248" s="48">
        <v>0</v>
      </c>
      <c r="W248" s="48">
        <v>0</v>
      </c>
      <c r="X248" s="48">
        <v>0</v>
      </c>
      <c r="Y248" s="48">
        <v>0</v>
      </c>
      <c r="Z248" s="48">
        <v>0</v>
      </c>
      <c r="AA248" s="48">
        <v>0</v>
      </c>
      <c r="AB248" s="48">
        <v>0</v>
      </c>
      <c r="AC248" s="48">
        <v>0</v>
      </c>
      <c r="AD248" s="48">
        <v>0</v>
      </c>
      <c r="AE248" s="48">
        <v>0</v>
      </c>
      <c r="AF248" s="48">
        <v>0</v>
      </c>
      <c r="AG248" s="48">
        <v>0</v>
      </c>
      <c r="AH248" s="48">
        <v>0</v>
      </c>
      <c r="AI248" s="48">
        <v>0</v>
      </c>
      <c r="AJ248" s="48">
        <v>0</v>
      </c>
      <c r="AK248" s="48">
        <v>0</v>
      </c>
      <c r="AL248" s="48">
        <v>0</v>
      </c>
      <c r="AM248" s="48">
        <v>0</v>
      </c>
      <c r="AN248" s="48">
        <v>0</v>
      </c>
      <c r="AO248" s="48">
        <v>0</v>
      </c>
      <c r="AP248" s="48">
        <v>0</v>
      </c>
      <c r="AQ248" s="48">
        <v>0</v>
      </c>
      <c r="AR248" s="48">
        <v>0</v>
      </c>
      <c r="AS248" s="48">
        <v>0</v>
      </c>
      <c r="AT248" s="48">
        <v>0</v>
      </c>
      <c r="AU248" s="48">
        <v>0</v>
      </c>
      <c r="AV248" s="48">
        <v>0</v>
      </c>
      <c r="AW248" s="48">
        <v>0</v>
      </c>
      <c r="AX248" s="48">
        <v>0</v>
      </c>
      <c r="AY248" s="48">
        <v>0</v>
      </c>
      <c r="AZ248" s="48">
        <v>0</v>
      </c>
      <c r="BA248" s="48">
        <v>0</v>
      </c>
      <c r="BB248" s="48">
        <v>0</v>
      </c>
      <c r="BC248" s="48">
        <v>0</v>
      </c>
      <c r="BD248" s="48">
        <v>0</v>
      </c>
      <c r="BE248" s="48">
        <v>0</v>
      </c>
      <c r="BF248" s="48">
        <v>0</v>
      </c>
      <c r="BG248" s="48">
        <v>0</v>
      </c>
      <c r="BH248" s="48">
        <v>0</v>
      </c>
      <c r="BI248" s="48">
        <v>0</v>
      </c>
      <c r="BJ248" s="48">
        <v>0</v>
      </c>
      <c r="BK248" s="48">
        <v>0</v>
      </c>
      <c r="BL248" s="48">
        <v>0</v>
      </c>
      <c r="BM248" s="48">
        <v>0</v>
      </c>
      <c r="BN248" s="48">
        <v>0</v>
      </c>
      <c r="BO248" s="48">
        <v>0</v>
      </c>
      <c r="BP248" s="48">
        <v>0</v>
      </c>
      <c r="BQ248" s="48">
        <v>0</v>
      </c>
      <c r="BR248" s="48">
        <v>0</v>
      </c>
      <c r="BS248" s="48">
        <v>0</v>
      </c>
      <c r="BT248" s="48">
        <v>0</v>
      </c>
      <c r="BU248" s="48">
        <v>0</v>
      </c>
      <c r="BV248" s="48">
        <v>0</v>
      </c>
      <c r="BW248" s="48">
        <v>0</v>
      </c>
      <c r="BX248" s="48">
        <v>0</v>
      </c>
      <c r="BY248" s="48">
        <v>0</v>
      </c>
      <c r="BZ248" s="48">
        <v>0</v>
      </c>
      <c r="CA248" s="48">
        <v>0</v>
      </c>
      <c r="CB248" s="48">
        <v>0</v>
      </c>
      <c r="CC248" s="48">
        <v>0</v>
      </c>
      <c r="CD248" s="48">
        <v>0</v>
      </c>
      <c r="CE248" s="48">
        <v>0</v>
      </c>
      <c r="CF248" s="48">
        <v>0</v>
      </c>
      <c r="CG248" s="48">
        <v>0</v>
      </c>
      <c r="CH248" s="48">
        <v>0</v>
      </c>
      <c r="CI248" s="48">
        <v>0</v>
      </c>
      <c r="CJ248" s="48">
        <v>0</v>
      </c>
      <c r="CK248" s="48">
        <v>0</v>
      </c>
      <c r="CL248" s="48">
        <v>0</v>
      </c>
      <c r="CM248" s="48">
        <v>0</v>
      </c>
      <c r="CN248" s="48">
        <v>0</v>
      </c>
      <c r="CO248" s="48">
        <v>0</v>
      </c>
      <c r="CP248" s="48">
        <v>0</v>
      </c>
      <c r="CQ248" s="48">
        <v>0</v>
      </c>
      <c r="CR248" s="48">
        <v>0</v>
      </c>
      <c r="CS248" s="48">
        <v>0</v>
      </c>
      <c r="CT248" s="48">
        <v>0</v>
      </c>
      <c r="CU248" s="48">
        <v>0</v>
      </c>
      <c r="CV248" s="48">
        <v>0</v>
      </c>
      <c r="CW248" s="48">
        <v>0</v>
      </c>
      <c r="CX248" s="48">
        <v>0</v>
      </c>
      <c r="CY248" s="48">
        <v>0</v>
      </c>
      <c r="CZ248" s="48">
        <v>0</v>
      </c>
      <c r="DA248" s="48">
        <v>0</v>
      </c>
      <c r="DB248" s="48">
        <v>0</v>
      </c>
      <c r="DC248" s="48">
        <v>0</v>
      </c>
      <c r="DD248" s="48">
        <v>0</v>
      </c>
      <c r="DE248" s="48">
        <v>0</v>
      </c>
      <c r="DF248" s="48">
        <v>0</v>
      </c>
      <c r="DG248" s="48">
        <v>0</v>
      </c>
      <c r="DH248" s="48">
        <v>0</v>
      </c>
      <c r="DI248" s="48">
        <v>0</v>
      </c>
      <c r="DJ248" s="48">
        <v>0</v>
      </c>
      <c r="DK248" s="48">
        <v>0</v>
      </c>
      <c r="DL248" s="48">
        <v>0</v>
      </c>
      <c r="DM248" s="48">
        <v>0</v>
      </c>
      <c r="DN248" s="48">
        <v>0</v>
      </c>
      <c r="DO248" s="48">
        <v>0</v>
      </c>
      <c r="DP248" s="48">
        <v>0</v>
      </c>
      <c r="DQ248" s="48">
        <v>0</v>
      </c>
      <c r="DR248" s="48">
        <v>0</v>
      </c>
      <c r="DS248" s="48">
        <v>0</v>
      </c>
      <c r="DT248" s="48">
        <v>0</v>
      </c>
      <c r="DU248" s="48">
        <v>0</v>
      </c>
      <c r="DV248" s="48">
        <v>0</v>
      </c>
      <c r="DW248" s="48">
        <v>0</v>
      </c>
      <c r="DX248" s="48">
        <v>0</v>
      </c>
      <c r="DY248" s="48">
        <v>0</v>
      </c>
      <c r="DZ248" s="48">
        <v>0</v>
      </c>
      <c r="EA248" s="48">
        <v>0</v>
      </c>
      <c r="EB248" s="48">
        <v>0</v>
      </c>
      <c r="EC248" s="48">
        <v>0</v>
      </c>
      <c r="ED248" s="48">
        <v>0</v>
      </c>
      <c r="EE248" s="48">
        <v>0</v>
      </c>
      <c r="EF248" s="48">
        <v>0</v>
      </c>
      <c r="EG248" s="48">
        <v>0</v>
      </c>
      <c r="EH248" s="48">
        <v>0</v>
      </c>
      <c r="EI248" s="48">
        <v>0</v>
      </c>
      <c r="EJ248" s="48">
        <v>0</v>
      </c>
      <c r="EK248" s="48">
        <v>0</v>
      </c>
      <c r="EL248" s="48">
        <v>0</v>
      </c>
      <c r="EM248" s="48">
        <v>0</v>
      </c>
      <c r="EN248" s="48">
        <v>0</v>
      </c>
      <c r="EO248" s="48">
        <v>0</v>
      </c>
      <c r="EP248" s="48">
        <v>0</v>
      </c>
      <c r="EQ248" s="48">
        <v>0</v>
      </c>
      <c r="ER248" s="48">
        <v>0</v>
      </c>
      <c r="ES248" s="48">
        <v>0</v>
      </c>
      <c r="ET248" s="48">
        <v>0</v>
      </c>
      <c r="EU248" s="48">
        <v>0</v>
      </c>
      <c r="EV248" s="48">
        <v>0</v>
      </c>
      <c r="EW248" s="48">
        <v>0</v>
      </c>
      <c r="EX248" s="48">
        <v>0</v>
      </c>
      <c r="EY248" s="48">
        <v>0</v>
      </c>
      <c r="EZ248" s="48">
        <v>0</v>
      </c>
      <c r="FA248" s="48">
        <v>0</v>
      </c>
      <c r="FB248" s="48">
        <v>0</v>
      </c>
      <c r="FC248" s="48">
        <v>0</v>
      </c>
      <c r="FD248" s="48">
        <v>0</v>
      </c>
      <c r="FE248" s="48">
        <v>0</v>
      </c>
      <c r="FF248" s="48">
        <v>0</v>
      </c>
      <c r="FG248" s="48">
        <v>0</v>
      </c>
      <c r="FH248" s="48">
        <v>0</v>
      </c>
      <c r="FI248" s="48">
        <v>0</v>
      </c>
      <c r="FJ248" s="48">
        <v>0</v>
      </c>
      <c r="FK248" s="48">
        <v>0</v>
      </c>
      <c r="FL248" s="48">
        <v>0</v>
      </c>
      <c r="FM248" s="48">
        <v>0</v>
      </c>
      <c r="FN248" s="48">
        <v>0</v>
      </c>
      <c r="FO248" s="48">
        <v>0</v>
      </c>
      <c r="FP248" s="48">
        <v>0</v>
      </c>
      <c r="FQ248" s="48">
        <v>0</v>
      </c>
      <c r="FR248" s="48">
        <v>0</v>
      </c>
      <c r="FS248" s="48">
        <v>0</v>
      </c>
      <c r="FT248" s="48">
        <v>0</v>
      </c>
      <c r="FU248" s="48">
        <v>0</v>
      </c>
      <c r="FV248" s="48">
        <v>0</v>
      </c>
      <c r="FW248" s="48">
        <v>0</v>
      </c>
      <c r="FX248" s="48">
        <v>0</v>
      </c>
      <c r="FY248" s="48">
        <v>0</v>
      </c>
      <c r="FZ248" s="48">
        <v>0</v>
      </c>
      <c r="GA248" s="48">
        <v>0</v>
      </c>
      <c r="GB248" s="48">
        <v>0</v>
      </c>
      <c r="GC248" s="48">
        <v>0</v>
      </c>
      <c r="GD248" s="48">
        <v>0</v>
      </c>
      <c r="GE248" s="48">
        <v>0</v>
      </c>
      <c r="GF248" s="48">
        <v>0</v>
      </c>
      <c r="GG248" s="48">
        <v>0</v>
      </c>
      <c r="GH248" s="48">
        <v>0</v>
      </c>
      <c r="GI248" s="48">
        <v>0</v>
      </c>
      <c r="GJ248" s="48">
        <v>0</v>
      </c>
      <c r="GK248" s="48">
        <v>0</v>
      </c>
      <c r="GL248" s="48">
        <v>0</v>
      </c>
      <c r="GM248" s="48">
        <v>0</v>
      </c>
      <c r="GN248" s="48">
        <v>0</v>
      </c>
      <c r="GO248" s="48">
        <v>0</v>
      </c>
      <c r="GP248" s="48">
        <v>0</v>
      </c>
      <c r="GQ248" s="48">
        <v>0</v>
      </c>
      <c r="GR248" s="48">
        <v>0</v>
      </c>
      <c r="GS248" s="48">
        <v>0</v>
      </c>
      <c r="GT248" s="48">
        <v>0</v>
      </c>
      <c r="GU248" s="48">
        <v>0</v>
      </c>
      <c r="GV248" s="48">
        <v>0</v>
      </c>
      <c r="GW248" s="48">
        <v>0</v>
      </c>
      <c r="GX248" s="48">
        <v>0</v>
      </c>
      <c r="GY248" s="48">
        <v>0</v>
      </c>
      <c r="GZ248" s="48">
        <v>0</v>
      </c>
      <c r="HA248" s="48">
        <v>0</v>
      </c>
      <c r="HB248" s="48">
        <v>0</v>
      </c>
      <c r="HC248" s="48">
        <v>0</v>
      </c>
      <c r="HD248" s="48">
        <v>0</v>
      </c>
      <c r="HE248" s="48">
        <v>0</v>
      </c>
      <c r="HF248" s="48">
        <v>0</v>
      </c>
      <c r="HG248" s="48">
        <v>0</v>
      </c>
      <c r="HH248" s="48">
        <v>0</v>
      </c>
      <c r="HI248" s="48">
        <v>0</v>
      </c>
      <c r="HJ248" s="48">
        <v>0</v>
      </c>
      <c r="HK248" s="48">
        <v>0</v>
      </c>
      <c r="HL248" s="48">
        <v>0</v>
      </c>
      <c r="HM248" s="48">
        <v>0</v>
      </c>
      <c r="HN248" s="48">
        <v>0</v>
      </c>
      <c r="HO248" s="48">
        <v>0</v>
      </c>
      <c r="HP248" s="48">
        <v>0</v>
      </c>
      <c r="HQ248" s="48">
        <v>0</v>
      </c>
      <c r="HR248" s="48">
        <v>0</v>
      </c>
      <c r="HS248" s="48">
        <v>0</v>
      </c>
      <c r="HT248" s="48">
        <v>0</v>
      </c>
      <c r="HU248" s="48">
        <v>0</v>
      </c>
      <c r="HV248" s="48">
        <v>0</v>
      </c>
      <c r="HW248" s="48">
        <v>0</v>
      </c>
      <c r="HX248" s="48">
        <v>0</v>
      </c>
      <c r="HY248" s="48">
        <v>0</v>
      </c>
      <c r="HZ248" s="48">
        <v>0</v>
      </c>
      <c r="IA248" s="48">
        <v>0</v>
      </c>
      <c r="IB248" s="48">
        <v>0</v>
      </c>
      <c r="IC248" s="48">
        <v>0</v>
      </c>
      <c r="ID248" s="48">
        <v>0</v>
      </c>
      <c r="IE248" s="48">
        <v>0</v>
      </c>
      <c r="IF248" s="48">
        <v>0</v>
      </c>
      <c r="IG248" s="48">
        <v>0</v>
      </c>
      <c r="IH248" s="48">
        <v>0</v>
      </c>
      <c r="II248" s="48">
        <v>0</v>
      </c>
      <c r="IJ248" s="48">
        <v>0</v>
      </c>
      <c r="IK248" s="48">
        <v>0</v>
      </c>
      <c r="IL248" s="48">
        <v>0</v>
      </c>
      <c r="IM248" s="48">
        <v>0</v>
      </c>
      <c r="IN248" s="48">
        <v>0</v>
      </c>
      <c r="IO248" s="48">
        <v>0</v>
      </c>
      <c r="IP248" s="23">
        <v>0</v>
      </c>
      <c r="IQ248" s="25">
        <v>1203333</v>
      </c>
      <c r="IR248" s="25">
        <v>0</v>
      </c>
      <c r="IS248" s="26">
        <v>0</v>
      </c>
      <c r="IT248" s="26">
        <v>0</v>
      </c>
      <c r="IU248" s="26">
        <v>0</v>
      </c>
      <c r="IV248" s="9">
        <v>0</v>
      </c>
      <c r="IW248" s="38">
        <f t="shared" si="34"/>
        <v>1203333</v>
      </c>
    </row>
    <row r="249" spans="1:257" ht="30" customHeight="1" x14ac:dyDescent="0.25">
      <c r="A249" s="112" t="b">
        <v>0</v>
      </c>
      <c r="B249" s="113" t="str">
        <f>IFERROR(VLOOKUP(C249,'Bridge matrix'!$D$3:$E$727,2,FALSE)='symmetric IOT 245 2012'!D249,"FALSCH")</f>
        <v>FALSCH</v>
      </c>
      <c r="C249" s="108">
        <v>238</v>
      </c>
      <c r="D249" s="49" t="s">
        <v>1554</v>
      </c>
      <c r="E249" s="48">
        <v>0</v>
      </c>
      <c r="F249" s="48">
        <v>0</v>
      </c>
      <c r="G249" s="48">
        <v>0</v>
      </c>
      <c r="H249" s="48">
        <v>0</v>
      </c>
      <c r="I249" s="48">
        <v>0</v>
      </c>
      <c r="J249" s="48">
        <v>0</v>
      </c>
      <c r="K249" s="48">
        <v>0</v>
      </c>
      <c r="L249" s="48">
        <v>0</v>
      </c>
      <c r="M249" s="48">
        <v>0</v>
      </c>
      <c r="N249" s="48">
        <v>0</v>
      </c>
      <c r="O249" s="48">
        <v>0</v>
      </c>
      <c r="P249" s="48">
        <v>0</v>
      </c>
      <c r="Q249" s="48">
        <v>0</v>
      </c>
      <c r="R249" s="48">
        <v>0</v>
      </c>
      <c r="S249" s="48">
        <v>0</v>
      </c>
      <c r="T249" s="48">
        <v>0</v>
      </c>
      <c r="U249" s="48">
        <v>0</v>
      </c>
      <c r="V249" s="48">
        <v>0</v>
      </c>
      <c r="W249" s="48">
        <v>0</v>
      </c>
      <c r="X249" s="48">
        <v>0</v>
      </c>
      <c r="Y249" s="48">
        <v>0</v>
      </c>
      <c r="Z249" s="48">
        <v>0</v>
      </c>
      <c r="AA249" s="48">
        <v>0</v>
      </c>
      <c r="AB249" s="48">
        <v>0</v>
      </c>
      <c r="AC249" s="48">
        <v>0</v>
      </c>
      <c r="AD249" s="48">
        <v>0</v>
      </c>
      <c r="AE249" s="48">
        <v>0</v>
      </c>
      <c r="AF249" s="48">
        <v>0</v>
      </c>
      <c r="AG249" s="48">
        <v>0</v>
      </c>
      <c r="AH249" s="48">
        <v>0</v>
      </c>
      <c r="AI249" s="48">
        <v>0</v>
      </c>
      <c r="AJ249" s="48">
        <v>0</v>
      </c>
      <c r="AK249" s="48">
        <v>0</v>
      </c>
      <c r="AL249" s="48">
        <v>0</v>
      </c>
      <c r="AM249" s="48">
        <v>0</v>
      </c>
      <c r="AN249" s="48">
        <v>0</v>
      </c>
      <c r="AO249" s="48">
        <v>0</v>
      </c>
      <c r="AP249" s="48">
        <v>0</v>
      </c>
      <c r="AQ249" s="48">
        <v>0</v>
      </c>
      <c r="AR249" s="48">
        <v>0</v>
      </c>
      <c r="AS249" s="48">
        <v>0</v>
      </c>
      <c r="AT249" s="48">
        <v>0</v>
      </c>
      <c r="AU249" s="48">
        <v>0</v>
      </c>
      <c r="AV249" s="48">
        <v>0</v>
      </c>
      <c r="AW249" s="48">
        <v>0</v>
      </c>
      <c r="AX249" s="48">
        <v>0</v>
      </c>
      <c r="AY249" s="48">
        <v>0</v>
      </c>
      <c r="AZ249" s="48">
        <v>0</v>
      </c>
      <c r="BA249" s="48">
        <v>0</v>
      </c>
      <c r="BB249" s="48">
        <v>0</v>
      </c>
      <c r="BC249" s="48">
        <v>0</v>
      </c>
      <c r="BD249" s="48">
        <v>0</v>
      </c>
      <c r="BE249" s="48">
        <v>0</v>
      </c>
      <c r="BF249" s="48">
        <v>0</v>
      </c>
      <c r="BG249" s="48">
        <v>0</v>
      </c>
      <c r="BH249" s="48">
        <v>0</v>
      </c>
      <c r="BI249" s="48">
        <v>0</v>
      </c>
      <c r="BJ249" s="48">
        <v>0</v>
      </c>
      <c r="BK249" s="48">
        <v>0</v>
      </c>
      <c r="BL249" s="48">
        <v>0</v>
      </c>
      <c r="BM249" s="48">
        <v>0</v>
      </c>
      <c r="BN249" s="48">
        <v>0</v>
      </c>
      <c r="BO249" s="48">
        <v>0</v>
      </c>
      <c r="BP249" s="48">
        <v>0</v>
      </c>
      <c r="BQ249" s="48">
        <v>0</v>
      </c>
      <c r="BR249" s="48">
        <v>0</v>
      </c>
      <c r="BS249" s="48">
        <v>0</v>
      </c>
      <c r="BT249" s="48">
        <v>0</v>
      </c>
      <c r="BU249" s="48">
        <v>0</v>
      </c>
      <c r="BV249" s="48">
        <v>0</v>
      </c>
      <c r="BW249" s="48">
        <v>0</v>
      </c>
      <c r="BX249" s="48">
        <v>0</v>
      </c>
      <c r="BY249" s="48">
        <v>0</v>
      </c>
      <c r="BZ249" s="48">
        <v>0</v>
      </c>
      <c r="CA249" s="48">
        <v>0</v>
      </c>
      <c r="CB249" s="48">
        <v>0</v>
      </c>
      <c r="CC249" s="48">
        <v>0</v>
      </c>
      <c r="CD249" s="48">
        <v>0</v>
      </c>
      <c r="CE249" s="48">
        <v>0</v>
      </c>
      <c r="CF249" s="48">
        <v>0</v>
      </c>
      <c r="CG249" s="48">
        <v>0</v>
      </c>
      <c r="CH249" s="48">
        <v>0</v>
      </c>
      <c r="CI249" s="48">
        <v>0</v>
      </c>
      <c r="CJ249" s="48">
        <v>0</v>
      </c>
      <c r="CK249" s="48">
        <v>0</v>
      </c>
      <c r="CL249" s="48">
        <v>0</v>
      </c>
      <c r="CM249" s="48">
        <v>0</v>
      </c>
      <c r="CN249" s="48">
        <v>0</v>
      </c>
      <c r="CO249" s="48">
        <v>0</v>
      </c>
      <c r="CP249" s="48">
        <v>0</v>
      </c>
      <c r="CQ249" s="48">
        <v>0</v>
      </c>
      <c r="CR249" s="48">
        <v>0</v>
      </c>
      <c r="CS249" s="48">
        <v>0</v>
      </c>
      <c r="CT249" s="48">
        <v>0</v>
      </c>
      <c r="CU249" s="48">
        <v>0</v>
      </c>
      <c r="CV249" s="48">
        <v>0</v>
      </c>
      <c r="CW249" s="48">
        <v>0</v>
      </c>
      <c r="CX249" s="48">
        <v>0</v>
      </c>
      <c r="CY249" s="48">
        <v>0</v>
      </c>
      <c r="CZ249" s="48">
        <v>0</v>
      </c>
      <c r="DA249" s="48">
        <v>0</v>
      </c>
      <c r="DB249" s="48">
        <v>0</v>
      </c>
      <c r="DC249" s="48">
        <v>0</v>
      </c>
      <c r="DD249" s="48">
        <v>0</v>
      </c>
      <c r="DE249" s="48">
        <v>0</v>
      </c>
      <c r="DF249" s="48">
        <v>0</v>
      </c>
      <c r="DG249" s="48">
        <v>0</v>
      </c>
      <c r="DH249" s="48">
        <v>0</v>
      </c>
      <c r="DI249" s="48">
        <v>0</v>
      </c>
      <c r="DJ249" s="48">
        <v>0</v>
      </c>
      <c r="DK249" s="48">
        <v>0</v>
      </c>
      <c r="DL249" s="48">
        <v>0</v>
      </c>
      <c r="DM249" s="48">
        <v>0</v>
      </c>
      <c r="DN249" s="48">
        <v>0</v>
      </c>
      <c r="DO249" s="48">
        <v>0</v>
      </c>
      <c r="DP249" s="48">
        <v>0</v>
      </c>
      <c r="DQ249" s="48">
        <v>0</v>
      </c>
      <c r="DR249" s="48">
        <v>0</v>
      </c>
      <c r="DS249" s="48">
        <v>0</v>
      </c>
      <c r="DT249" s="48">
        <v>0</v>
      </c>
      <c r="DU249" s="48">
        <v>0</v>
      </c>
      <c r="DV249" s="48">
        <v>0</v>
      </c>
      <c r="DW249" s="48">
        <v>0</v>
      </c>
      <c r="DX249" s="48">
        <v>0</v>
      </c>
      <c r="DY249" s="48">
        <v>0</v>
      </c>
      <c r="DZ249" s="48">
        <v>0</v>
      </c>
      <c r="EA249" s="48">
        <v>0</v>
      </c>
      <c r="EB249" s="48">
        <v>0</v>
      </c>
      <c r="EC249" s="48">
        <v>0</v>
      </c>
      <c r="ED249" s="48">
        <v>0</v>
      </c>
      <c r="EE249" s="48">
        <v>0</v>
      </c>
      <c r="EF249" s="48">
        <v>0</v>
      </c>
      <c r="EG249" s="48">
        <v>0</v>
      </c>
      <c r="EH249" s="48">
        <v>0</v>
      </c>
      <c r="EI249" s="48">
        <v>0</v>
      </c>
      <c r="EJ249" s="48">
        <v>0</v>
      </c>
      <c r="EK249" s="48">
        <v>0</v>
      </c>
      <c r="EL249" s="48">
        <v>0</v>
      </c>
      <c r="EM249" s="48">
        <v>0</v>
      </c>
      <c r="EN249" s="48">
        <v>0</v>
      </c>
      <c r="EO249" s="48">
        <v>0</v>
      </c>
      <c r="EP249" s="48">
        <v>0</v>
      </c>
      <c r="EQ249" s="48">
        <v>0</v>
      </c>
      <c r="ER249" s="48">
        <v>0</v>
      </c>
      <c r="ES249" s="48">
        <v>0</v>
      </c>
      <c r="ET249" s="48">
        <v>0</v>
      </c>
      <c r="EU249" s="48">
        <v>0</v>
      </c>
      <c r="EV249" s="48">
        <v>0</v>
      </c>
      <c r="EW249" s="48">
        <v>0</v>
      </c>
      <c r="EX249" s="48">
        <v>0</v>
      </c>
      <c r="EY249" s="48">
        <v>0</v>
      </c>
      <c r="EZ249" s="48">
        <v>0</v>
      </c>
      <c r="FA249" s="48">
        <v>0</v>
      </c>
      <c r="FB249" s="48">
        <v>0</v>
      </c>
      <c r="FC249" s="48">
        <v>0</v>
      </c>
      <c r="FD249" s="48">
        <v>0</v>
      </c>
      <c r="FE249" s="48">
        <v>0</v>
      </c>
      <c r="FF249" s="48">
        <v>0</v>
      </c>
      <c r="FG249" s="48">
        <v>0</v>
      </c>
      <c r="FH249" s="48">
        <v>0</v>
      </c>
      <c r="FI249" s="48">
        <v>0</v>
      </c>
      <c r="FJ249" s="48">
        <v>0</v>
      </c>
      <c r="FK249" s="48">
        <v>0</v>
      </c>
      <c r="FL249" s="48">
        <v>0</v>
      </c>
      <c r="FM249" s="48">
        <v>0</v>
      </c>
      <c r="FN249" s="48">
        <v>0</v>
      </c>
      <c r="FO249" s="48">
        <v>0</v>
      </c>
      <c r="FP249" s="48">
        <v>0</v>
      </c>
      <c r="FQ249" s="48">
        <v>0</v>
      </c>
      <c r="FR249" s="48">
        <v>0</v>
      </c>
      <c r="FS249" s="48">
        <v>0</v>
      </c>
      <c r="FT249" s="48">
        <v>0</v>
      </c>
      <c r="FU249" s="48">
        <v>0</v>
      </c>
      <c r="FV249" s="48">
        <v>0</v>
      </c>
      <c r="FW249" s="48">
        <v>0</v>
      </c>
      <c r="FX249" s="48">
        <v>0</v>
      </c>
      <c r="FY249" s="48">
        <v>0</v>
      </c>
      <c r="FZ249" s="48">
        <v>0</v>
      </c>
      <c r="GA249" s="48">
        <v>0</v>
      </c>
      <c r="GB249" s="48">
        <v>0</v>
      </c>
      <c r="GC249" s="48">
        <v>0</v>
      </c>
      <c r="GD249" s="48">
        <v>0</v>
      </c>
      <c r="GE249" s="48">
        <v>0</v>
      </c>
      <c r="GF249" s="48">
        <v>0</v>
      </c>
      <c r="GG249" s="48">
        <v>0</v>
      </c>
      <c r="GH249" s="48">
        <v>0</v>
      </c>
      <c r="GI249" s="48">
        <v>0</v>
      </c>
      <c r="GJ249" s="48">
        <v>0</v>
      </c>
      <c r="GK249" s="48">
        <v>0</v>
      </c>
      <c r="GL249" s="48">
        <v>0</v>
      </c>
      <c r="GM249" s="48">
        <v>0</v>
      </c>
      <c r="GN249" s="48">
        <v>0</v>
      </c>
      <c r="GO249" s="48">
        <v>0</v>
      </c>
      <c r="GP249" s="48">
        <v>0</v>
      </c>
      <c r="GQ249" s="48">
        <v>0</v>
      </c>
      <c r="GR249" s="48">
        <v>0</v>
      </c>
      <c r="GS249" s="48">
        <v>0</v>
      </c>
      <c r="GT249" s="48">
        <v>0</v>
      </c>
      <c r="GU249" s="48">
        <v>0</v>
      </c>
      <c r="GV249" s="48">
        <v>0</v>
      </c>
      <c r="GW249" s="48">
        <v>0</v>
      </c>
      <c r="GX249" s="48">
        <v>0</v>
      </c>
      <c r="GY249" s="48">
        <v>0</v>
      </c>
      <c r="GZ249" s="48">
        <v>0</v>
      </c>
      <c r="HA249" s="48">
        <v>0</v>
      </c>
      <c r="HB249" s="48">
        <v>0</v>
      </c>
      <c r="HC249" s="48">
        <v>0</v>
      </c>
      <c r="HD249" s="48">
        <v>0</v>
      </c>
      <c r="HE249" s="48">
        <v>0</v>
      </c>
      <c r="HF249" s="48">
        <v>0</v>
      </c>
      <c r="HG249" s="48">
        <v>0</v>
      </c>
      <c r="HH249" s="48">
        <v>0</v>
      </c>
      <c r="HI249" s="48">
        <v>0</v>
      </c>
      <c r="HJ249" s="48">
        <v>0</v>
      </c>
      <c r="HK249" s="48">
        <v>0</v>
      </c>
      <c r="HL249" s="48">
        <v>0</v>
      </c>
      <c r="HM249" s="48">
        <v>0</v>
      </c>
      <c r="HN249" s="48">
        <v>0</v>
      </c>
      <c r="HO249" s="48">
        <v>0</v>
      </c>
      <c r="HP249" s="48">
        <v>0</v>
      </c>
      <c r="HQ249" s="48">
        <v>0</v>
      </c>
      <c r="HR249" s="48">
        <v>0</v>
      </c>
      <c r="HS249" s="48">
        <v>0</v>
      </c>
      <c r="HT249" s="48">
        <v>0</v>
      </c>
      <c r="HU249" s="48">
        <v>0</v>
      </c>
      <c r="HV249" s="48">
        <v>704.871981052097</v>
      </c>
      <c r="HW249" s="48">
        <v>140.1986532994332</v>
      </c>
      <c r="HX249" s="48">
        <v>0</v>
      </c>
      <c r="HY249" s="48">
        <v>0</v>
      </c>
      <c r="HZ249" s="48">
        <v>0</v>
      </c>
      <c r="IA249" s="48">
        <v>0</v>
      </c>
      <c r="IB249" s="48">
        <v>0</v>
      </c>
      <c r="IC249" s="48">
        <v>10.353950368374804</v>
      </c>
      <c r="ID249" s="48">
        <v>7.2378398155098651</v>
      </c>
      <c r="IE249" s="48">
        <v>4.1325272391431387</v>
      </c>
      <c r="IF249" s="48">
        <v>1.0344260882117327</v>
      </c>
      <c r="IG249" s="48">
        <v>0</v>
      </c>
      <c r="IH249" s="48">
        <v>0</v>
      </c>
      <c r="II249" s="48">
        <v>0</v>
      </c>
      <c r="IJ249" s="48">
        <v>149.17062213722778</v>
      </c>
      <c r="IK249" s="48">
        <v>0</v>
      </c>
      <c r="IL249" s="48">
        <v>0</v>
      </c>
      <c r="IM249" s="48">
        <v>0</v>
      </c>
      <c r="IN249" s="48">
        <v>0</v>
      </c>
      <c r="IO249" s="48">
        <v>0</v>
      </c>
      <c r="IP249" s="23">
        <v>1016.9999999999975</v>
      </c>
      <c r="IQ249" s="25">
        <v>85952</v>
      </c>
      <c r="IR249" s="25">
        <v>0</v>
      </c>
      <c r="IS249" s="26">
        <v>0</v>
      </c>
      <c r="IT249" s="26">
        <v>0</v>
      </c>
      <c r="IU249" s="26">
        <v>0</v>
      </c>
      <c r="IV249" s="9">
        <v>0</v>
      </c>
      <c r="IW249" s="38">
        <f t="shared" si="34"/>
        <v>86969</v>
      </c>
    </row>
    <row r="250" spans="1:257" ht="30" customHeight="1" x14ac:dyDescent="0.25">
      <c r="A250" s="112" t="e">
        <v>#DIV/0!</v>
      </c>
      <c r="B250" s="113" t="str">
        <f>IFERROR(VLOOKUP(C250,'Bridge matrix'!$D$3:$E$727,2,FALSE)='symmetric IOT 245 2012'!D250,"FALSCH")</f>
        <v>FALSCH</v>
      </c>
      <c r="C250" s="108">
        <v>239</v>
      </c>
      <c r="D250" s="49" t="s">
        <v>1555</v>
      </c>
      <c r="E250" s="48">
        <v>0</v>
      </c>
      <c r="F250" s="48">
        <v>0</v>
      </c>
      <c r="G250" s="48">
        <v>0</v>
      </c>
      <c r="H250" s="48">
        <v>0</v>
      </c>
      <c r="I250" s="48">
        <v>0</v>
      </c>
      <c r="J250" s="48">
        <v>0</v>
      </c>
      <c r="K250" s="48">
        <v>0</v>
      </c>
      <c r="L250" s="48">
        <v>0</v>
      </c>
      <c r="M250" s="48">
        <v>0</v>
      </c>
      <c r="N250" s="48">
        <v>0</v>
      </c>
      <c r="O250" s="48">
        <v>0</v>
      </c>
      <c r="P250" s="48">
        <v>0</v>
      </c>
      <c r="Q250" s="48">
        <v>0</v>
      </c>
      <c r="R250" s="48">
        <v>0</v>
      </c>
      <c r="S250" s="48">
        <v>0</v>
      </c>
      <c r="T250" s="48">
        <v>0</v>
      </c>
      <c r="U250" s="48">
        <v>0</v>
      </c>
      <c r="V250" s="48">
        <v>0</v>
      </c>
      <c r="W250" s="48">
        <v>0</v>
      </c>
      <c r="X250" s="48">
        <v>0</v>
      </c>
      <c r="Y250" s="48">
        <v>0</v>
      </c>
      <c r="Z250" s="48">
        <v>0</v>
      </c>
      <c r="AA250" s="48">
        <v>0</v>
      </c>
      <c r="AB250" s="48">
        <v>0</v>
      </c>
      <c r="AC250" s="48">
        <v>0</v>
      </c>
      <c r="AD250" s="48">
        <v>0</v>
      </c>
      <c r="AE250" s="48">
        <v>0</v>
      </c>
      <c r="AF250" s="48">
        <v>0</v>
      </c>
      <c r="AG250" s="48">
        <v>0</v>
      </c>
      <c r="AH250" s="48">
        <v>0</v>
      </c>
      <c r="AI250" s="48">
        <v>0</v>
      </c>
      <c r="AJ250" s="48">
        <v>0</v>
      </c>
      <c r="AK250" s="48">
        <v>0</v>
      </c>
      <c r="AL250" s="48">
        <v>0</v>
      </c>
      <c r="AM250" s="48">
        <v>0</v>
      </c>
      <c r="AN250" s="48">
        <v>0</v>
      </c>
      <c r="AO250" s="48">
        <v>0</v>
      </c>
      <c r="AP250" s="48">
        <v>0</v>
      </c>
      <c r="AQ250" s="48">
        <v>0</v>
      </c>
      <c r="AR250" s="48">
        <v>0</v>
      </c>
      <c r="AS250" s="48">
        <v>0</v>
      </c>
      <c r="AT250" s="48">
        <v>0</v>
      </c>
      <c r="AU250" s="48">
        <v>0</v>
      </c>
      <c r="AV250" s="48">
        <v>0</v>
      </c>
      <c r="AW250" s="48">
        <v>0</v>
      </c>
      <c r="AX250" s="48">
        <v>0</v>
      </c>
      <c r="AY250" s="48">
        <v>0</v>
      </c>
      <c r="AZ250" s="48">
        <v>0</v>
      </c>
      <c r="BA250" s="48">
        <v>0</v>
      </c>
      <c r="BB250" s="48">
        <v>0</v>
      </c>
      <c r="BC250" s="48">
        <v>0</v>
      </c>
      <c r="BD250" s="48">
        <v>0</v>
      </c>
      <c r="BE250" s="48">
        <v>0</v>
      </c>
      <c r="BF250" s="48">
        <v>0</v>
      </c>
      <c r="BG250" s="48">
        <v>0</v>
      </c>
      <c r="BH250" s="48">
        <v>0</v>
      </c>
      <c r="BI250" s="48">
        <v>0</v>
      </c>
      <c r="BJ250" s="48">
        <v>0</v>
      </c>
      <c r="BK250" s="48">
        <v>0</v>
      </c>
      <c r="BL250" s="48">
        <v>0</v>
      </c>
      <c r="BM250" s="48">
        <v>0</v>
      </c>
      <c r="BN250" s="48">
        <v>0</v>
      </c>
      <c r="BO250" s="48">
        <v>0</v>
      </c>
      <c r="BP250" s="48">
        <v>0</v>
      </c>
      <c r="BQ250" s="48">
        <v>0</v>
      </c>
      <c r="BR250" s="48">
        <v>0</v>
      </c>
      <c r="BS250" s="48">
        <v>0</v>
      </c>
      <c r="BT250" s="48">
        <v>0</v>
      </c>
      <c r="BU250" s="48">
        <v>0</v>
      </c>
      <c r="BV250" s="48">
        <v>0</v>
      </c>
      <c r="BW250" s="48">
        <v>0</v>
      </c>
      <c r="BX250" s="48">
        <v>0</v>
      </c>
      <c r="BY250" s="48">
        <v>0</v>
      </c>
      <c r="BZ250" s="48">
        <v>0</v>
      </c>
      <c r="CA250" s="48">
        <v>0</v>
      </c>
      <c r="CB250" s="48">
        <v>0</v>
      </c>
      <c r="CC250" s="48">
        <v>0</v>
      </c>
      <c r="CD250" s="48">
        <v>0</v>
      </c>
      <c r="CE250" s="48">
        <v>0</v>
      </c>
      <c r="CF250" s="48">
        <v>0</v>
      </c>
      <c r="CG250" s="48">
        <v>0</v>
      </c>
      <c r="CH250" s="48">
        <v>0</v>
      </c>
      <c r="CI250" s="48">
        <v>0</v>
      </c>
      <c r="CJ250" s="48">
        <v>0</v>
      </c>
      <c r="CK250" s="48">
        <v>0</v>
      </c>
      <c r="CL250" s="48">
        <v>0</v>
      </c>
      <c r="CM250" s="48">
        <v>0</v>
      </c>
      <c r="CN250" s="48">
        <v>0</v>
      </c>
      <c r="CO250" s="48">
        <v>0</v>
      </c>
      <c r="CP250" s="48">
        <v>0</v>
      </c>
      <c r="CQ250" s="48">
        <v>0</v>
      </c>
      <c r="CR250" s="48">
        <v>0</v>
      </c>
      <c r="CS250" s="48">
        <v>0</v>
      </c>
      <c r="CT250" s="48">
        <v>0</v>
      </c>
      <c r="CU250" s="48">
        <v>0</v>
      </c>
      <c r="CV250" s="48">
        <v>0</v>
      </c>
      <c r="CW250" s="48">
        <v>0</v>
      </c>
      <c r="CX250" s="48">
        <v>0</v>
      </c>
      <c r="CY250" s="48">
        <v>0</v>
      </c>
      <c r="CZ250" s="48">
        <v>0</v>
      </c>
      <c r="DA250" s="48">
        <v>0</v>
      </c>
      <c r="DB250" s="48">
        <v>0</v>
      </c>
      <c r="DC250" s="48">
        <v>0</v>
      </c>
      <c r="DD250" s="48">
        <v>0</v>
      </c>
      <c r="DE250" s="48">
        <v>0</v>
      </c>
      <c r="DF250" s="48">
        <v>0</v>
      </c>
      <c r="DG250" s="48">
        <v>0</v>
      </c>
      <c r="DH250" s="48">
        <v>0</v>
      </c>
      <c r="DI250" s="48">
        <v>0</v>
      </c>
      <c r="DJ250" s="48">
        <v>0</v>
      </c>
      <c r="DK250" s="48">
        <v>0</v>
      </c>
      <c r="DL250" s="48">
        <v>0</v>
      </c>
      <c r="DM250" s="48">
        <v>0</v>
      </c>
      <c r="DN250" s="48">
        <v>0</v>
      </c>
      <c r="DO250" s="48">
        <v>0</v>
      </c>
      <c r="DP250" s="48">
        <v>0</v>
      </c>
      <c r="DQ250" s="48">
        <v>0</v>
      </c>
      <c r="DR250" s="48">
        <v>0</v>
      </c>
      <c r="DS250" s="48">
        <v>0</v>
      </c>
      <c r="DT250" s="48">
        <v>0</v>
      </c>
      <c r="DU250" s="48">
        <v>0</v>
      </c>
      <c r="DV250" s="48">
        <v>0</v>
      </c>
      <c r="DW250" s="48">
        <v>0</v>
      </c>
      <c r="DX250" s="48">
        <v>0</v>
      </c>
      <c r="DY250" s="48">
        <v>0</v>
      </c>
      <c r="DZ250" s="48">
        <v>0</v>
      </c>
      <c r="EA250" s="48">
        <v>0</v>
      </c>
      <c r="EB250" s="48">
        <v>0</v>
      </c>
      <c r="EC250" s="48">
        <v>0</v>
      </c>
      <c r="ED250" s="48">
        <v>0</v>
      </c>
      <c r="EE250" s="48">
        <v>0</v>
      </c>
      <c r="EF250" s="48">
        <v>0</v>
      </c>
      <c r="EG250" s="48">
        <v>0</v>
      </c>
      <c r="EH250" s="48">
        <v>0</v>
      </c>
      <c r="EI250" s="48">
        <v>0</v>
      </c>
      <c r="EJ250" s="48">
        <v>0</v>
      </c>
      <c r="EK250" s="48">
        <v>0</v>
      </c>
      <c r="EL250" s="48">
        <v>0</v>
      </c>
      <c r="EM250" s="48">
        <v>0</v>
      </c>
      <c r="EN250" s="48">
        <v>0</v>
      </c>
      <c r="EO250" s="48">
        <v>0</v>
      </c>
      <c r="EP250" s="48">
        <v>0</v>
      </c>
      <c r="EQ250" s="48">
        <v>0</v>
      </c>
      <c r="ER250" s="48">
        <v>0</v>
      </c>
      <c r="ES250" s="48">
        <v>0</v>
      </c>
      <c r="ET250" s="48">
        <v>0</v>
      </c>
      <c r="EU250" s="48">
        <v>0</v>
      </c>
      <c r="EV250" s="48">
        <v>0</v>
      </c>
      <c r="EW250" s="48">
        <v>0</v>
      </c>
      <c r="EX250" s="48">
        <v>0</v>
      </c>
      <c r="EY250" s="48">
        <v>0</v>
      </c>
      <c r="EZ250" s="48">
        <v>0</v>
      </c>
      <c r="FA250" s="48">
        <v>0</v>
      </c>
      <c r="FB250" s="48">
        <v>0</v>
      </c>
      <c r="FC250" s="48">
        <v>0</v>
      </c>
      <c r="FD250" s="48">
        <v>0</v>
      </c>
      <c r="FE250" s="48">
        <v>0</v>
      </c>
      <c r="FF250" s="48">
        <v>0</v>
      </c>
      <c r="FG250" s="48">
        <v>0</v>
      </c>
      <c r="FH250" s="48">
        <v>0</v>
      </c>
      <c r="FI250" s="48">
        <v>0</v>
      </c>
      <c r="FJ250" s="48">
        <v>0</v>
      </c>
      <c r="FK250" s="48">
        <v>0</v>
      </c>
      <c r="FL250" s="48">
        <v>0</v>
      </c>
      <c r="FM250" s="48">
        <v>0</v>
      </c>
      <c r="FN250" s="48">
        <v>0</v>
      </c>
      <c r="FO250" s="48">
        <v>0</v>
      </c>
      <c r="FP250" s="48">
        <v>0</v>
      </c>
      <c r="FQ250" s="48">
        <v>0</v>
      </c>
      <c r="FR250" s="48">
        <v>0</v>
      </c>
      <c r="FS250" s="48">
        <v>0</v>
      </c>
      <c r="FT250" s="48">
        <v>0</v>
      </c>
      <c r="FU250" s="48">
        <v>0</v>
      </c>
      <c r="FV250" s="48">
        <v>0</v>
      </c>
      <c r="FW250" s="48">
        <v>0</v>
      </c>
      <c r="FX250" s="48">
        <v>0</v>
      </c>
      <c r="FY250" s="48">
        <v>0</v>
      </c>
      <c r="FZ250" s="48">
        <v>0</v>
      </c>
      <c r="GA250" s="48">
        <v>0</v>
      </c>
      <c r="GB250" s="48">
        <v>0</v>
      </c>
      <c r="GC250" s="48">
        <v>0</v>
      </c>
      <c r="GD250" s="48">
        <v>0</v>
      </c>
      <c r="GE250" s="48">
        <v>0</v>
      </c>
      <c r="GF250" s="48">
        <v>0</v>
      </c>
      <c r="GG250" s="48">
        <v>0</v>
      </c>
      <c r="GH250" s="48">
        <v>0</v>
      </c>
      <c r="GI250" s="48">
        <v>0</v>
      </c>
      <c r="GJ250" s="48">
        <v>0</v>
      </c>
      <c r="GK250" s="48">
        <v>0</v>
      </c>
      <c r="GL250" s="48">
        <v>0</v>
      </c>
      <c r="GM250" s="48">
        <v>0</v>
      </c>
      <c r="GN250" s="48">
        <v>0</v>
      </c>
      <c r="GO250" s="48">
        <v>0</v>
      </c>
      <c r="GP250" s="48">
        <v>0</v>
      </c>
      <c r="GQ250" s="48">
        <v>0</v>
      </c>
      <c r="GR250" s="48">
        <v>0</v>
      </c>
      <c r="GS250" s="48">
        <v>0</v>
      </c>
      <c r="GT250" s="48">
        <v>0</v>
      </c>
      <c r="GU250" s="48">
        <v>0</v>
      </c>
      <c r="GV250" s="48">
        <v>0</v>
      </c>
      <c r="GW250" s="48">
        <v>0</v>
      </c>
      <c r="GX250" s="48">
        <v>0</v>
      </c>
      <c r="GY250" s="48">
        <v>0</v>
      </c>
      <c r="GZ250" s="48">
        <v>0</v>
      </c>
      <c r="HA250" s="48">
        <v>0</v>
      </c>
      <c r="HB250" s="48">
        <v>0</v>
      </c>
      <c r="HC250" s="48">
        <v>0</v>
      </c>
      <c r="HD250" s="48">
        <v>0</v>
      </c>
      <c r="HE250" s="48">
        <v>0</v>
      </c>
      <c r="HF250" s="48">
        <v>0</v>
      </c>
      <c r="HG250" s="48">
        <v>0</v>
      </c>
      <c r="HH250" s="48">
        <v>0</v>
      </c>
      <c r="HI250" s="48">
        <v>0</v>
      </c>
      <c r="HJ250" s="48">
        <v>0</v>
      </c>
      <c r="HK250" s="48">
        <v>0</v>
      </c>
      <c r="HL250" s="48">
        <v>0</v>
      </c>
      <c r="HM250" s="48">
        <v>0</v>
      </c>
      <c r="HN250" s="48">
        <v>0</v>
      </c>
      <c r="HO250" s="48">
        <v>0</v>
      </c>
      <c r="HP250" s="48">
        <v>0</v>
      </c>
      <c r="HQ250" s="48">
        <v>0</v>
      </c>
      <c r="HR250" s="48">
        <v>0</v>
      </c>
      <c r="HS250" s="48">
        <v>0</v>
      </c>
      <c r="HT250" s="48">
        <v>0</v>
      </c>
      <c r="HU250" s="48">
        <v>0</v>
      </c>
      <c r="HV250" s="48">
        <v>0</v>
      </c>
      <c r="HW250" s="48">
        <v>0</v>
      </c>
      <c r="HX250" s="48">
        <v>0</v>
      </c>
      <c r="HY250" s="48">
        <v>0</v>
      </c>
      <c r="HZ250" s="48">
        <v>0</v>
      </c>
      <c r="IA250" s="48">
        <v>0</v>
      </c>
      <c r="IB250" s="48">
        <v>0</v>
      </c>
      <c r="IC250" s="48">
        <v>0</v>
      </c>
      <c r="ID250" s="48">
        <v>0</v>
      </c>
      <c r="IE250" s="48">
        <v>0</v>
      </c>
      <c r="IF250" s="48">
        <v>0</v>
      </c>
      <c r="IG250" s="48">
        <v>0</v>
      </c>
      <c r="IH250" s="48">
        <v>0</v>
      </c>
      <c r="II250" s="48">
        <v>0</v>
      </c>
      <c r="IJ250" s="48">
        <v>0</v>
      </c>
      <c r="IK250" s="48">
        <v>0</v>
      </c>
      <c r="IL250" s="48">
        <v>0</v>
      </c>
      <c r="IM250" s="48">
        <v>0</v>
      </c>
      <c r="IN250" s="48">
        <v>0</v>
      </c>
      <c r="IO250" s="48">
        <v>0</v>
      </c>
      <c r="IP250" s="23">
        <v>0</v>
      </c>
      <c r="IQ250" s="25">
        <v>0</v>
      </c>
      <c r="IR250" s="25">
        <v>0</v>
      </c>
      <c r="IS250" s="26">
        <v>26460</v>
      </c>
      <c r="IT250" s="26">
        <v>0</v>
      </c>
      <c r="IU250" s="26">
        <v>0</v>
      </c>
      <c r="IV250" s="9">
        <v>0</v>
      </c>
      <c r="IW250" s="38">
        <f t="shared" si="34"/>
        <v>26460</v>
      </c>
    </row>
    <row r="251" spans="1:257" ht="30" customHeight="1" x14ac:dyDescent="0.25">
      <c r="A251" s="112" t="e">
        <v>#N/A</v>
      </c>
      <c r="B251" s="113" t="b">
        <f>IFERROR(VLOOKUP(C251,'Bridge matrix'!$D$3:$E$727,2,FALSE)='symmetric IOT 245 2012'!D251,"FALSCH")</f>
        <v>1</v>
      </c>
      <c r="C251" s="108">
        <v>240</v>
      </c>
      <c r="D251" s="49" t="s">
        <v>1556</v>
      </c>
      <c r="E251" s="48">
        <v>0</v>
      </c>
      <c r="F251" s="48">
        <v>0</v>
      </c>
      <c r="G251" s="48">
        <v>0</v>
      </c>
      <c r="H251" s="48">
        <v>0</v>
      </c>
      <c r="I251" s="48">
        <v>0</v>
      </c>
      <c r="J251" s="48">
        <v>0</v>
      </c>
      <c r="K251" s="48">
        <v>0</v>
      </c>
      <c r="L251" s="48">
        <v>0</v>
      </c>
      <c r="M251" s="48">
        <v>0</v>
      </c>
      <c r="N251" s="48">
        <v>0</v>
      </c>
      <c r="O251" s="48">
        <v>0</v>
      </c>
      <c r="P251" s="48">
        <v>0</v>
      </c>
      <c r="Q251" s="48">
        <v>0</v>
      </c>
      <c r="R251" s="48">
        <v>0</v>
      </c>
      <c r="S251" s="48">
        <v>0</v>
      </c>
      <c r="T251" s="48">
        <v>0</v>
      </c>
      <c r="U251" s="48">
        <v>0</v>
      </c>
      <c r="V251" s="48">
        <v>0</v>
      </c>
      <c r="W251" s="48">
        <v>0</v>
      </c>
      <c r="X251" s="48">
        <v>0</v>
      </c>
      <c r="Y251" s="48">
        <v>0</v>
      </c>
      <c r="Z251" s="48">
        <v>0</v>
      </c>
      <c r="AA251" s="48">
        <v>0</v>
      </c>
      <c r="AB251" s="48">
        <v>0</v>
      </c>
      <c r="AC251" s="48">
        <v>0</v>
      </c>
      <c r="AD251" s="48">
        <v>0</v>
      </c>
      <c r="AE251" s="48">
        <v>0</v>
      </c>
      <c r="AF251" s="48">
        <v>0</v>
      </c>
      <c r="AG251" s="48">
        <v>0</v>
      </c>
      <c r="AH251" s="48">
        <v>0</v>
      </c>
      <c r="AI251" s="48">
        <v>0</v>
      </c>
      <c r="AJ251" s="48">
        <v>0</v>
      </c>
      <c r="AK251" s="48">
        <v>0</v>
      </c>
      <c r="AL251" s="48">
        <v>0</v>
      </c>
      <c r="AM251" s="48">
        <v>0</v>
      </c>
      <c r="AN251" s="48">
        <v>0</v>
      </c>
      <c r="AO251" s="48">
        <v>0</v>
      </c>
      <c r="AP251" s="48">
        <v>0</v>
      </c>
      <c r="AQ251" s="48">
        <v>0</v>
      </c>
      <c r="AR251" s="48">
        <v>0</v>
      </c>
      <c r="AS251" s="48">
        <v>0</v>
      </c>
      <c r="AT251" s="48">
        <v>0</v>
      </c>
      <c r="AU251" s="48">
        <v>0</v>
      </c>
      <c r="AV251" s="48">
        <v>0</v>
      </c>
      <c r="AW251" s="48">
        <v>0</v>
      </c>
      <c r="AX251" s="48">
        <v>0</v>
      </c>
      <c r="AY251" s="48">
        <v>0</v>
      </c>
      <c r="AZ251" s="48">
        <v>0</v>
      </c>
      <c r="BA251" s="48">
        <v>0</v>
      </c>
      <c r="BB251" s="48">
        <v>0</v>
      </c>
      <c r="BC251" s="48">
        <v>0</v>
      </c>
      <c r="BD251" s="48">
        <v>0</v>
      </c>
      <c r="BE251" s="48">
        <v>0</v>
      </c>
      <c r="BF251" s="48">
        <v>0</v>
      </c>
      <c r="BG251" s="48">
        <v>0</v>
      </c>
      <c r="BH251" s="48">
        <v>0</v>
      </c>
      <c r="BI251" s="48">
        <v>0</v>
      </c>
      <c r="BJ251" s="48">
        <v>0</v>
      </c>
      <c r="BK251" s="48">
        <v>0</v>
      </c>
      <c r="BL251" s="48">
        <v>0</v>
      </c>
      <c r="BM251" s="48">
        <v>0</v>
      </c>
      <c r="BN251" s="48">
        <v>0</v>
      </c>
      <c r="BO251" s="48">
        <v>0</v>
      </c>
      <c r="BP251" s="48">
        <v>0</v>
      </c>
      <c r="BQ251" s="48">
        <v>0</v>
      </c>
      <c r="BR251" s="48">
        <v>0</v>
      </c>
      <c r="BS251" s="48">
        <v>0</v>
      </c>
      <c r="BT251" s="48">
        <v>0</v>
      </c>
      <c r="BU251" s="48">
        <v>0</v>
      </c>
      <c r="BV251" s="48">
        <v>0</v>
      </c>
      <c r="BW251" s="48">
        <v>0</v>
      </c>
      <c r="BX251" s="48">
        <v>0</v>
      </c>
      <c r="BY251" s="48">
        <v>0</v>
      </c>
      <c r="BZ251" s="48">
        <v>0</v>
      </c>
      <c r="CA251" s="48">
        <v>0</v>
      </c>
      <c r="CB251" s="48">
        <v>0</v>
      </c>
      <c r="CC251" s="48">
        <v>0</v>
      </c>
      <c r="CD251" s="48">
        <v>0</v>
      </c>
      <c r="CE251" s="48">
        <v>0</v>
      </c>
      <c r="CF251" s="48">
        <v>0</v>
      </c>
      <c r="CG251" s="48">
        <v>0</v>
      </c>
      <c r="CH251" s="48">
        <v>0</v>
      </c>
      <c r="CI251" s="48">
        <v>0</v>
      </c>
      <c r="CJ251" s="48">
        <v>0</v>
      </c>
      <c r="CK251" s="48">
        <v>0</v>
      </c>
      <c r="CL251" s="48">
        <v>0</v>
      </c>
      <c r="CM251" s="48">
        <v>0</v>
      </c>
      <c r="CN251" s="48">
        <v>0</v>
      </c>
      <c r="CO251" s="48">
        <v>0</v>
      </c>
      <c r="CP251" s="48">
        <v>0</v>
      </c>
      <c r="CQ251" s="48">
        <v>0</v>
      </c>
      <c r="CR251" s="48">
        <v>0</v>
      </c>
      <c r="CS251" s="48">
        <v>0</v>
      </c>
      <c r="CT251" s="48">
        <v>0</v>
      </c>
      <c r="CU251" s="48">
        <v>0</v>
      </c>
      <c r="CV251" s="48">
        <v>0</v>
      </c>
      <c r="CW251" s="48">
        <v>0</v>
      </c>
      <c r="CX251" s="48">
        <v>0</v>
      </c>
      <c r="CY251" s="48">
        <v>0</v>
      </c>
      <c r="CZ251" s="48">
        <v>0</v>
      </c>
      <c r="DA251" s="48">
        <v>0</v>
      </c>
      <c r="DB251" s="48">
        <v>0</v>
      </c>
      <c r="DC251" s="48">
        <v>0</v>
      </c>
      <c r="DD251" s="48">
        <v>0</v>
      </c>
      <c r="DE251" s="48">
        <v>0</v>
      </c>
      <c r="DF251" s="48">
        <v>0</v>
      </c>
      <c r="DG251" s="48">
        <v>0</v>
      </c>
      <c r="DH251" s="48">
        <v>0</v>
      </c>
      <c r="DI251" s="48">
        <v>0</v>
      </c>
      <c r="DJ251" s="48">
        <v>0</v>
      </c>
      <c r="DK251" s="48">
        <v>0</v>
      </c>
      <c r="DL251" s="48">
        <v>0</v>
      </c>
      <c r="DM251" s="48">
        <v>0</v>
      </c>
      <c r="DN251" s="48">
        <v>0</v>
      </c>
      <c r="DO251" s="48">
        <v>0</v>
      </c>
      <c r="DP251" s="48">
        <v>0</v>
      </c>
      <c r="DQ251" s="48">
        <v>0</v>
      </c>
      <c r="DR251" s="48">
        <v>0</v>
      </c>
      <c r="DS251" s="48">
        <v>0</v>
      </c>
      <c r="DT251" s="48">
        <v>0</v>
      </c>
      <c r="DU251" s="48">
        <v>0</v>
      </c>
      <c r="DV251" s="48">
        <v>0</v>
      </c>
      <c r="DW251" s="48">
        <v>0</v>
      </c>
      <c r="DX251" s="48">
        <v>0</v>
      </c>
      <c r="DY251" s="48">
        <v>0</v>
      </c>
      <c r="DZ251" s="48">
        <v>0</v>
      </c>
      <c r="EA251" s="48">
        <v>0</v>
      </c>
      <c r="EB251" s="48">
        <v>0</v>
      </c>
      <c r="EC251" s="48">
        <v>0</v>
      </c>
      <c r="ED251" s="48">
        <v>0</v>
      </c>
      <c r="EE251" s="48">
        <v>0</v>
      </c>
      <c r="EF251" s="48">
        <v>0</v>
      </c>
      <c r="EG251" s="48">
        <v>0</v>
      </c>
      <c r="EH251" s="48">
        <v>0</v>
      </c>
      <c r="EI251" s="48">
        <v>0</v>
      </c>
      <c r="EJ251" s="48">
        <v>0</v>
      </c>
      <c r="EK251" s="48">
        <v>0</v>
      </c>
      <c r="EL251" s="48">
        <v>0</v>
      </c>
      <c r="EM251" s="48">
        <v>0</v>
      </c>
      <c r="EN251" s="48">
        <v>0</v>
      </c>
      <c r="EO251" s="48">
        <v>0</v>
      </c>
      <c r="EP251" s="48">
        <v>0</v>
      </c>
      <c r="EQ251" s="48">
        <v>0</v>
      </c>
      <c r="ER251" s="48">
        <v>0</v>
      </c>
      <c r="ES251" s="48">
        <v>0</v>
      </c>
      <c r="ET251" s="48">
        <v>0</v>
      </c>
      <c r="EU251" s="48">
        <v>0</v>
      </c>
      <c r="EV251" s="48">
        <v>0</v>
      </c>
      <c r="EW251" s="48">
        <v>0</v>
      </c>
      <c r="EX251" s="48">
        <v>0</v>
      </c>
      <c r="EY251" s="48">
        <v>0</v>
      </c>
      <c r="EZ251" s="48">
        <v>0</v>
      </c>
      <c r="FA251" s="48">
        <v>0</v>
      </c>
      <c r="FB251" s="48">
        <v>0</v>
      </c>
      <c r="FC251" s="48">
        <v>0</v>
      </c>
      <c r="FD251" s="48">
        <v>0</v>
      </c>
      <c r="FE251" s="48">
        <v>0</v>
      </c>
      <c r="FF251" s="48">
        <v>0</v>
      </c>
      <c r="FG251" s="48">
        <v>0</v>
      </c>
      <c r="FH251" s="48">
        <v>0</v>
      </c>
      <c r="FI251" s="48">
        <v>0</v>
      </c>
      <c r="FJ251" s="48">
        <v>0</v>
      </c>
      <c r="FK251" s="48">
        <v>0</v>
      </c>
      <c r="FL251" s="48">
        <v>0</v>
      </c>
      <c r="FM251" s="48">
        <v>0</v>
      </c>
      <c r="FN251" s="48">
        <v>0</v>
      </c>
      <c r="FO251" s="48">
        <v>0</v>
      </c>
      <c r="FP251" s="48">
        <v>0</v>
      </c>
      <c r="FQ251" s="48">
        <v>0</v>
      </c>
      <c r="FR251" s="48">
        <v>0</v>
      </c>
      <c r="FS251" s="48">
        <v>0</v>
      </c>
      <c r="FT251" s="48">
        <v>0</v>
      </c>
      <c r="FU251" s="48">
        <v>0</v>
      </c>
      <c r="FV251" s="48">
        <v>0</v>
      </c>
      <c r="FW251" s="48">
        <v>0</v>
      </c>
      <c r="FX251" s="48">
        <v>0</v>
      </c>
      <c r="FY251" s="48">
        <v>0</v>
      </c>
      <c r="FZ251" s="48">
        <v>0</v>
      </c>
      <c r="GA251" s="48">
        <v>0</v>
      </c>
      <c r="GB251" s="48">
        <v>0</v>
      </c>
      <c r="GC251" s="48">
        <v>0</v>
      </c>
      <c r="GD251" s="48">
        <v>0</v>
      </c>
      <c r="GE251" s="48">
        <v>0</v>
      </c>
      <c r="GF251" s="48">
        <v>0</v>
      </c>
      <c r="GG251" s="48">
        <v>0</v>
      </c>
      <c r="GH251" s="48">
        <v>0</v>
      </c>
      <c r="GI251" s="48">
        <v>0</v>
      </c>
      <c r="GJ251" s="48">
        <v>0</v>
      </c>
      <c r="GK251" s="48">
        <v>0</v>
      </c>
      <c r="GL251" s="48">
        <v>0</v>
      </c>
      <c r="GM251" s="48">
        <v>0</v>
      </c>
      <c r="GN251" s="48">
        <v>0</v>
      </c>
      <c r="GO251" s="48">
        <v>0</v>
      </c>
      <c r="GP251" s="48">
        <v>0</v>
      </c>
      <c r="GQ251" s="48">
        <v>0</v>
      </c>
      <c r="GR251" s="48">
        <v>0</v>
      </c>
      <c r="GS251" s="48">
        <v>0</v>
      </c>
      <c r="GT251" s="48">
        <v>0</v>
      </c>
      <c r="GU251" s="48">
        <v>0</v>
      </c>
      <c r="GV251" s="48">
        <v>0</v>
      </c>
      <c r="GW251" s="48">
        <v>0</v>
      </c>
      <c r="GX251" s="48">
        <v>0</v>
      </c>
      <c r="GY251" s="48">
        <v>0</v>
      </c>
      <c r="GZ251" s="48">
        <v>0</v>
      </c>
      <c r="HA251" s="48">
        <v>0</v>
      </c>
      <c r="HB251" s="48">
        <v>0</v>
      </c>
      <c r="HC251" s="48">
        <v>0</v>
      </c>
      <c r="HD251" s="48">
        <v>0</v>
      </c>
      <c r="HE251" s="48">
        <v>0</v>
      </c>
      <c r="HF251" s="48">
        <v>0</v>
      </c>
      <c r="HG251" s="48">
        <v>0</v>
      </c>
      <c r="HH251" s="48">
        <v>0</v>
      </c>
      <c r="HI251" s="48">
        <v>0</v>
      </c>
      <c r="HJ251" s="48">
        <v>0</v>
      </c>
      <c r="HK251" s="48">
        <v>0</v>
      </c>
      <c r="HL251" s="48">
        <v>0</v>
      </c>
      <c r="HM251" s="48">
        <v>0</v>
      </c>
      <c r="HN251" s="48">
        <v>0</v>
      </c>
      <c r="HO251" s="48">
        <v>0</v>
      </c>
      <c r="HP251" s="48">
        <v>0</v>
      </c>
      <c r="HQ251" s="48">
        <v>0</v>
      </c>
      <c r="HR251" s="48">
        <v>0</v>
      </c>
      <c r="HS251" s="48">
        <v>0</v>
      </c>
      <c r="HT251" s="48">
        <v>0</v>
      </c>
      <c r="HU251" s="48">
        <v>0</v>
      </c>
      <c r="HV251" s="48">
        <v>0</v>
      </c>
      <c r="HW251" s="48">
        <v>0</v>
      </c>
      <c r="HX251" s="48">
        <v>0</v>
      </c>
      <c r="HY251" s="48">
        <v>0</v>
      </c>
      <c r="HZ251" s="48">
        <v>0</v>
      </c>
      <c r="IA251" s="48">
        <v>0</v>
      </c>
      <c r="IB251" s="48">
        <v>0</v>
      </c>
      <c r="IC251" s="48">
        <v>0</v>
      </c>
      <c r="ID251" s="48">
        <v>0</v>
      </c>
      <c r="IE251" s="48">
        <v>0</v>
      </c>
      <c r="IF251" s="48">
        <v>0</v>
      </c>
      <c r="IG251" s="48">
        <v>0</v>
      </c>
      <c r="IH251" s="48">
        <v>0</v>
      </c>
      <c r="II251" s="48">
        <v>0</v>
      </c>
      <c r="IJ251" s="48">
        <v>0</v>
      </c>
      <c r="IK251" s="48">
        <v>0</v>
      </c>
      <c r="IL251" s="48">
        <v>0</v>
      </c>
      <c r="IM251" s="48">
        <v>0</v>
      </c>
      <c r="IN251" s="48">
        <v>0</v>
      </c>
      <c r="IO251" s="48">
        <v>0</v>
      </c>
      <c r="IP251" s="23">
        <v>0</v>
      </c>
      <c r="IQ251" s="25">
        <v>7765</v>
      </c>
      <c r="IR251" s="25">
        <v>2386127</v>
      </c>
      <c r="IS251" s="26">
        <v>0</v>
      </c>
      <c r="IT251" s="26">
        <v>0</v>
      </c>
      <c r="IU251" s="26">
        <v>0</v>
      </c>
      <c r="IV251" s="9">
        <v>0</v>
      </c>
      <c r="IW251" s="38">
        <f t="shared" si="34"/>
        <v>2393892</v>
      </c>
    </row>
    <row r="252" spans="1:257" ht="30" customHeight="1" x14ac:dyDescent="0.25">
      <c r="A252" s="112" t="e">
        <v>#N/A</v>
      </c>
      <c r="B252" s="113" t="str">
        <f>IFERROR(VLOOKUP(C252,'Bridge matrix'!$D$3:$E$727,2,FALSE)='symmetric IOT 245 2012'!D252,"FALSCH")</f>
        <v>FALSCH</v>
      </c>
      <c r="C252" s="108">
        <v>241</v>
      </c>
      <c r="D252" s="49" t="s">
        <v>1557</v>
      </c>
      <c r="E252" s="48">
        <v>0</v>
      </c>
      <c r="F252" s="48">
        <v>0</v>
      </c>
      <c r="G252" s="48">
        <v>0</v>
      </c>
      <c r="H252" s="48">
        <v>0</v>
      </c>
      <c r="I252" s="48">
        <v>0</v>
      </c>
      <c r="J252" s="48">
        <v>0</v>
      </c>
      <c r="K252" s="48">
        <v>0</v>
      </c>
      <c r="L252" s="48">
        <v>0</v>
      </c>
      <c r="M252" s="48">
        <v>0</v>
      </c>
      <c r="N252" s="48">
        <v>0</v>
      </c>
      <c r="O252" s="48">
        <v>0</v>
      </c>
      <c r="P252" s="48">
        <v>0</v>
      </c>
      <c r="Q252" s="48">
        <v>0</v>
      </c>
      <c r="R252" s="48">
        <v>0</v>
      </c>
      <c r="S252" s="48">
        <v>0</v>
      </c>
      <c r="T252" s="48">
        <v>0</v>
      </c>
      <c r="U252" s="48">
        <v>0</v>
      </c>
      <c r="V252" s="48">
        <v>0</v>
      </c>
      <c r="W252" s="48">
        <v>0</v>
      </c>
      <c r="X252" s="48">
        <v>0</v>
      </c>
      <c r="Y252" s="48">
        <v>0</v>
      </c>
      <c r="Z252" s="48">
        <v>0</v>
      </c>
      <c r="AA252" s="48">
        <v>0</v>
      </c>
      <c r="AB252" s="48">
        <v>0</v>
      </c>
      <c r="AC252" s="48">
        <v>0</v>
      </c>
      <c r="AD252" s="48">
        <v>0</v>
      </c>
      <c r="AE252" s="48">
        <v>0</v>
      </c>
      <c r="AF252" s="48">
        <v>0</v>
      </c>
      <c r="AG252" s="48">
        <v>0</v>
      </c>
      <c r="AH252" s="48">
        <v>0</v>
      </c>
      <c r="AI252" s="48">
        <v>0</v>
      </c>
      <c r="AJ252" s="48">
        <v>0</v>
      </c>
      <c r="AK252" s="48">
        <v>0</v>
      </c>
      <c r="AL252" s="48">
        <v>0</v>
      </c>
      <c r="AM252" s="48">
        <v>0</v>
      </c>
      <c r="AN252" s="48">
        <v>0</v>
      </c>
      <c r="AO252" s="48">
        <v>0</v>
      </c>
      <c r="AP252" s="48">
        <v>0</v>
      </c>
      <c r="AQ252" s="48">
        <v>0</v>
      </c>
      <c r="AR252" s="48">
        <v>0</v>
      </c>
      <c r="AS252" s="48">
        <v>0</v>
      </c>
      <c r="AT252" s="48">
        <v>0</v>
      </c>
      <c r="AU252" s="48">
        <v>0</v>
      </c>
      <c r="AV252" s="48">
        <v>0</v>
      </c>
      <c r="AW252" s="48">
        <v>0</v>
      </c>
      <c r="AX252" s="48">
        <v>0</v>
      </c>
      <c r="AY252" s="48">
        <v>0</v>
      </c>
      <c r="AZ252" s="48">
        <v>0</v>
      </c>
      <c r="BA252" s="48">
        <v>0</v>
      </c>
      <c r="BB252" s="48">
        <v>0</v>
      </c>
      <c r="BC252" s="48">
        <v>0</v>
      </c>
      <c r="BD252" s="48">
        <v>0</v>
      </c>
      <c r="BE252" s="48">
        <v>0</v>
      </c>
      <c r="BF252" s="48">
        <v>0</v>
      </c>
      <c r="BG252" s="48">
        <v>0</v>
      </c>
      <c r="BH252" s="48">
        <v>0</v>
      </c>
      <c r="BI252" s="48">
        <v>0</v>
      </c>
      <c r="BJ252" s="48">
        <v>0</v>
      </c>
      <c r="BK252" s="48">
        <v>0</v>
      </c>
      <c r="BL252" s="48">
        <v>0</v>
      </c>
      <c r="BM252" s="48">
        <v>0</v>
      </c>
      <c r="BN252" s="48">
        <v>0</v>
      </c>
      <c r="BO252" s="48">
        <v>0</v>
      </c>
      <c r="BP252" s="48">
        <v>0</v>
      </c>
      <c r="BQ252" s="48">
        <v>0</v>
      </c>
      <c r="BR252" s="48">
        <v>0</v>
      </c>
      <c r="BS252" s="48">
        <v>0</v>
      </c>
      <c r="BT252" s="48">
        <v>0</v>
      </c>
      <c r="BU252" s="48">
        <v>0</v>
      </c>
      <c r="BV252" s="48">
        <v>0</v>
      </c>
      <c r="BW252" s="48">
        <v>0</v>
      </c>
      <c r="BX252" s="48">
        <v>0</v>
      </c>
      <c r="BY252" s="48">
        <v>0</v>
      </c>
      <c r="BZ252" s="48">
        <v>0</v>
      </c>
      <c r="CA252" s="48">
        <v>0</v>
      </c>
      <c r="CB252" s="48">
        <v>0</v>
      </c>
      <c r="CC252" s="48">
        <v>0</v>
      </c>
      <c r="CD252" s="48">
        <v>0</v>
      </c>
      <c r="CE252" s="48">
        <v>0</v>
      </c>
      <c r="CF252" s="48">
        <v>0</v>
      </c>
      <c r="CG252" s="48">
        <v>0</v>
      </c>
      <c r="CH252" s="48">
        <v>0</v>
      </c>
      <c r="CI252" s="48">
        <v>0</v>
      </c>
      <c r="CJ252" s="48">
        <v>0</v>
      </c>
      <c r="CK252" s="48">
        <v>0</v>
      </c>
      <c r="CL252" s="48">
        <v>5.103199502354313E-13</v>
      </c>
      <c r="CM252" s="48">
        <v>0</v>
      </c>
      <c r="CN252" s="48">
        <v>7.5925388553313731E-13</v>
      </c>
      <c r="CO252" s="48">
        <v>0</v>
      </c>
      <c r="CP252" s="48">
        <v>0</v>
      </c>
      <c r="CQ252" s="48">
        <v>0</v>
      </c>
      <c r="CR252" s="48">
        <v>0</v>
      </c>
      <c r="CS252" s="48">
        <v>0</v>
      </c>
      <c r="CT252" s="48">
        <v>1.016364028241238E-15</v>
      </c>
      <c r="CU252" s="48">
        <v>0</v>
      </c>
      <c r="CV252" s="48">
        <v>1.445756303563141E-10</v>
      </c>
      <c r="CW252" s="48">
        <v>0</v>
      </c>
      <c r="CX252" s="48">
        <v>9.4601377343572183E-17</v>
      </c>
      <c r="CY252" s="48">
        <v>2.4182213967679579E-12</v>
      </c>
      <c r="CZ252" s="48">
        <v>1.8524509150965743E-13</v>
      </c>
      <c r="DA252" s="48">
        <v>0</v>
      </c>
      <c r="DB252" s="48">
        <v>0</v>
      </c>
      <c r="DC252" s="48">
        <v>4.5517727635763231E-16</v>
      </c>
      <c r="DD252" s="48">
        <v>7.935394526774181E-13</v>
      </c>
      <c r="DE252" s="48">
        <v>1.1813120754106266E-12</v>
      </c>
      <c r="DF252" s="48">
        <v>0</v>
      </c>
      <c r="DG252" s="48">
        <v>0</v>
      </c>
      <c r="DH252" s="48">
        <v>0</v>
      </c>
      <c r="DI252" s="48">
        <v>5.0653694683379261E-12</v>
      </c>
      <c r="DJ252" s="48">
        <v>0</v>
      </c>
      <c r="DK252" s="48">
        <v>3.4777049739589783E-12</v>
      </c>
      <c r="DL252" s="48">
        <v>0</v>
      </c>
      <c r="DM252" s="48">
        <v>0</v>
      </c>
      <c r="DN252" s="48">
        <v>0</v>
      </c>
      <c r="DO252" s="48">
        <v>0</v>
      </c>
      <c r="DP252" s="48">
        <v>0</v>
      </c>
      <c r="DQ252" s="48">
        <v>0</v>
      </c>
      <c r="DR252" s="48">
        <v>8.2260295321477986E-4</v>
      </c>
      <c r="DS252" s="48">
        <v>0</v>
      </c>
      <c r="DT252" s="48">
        <v>0</v>
      </c>
      <c r="DU252" s="48">
        <v>0</v>
      </c>
      <c r="DV252" s="48">
        <v>0</v>
      </c>
      <c r="DW252" s="48">
        <v>0</v>
      </c>
      <c r="DX252" s="48">
        <v>0</v>
      </c>
      <c r="DY252" s="48">
        <v>3.1403085881814079E-9</v>
      </c>
      <c r="DZ252" s="48">
        <v>0</v>
      </c>
      <c r="EA252" s="48">
        <v>0</v>
      </c>
      <c r="EB252" s="48">
        <v>8.7414385701907182E-3</v>
      </c>
      <c r="EC252" s="48">
        <v>2.5282255839818396E-4</v>
      </c>
      <c r="ED252" s="48">
        <v>0</v>
      </c>
      <c r="EE252" s="48">
        <v>0</v>
      </c>
      <c r="EF252" s="48">
        <v>0</v>
      </c>
      <c r="EG252" s="48">
        <v>0</v>
      </c>
      <c r="EH252" s="48">
        <v>0</v>
      </c>
      <c r="EI252" s="48">
        <v>4.8798758973815623E-8</v>
      </c>
      <c r="EJ252" s="48">
        <v>2.8254847424603971E-12</v>
      </c>
      <c r="EK252" s="48">
        <v>0</v>
      </c>
      <c r="EL252" s="48">
        <v>0</v>
      </c>
      <c r="EM252" s="48">
        <v>0</v>
      </c>
      <c r="EN252" s="48">
        <v>0</v>
      </c>
      <c r="EO252" s="48">
        <v>0</v>
      </c>
      <c r="EP252" s="48">
        <v>0</v>
      </c>
      <c r="EQ252" s="48">
        <v>0</v>
      </c>
      <c r="ER252" s="48">
        <v>2.1816296402931372E-4</v>
      </c>
      <c r="ES252" s="48">
        <v>3.8149181446506164E-6</v>
      </c>
      <c r="ET252" s="48">
        <v>0</v>
      </c>
      <c r="EU252" s="48">
        <v>0</v>
      </c>
      <c r="EV252" s="48">
        <v>0</v>
      </c>
      <c r="EW252" s="48">
        <v>0</v>
      </c>
      <c r="EX252" s="48">
        <v>2.1865238862212909E-3</v>
      </c>
      <c r="EY252" s="48">
        <v>1.6809841173608636E-7</v>
      </c>
      <c r="EZ252" s="48">
        <v>0</v>
      </c>
      <c r="FA252" s="48">
        <v>5.5279970227908706E-8</v>
      </c>
      <c r="FB252" s="48">
        <v>1.5155363229828543E-9</v>
      </c>
      <c r="FC252" s="48">
        <v>0</v>
      </c>
      <c r="FD252" s="48">
        <v>0</v>
      </c>
      <c r="FE252" s="48">
        <v>0</v>
      </c>
      <c r="FF252" s="48">
        <v>0</v>
      </c>
      <c r="FG252" s="48">
        <v>0</v>
      </c>
      <c r="FH252" s="48">
        <v>0</v>
      </c>
      <c r="FI252" s="48">
        <v>0</v>
      </c>
      <c r="FJ252" s="48">
        <v>0</v>
      </c>
      <c r="FK252" s="48">
        <v>0</v>
      </c>
      <c r="FL252" s="48">
        <v>0</v>
      </c>
      <c r="FM252" s="48">
        <v>2.890586089079807E-4</v>
      </c>
      <c r="FN252" s="48">
        <v>0</v>
      </c>
      <c r="FO252" s="48">
        <v>0</v>
      </c>
      <c r="FP252" s="48">
        <v>1.230205003645596E-2</v>
      </c>
      <c r="FQ252" s="48">
        <v>2.2382915964185209E-8</v>
      </c>
      <c r="FR252" s="48">
        <v>0</v>
      </c>
      <c r="FS252" s="48">
        <v>0</v>
      </c>
      <c r="FT252" s="48">
        <v>0</v>
      </c>
      <c r="FU252" s="48">
        <v>0</v>
      </c>
      <c r="FV252" s="48">
        <v>1.0266533627113241E-8</v>
      </c>
      <c r="FW252" s="48">
        <v>0</v>
      </c>
      <c r="FX252" s="48">
        <v>0</v>
      </c>
      <c r="FY252" s="48">
        <v>0</v>
      </c>
      <c r="FZ252" s="48">
        <v>0</v>
      </c>
      <c r="GA252" s="48">
        <v>0</v>
      </c>
      <c r="GB252" s="48">
        <v>3777.3767095029125</v>
      </c>
      <c r="GC252" s="48">
        <v>0</v>
      </c>
      <c r="GD252" s="48">
        <v>0</v>
      </c>
      <c r="GE252" s="48">
        <v>1263.4849881111491</v>
      </c>
      <c r="GF252" s="48">
        <v>1783.3298014515738</v>
      </c>
      <c r="GG252" s="48">
        <v>0</v>
      </c>
      <c r="GH252" s="48">
        <v>0</v>
      </c>
      <c r="GI252" s="48">
        <v>0</v>
      </c>
      <c r="GJ252" s="48">
        <v>0</v>
      </c>
      <c r="GK252" s="48">
        <v>0</v>
      </c>
      <c r="GL252" s="48">
        <v>0</v>
      </c>
      <c r="GM252" s="48">
        <v>0</v>
      </c>
      <c r="GN252" s="48">
        <v>0</v>
      </c>
      <c r="GO252" s="48">
        <v>0</v>
      </c>
      <c r="GP252" s="48">
        <v>0</v>
      </c>
      <c r="GQ252" s="48">
        <v>0</v>
      </c>
      <c r="GR252" s="48">
        <v>0</v>
      </c>
      <c r="GS252" s="48">
        <v>0</v>
      </c>
      <c r="GT252" s="48">
        <v>0</v>
      </c>
      <c r="GU252" s="48">
        <v>0</v>
      </c>
      <c r="GV252" s="48">
        <v>0</v>
      </c>
      <c r="GW252" s="48">
        <v>0</v>
      </c>
      <c r="GX252" s="48">
        <v>0</v>
      </c>
      <c r="GY252" s="48">
        <v>0</v>
      </c>
      <c r="GZ252" s="48">
        <v>0</v>
      </c>
      <c r="HA252" s="48">
        <v>0</v>
      </c>
      <c r="HB252" s="48">
        <v>0</v>
      </c>
      <c r="HC252" s="48">
        <v>0</v>
      </c>
      <c r="HD252" s="48">
        <v>0</v>
      </c>
      <c r="HE252" s="48">
        <v>0</v>
      </c>
      <c r="HF252" s="48">
        <v>0</v>
      </c>
      <c r="HG252" s="48">
        <v>0</v>
      </c>
      <c r="HH252" s="48">
        <v>0</v>
      </c>
      <c r="HI252" s="48">
        <v>0</v>
      </c>
      <c r="HJ252" s="48">
        <v>0</v>
      </c>
      <c r="HK252" s="48">
        <v>0</v>
      </c>
      <c r="HL252" s="48">
        <v>0</v>
      </c>
      <c r="HM252" s="48">
        <v>0</v>
      </c>
      <c r="HN252" s="48">
        <v>0</v>
      </c>
      <c r="HO252" s="48">
        <v>0</v>
      </c>
      <c r="HP252" s="48">
        <v>0</v>
      </c>
      <c r="HQ252" s="48">
        <v>0</v>
      </c>
      <c r="HR252" s="48">
        <v>0</v>
      </c>
      <c r="HS252" s="48">
        <v>0</v>
      </c>
      <c r="HT252" s="48">
        <v>0</v>
      </c>
      <c r="HU252" s="48">
        <v>0</v>
      </c>
      <c r="HV252" s="48">
        <v>0</v>
      </c>
      <c r="HW252" s="48">
        <v>0</v>
      </c>
      <c r="HX252" s="48">
        <v>0</v>
      </c>
      <c r="HY252" s="48">
        <v>0</v>
      </c>
      <c r="HZ252" s="48">
        <v>0</v>
      </c>
      <c r="IA252" s="48">
        <v>0</v>
      </c>
      <c r="IB252" s="48">
        <v>0</v>
      </c>
      <c r="IC252" s="48">
        <v>0</v>
      </c>
      <c r="ID252" s="48">
        <v>0</v>
      </c>
      <c r="IE252" s="48">
        <v>0</v>
      </c>
      <c r="IF252" s="48">
        <v>0</v>
      </c>
      <c r="IG252" s="48">
        <v>0</v>
      </c>
      <c r="IH252" s="48">
        <v>0</v>
      </c>
      <c r="II252" s="48">
        <v>0</v>
      </c>
      <c r="IJ252" s="48">
        <v>0</v>
      </c>
      <c r="IK252" s="48">
        <v>1021.0855542050863</v>
      </c>
      <c r="IL252" s="48">
        <v>1783.952896526243</v>
      </c>
      <c r="IM252" s="48">
        <v>2143.6845423413024</v>
      </c>
      <c r="IN252" s="48">
        <v>1139.0606910775491</v>
      </c>
      <c r="IO252" s="48">
        <v>0</v>
      </c>
      <c r="IP252" s="23">
        <v>12911.999999999956</v>
      </c>
      <c r="IQ252" s="25">
        <v>320631</v>
      </c>
      <c r="IR252" s="25">
        <v>0</v>
      </c>
      <c r="IS252" s="26">
        <v>0</v>
      </c>
      <c r="IT252" s="26">
        <v>0</v>
      </c>
      <c r="IU252" s="26">
        <v>0</v>
      </c>
      <c r="IV252" s="9">
        <v>0</v>
      </c>
      <c r="IW252" s="38">
        <f t="shared" si="34"/>
        <v>333542.99999999994</v>
      </c>
    </row>
    <row r="253" spans="1:257" ht="30" customHeight="1" x14ac:dyDescent="0.25">
      <c r="A253" s="112" t="e">
        <v>#N/A</v>
      </c>
      <c r="B253" s="113" t="b">
        <f>IFERROR(VLOOKUP(C253,'Bridge matrix'!$D$3:$E$727,2,FALSE)='symmetric IOT 245 2012'!D253,"FALSCH")</f>
        <v>1</v>
      </c>
      <c r="C253" s="108">
        <v>242</v>
      </c>
      <c r="D253" s="49" t="s">
        <v>1558</v>
      </c>
      <c r="E253" s="48">
        <v>0</v>
      </c>
      <c r="F253" s="48">
        <v>0</v>
      </c>
      <c r="G253" s="48">
        <v>0</v>
      </c>
      <c r="H253" s="48">
        <v>0</v>
      </c>
      <c r="I253" s="48">
        <v>0</v>
      </c>
      <c r="J253" s="48">
        <v>0</v>
      </c>
      <c r="K253" s="48">
        <v>0</v>
      </c>
      <c r="L253" s="48">
        <v>0</v>
      </c>
      <c r="M253" s="48">
        <v>0</v>
      </c>
      <c r="N253" s="48">
        <v>0</v>
      </c>
      <c r="O253" s="48">
        <v>0</v>
      </c>
      <c r="P253" s="48">
        <v>0</v>
      </c>
      <c r="Q253" s="48">
        <v>0</v>
      </c>
      <c r="R253" s="48">
        <v>0</v>
      </c>
      <c r="S253" s="48">
        <v>0</v>
      </c>
      <c r="T253" s="48">
        <v>0</v>
      </c>
      <c r="U253" s="48">
        <v>0</v>
      </c>
      <c r="V253" s="48">
        <v>0</v>
      </c>
      <c r="W253" s="48">
        <v>0</v>
      </c>
      <c r="X253" s="48">
        <v>0</v>
      </c>
      <c r="Y253" s="48">
        <v>0</v>
      </c>
      <c r="Z253" s="48">
        <v>0</v>
      </c>
      <c r="AA253" s="48">
        <v>0</v>
      </c>
      <c r="AB253" s="48">
        <v>0</v>
      </c>
      <c r="AC253" s="48">
        <v>0</v>
      </c>
      <c r="AD253" s="48">
        <v>0</v>
      </c>
      <c r="AE253" s="48">
        <v>0</v>
      </c>
      <c r="AF253" s="48">
        <v>0</v>
      </c>
      <c r="AG253" s="48">
        <v>0</v>
      </c>
      <c r="AH253" s="48">
        <v>0</v>
      </c>
      <c r="AI253" s="48">
        <v>0</v>
      </c>
      <c r="AJ253" s="48">
        <v>0</v>
      </c>
      <c r="AK253" s="48">
        <v>0</v>
      </c>
      <c r="AL253" s="48">
        <v>0</v>
      </c>
      <c r="AM253" s="48">
        <v>0</v>
      </c>
      <c r="AN253" s="48">
        <v>0</v>
      </c>
      <c r="AO253" s="48">
        <v>0</v>
      </c>
      <c r="AP253" s="48">
        <v>0</v>
      </c>
      <c r="AQ253" s="48">
        <v>0</v>
      </c>
      <c r="AR253" s="48">
        <v>0</v>
      </c>
      <c r="AS253" s="48">
        <v>0</v>
      </c>
      <c r="AT253" s="48">
        <v>0</v>
      </c>
      <c r="AU253" s="48">
        <v>0</v>
      </c>
      <c r="AV253" s="48">
        <v>0</v>
      </c>
      <c r="AW253" s="48">
        <v>0</v>
      </c>
      <c r="AX253" s="48">
        <v>0</v>
      </c>
      <c r="AY253" s="48">
        <v>0</v>
      </c>
      <c r="AZ253" s="48">
        <v>0</v>
      </c>
      <c r="BA253" s="48">
        <v>0</v>
      </c>
      <c r="BB253" s="48">
        <v>0</v>
      </c>
      <c r="BC253" s="48">
        <v>0</v>
      </c>
      <c r="BD253" s="48">
        <v>0</v>
      </c>
      <c r="BE253" s="48">
        <v>0</v>
      </c>
      <c r="BF253" s="48">
        <v>0</v>
      </c>
      <c r="BG253" s="48">
        <v>0</v>
      </c>
      <c r="BH253" s="48">
        <v>0</v>
      </c>
      <c r="BI253" s="48">
        <v>0</v>
      </c>
      <c r="BJ253" s="48">
        <v>0</v>
      </c>
      <c r="BK253" s="48">
        <v>0</v>
      </c>
      <c r="BL253" s="48">
        <v>0</v>
      </c>
      <c r="BM253" s="48">
        <v>0</v>
      </c>
      <c r="BN253" s="48">
        <v>0</v>
      </c>
      <c r="BO253" s="48">
        <v>0</v>
      </c>
      <c r="BP253" s="48">
        <v>0</v>
      </c>
      <c r="BQ253" s="48">
        <v>0</v>
      </c>
      <c r="BR253" s="48">
        <v>0</v>
      </c>
      <c r="BS253" s="48">
        <v>0</v>
      </c>
      <c r="BT253" s="48">
        <v>0</v>
      </c>
      <c r="BU253" s="48">
        <v>0</v>
      </c>
      <c r="BV253" s="48">
        <v>0</v>
      </c>
      <c r="BW253" s="48">
        <v>0</v>
      </c>
      <c r="BX253" s="48">
        <v>0</v>
      </c>
      <c r="BY253" s="48">
        <v>0</v>
      </c>
      <c r="BZ253" s="48">
        <v>0</v>
      </c>
      <c r="CA253" s="48">
        <v>0</v>
      </c>
      <c r="CB253" s="48">
        <v>0</v>
      </c>
      <c r="CC253" s="48">
        <v>0</v>
      </c>
      <c r="CD253" s="48">
        <v>0</v>
      </c>
      <c r="CE253" s="48">
        <v>0</v>
      </c>
      <c r="CF253" s="48">
        <v>0</v>
      </c>
      <c r="CG253" s="48">
        <v>0</v>
      </c>
      <c r="CH253" s="48">
        <v>0</v>
      </c>
      <c r="CI253" s="48">
        <v>0</v>
      </c>
      <c r="CJ253" s="48">
        <v>0</v>
      </c>
      <c r="CK253" s="48">
        <v>0</v>
      </c>
      <c r="CL253" s="48">
        <v>0</v>
      </c>
      <c r="CM253" s="48">
        <v>0</v>
      </c>
      <c r="CN253" s="48">
        <v>0</v>
      </c>
      <c r="CO253" s="48">
        <v>0</v>
      </c>
      <c r="CP253" s="48">
        <v>0</v>
      </c>
      <c r="CQ253" s="48">
        <v>0</v>
      </c>
      <c r="CR253" s="48">
        <v>0</v>
      </c>
      <c r="CS253" s="48">
        <v>0</v>
      </c>
      <c r="CT253" s="48">
        <v>0</v>
      </c>
      <c r="CU253" s="48">
        <v>0</v>
      </c>
      <c r="CV253" s="48">
        <v>0</v>
      </c>
      <c r="CW253" s="48">
        <v>0</v>
      </c>
      <c r="CX253" s="48">
        <v>0</v>
      </c>
      <c r="CY253" s="48">
        <v>0</v>
      </c>
      <c r="CZ253" s="48">
        <v>0</v>
      </c>
      <c r="DA253" s="48">
        <v>0</v>
      </c>
      <c r="DB253" s="48">
        <v>0</v>
      </c>
      <c r="DC253" s="48">
        <v>0</v>
      </c>
      <c r="DD253" s="48">
        <v>0.62990356719589169</v>
      </c>
      <c r="DE253" s="48">
        <v>0</v>
      </c>
      <c r="DF253" s="48">
        <v>0</v>
      </c>
      <c r="DG253" s="48">
        <v>0</v>
      </c>
      <c r="DH253" s="48">
        <v>0</v>
      </c>
      <c r="DI253" s="48">
        <v>0</v>
      </c>
      <c r="DJ253" s="48">
        <v>0</v>
      </c>
      <c r="DK253" s="48">
        <v>2.8938336032985368</v>
      </c>
      <c r="DL253" s="48">
        <v>0</v>
      </c>
      <c r="DM253" s="48">
        <v>0</v>
      </c>
      <c r="DN253" s="48">
        <v>0</v>
      </c>
      <c r="DO253" s="48">
        <v>0</v>
      </c>
      <c r="DP253" s="48">
        <v>0</v>
      </c>
      <c r="DQ253" s="48">
        <v>0</v>
      </c>
      <c r="DR253" s="48">
        <v>0</v>
      </c>
      <c r="DS253" s="48">
        <v>0</v>
      </c>
      <c r="DT253" s="48">
        <v>0</v>
      </c>
      <c r="DU253" s="48">
        <v>0</v>
      </c>
      <c r="DV253" s="48">
        <v>0</v>
      </c>
      <c r="DW253" s="48">
        <v>0</v>
      </c>
      <c r="DX253" s="48">
        <v>0</v>
      </c>
      <c r="DY253" s="48">
        <v>0</v>
      </c>
      <c r="DZ253" s="48">
        <v>0</v>
      </c>
      <c r="EA253" s="48">
        <v>0</v>
      </c>
      <c r="EB253" s="48">
        <v>0</v>
      </c>
      <c r="EC253" s="48">
        <v>0</v>
      </c>
      <c r="ED253" s="48">
        <v>0</v>
      </c>
      <c r="EE253" s="48">
        <v>0</v>
      </c>
      <c r="EF253" s="48">
        <v>0</v>
      </c>
      <c r="EG253" s="48">
        <v>0</v>
      </c>
      <c r="EH253" s="48">
        <v>0</v>
      </c>
      <c r="EI253" s="48">
        <v>0</v>
      </c>
      <c r="EJ253" s="48">
        <v>0</v>
      </c>
      <c r="EK253" s="48">
        <v>0</v>
      </c>
      <c r="EL253" s="48">
        <v>0</v>
      </c>
      <c r="EM253" s="48">
        <v>0</v>
      </c>
      <c r="EN253" s="48">
        <v>0</v>
      </c>
      <c r="EO253" s="48">
        <v>0</v>
      </c>
      <c r="EP253" s="48">
        <v>0</v>
      </c>
      <c r="EQ253" s="48">
        <v>0</v>
      </c>
      <c r="ER253" s="48">
        <v>0</v>
      </c>
      <c r="ES253" s="48">
        <v>0</v>
      </c>
      <c r="ET253" s="48">
        <v>0</v>
      </c>
      <c r="EU253" s="48">
        <v>0</v>
      </c>
      <c r="EV253" s="48">
        <v>0</v>
      </c>
      <c r="EW253" s="48">
        <v>0</v>
      </c>
      <c r="EX253" s="48">
        <v>0</v>
      </c>
      <c r="EY253" s="48">
        <v>0</v>
      </c>
      <c r="EZ253" s="48">
        <v>0</v>
      </c>
      <c r="FA253" s="48">
        <v>0</v>
      </c>
      <c r="FB253" s="48">
        <v>0</v>
      </c>
      <c r="FC253" s="48">
        <v>0</v>
      </c>
      <c r="FD253" s="48">
        <v>0</v>
      </c>
      <c r="FE253" s="48">
        <v>0</v>
      </c>
      <c r="FF253" s="48">
        <v>0</v>
      </c>
      <c r="FG253" s="48">
        <v>0</v>
      </c>
      <c r="FH253" s="48">
        <v>0</v>
      </c>
      <c r="FI253" s="48">
        <v>0</v>
      </c>
      <c r="FJ253" s="48">
        <v>0</v>
      </c>
      <c r="FK253" s="48">
        <v>0</v>
      </c>
      <c r="FL253" s="48">
        <v>0</v>
      </c>
      <c r="FM253" s="48">
        <v>0</v>
      </c>
      <c r="FN253" s="48">
        <v>0</v>
      </c>
      <c r="FO253" s="48">
        <v>0</v>
      </c>
      <c r="FP253" s="48">
        <v>0</v>
      </c>
      <c r="FQ253" s="48">
        <v>0</v>
      </c>
      <c r="FR253" s="48">
        <v>0</v>
      </c>
      <c r="FS253" s="48">
        <v>0</v>
      </c>
      <c r="FT253" s="48">
        <v>0</v>
      </c>
      <c r="FU253" s="48">
        <v>0</v>
      </c>
      <c r="FV253" s="48">
        <v>0.20765892949309772</v>
      </c>
      <c r="FW253" s="48">
        <v>0</v>
      </c>
      <c r="FX253" s="48">
        <v>0</v>
      </c>
      <c r="FY253" s="48">
        <v>0</v>
      </c>
      <c r="FZ253" s="48">
        <v>0</v>
      </c>
      <c r="GA253" s="48">
        <v>0</v>
      </c>
      <c r="GB253" s="48">
        <v>0</v>
      </c>
      <c r="GC253" s="48">
        <v>50125.22638748226</v>
      </c>
      <c r="GD253" s="48">
        <v>0</v>
      </c>
      <c r="GE253" s="48">
        <v>2531.1052763265716</v>
      </c>
      <c r="GF253" s="48">
        <v>3651.6561541201831</v>
      </c>
      <c r="GG253" s="48">
        <v>29361.68383611058</v>
      </c>
      <c r="GH253" s="48">
        <v>25956.888299023507</v>
      </c>
      <c r="GI253" s="48">
        <v>45.556357520107895</v>
      </c>
      <c r="GJ253" s="48">
        <v>3304.7718075760099</v>
      </c>
      <c r="GK253" s="48">
        <v>6886.0905661065126</v>
      </c>
      <c r="GL253" s="48">
        <v>6892.8527426558521</v>
      </c>
      <c r="GM253" s="48">
        <v>5117.1209500339492</v>
      </c>
      <c r="GN253" s="48">
        <v>208.02014892433644</v>
      </c>
      <c r="GO253" s="48">
        <v>1713.0712716023952</v>
      </c>
      <c r="GP253" s="48">
        <v>746.38494644983757</v>
      </c>
      <c r="GQ253" s="48">
        <v>5524.0281895319667</v>
      </c>
      <c r="GR253" s="48">
        <v>0</v>
      </c>
      <c r="GS253" s="48">
        <v>0</v>
      </c>
      <c r="GT253" s="48">
        <v>130.45065308970536</v>
      </c>
      <c r="GU253" s="48">
        <v>8128.1619642092373</v>
      </c>
      <c r="GV253" s="48">
        <v>46.319260148275525</v>
      </c>
      <c r="GW253" s="48">
        <v>11.905945662098469</v>
      </c>
      <c r="GX253" s="48">
        <v>683.80662014465918</v>
      </c>
      <c r="GY253" s="48">
        <v>61.593049528531054</v>
      </c>
      <c r="GZ253" s="48">
        <v>0</v>
      </c>
      <c r="HA253" s="48">
        <v>224.68662595839439</v>
      </c>
      <c r="HB253" s="48">
        <v>747.78172687244341</v>
      </c>
      <c r="HC253" s="48">
        <v>1686.0534209058205</v>
      </c>
      <c r="HD253" s="48">
        <v>570.3649352501368</v>
      </c>
      <c r="HE253" s="48">
        <v>96.273153688554373</v>
      </c>
      <c r="HF253" s="48">
        <v>498.19172806175652</v>
      </c>
      <c r="HG253" s="48">
        <v>476.52606203773064</v>
      </c>
      <c r="HH253" s="48">
        <v>897.08396062056465</v>
      </c>
      <c r="HI253" s="48">
        <v>1308.92030996363</v>
      </c>
      <c r="HJ253" s="48">
        <v>1487.7556659971528</v>
      </c>
      <c r="HK253" s="48">
        <v>70.295098662919429</v>
      </c>
      <c r="HL253" s="48">
        <v>111.27824353112896</v>
      </c>
      <c r="HM253" s="48">
        <v>513.62201669040019</v>
      </c>
      <c r="HN253" s="48">
        <v>150.14441389829076</v>
      </c>
      <c r="HO253" s="48">
        <v>632.74133382538275</v>
      </c>
      <c r="HP253" s="48">
        <v>1084.9562929769349</v>
      </c>
      <c r="HQ253" s="48">
        <v>169.24755546942922</v>
      </c>
      <c r="HR253" s="48">
        <v>361.16075148268959</v>
      </c>
      <c r="HS253" s="48">
        <v>593.68063852060732</v>
      </c>
      <c r="HT253" s="48">
        <v>371.49508630415039</v>
      </c>
      <c r="HU253" s="48">
        <v>491.27827402955188</v>
      </c>
      <c r="HV253" s="48">
        <v>28732.116138053916</v>
      </c>
      <c r="HW253" s="48">
        <v>28.766369354939464</v>
      </c>
      <c r="HX253" s="48">
        <v>1781.0447293129009</v>
      </c>
      <c r="HY253" s="48">
        <v>603.11337847274922</v>
      </c>
      <c r="HZ253" s="48">
        <v>2691.4010289266785</v>
      </c>
      <c r="IA253" s="48">
        <v>904.14724797349243</v>
      </c>
      <c r="IB253" s="48">
        <v>212.82420788804137</v>
      </c>
      <c r="IC253" s="48">
        <v>4185.605325722514</v>
      </c>
      <c r="ID253" s="48">
        <v>2597.097065585343</v>
      </c>
      <c r="IE253" s="48">
        <v>1757.5050249345056</v>
      </c>
      <c r="IF253" s="48">
        <v>226.20907984079861</v>
      </c>
      <c r="IG253" s="48">
        <v>0</v>
      </c>
      <c r="IH253" s="48">
        <v>0</v>
      </c>
      <c r="II253" s="48">
        <v>0</v>
      </c>
      <c r="IJ253" s="48">
        <v>434.84164034078862</v>
      </c>
      <c r="IK253" s="48">
        <v>10013.659690086111</v>
      </c>
      <c r="IL253" s="48">
        <v>17505.988384289729</v>
      </c>
      <c r="IM253" s="48">
        <v>21046.034747186084</v>
      </c>
      <c r="IN253" s="48">
        <v>11175.282824936841</v>
      </c>
      <c r="IO253" s="48">
        <v>0</v>
      </c>
      <c r="IP253" s="23">
        <v>267569.59999999969</v>
      </c>
      <c r="IQ253" s="25">
        <v>328969</v>
      </c>
      <c r="IR253" s="25">
        <v>0</v>
      </c>
      <c r="IS253" s="26">
        <v>0</v>
      </c>
      <c r="IT253" s="26">
        <v>0</v>
      </c>
      <c r="IU253" s="26">
        <v>0</v>
      </c>
      <c r="IV253" s="9">
        <v>101296</v>
      </c>
      <c r="IW253" s="38">
        <f t="shared" si="34"/>
        <v>697834.59999999963</v>
      </c>
    </row>
    <row r="254" spans="1:257" ht="30" customHeight="1" x14ac:dyDescent="0.25">
      <c r="A254" s="112" t="e">
        <v>#N/A</v>
      </c>
      <c r="B254" s="113" t="str">
        <f>IFERROR(VLOOKUP(C254,'Bridge matrix'!$D$3:$E$727,2,FALSE)='symmetric IOT 245 2012'!D254,"FALSCH")</f>
        <v>FALSCH</v>
      </c>
      <c r="C254" s="108">
        <v>243</v>
      </c>
      <c r="D254" s="49" t="s">
        <v>1559</v>
      </c>
      <c r="E254" s="48">
        <v>0</v>
      </c>
      <c r="F254" s="48">
        <v>0</v>
      </c>
      <c r="G254" s="48">
        <v>0</v>
      </c>
      <c r="H254" s="48">
        <v>0</v>
      </c>
      <c r="I254" s="48">
        <v>0</v>
      </c>
      <c r="J254" s="48">
        <v>0</v>
      </c>
      <c r="K254" s="48">
        <v>0</v>
      </c>
      <c r="L254" s="48">
        <v>0</v>
      </c>
      <c r="M254" s="48">
        <v>0</v>
      </c>
      <c r="N254" s="48">
        <v>0</v>
      </c>
      <c r="O254" s="48">
        <v>0</v>
      </c>
      <c r="P254" s="48">
        <v>0</v>
      </c>
      <c r="Q254" s="48">
        <v>0</v>
      </c>
      <c r="R254" s="48">
        <v>0</v>
      </c>
      <c r="S254" s="48">
        <v>0</v>
      </c>
      <c r="T254" s="48">
        <v>0</v>
      </c>
      <c r="U254" s="48">
        <v>0</v>
      </c>
      <c r="V254" s="48">
        <v>0</v>
      </c>
      <c r="W254" s="48">
        <v>0</v>
      </c>
      <c r="X254" s="48">
        <v>0</v>
      </c>
      <c r="Y254" s="48">
        <v>0</v>
      </c>
      <c r="Z254" s="48">
        <v>0</v>
      </c>
      <c r="AA254" s="48">
        <v>0</v>
      </c>
      <c r="AB254" s="48">
        <v>0</v>
      </c>
      <c r="AC254" s="48">
        <v>0</v>
      </c>
      <c r="AD254" s="48">
        <v>0</v>
      </c>
      <c r="AE254" s="48">
        <v>0</v>
      </c>
      <c r="AF254" s="48">
        <v>0</v>
      </c>
      <c r="AG254" s="48">
        <v>0</v>
      </c>
      <c r="AH254" s="48">
        <v>0</v>
      </c>
      <c r="AI254" s="48">
        <v>0</v>
      </c>
      <c r="AJ254" s="48">
        <v>0</v>
      </c>
      <c r="AK254" s="48">
        <v>0</v>
      </c>
      <c r="AL254" s="48">
        <v>0</v>
      </c>
      <c r="AM254" s="48">
        <v>0</v>
      </c>
      <c r="AN254" s="48">
        <v>0</v>
      </c>
      <c r="AO254" s="48">
        <v>0</v>
      </c>
      <c r="AP254" s="48">
        <v>0</v>
      </c>
      <c r="AQ254" s="48">
        <v>0</v>
      </c>
      <c r="AR254" s="48">
        <v>0</v>
      </c>
      <c r="AS254" s="48">
        <v>0</v>
      </c>
      <c r="AT254" s="48">
        <v>0</v>
      </c>
      <c r="AU254" s="48">
        <v>0</v>
      </c>
      <c r="AV254" s="48">
        <v>0</v>
      </c>
      <c r="AW254" s="48">
        <v>0</v>
      </c>
      <c r="AX254" s="48">
        <v>0</v>
      </c>
      <c r="AY254" s="48">
        <v>0</v>
      </c>
      <c r="AZ254" s="48">
        <v>0</v>
      </c>
      <c r="BA254" s="48">
        <v>0</v>
      </c>
      <c r="BB254" s="48">
        <v>0</v>
      </c>
      <c r="BC254" s="48">
        <v>0</v>
      </c>
      <c r="BD254" s="48">
        <v>0</v>
      </c>
      <c r="BE254" s="48">
        <v>0</v>
      </c>
      <c r="BF254" s="48">
        <v>0</v>
      </c>
      <c r="BG254" s="48">
        <v>0</v>
      </c>
      <c r="BH254" s="48">
        <v>0</v>
      </c>
      <c r="BI254" s="48">
        <v>0</v>
      </c>
      <c r="BJ254" s="48">
        <v>0</v>
      </c>
      <c r="BK254" s="48">
        <v>0</v>
      </c>
      <c r="BL254" s="48">
        <v>0</v>
      </c>
      <c r="BM254" s="48">
        <v>0</v>
      </c>
      <c r="BN254" s="48">
        <v>0</v>
      </c>
      <c r="BO254" s="48">
        <v>0</v>
      </c>
      <c r="BP254" s="48">
        <v>0</v>
      </c>
      <c r="BQ254" s="48">
        <v>0</v>
      </c>
      <c r="BR254" s="48">
        <v>0</v>
      </c>
      <c r="BS254" s="48">
        <v>0</v>
      </c>
      <c r="BT254" s="48">
        <v>0</v>
      </c>
      <c r="BU254" s="48">
        <v>0</v>
      </c>
      <c r="BV254" s="48">
        <v>0</v>
      </c>
      <c r="BW254" s="48">
        <v>0</v>
      </c>
      <c r="BX254" s="48">
        <v>0</v>
      </c>
      <c r="BY254" s="48">
        <v>0</v>
      </c>
      <c r="BZ254" s="48">
        <v>0</v>
      </c>
      <c r="CA254" s="48">
        <v>0</v>
      </c>
      <c r="CB254" s="48">
        <v>0</v>
      </c>
      <c r="CC254" s="48">
        <v>0</v>
      </c>
      <c r="CD254" s="48">
        <v>0</v>
      </c>
      <c r="CE254" s="48">
        <v>0</v>
      </c>
      <c r="CF254" s="48">
        <v>0</v>
      </c>
      <c r="CG254" s="48">
        <v>0</v>
      </c>
      <c r="CH254" s="48">
        <v>0</v>
      </c>
      <c r="CI254" s="48">
        <v>0</v>
      </c>
      <c r="CJ254" s="48">
        <v>0</v>
      </c>
      <c r="CK254" s="48">
        <v>0</v>
      </c>
      <c r="CL254" s="48">
        <v>0</v>
      </c>
      <c r="CM254" s="48">
        <v>0</v>
      </c>
      <c r="CN254" s="48">
        <v>0</v>
      </c>
      <c r="CO254" s="48">
        <v>0</v>
      </c>
      <c r="CP254" s="48">
        <v>0</v>
      </c>
      <c r="CQ254" s="48">
        <v>0</v>
      </c>
      <c r="CR254" s="48">
        <v>0</v>
      </c>
      <c r="CS254" s="48">
        <v>0</v>
      </c>
      <c r="CT254" s="48">
        <v>0</v>
      </c>
      <c r="CU254" s="48">
        <v>0</v>
      </c>
      <c r="CV254" s="48">
        <v>0</v>
      </c>
      <c r="CW254" s="48">
        <v>0</v>
      </c>
      <c r="CX254" s="48">
        <v>0</v>
      </c>
      <c r="CY254" s="48">
        <v>0</v>
      </c>
      <c r="CZ254" s="48">
        <v>0</v>
      </c>
      <c r="DA254" s="48">
        <v>0</v>
      </c>
      <c r="DB254" s="48">
        <v>0</v>
      </c>
      <c r="DC254" s="48">
        <v>0</v>
      </c>
      <c r="DD254" s="48">
        <v>0</v>
      </c>
      <c r="DE254" s="48">
        <v>0</v>
      </c>
      <c r="DF254" s="48">
        <v>0</v>
      </c>
      <c r="DG254" s="48">
        <v>0</v>
      </c>
      <c r="DH254" s="48">
        <v>0</v>
      </c>
      <c r="DI254" s="48">
        <v>0</v>
      </c>
      <c r="DJ254" s="48">
        <v>0</v>
      </c>
      <c r="DK254" s="48">
        <v>0</v>
      </c>
      <c r="DL254" s="48">
        <v>0</v>
      </c>
      <c r="DM254" s="48">
        <v>0</v>
      </c>
      <c r="DN254" s="48">
        <v>0</v>
      </c>
      <c r="DO254" s="48">
        <v>0</v>
      </c>
      <c r="DP254" s="48">
        <v>0</v>
      </c>
      <c r="DQ254" s="48">
        <v>0</v>
      </c>
      <c r="DR254" s="48">
        <v>0</v>
      </c>
      <c r="DS254" s="48">
        <v>0</v>
      </c>
      <c r="DT254" s="48">
        <v>0</v>
      </c>
      <c r="DU254" s="48">
        <v>0</v>
      </c>
      <c r="DV254" s="48">
        <v>0</v>
      </c>
      <c r="DW254" s="48">
        <v>0</v>
      </c>
      <c r="DX254" s="48">
        <v>0</v>
      </c>
      <c r="DY254" s="48">
        <v>0</v>
      </c>
      <c r="DZ254" s="48">
        <v>0</v>
      </c>
      <c r="EA254" s="48">
        <v>0</v>
      </c>
      <c r="EB254" s="48">
        <v>0</v>
      </c>
      <c r="EC254" s="48">
        <v>0</v>
      </c>
      <c r="ED254" s="48">
        <v>0</v>
      </c>
      <c r="EE254" s="48">
        <v>0</v>
      </c>
      <c r="EF254" s="48">
        <v>0</v>
      </c>
      <c r="EG254" s="48">
        <v>0</v>
      </c>
      <c r="EH254" s="48">
        <v>0</v>
      </c>
      <c r="EI254" s="48">
        <v>0</v>
      </c>
      <c r="EJ254" s="48">
        <v>0</v>
      </c>
      <c r="EK254" s="48">
        <v>0</v>
      </c>
      <c r="EL254" s="48">
        <v>0</v>
      </c>
      <c r="EM254" s="48">
        <v>0</v>
      </c>
      <c r="EN254" s="48">
        <v>0</v>
      </c>
      <c r="EO254" s="48">
        <v>0</v>
      </c>
      <c r="EP254" s="48">
        <v>0</v>
      </c>
      <c r="EQ254" s="48">
        <v>0</v>
      </c>
      <c r="ER254" s="48">
        <v>0</v>
      </c>
      <c r="ES254" s="48">
        <v>0</v>
      </c>
      <c r="ET254" s="48">
        <v>0</v>
      </c>
      <c r="EU254" s="48">
        <v>0</v>
      </c>
      <c r="EV254" s="48">
        <v>0</v>
      </c>
      <c r="EW254" s="48">
        <v>0</v>
      </c>
      <c r="EX254" s="48">
        <v>0</v>
      </c>
      <c r="EY254" s="48">
        <v>0</v>
      </c>
      <c r="EZ254" s="48">
        <v>0</v>
      </c>
      <c r="FA254" s="48">
        <v>0</v>
      </c>
      <c r="FB254" s="48">
        <v>0</v>
      </c>
      <c r="FC254" s="48">
        <v>0</v>
      </c>
      <c r="FD254" s="48">
        <v>0</v>
      </c>
      <c r="FE254" s="48">
        <v>0</v>
      </c>
      <c r="FF254" s="48">
        <v>0</v>
      </c>
      <c r="FG254" s="48">
        <v>0</v>
      </c>
      <c r="FH254" s="48">
        <v>0</v>
      </c>
      <c r="FI254" s="48">
        <v>0</v>
      </c>
      <c r="FJ254" s="48">
        <v>0</v>
      </c>
      <c r="FK254" s="48">
        <v>0</v>
      </c>
      <c r="FL254" s="48">
        <v>0</v>
      </c>
      <c r="FM254" s="48">
        <v>0</v>
      </c>
      <c r="FN254" s="48">
        <v>0</v>
      </c>
      <c r="FO254" s="48">
        <v>0</v>
      </c>
      <c r="FP254" s="48">
        <v>0</v>
      </c>
      <c r="FQ254" s="48">
        <v>0</v>
      </c>
      <c r="FR254" s="48">
        <v>0</v>
      </c>
      <c r="FS254" s="48">
        <v>0</v>
      </c>
      <c r="FT254" s="48">
        <v>0</v>
      </c>
      <c r="FU254" s="48">
        <v>0</v>
      </c>
      <c r="FV254" s="48">
        <v>0</v>
      </c>
      <c r="FW254" s="48">
        <v>0</v>
      </c>
      <c r="FX254" s="48">
        <v>0</v>
      </c>
      <c r="FY254" s="48">
        <v>0</v>
      </c>
      <c r="FZ254" s="48">
        <v>0</v>
      </c>
      <c r="GA254" s="48">
        <v>0</v>
      </c>
      <c r="GB254" s="48">
        <v>0</v>
      </c>
      <c r="GC254" s="48">
        <v>0</v>
      </c>
      <c r="GD254" s="48">
        <v>0</v>
      </c>
      <c r="GE254" s="48">
        <v>0</v>
      </c>
      <c r="GF254" s="48">
        <v>0</v>
      </c>
      <c r="GG254" s="48">
        <v>0</v>
      </c>
      <c r="GH254" s="48">
        <v>0</v>
      </c>
      <c r="GI254" s="48">
        <v>0</v>
      </c>
      <c r="GJ254" s="48">
        <v>0</v>
      </c>
      <c r="GK254" s="48">
        <v>0</v>
      </c>
      <c r="GL254" s="48">
        <v>0</v>
      </c>
      <c r="GM254" s="48">
        <v>0</v>
      </c>
      <c r="GN254" s="48">
        <v>0</v>
      </c>
      <c r="GO254" s="48">
        <v>0</v>
      </c>
      <c r="GP254" s="48">
        <v>0</v>
      </c>
      <c r="GQ254" s="48">
        <v>0</v>
      </c>
      <c r="GR254" s="48">
        <v>0</v>
      </c>
      <c r="GS254" s="48">
        <v>0</v>
      </c>
      <c r="GT254" s="48">
        <v>0</v>
      </c>
      <c r="GU254" s="48">
        <v>0</v>
      </c>
      <c r="GV254" s="48">
        <v>0</v>
      </c>
      <c r="GW254" s="48">
        <v>0</v>
      </c>
      <c r="GX254" s="48">
        <v>0</v>
      </c>
      <c r="GY254" s="48">
        <v>0</v>
      </c>
      <c r="GZ254" s="48">
        <v>0</v>
      </c>
      <c r="HA254" s="48">
        <v>0</v>
      </c>
      <c r="HB254" s="48">
        <f>'symmetric IOT 245 2012'!C218</f>
        <v>207</v>
      </c>
      <c r="HC254" s="48">
        <v>0</v>
      </c>
      <c r="HD254" s="48">
        <v>0</v>
      </c>
      <c r="HE254" s="48">
        <v>0</v>
      </c>
      <c r="HF254" s="48">
        <v>0</v>
      </c>
      <c r="HG254" s="48">
        <v>0</v>
      </c>
      <c r="HH254" s="48">
        <v>0</v>
      </c>
      <c r="HI254" s="48">
        <v>0</v>
      </c>
      <c r="HJ254" s="48">
        <v>0</v>
      </c>
      <c r="HK254" s="48">
        <v>0</v>
      </c>
      <c r="HL254" s="48">
        <v>0</v>
      </c>
      <c r="HM254" s="48">
        <v>0</v>
      </c>
      <c r="HN254" s="48">
        <v>0</v>
      </c>
      <c r="HO254" s="48">
        <v>0</v>
      </c>
      <c r="HP254" s="48">
        <v>0</v>
      </c>
      <c r="HQ254" s="48">
        <v>0</v>
      </c>
      <c r="HR254" s="48">
        <v>0</v>
      </c>
      <c r="HS254" s="48">
        <v>0</v>
      </c>
      <c r="HT254" s="48">
        <v>0</v>
      </c>
      <c r="HU254" s="48">
        <v>0</v>
      </c>
      <c r="HV254" s="48">
        <v>0</v>
      </c>
      <c r="HW254" s="48">
        <v>0</v>
      </c>
      <c r="HX254" s="48">
        <v>0</v>
      </c>
      <c r="HY254" s="48">
        <v>0</v>
      </c>
      <c r="HZ254" s="48">
        <v>0</v>
      </c>
      <c r="IA254" s="48">
        <v>0</v>
      </c>
      <c r="IB254" s="48">
        <v>0</v>
      </c>
      <c r="IC254" s="48">
        <v>0</v>
      </c>
      <c r="ID254" s="48">
        <v>0</v>
      </c>
      <c r="IE254" s="48">
        <v>0</v>
      </c>
      <c r="IF254" s="48">
        <v>0</v>
      </c>
      <c r="IG254" s="48">
        <v>0</v>
      </c>
      <c r="IH254" s="48">
        <v>0</v>
      </c>
      <c r="II254" s="48">
        <v>0</v>
      </c>
      <c r="IJ254" s="48">
        <v>0</v>
      </c>
      <c r="IK254" s="48">
        <v>0</v>
      </c>
      <c r="IL254" s="48">
        <v>0</v>
      </c>
      <c r="IM254" s="48">
        <v>0</v>
      </c>
      <c r="IN254" s="48">
        <v>0</v>
      </c>
      <c r="IO254" s="48">
        <v>0</v>
      </c>
      <c r="IP254" s="23">
        <v>0</v>
      </c>
      <c r="IQ254" s="25">
        <v>0</v>
      </c>
      <c r="IR254" s="25">
        <v>0</v>
      </c>
      <c r="IS254" s="26">
        <v>843684</v>
      </c>
      <c r="IT254" s="26">
        <v>0</v>
      </c>
      <c r="IU254" s="26">
        <v>0</v>
      </c>
      <c r="IV254" s="9">
        <v>0</v>
      </c>
      <c r="IW254" s="38">
        <f t="shared" si="34"/>
        <v>843684</v>
      </c>
    </row>
    <row r="255" spans="1:257" ht="30" customHeight="1" x14ac:dyDescent="0.25">
      <c r="A255" s="112" t="e">
        <v>#N/A</v>
      </c>
      <c r="B255" s="113" t="b">
        <f>IFERROR(VLOOKUP(C255,'Bridge matrix'!$D$3:$E$727,2,FALSE)='symmetric IOT 245 2012'!D255,"FALSCH")</f>
        <v>1</v>
      </c>
      <c r="C255" s="108">
        <v>244</v>
      </c>
      <c r="D255" s="49" t="s">
        <v>1560</v>
      </c>
      <c r="E255" s="48">
        <v>0</v>
      </c>
      <c r="F255" s="48">
        <v>0</v>
      </c>
      <c r="G255" s="48">
        <v>0</v>
      </c>
      <c r="H255" s="48">
        <v>0</v>
      </c>
      <c r="I255" s="48">
        <v>0</v>
      </c>
      <c r="J255" s="48">
        <v>0</v>
      </c>
      <c r="K255" s="48">
        <v>0</v>
      </c>
      <c r="L255" s="48">
        <v>0</v>
      </c>
      <c r="M255" s="48">
        <v>0</v>
      </c>
      <c r="N255" s="48">
        <v>0</v>
      </c>
      <c r="O255" s="48">
        <v>0</v>
      </c>
      <c r="P255" s="48">
        <v>0</v>
      </c>
      <c r="Q255" s="48">
        <v>0</v>
      </c>
      <c r="R255" s="48">
        <v>0</v>
      </c>
      <c r="S255" s="48">
        <v>0</v>
      </c>
      <c r="T255" s="48">
        <v>0</v>
      </c>
      <c r="U255" s="48">
        <v>0</v>
      </c>
      <c r="V255" s="48">
        <v>0</v>
      </c>
      <c r="W255" s="48">
        <v>0</v>
      </c>
      <c r="X255" s="48">
        <v>0</v>
      </c>
      <c r="Y255" s="48">
        <v>0</v>
      </c>
      <c r="Z255" s="48">
        <v>0</v>
      </c>
      <c r="AA255" s="48">
        <v>0</v>
      </c>
      <c r="AB255" s="48">
        <v>0</v>
      </c>
      <c r="AC255" s="48">
        <v>0</v>
      </c>
      <c r="AD255" s="48">
        <v>0</v>
      </c>
      <c r="AE255" s="48">
        <v>0</v>
      </c>
      <c r="AF255" s="48">
        <v>0</v>
      </c>
      <c r="AG255" s="48">
        <v>0</v>
      </c>
      <c r="AH255" s="48">
        <v>0</v>
      </c>
      <c r="AI255" s="48">
        <v>0</v>
      </c>
      <c r="AJ255" s="48">
        <v>0</v>
      </c>
      <c r="AK255" s="48">
        <v>0</v>
      </c>
      <c r="AL255" s="48">
        <v>0</v>
      </c>
      <c r="AM255" s="48">
        <v>0</v>
      </c>
      <c r="AN255" s="48">
        <v>0</v>
      </c>
      <c r="AO255" s="48">
        <v>0</v>
      </c>
      <c r="AP255" s="48">
        <v>0</v>
      </c>
      <c r="AQ255" s="48">
        <v>0</v>
      </c>
      <c r="AR255" s="48">
        <v>0</v>
      </c>
      <c r="AS255" s="48">
        <v>0</v>
      </c>
      <c r="AT255" s="48">
        <v>0</v>
      </c>
      <c r="AU255" s="48">
        <v>0</v>
      </c>
      <c r="AV255" s="48">
        <v>0</v>
      </c>
      <c r="AW255" s="48">
        <v>0</v>
      </c>
      <c r="AX255" s="48">
        <v>0</v>
      </c>
      <c r="AY255" s="48">
        <v>0</v>
      </c>
      <c r="AZ255" s="48">
        <v>0</v>
      </c>
      <c r="BA255" s="48">
        <v>0</v>
      </c>
      <c r="BB255" s="48">
        <v>0</v>
      </c>
      <c r="BC255" s="48">
        <v>0</v>
      </c>
      <c r="BD255" s="48">
        <v>0</v>
      </c>
      <c r="BE255" s="48">
        <v>0</v>
      </c>
      <c r="BF255" s="48">
        <v>0</v>
      </c>
      <c r="BG255" s="48">
        <v>0</v>
      </c>
      <c r="BH255" s="48">
        <v>0</v>
      </c>
      <c r="BI255" s="48">
        <v>0</v>
      </c>
      <c r="BJ255" s="48">
        <v>0</v>
      </c>
      <c r="BK255" s="48">
        <v>0</v>
      </c>
      <c r="BL255" s="48">
        <v>0</v>
      </c>
      <c r="BM255" s="48">
        <v>0</v>
      </c>
      <c r="BN255" s="48">
        <v>0</v>
      </c>
      <c r="BO255" s="48">
        <v>0</v>
      </c>
      <c r="BP255" s="48">
        <v>0</v>
      </c>
      <c r="BQ255" s="48">
        <v>0</v>
      </c>
      <c r="BR255" s="48">
        <v>0</v>
      </c>
      <c r="BS255" s="48">
        <v>0</v>
      </c>
      <c r="BT255" s="48">
        <v>0</v>
      </c>
      <c r="BU255" s="48">
        <v>0</v>
      </c>
      <c r="BV255" s="48">
        <v>0</v>
      </c>
      <c r="BW255" s="48">
        <v>0</v>
      </c>
      <c r="BX255" s="48">
        <v>0</v>
      </c>
      <c r="BY255" s="48">
        <v>0</v>
      </c>
      <c r="BZ255" s="48">
        <v>0</v>
      </c>
      <c r="CA255" s="48">
        <v>0</v>
      </c>
      <c r="CB255" s="48">
        <v>0</v>
      </c>
      <c r="CC255" s="48">
        <v>0</v>
      </c>
      <c r="CD255" s="48">
        <v>0</v>
      </c>
      <c r="CE255" s="48">
        <v>0</v>
      </c>
      <c r="CF255" s="48">
        <v>0</v>
      </c>
      <c r="CG255" s="48">
        <v>0</v>
      </c>
      <c r="CH255" s="48">
        <v>0</v>
      </c>
      <c r="CI255" s="48">
        <v>0</v>
      </c>
      <c r="CJ255" s="48">
        <v>0</v>
      </c>
      <c r="CK255" s="48">
        <v>0</v>
      </c>
      <c r="CL255" s="48">
        <v>0</v>
      </c>
      <c r="CM255" s="48">
        <v>1.7524948849333399E-10</v>
      </c>
      <c r="CN255" s="48">
        <v>2.4450258014659382E-13</v>
      </c>
      <c r="CO255" s="48">
        <v>0</v>
      </c>
      <c r="CP255" s="48">
        <v>0</v>
      </c>
      <c r="CQ255" s="48">
        <v>0</v>
      </c>
      <c r="CR255" s="48">
        <v>0</v>
      </c>
      <c r="CS255" s="48">
        <v>0</v>
      </c>
      <c r="CT255" s="48">
        <v>3.2729977680479548E-16</v>
      </c>
      <c r="CU255" s="48">
        <v>3.9861736212455368E-9</v>
      </c>
      <c r="CV255" s="48">
        <v>1.0022882113472794E-8</v>
      </c>
      <c r="CW255" s="48">
        <v>0</v>
      </c>
      <c r="CX255" s="48">
        <v>3.0464487948827816E-17</v>
      </c>
      <c r="CY255" s="48">
        <v>0</v>
      </c>
      <c r="CZ255" s="48">
        <v>0</v>
      </c>
      <c r="DA255" s="48">
        <v>1.4548904507589862E-10</v>
      </c>
      <c r="DB255" s="48">
        <v>0</v>
      </c>
      <c r="DC255" s="48">
        <v>1.4658076911307862E-16</v>
      </c>
      <c r="DD255" s="48">
        <v>0</v>
      </c>
      <c r="DE255" s="48">
        <v>2.9584989309557446E-7</v>
      </c>
      <c r="DF255" s="48">
        <v>0</v>
      </c>
      <c r="DG255" s="48">
        <v>0</v>
      </c>
      <c r="DH255" s="48">
        <v>0</v>
      </c>
      <c r="DI255" s="48">
        <v>0</v>
      </c>
      <c r="DJ255" s="48">
        <v>0</v>
      </c>
      <c r="DK255" s="48">
        <v>0</v>
      </c>
      <c r="DL255" s="48">
        <v>1.5779458551831501E-4</v>
      </c>
      <c r="DM255" s="48">
        <v>0</v>
      </c>
      <c r="DN255" s="48">
        <v>0</v>
      </c>
      <c r="DO255" s="48">
        <v>0</v>
      </c>
      <c r="DP255" s="48">
        <v>0</v>
      </c>
      <c r="DQ255" s="48">
        <v>0</v>
      </c>
      <c r="DR255" s="48">
        <v>4.8136618142517046E-4</v>
      </c>
      <c r="DS255" s="48">
        <v>0</v>
      </c>
      <c r="DT255" s="48">
        <v>0</v>
      </c>
      <c r="DU255" s="48">
        <v>0</v>
      </c>
      <c r="DV255" s="48">
        <v>0</v>
      </c>
      <c r="DW255" s="48">
        <v>0</v>
      </c>
      <c r="DX255" s="48">
        <v>0</v>
      </c>
      <c r="DY255" s="48">
        <v>1.8376281627509145E-9</v>
      </c>
      <c r="DZ255" s="48">
        <v>0</v>
      </c>
      <c r="EA255" s="48">
        <v>0</v>
      </c>
      <c r="EB255" s="48">
        <v>5.1152659837300192E-3</v>
      </c>
      <c r="EC255" s="48">
        <v>1.4794528640903215E-4</v>
      </c>
      <c r="ED255" s="48">
        <v>0</v>
      </c>
      <c r="EE255" s="48">
        <v>0</v>
      </c>
      <c r="EF255" s="48">
        <v>0</v>
      </c>
      <c r="EG255" s="48">
        <v>0</v>
      </c>
      <c r="EH255" s="48">
        <v>0</v>
      </c>
      <c r="EI255" s="48">
        <v>2.8566236418559079E-8</v>
      </c>
      <c r="EJ255" s="48">
        <v>1.9588017992590933E-10</v>
      </c>
      <c r="EK255" s="48">
        <v>0</v>
      </c>
      <c r="EL255" s="48">
        <v>0</v>
      </c>
      <c r="EM255" s="48">
        <v>0</v>
      </c>
      <c r="EN255" s="48">
        <v>0</v>
      </c>
      <c r="EO255" s="48">
        <v>0</v>
      </c>
      <c r="EP255" s="48">
        <v>0</v>
      </c>
      <c r="EQ255" s="48">
        <v>0</v>
      </c>
      <c r="ER255" s="48">
        <v>1.2766337941382011E-4</v>
      </c>
      <c r="ES255" s="48">
        <v>2.2323923984996785E-6</v>
      </c>
      <c r="ET255" s="48">
        <v>0</v>
      </c>
      <c r="EU255" s="48">
        <v>0</v>
      </c>
      <c r="EV255" s="48">
        <v>0</v>
      </c>
      <c r="EW255" s="48">
        <v>5.1698379907755542E-5</v>
      </c>
      <c r="EX255" s="48">
        <v>0</v>
      </c>
      <c r="EY255" s="48">
        <v>0</v>
      </c>
      <c r="EZ255" s="48">
        <v>0</v>
      </c>
      <c r="FA255" s="48">
        <v>3.2348422861737077E-8</v>
      </c>
      <c r="FB255" s="48">
        <v>8.8685304344503488E-10</v>
      </c>
      <c r="FC255" s="48">
        <v>0</v>
      </c>
      <c r="FD255" s="48">
        <v>0</v>
      </c>
      <c r="FE255" s="48">
        <v>0</v>
      </c>
      <c r="FF255" s="48">
        <v>0</v>
      </c>
      <c r="FG255" s="48">
        <v>0</v>
      </c>
      <c r="FH255" s="48">
        <v>0</v>
      </c>
      <c r="FI255" s="48">
        <v>0</v>
      </c>
      <c r="FJ255" s="48">
        <v>0</v>
      </c>
      <c r="FK255" s="48">
        <v>0</v>
      </c>
      <c r="FL255" s="48">
        <v>0</v>
      </c>
      <c r="FM255" s="48">
        <v>1.6914969516499737E-4</v>
      </c>
      <c r="FN255" s="48">
        <v>0</v>
      </c>
      <c r="FO255" s="48">
        <v>0</v>
      </c>
      <c r="FP255" s="48">
        <v>7.1988446268123488E-3</v>
      </c>
      <c r="FQ255" s="48">
        <v>0</v>
      </c>
      <c r="FR255" s="48">
        <v>0</v>
      </c>
      <c r="FS255" s="48">
        <v>0</v>
      </c>
      <c r="FT255" s="48">
        <v>0</v>
      </c>
      <c r="FU255" s="48">
        <v>0</v>
      </c>
      <c r="FV255" s="48">
        <v>6.0077125534781498E-9</v>
      </c>
      <c r="FW255" s="48">
        <v>4.696204964126891</v>
      </c>
      <c r="FX255" s="48">
        <v>9.25556618631615</v>
      </c>
      <c r="FY255" s="48">
        <v>0</v>
      </c>
      <c r="FZ255" s="48">
        <v>0</v>
      </c>
      <c r="GA255" s="48">
        <v>0</v>
      </c>
      <c r="GB255" s="48">
        <v>0</v>
      </c>
      <c r="GC255" s="48">
        <v>0</v>
      </c>
      <c r="GD255" s="48">
        <v>0</v>
      </c>
      <c r="GE255" s="48">
        <v>733.72514665973199</v>
      </c>
      <c r="GF255" s="48">
        <v>1042.8889568969068</v>
      </c>
      <c r="GG255" s="48">
        <v>0</v>
      </c>
      <c r="GH255" s="48">
        <v>0</v>
      </c>
      <c r="GI255" s="48">
        <v>0</v>
      </c>
      <c r="GJ255" s="48">
        <v>0</v>
      </c>
      <c r="GK255" s="48">
        <v>0</v>
      </c>
      <c r="GL255" s="48">
        <v>0</v>
      </c>
      <c r="GM255" s="48">
        <v>0</v>
      </c>
      <c r="GN255" s="48">
        <v>0</v>
      </c>
      <c r="GO255" s="48">
        <v>0</v>
      </c>
      <c r="GP255" s="48">
        <v>0</v>
      </c>
      <c r="GQ255" s="48">
        <v>0</v>
      </c>
      <c r="GR255" s="48">
        <v>0</v>
      </c>
      <c r="GS255" s="48">
        <v>0</v>
      </c>
      <c r="GT255" s="48">
        <v>0</v>
      </c>
      <c r="GU255" s="48">
        <v>0</v>
      </c>
      <c r="GV255" s="48">
        <v>0</v>
      </c>
      <c r="GW255" s="48">
        <v>0</v>
      </c>
      <c r="GX255" s="48">
        <v>0</v>
      </c>
      <c r="GY255" s="48">
        <v>0</v>
      </c>
      <c r="GZ255" s="48">
        <v>0</v>
      </c>
      <c r="HA255" s="48">
        <v>0</v>
      </c>
      <c r="HB255" s="48">
        <v>0</v>
      </c>
      <c r="HC255" s="48">
        <v>0</v>
      </c>
      <c r="HD255" s="48">
        <v>0</v>
      </c>
      <c r="HE255" s="48">
        <v>0</v>
      </c>
      <c r="HF255" s="48">
        <v>0</v>
      </c>
      <c r="HG255" s="48">
        <v>0</v>
      </c>
      <c r="HH255" s="48">
        <v>0</v>
      </c>
      <c r="HI255" s="48">
        <v>0</v>
      </c>
      <c r="HJ255" s="48">
        <v>0</v>
      </c>
      <c r="HK255" s="48">
        <v>0</v>
      </c>
      <c r="HL255" s="48">
        <v>0</v>
      </c>
      <c r="HM255" s="48">
        <v>0</v>
      </c>
      <c r="HN255" s="48">
        <v>0</v>
      </c>
      <c r="HO255" s="48">
        <v>0</v>
      </c>
      <c r="HP255" s="48">
        <v>0</v>
      </c>
      <c r="HQ255" s="48">
        <v>0</v>
      </c>
      <c r="HR255" s="48">
        <v>0</v>
      </c>
      <c r="HS255" s="48">
        <v>0</v>
      </c>
      <c r="HT255" s="48">
        <v>0</v>
      </c>
      <c r="HU255" s="48">
        <v>0</v>
      </c>
      <c r="HV255" s="48">
        <v>46484.552766725305</v>
      </c>
      <c r="HW255" s="48">
        <v>525.27916777702831</v>
      </c>
      <c r="HX255" s="48">
        <v>0</v>
      </c>
      <c r="HY255" s="48">
        <v>0</v>
      </c>
      <c r="HZ255" s="48">
        <v>0</v>
      </c>
      <c r="IA255" s="48">
        <v>0</v>
      </c>
      <c r="IB255" s="48">
        <v>0</v>
      </c>
      <c r="IC255" s="48">
        <v>6834.9335145419891</v>
      </c>
      <c r="ID255" s="48">
        <v>5619.8522083169228</v>
      </c>
      <c r="IE255" s="48">
        <v>5684.0118842366164</v>
      </c>
      <c r="IF255" s="48">
        <v>480.85395958899824</v>
      </c>
      <c r="IG255" s="48">
        <v>0</v>
      </c>
      <c r="IH255" s="48">
        <v>0</v>
      </c>
      <c r="II255" s="48">
        <v>0</v>
      </c>
      <c r="IJ255" s="48">
        <v>17247.648409395311</v>
      </c>
      <c r="IK255" s="48">
        <v>597.65827591443008</v>
      </c>
      <c r="IL255" s="48">
        <v>1043.9235481535409</v>
      </c>
      <c r="IM255" s="48">
        <v>1254.0597720581463</v>
      </c>
      <c r="IN255" s="48">
        <v>666.64716624388018</v>
      </c>
      <c r="IO255" s="48">
        <v>0</v>
      </c>
      <c r="IP255" s="23">
        <v>88229.999999999796</v>
      </c>
      <c r="IQ255" s="25">
        <v>357478</v>
      </c>
      <c r="IR255" s="25">
        <v>0</v>
      </c>
      <c r="IS255" s="26">
        <v>0</v>
      </c>
      <c r="IT255" s="26">
        <v>0</v>
      </c>
      <c r="IU255" s="26">
        <v>0</v>
      </c>
      <c r="IV255" s="9">
        <v>0</v>
      </c>
      <c r="IW255" s="38">
        <f t="shared" si="34"/>
        <v>445707.99999999977</v>
      </c>
    </row>
    <row r="256" spans="1:257" ht="30" customHeight="1" thickBot="1" x14ac:dyDescent="0.3">
      <c r="A256" s="115" t="e">
        <v>#N/A</v>
      </c>
      <c r="B256" s="113" t="b">
        <f>IFERROR(VLOOKUP(C256,'Bridge matrix'!$D$3:$E$727,2,FALSE)='symmetric IOT 245 2012'!D256,"FALSCH")</f>
        <v>1</v>
      </c>
      <c r="C256" s="111">
        <v>245</v>
      </c>
      <c r="D256" s="49" t="s">
        <v>1561</v>
      </c>
      <c r="E256" s="50">
        <v>0</v>
      </c>
      <c r="F256" s="51">
        <v>0</v>
      </c>
      <c r="G256" s="51">
        <v>0</v>
      </c>
      <c r="H256" s="51">
        <v>0</v>
      </c>
      <c r="I256" s="51">
        <v>0</v>
      </c>
      <c r="J256" s="51">
        <v>0</v>
      </c>
      <c r="K256" s="51">
        <v>0</v>
      </c>
      <c r="L256" s="51">
        <v>0</v>
      </c>
      <c r="M256" s="51">
        <v>0</v>
      </c>
      <c r="N256" s="51">
        <v>0</v>
      </c>
      <c r="O256" s="51">
        <v>0</v>
      </c>
      <c r="P256" s="51">
        <v>0</v>
      </c>
      <c r="Q256" s="51">
        <v>0</v>
      </c>
      <c r="R256" s="51">
        <v>0</v>
      </c>
      <c r="S256" s="51">
        <v>0</v>
      </c>
      <c r="T256" s="51">
        <v>0</v>
      </c>
      <c r="U256" s="51">
        <v>0</v>
      </c>
      <c r="V256" s="51">
        <v>0</v>
      </c>
      <c r="W256" s="51">
        <v>0</v>
      </c>
      <c r="X256" s="51">
        <v>0</v>
      </c>
      <c r="Y256" s="51">
        <v>0</v>
      </c>
      <c r="Z256" s="51">
        <v>0</v>
      </c>
      <c r="AA256" s="51">
        <v>0</v>
      </c>
      <c r="AB256" s="51">
        <v>0</v>
      </c>
      <c r="AC256" s="51">
        <v>0</v>
      </c>
      <c r="AD256" s="51">
        <v>0</v>
      </c>
      <c r="AE256" s="51">
        <v>0</v>
      </c>
      <c r="AF256" s="51">
        <v>0</v>
      </c>
      <c r="AG256" s="51">
        <v>0</v>
      </c>
      <c r="AH256" s="51">
        <v>0</v>
      </c>
      <c r="AI256" s="51">
        <v>0</v>
      </c>
      <c r="AJ256" s="51">
        <v>0</v>
      </c>
      <c r="AK256" s="51">
        <v>0</v>
      </c>
      <c r="AL256" s="51">
        <v>0</v>
      </c>
      <c r="AM256" s="51">
        <v>0</v>
      </c>
      <c r="AN256" s="51">
        <v>0</v>
      </c>
      <c r="AO256" s="51">
        <v>0</v>
      </c>
      <c r="AP256" s="51">
        <v>0</v>
      </c>
      <c r="AQ256" s="51">
        <v>0</v>
      </c>
      <c r="AR256" s="51">
        <v>0</v>
      </c>
      <c r="AS256" s="51">
        <v>0</v>
      </c>
      <c r="AT256" s="51">
        <v>0</v>
      </c>
      <c r="AU256" s="51">
        <v>0</v>
      </c>
      <c r="AV256" s="51">
        <v>0</v>
      </c>
      <c r="AW256" s="51">
        <v>0</v>
      </c>
      <c r="AX256" s="51">
        <v>0</v>
      </c>
      <c r="AY256" s="51">
        <v>0</v>
      </c>
      <c r="AZ256" s="51">
        <v>0</v>
      </c>
      <c r="BA256" s="51">
        <v>0</v>
      </c>
      <c r="BB256" s="51">
        <v>0</v>
      </c>
      <c r="BC256" s="51">
        <v>0</v>
      </c>
      <c r="BD256" s="51">
        <v>0</v>
      </c>
      <c r="BE256" s="51">
        <v>0</v>
      </c>
      <c r="BF256" s="51">
        <v>0</v>
      </c>
      <c r="BG256" s="51">
        <v>0</v>
      </c>
      <c r="BH256" s="51">
        <v>0</v>
      </c>
      <c r="BI256" s="51">
        <v>0</v>
      </c>
      <c r="BJ256" s="51">
        <v>0</v>
      </c>
      <c r="BK256" s="51">
        <v>0</v>
      </c>
      <c r="BL256" s="51">
        <v>0</v>
      </c>
      <c r="BM256" s="51">
        <v>0</v>
      </c>
      <c r="BN256" s="51">
        <v>0</v>
      </c>
      <c r="BO256" s="51">
        <v>0</v>
      </c>
      <c r="BP256" s="51">
        <v>0</v>
      </c>
      <c r="BQ256" s="51">
        <v>0</v>
      </c>
      <c r="BR256" s="51">
        <v>0</v>
      </c>
      <c r="BS256" s="51">
        <v>0</v>
      </c>
      <c r="BT256" s="51">
        <v>0</v>
      </c>
      <c r="BU256" s="51">
        <v>0</v>
      </c>
      <c r="BV256" s="51">
        <v>0</v>
      </c>
      <c r="BW256" s="51">
        <v>0</v>
      </c>
      <c r="BX256" s="51">
        <v>0</v>
      </c>
      <c r="BY256" s="51">
        <v>0</v>
      </c>
      <c r="BZ256" s="51">
        <v>0</v>
      </c>
      <c r="CA256" s="51">
        <v>0</v>
      </c>
      <c r="CB256" s="51">
        <v>0</v>
      </c>
      <c r="CC256" s="51">
        <v>0</v>
      </c>
      <c r="CD256" s="51">
        <v>0</v>
      </c>
      <c r="CE256" s="51">
        <v>0</v>
      </c>
      <c r="CF256" s="51">
        <v>0</v>
      </c>
      <c r="CG256" s="51">
        <v>0</v>
      </c>
      <c r="CH256" s="51">
        <v>0</v>
      </c>
      <c r="CI256" s="51">
        <v>0</v>
      </c>
      <c r="CJ256" s="51">
        <v>0</v>
      </c>
      <c r="CK256" s="51">
        <v>0</v>
      </c>
      <c r="CL256" s="51">
        <v>0</v>
      </c>
      <c r="CM256" s="51">
        <v>0</v>
      </c>
      <c r="CN256" s="51">
        <v>0</v>
      </c>
      <c r="CO256" s="51">
        <v>0</v>
      </c>
      <c r="CP256" s="51">
        <v>0</v>
      </c>
      <c r="CQ256" s="51">
        <v>0</v>
      </c>
      <c r="CR256" s="51">
        <v>0</v>
      </c>
      <c r="CS256" s="51">
        <v>0</v>
      </c>
      <c r="CT256" s="51">
        <v>0</v>
      </c>
      <c r="CU256" s="51">
        <v>0</v>
      </c>
      <c r="CV256" s="51">
        <v>0</v>
      </c>
      <c r="CW256" s="51">
        <v>0</v>
      </c>
      <c r="CX256" s="51">
        <v>0</v>
      </c>
      <c r="CY256" s="51">
        <v>0</v>
      </c>
      <c r="CZ256" s="51">
        <v>0</v>
      </c>
      <c r="DA256" s="51">
        <v>0</v>
      </c>
      <c r="DB256" s="51">
        <v>0</v>
      </c>
      <c r="DC256" s="51">
        <v>0</v>
      </c>
      <c r="DD256" s="51">
        <v>0</v>
      </c>
      <c r="DE256" s="51">
        <v>0</v>
      </c>
      <c r="DF256" s="51">
        <v>0</v>
      </c>
      <c r="DG256" s="51">
        <v>0</v>
      </c>
      <c r="DH256" s="51">
        <v>0</v>
      </c>
      <c r="DI256" s="51">
        <v>0</v>
      </c>
      <c r="DJ256" s="51">
        <v>0</v>
      </c>
      <c r="DK256" s="51">
        <v>0</v>
      </c>
      <c r="DL256" s="51">
        <v>0</v>
      </c>
      <c r="DM256" s="51">
        <v>0</v>
      </c>
      <c r="DN256" s="51">
        <v>0</v>
      </c>
      <c r="DO256" s="51">
        <v>0</v>
      </c>
      <c r="DP256" s="51">
        <v>0</v>
      </c>
      <c r="DQ256" s="51">
        <v>0</v>
      </c>
      <c r="DR256" s="51">
        <v>0</v>
      </c>
      <c r="DS256" s="51">
        <v>0</v>
      </c>
      <c r="DT256" s="51">
        <v>0</v>
      </c>
      <c r="DU256" s="51">
        <v>0</v>
      </c>
      <c r="DV256" s="51">
        <v>0</v>
      </c>
      <c r="DW256" s="51">
        <v>0</v>
      </c>
      <c r="DX256" s="51">
        <v>0</v>
      </c>
      <c r="DY256" s="51">
        <v>0</v>
      </c>
      <c r="DZ256" s="51">
        <v>0</v>
      </c>
      <c r="EA256" s="51">
        <v>0</v>
      </c>
      <c r="EB256" s="51">
        <v>0</v>
      </c>
      <c r="EC256" s="51">
        <v>0</v>
      </c>
      <c r="ED256" s="51">
        <v>0</v>
      </c>
      <c r="EE256" s="51">
        <v>0</v>
      </c>
      <c r="EF256" s="51">
        <v>0</v>
      </c>
      <c r="EG256" s="51">
        <v>0</v>
      </c>
      <c r="EH256" s="51">
        <v>0</v>
      </c>
      <c r="EI256" s="51">
        <v>0</v>
      </c>
      <c r="EJ256" s="51">
        <v>0</v>
      </c>
      <c r="EK256" s="51">
        <v>0</v>
      </c>
      <c r="EL256" s="51">
        <v>0</v>
      </c>
      <c r="EM256" s="51">
        <v>0</v>
      </c>
      <c r="EN256" s="51">
        <v>0</v>
      </c>
      <c r="EO256" s="51">
        <v>0</v>
      </c>
      <c r="EP256" s="51">
        <v>0</v>
      </c>
      <c r="EQ256" s="51">
        <v>0</v>
      </c>
      <c r="ER256" s="51">
        <v>0</v>
      </c>
      <c r="ES256" s="51">
        <v>0</v>
      </c>
      <c r="ET256" s="51">
        <v>0</v>
      </c>
      <c r="EU256" s="51">
        <v>0</v>
      </c>
      <c r="EV256" s="51">
        <v>0</v>
      </c>
      <c r="EW256" s="51">
        <v>0</v>
      </c>
      <c r="EX256" s="51">
        <v>0</v>
      </c>
      <c r="EY256" s="51">
        <v>0</v>
      </c>
      <c r="EZ256" s="51">
        <v>0</v>
      </c>
      <c r="FA256" s="51">
        <v>0</v>
      </c>
      <c r="FB256" s="51">
        <v>0</v>
      </c>
      <c r="FC256" s="51">
        <v>0</v>
      </c>
      <c r="FD256" s="51">
        <v>0</v>
      </c>
      <c r="FE256" s="51">
        <v>0</v>
      </c>
      <c r="FF256" s="51">
        <v>0</v>
      </c>
      <c r="FG256" s="51">
        <v>0</v>
      </c>
      <c r="FH256" s="51">
        <v>0</v>
      </c>
      <c r="FI256" s="51">
        <v>0</v>
      </c>
      <c r="FJ256" s="51">
        <v>0</v>
      </c>
      <c r="FK256" s="51">
        <v>0</v>
      </c>
      <c r="FL256" s="51">
        <v>0</v>
      </c>
      <c r="FM256" s="51">
        <v>0</v>
      </c>
      <c r="FN256" s="51">
        <v>0</v>
      </c>
      <c r="FO256" s="51">
        <v>0</v>
      </c>
      <c r="FP256" s="51">
        <v>0</v>
      </c>
      <c r="FQ256" s="51">
        <v>0</v>
      </c>
      <c r="FR256" s="51">
        <v>0</v>
      </c>
      <c r="FS256" s="51">
        <v>0</v>
      </c>
      <c r="FT256" s="51">
        <v>0</v>
      </c>
      <c r="FU256" s="51">
        <v>0</v>
      </c>
      <c r="FV256" s="51">
        <v>0</v>
      </c>
      <c r="FW256" s="51">
        <v>0</v>
      </c>
      <c r="FX256" s="51">
        <v>0</v>
      </c>
      <c r="FY256" s="51">
        <v>0</v>
      </c>
      <c r="FZ256" s="51">
        <v>0</v>
      </c>
      <c r="GA256" s="51">
        <v>0</v>
      </c>
      <c r="GB256" s="51">
        <v>0</v>
      </c>
      <c r="GC256" s="51">
        <v>0</v>
      </c>
      <c r="GD256" s="51">
        <v>0</v>
      </c>
      <c r="GE256" s="51">
        <v>0</v>
      </c>
      <c r="GF256" s="51">
        <v>0</v>
      </c>
      <c r="GG256" s="51">
        <v>0</v>
      </c>
      <c r="GH256" s="51">
        <v>0</v>
      </c>
      <c r="GI256" s="51">
        <v>0</v>
      </c>
      <c r="GJ256" s="51">
        <v>0</v>
      </c>
      <c r="GK256" s="51">
        <v>0</v>
      </c>
      <c r="GL256" s="51">
        <v>0</v>
      </c>
      <c r="GM256" s="51">
        <v>0</v>
      </c>
      <c r="GN256" s="51">
        <v>0</v>
      </c>
      <c r="GO256" s="51">
        <v>0</v>
      </c>
      <c r="GP256" s="51">
        <v>0</v>
      </c>
      <c r="GQ256" s="51">
        <v>0</v>
      </c>
      <c r="GR256" s="51">
        <v>0</v>
      </c>
      <c r="GS256" s="51">
        <v>0</v>
      </c>
      <c r="GT256" s="51">
        <v>0</v>
      </c>
      <c r="GU256" s="51">
        <v>0</v>
      </c>
      <c r="GV256" s="51">
        <v>0</v>
      </c>
      <c r="GW256" s="51">
        <v>0</v>
      </c>
      <c r="GX256" s="51">
        <v>0</v>
      </c>
      <c r="GY256" s="51">
        <v>0</v>
      </c>
      <c r="GZ256" s="51">
        <v>0</v>
      </c>
      <c r="HA256" s="51">
        <v>0</v>
      </c>
      <c r="HB256" s="51">
        <v>0</v>
      </c>
      <c r="HC256" s="51">
        <v>0</v>
      </c>
      <c r="HD256" s="51">
        <v>0</v>
      </c>
      <c r="HE256" s="51">
        <v>0</v>
      </c>
      <c r="HF256" s="51">
        <v>0</v>
      </c>
      <c r="HG256" s="51">
        <v>0</v>
      </c>
      <c r="HH256" s="51">
        <v>0</v>
      </c>
      <c r="HI256" s="51">
        <v>0</v>
      </c>
      <c r="HJ256" s="51">
        <v>0</v>
      </c>
      <c r="HK256" s="51">
        <v>0</v>
      </c>
      <c r="HL256" s="51">
        <v>0</v>
      </c>
      <c r="HM256" s="51">
        <v>0</v>
      </c>
      <c r="HN256" s="51">
        <v>0</v>
      </c>
      <c r="HO256" s="51">
        <v>0</v>
      </c>
      <c r="HP256" s="51">
        <v>0</v>
      </c>
      <c r="HQ256" s="51">
        <v>0</v>
      </c>
      <c r="HR256" s="51">
        <v>0</v>
      </c>
      <c r="HS256" s="51">
        <v>0</v>
      </c>
      <c r="HT256" s="51">
        <v>0</v>
      </c>
      <c r="HU256" s="51">
        <v>0</v>
      </c>
      <c r="HV256" s="51">
        <v>0</v>
      </c>
      <c r="HW256" s="51">
        <v>0</v>
      </c>
      <c r="HX256" s="51">
        <v>0</v>
      </c>
      <c r="HY256" s="51">
        <v>0</v>
      </c>
      <c r="HZ256" s="51">
        <v>0</v>
      </c>
      <c r="IA256" s="51">
        <v>0</v>
      </c>
      <c r="IB256" s="51">
        <v>0</v>
      </c>
      <c r="IC256" s="51">
        <v>0</v>
      </c>
      <c r="ID256" s="51">
        <v>0</v>
      </c>
      <c r="IE256" s="51">
        <v>0</v>
      </c>
      <c r="IF256" s="51">
        <v>0</v>
      </c>
      <c r="IG256" s="51">
        <v>0</v>
      </c>
      <c r="IH256" s="51">
        <v>0</v>
      </c>
      <c r="II256" s="51">
        <v>0</v>
      </c>
      <c r="IJ256" s="51">
        <v>0</v>
      </c>
      <c r="IK256" s="51">
        <v>0</v>
      </c>
      <c r="IL256" s="51">
        <v>0</v>
      </c>
      <c r="IM256" s="51">
        <v>0</v>
      </c>
      <c r="IN256" s="51">
        <v>0</v>
      </c>
      <c r="IO256" s="51">
        <v>0</v>
      </c>
      <c r="IP256" s="27">
        <v>0</v>
      </c>
      <c r="IQ256" s="28">
        <v>333711</v>
      </c>
      <c r="IR256" s="28">
        <v>0</v>
      </c>
      <c r="IS256" s="29">
        <v>0</v>
      </c>
      <c r="IT256" s="29">
        <v>0</v>
      </c>
      <c r="IU256" s="29">
        <v>0</v>
      </c>
      <c r="IV256" s="10">
        <v>0</v>
      </c>
      <c r="IW256" s="38">
        <f t="shared" si="34"/>
        <v>333711</v>
      </c>
    </row>
    <row r="257" spans="1:257" ht="30" customHeight="1" thickBot="1" x14ac:dyDescent="0.3">
      <c r="A257" s="18" t="s">
        <v>1225</v>
      </c>
      <c r="B257" s="52"/>
      <c r="C257" s="52" t="s">
        <v>2411</v>
      </c>
      <c r="D257" s="53" t="s">
        <v>502</v>
      </c>
      <c r="E257" s="54">
        <v>472929.93842687347</v>
      </c>
      <c r="F257" s="54">
        <v>186013.87017912409</v>
      </c>
      <c r="G257" s="54">
        <v>94148.303272764359</v>
      </c>
      <c r="H257" s="54">
        <v>1126.7847551644372</v>
      </c>
      <c r="I257" s="54">
        <v>11597.23060673992</v>
      </c>
      <c r="J257" s="54">
        <v>41370.501419798711</v>
      </c>
      <c r="K257" s="54">
        <v>91893.66570764537</v>
      </c>
      <c r="L257" s="54">
        <v>3063.0773650332471</v>
      </c>
      <c r="M257" s="54">
        <v>172.00735993336497</v>
      </c>
      <c r="N257" s="54">
        <v>616.56534940677909</v>
      </c>
      <c r="O257" s="54">
        <v>163887.3137006161</v>
      </c>
      <c r="P257" s="54">
        <v>23527.137620568803</v>
      </c>
      <c r="Q257" s="54">
        <v>2250.1548715838608</v>
      </c>
      <c r="R257" s="54">
        <v>105675.79094267818</v>
      </c>
      <c r="S257" s="54">
        <v>400.57277661945119</v>
      </c>
      <c r="T257" s="54">
        <v>27866.615534484452</v>
      </c>
      <c r="U257" s="54">
        <v>3454.4126214452399</v>
      </c>
      <c r="V257" s="54">
        <v>7636.0050700887286</v>
      </c>
      <c r="W257" s="54">
        <v>11597.433894948541</v>
      </c>
      <c r="X257" s="54">
        <v>159.23317376526671</v>
      </c>
      <c r="Y257" s="54">
        <v>5288.8178852639539</v>
      </c>
      <c r="Z257" s="54">
        <v>14052.80828620757</v>
      </c>
      <c r="AA257" s="54">
        <v>1010.4108403983942</v>
      </c>
      <c r="AB257" s="54">
        <v>912.56704989354705</v>
      </c>
      <c r="AC257" s="54">
        <v>229.06320022557387</v>
      </c>
      <c r="AD257" s="54">
        <v>3430.8942695003589</v>
      </c>
      <c r="AE257" s="54">
        <v>5141.5170971204398</v>
      </c>
      <c r="AF257" s="54">
        <v>2446.3400395147678</v>
      </c>
      <c r="AG257" s="54">
        <v>5624.4233212243234</v>
      </c>
      <c r="AH257" s="54">
        <v>9572.9627865336297</v>
      </c>
      <c r="AI257" s="54">
        <v>8121.9073323660987</v>
      </c>
      <c r="AJ257" s="54">
        <v>5190.1190430166616</v>
      </c>
      <c r="AK257" s="54">
        <v>15332.718819760137</v>
      </c>
      <c r="AL257" s="54">
        <v>5037.7432590321469</v>
      </c>
      <c r="AM257" s="54">
        <v>448.86175672758606</v>
      </c>
      <c r="AN257" s="54">
        <v>5536.1388014849445</v>
      </c>
      <c r="AO257" s="54">
        <v>3520.2803772469574</v>
      </c>
      <c r="AP257" s="54">
        <v>13265.776994966938</v>
      </c>
      <c r="AQ257" s="54">
        <v>5240.1336904702675</v>
      </c>
      <c r="AR257" s="54">
        <v>8448.5576890797111</v>
      </c>
      <c r="AS257" s="54">
        <v>7474.7091687767243</v>
      </c>
      <c r="AT257" s="54">
        <v>42586.978007215366</v>
      </c>
      <c r="AU257" s="54">
        <v>5174.1019011344015</v>
      </c>
      <c r="AV257" s="54">
        <v>2388.2335057774503</v>
      </c>
      <c r="AW257" s="54">
        <v>5344.8626844688015</v>
      </c>
      <c r="AX257" s="54">
        <v>80832.856998956137</v>
      </c>
      <c r="AY257" s="54">
        <v>13151.559413887326</v>
      </c>
      <c r="AZ257" s="54">
        <v>2051.6514909969355</v>
      </c>
      <c r="BA257" s="54">
        <v>3751.6597663560769</v>
      </c>
      <c r="BB257" s="54">
        <v>84049.161936138684</v>
      </c>
      <c r="BC257" s="54">
        <v>13900.070413868278</v>
      </c>
      <c r="BD257" s="54">
        <v>71573.477250643526</v>
      </c>
      <c r="BE257" s="54">
        <v>1044240.5049905826</v>
      </c>
      <c r="BF257" s="54">
        <v>35899.400423172439</v>
      </c>
      <c r="BG257" s="54">
        <v>2056.6480915590842</v>
      </c>
      <c r="BH257" s="54">
        <v>192082.64561676179</v>
      </c>
      <c r="BI257" s="54">
        <v>22823.049459369711</v>
      </c>
      <c r="BJ257" s="54">
        <v>128393.79665449925</v>
      </c>
      <c r="BK257" s="54">
        <v>20566.670785261063</v>
      </c>
      <c r="BL257" s="54">
        <v>264.75763474695486</v>
      </c>
      <c r="BM257" s="54">
        <v>27634.550104066642</v>
      </c>
      <c r="BN257" s="54">
        <v>4401.3716097293054</v>
      </c>
      <c r="BO257" s="54">
        <v>3.8949332579413958</v>
      </c>
      <c r="BP257" s="54">
        <v>127377.90142925232</v>
      </c>
      <c r="BQ257" s="54">
        <v>10056.395873457279</v>
      </c>
      <c r="BR257" s="54">
        <v>2747.1808145488831</v>
      </c>
      <c r="BS257" s="54">
        <v>2979.5931433224509</v>
      </c>
      <c r="BT257" s="54">
        <v>43171.665943336819</v>
      </c>
      <c r="BU257" s="54">
        <v>421754.3932025822</v>
      </c>
      <c r="BV257" s="54">
        <v>72118.209706210546</v>
      </c>
      <c r="BW257" s="54">
        <v>94841.861579670658</v>
      </c>
      <c r="BX257" s="54">
        <v>3412.0951221347209</v>
      </c>
      <c r="BY257" s="54">
        <v>35484.870281472504</v>
      </c>
      <c r="BZ257" s="54">
        <v>25322.728548453721</v>
      </c>
      <c r="CA257" s="54">
        <v>3613868.3466561474</v>
      </c>
      <c r="CB257" s="54">
        <v>12628.760756308047</v>
      </c>
      <c r="CC257" s="54">
        <v>331659.19771921996</v>
      </c>
      <c r="CD257" s="54">
        <v>51847.024920968048</v>
      </c>
      <c r="CE257" s="54">
        <v>3731.99213445551</v>
      </c>
      <c r="CF257" s="54">
        <v>584.59264987734468</v>
      </c>
      <c r="CG257" s="54">
        <v>62562.903820733627</v>
      </c>
      <c r="CH257" s="54">
        <v>5434.738565507052</v>
      </c>
      <c r="CI257" s="54">
        <v>648080.43269137444</v>
      </c>
      <c r="CJ257" s="54">
        <v>475365.94769709127</v>
      </c>
      <c r="CK257" s="54">
        <v>40041.474557917274</v>
      </c>
      <c r="CL257" s="54">
        <v>183043.0848591642</v>
      </c>
      <c r="CM257" s="54">
        <v>105215.75565530233</v>
      </c>
      <c r="CN257" s="54">
        <v>1339731.2634155452</v>
      </c>
      <c r="CO257" s="54">
        <v>319071.27161970054</v>
      </c>
      <c r="CP257" s="54">
        <v>28890.468460479551</v>
      </c>
      <c r="CQ257" s="54">
        <v>111922.74137221214</v>
      </c>
      <c r="CR257" s="54">
        <v>456110.33455826109</v>
      </c>
      <c r="CS257" s="54">
        <v>40548.111375804321</v>
      </c>
      <c r="CT257" s="54">
        <v>235620.1835814348</v>
      </c>
      <c r="CU257" s="54">
        <v>121255.57243110749</v>
      </c>
      <c r="CV257" s="54">
        <v>201597.22173074196</v>
      </c>
      <c r="CW257" s="54">
        <v>36172.326727056883</v>
      </c>
      <c r="CX257" s="54">
        <v>356121.06281667011</v>
      </c>
      <c r="CY257" s="54">
        <v>394694.81435428071</v>
      </c>
      <c r="CZ257" s="54">
        <v>49122.079008511115</v>
      </c>
      <c r="DA257" s="54">
        <v>748523.16175568954</v>
      </c>
      <c r="DB257" s="54">
        <v>38428.698136774823</v>
      </c>
      <c r="DC257" s="54">
        <v>3130.5901282707523</v>
      </c>
      <c r="DD257" s="54">
        <v>442409.8618513291</v>
      </c>
      <c r="DE257" s="54">
        <v>60780.485733843881</v>
      </c>
      <c r="DF257" s="54">
        <v>297957.49568523909</v>
      </c>
      <c r="DG257" s="54">
        <v>227169.46691613726</v>
      </c>
      <c r="DH257" s="54">
        <v>90485.870545906451</v>
      </c>
      <c r="DI257" s="54">
        <v>87212.501712499987</v>
      </c>
      <c r="DJ257" s="54">
        <v>231672.94287558185</v>
      </c>
      <c r="DK257" s="54">
        <v>138724.61076342576</v>
      </c>
      <c r="DL257" s="54">
        <v>533650.34170291957</v>
      </c>
      <c r="DM257" s="54">
        <v>420172.87242952903</v>
      </c>
      <c r="DN257" s="54">
        <v>287041.34906254424</v>
      </c>
      <c r="DO257" s="54">
        <v>42262.331513638535</v>
      </c>
      <c r="DP257" s="54">
        <v>86874.716149376327</v>
      </c>
      <c r="DQ257" s="54">
        <v>142385.79001729016</v>
      </c>
      <c r="DR257" s="54">
        <v>98552.158384657858</v>
      </c>
      <c r="DS257" s="54">
        <v>355533.64864854049</v>
      </c>
      <c r="DT257" s="54">
        <v>38996.077634546135</v>
      </c>
      <c r="DU257" s="54">
        <v>14488.795893970921</v>
      </c>
      <c r="DV257" s="54">
        <v>152863.86954884577</v>
      </c>
      <c r="DW257" s="54">
        <v>495433.85475098103</v>
      </c>
      <c r="DX257" s="54">
        <v>272434.30591880856</v>
      </c>
      <c r="DY257" s="54">
        <v>26738.549727060668</v>
      </c>
      <c r="DZ257" s="54">
        <v>35769.842826922657</v>
      </c>
      <c r="EA257" s="54">
        <v>134026.59591890953</v>
      </c>
      <c r="EB257" s="54">
        <v>106983.30311935132</v>
      </c>
      <c r="EC257" s="54">
        <v>302356.55515808886</v>
      </c>
      <c r="ED257" s="54">
        <v>475273.04492491111</v>
      </c>
      <c r="EE257" s="54">
        <v>394166.75890197192</v>
      </c>
      <c r="EF257" s="54">
        <v>244149.99273221259</v>
      </c>
      <c r="EG257" s="54">
        <v>144718.71509165459</v>
      </c>
      <c r="EH257" s="54">
        <v>69243.222711535578</v>
      </c>
      <c r="EI257" s="54">
        <v>32863.983389176443</v>
      </c>
      <c r="EJ257" s="54">
        <v>60066.898422699611</v>
      </c>
      <c r="EK257" s="54">
        <v>10559.445793973697</v>
      </c>
      <c r="EL257" s="54">
        <v>61760.648227360471</v>
      </c>
      <c r="EM257" s="54">
        <v>134688.24316034873</v>
      </c>
      <c r="EN257" s="54">
        <v>90578.904502611025</v>
      </c>
      <c r="EO257" s="54">
        <v>12442.668078417682</v>
      </c>
      <c r="EP257" s="54">
        <v>23080.926544750917</v>
      </c>
      <c r="EQ257" s="54">
        <v>41129.434401906947</v>
      </c>
      <c r="ER257" s="54">
        <v>35646.300375844417</v>
      </c>
      <c r="ES257" s="54">
        <v>8456.296450524982</v>
      </c>
      <c r="ET257" s="54">
        <v>96115.518374911117</v>
      </c>
      <c r="EU257" s="54">
        <v>26521.862820780148</v>
      </c>
      <c r="EV257" s="54">
        <v>28807.244156186654</v>
      </c>
      <c r="EW257" s="54">
        <v>90016.150507052953</v>
      </c>
      <c r="EX257" s="54">
        <v>499618.31887982076</v>
      </c>
      <c r="EY257" s="54">
        <v>37884.01295457266</v>
      </c>
      <c r="EZ257" s="54">
        <v>24513.847010126865</v>
      </c>
      <c r="FA257" s="54">
        <v>129625.41778002767</v>
      </c>
      <c r="FB257" s="54">
        <v>289688.38628808974</v>
      </c>
      <c r="FC257" s="54">
        <v>102890.76881094079</v>
      </c>
      <c r="FD257" s="54">
        <v>285366.66951782897</v>
      </c>
      <c r="FE257" s="54">
        <v>38103.467802523424</v>
      </c>
      <c r="FF257" s="54">
        <v>2191.0716509470763</v>
      </c>
      <c r="FG257" s="54">
        <v>107335.02820453979</v>
      </c>
      <c r="FH257" s="54">
        <v>148066.08269964092</v>
      </c>
      <c r="FI257" s="54">
        <v>58123.216466337413</v>
      </c>
      <c r="FJ257" s="54">
        <v>140576.3077917991</v>
      </c>
      <c r="FK257" s="54">
        <v>21302.59372681893</v>
      </c>
      <c r="FL257" s="54">
        <v>656.85286856196683</v>
      </c>
      <c r="FM257" s="54">
        <v>92139.437948832972</v>
      </c>
      <c r="FN257" s="54">
        <v>34400.646936801422</v>
      </c>
      <c r="FO257" s="54">
        <v>13401.656621683762</v>
      </c>
      <c r="FP257" s="54">
        <v>285570.1742276607</v>
      </c>
      <c r="FQ257" s="54">
        <v>9984.0125314399702</v>
      </c>
      <c r="FR257" s="54">
        <v>695628.01307038707</v>
      </c>
      <c r="FS257" s="54">
        <v>25460.70073794233</v>
      </c>
      <c r="FT257" s="54">
        <v>4884.3254064780522</v>
      </c>
      <c r="FU257" s="54">
        <v>53667.555591066259</v>
      </c>
      <c r="FV257" s="54">
        <v>154205.93838088238</v>
      </c>
      <c r="FW257" s="54">
        <v>708330.54971217248</v>
      </c>
      <c r="FX257" s="54">
        <v>1087655.5177811689</v>
      </c>
      <c r="FY257" s="54">
        <v>73908.343653280201</v>
      </c>
      <c r="FZ257" s="54">
        <v>2248.2632187391218</v>
      </c>
      <c r="GA257" s="54">
        <v>33200.877155429625</v>
      </c>
      <c r="GB257" s="54">
        <v>5276948.9762705341</v>
      </c>
      <c r="GC257" s="54">
        <v>3773085.0036114617</v>
      </c>
      <c r="GD257" s="54">
        <v>93323.727454950596</v>
      </c>
      <c r="GE257" s="54">
        <v>188380.68523656618</v>
      </c>
      <c r="GF257" s="54">
        <v>1022578.7305029624</v>
      </c>
      <c r="GG257" s="54">
        <v>938717.40609728894</v>
      </c>
      <c r="GH257" s="54">
        <v>1070574.2803704271</v>
      </c>
      <c r="GI257" s="54">
        <v>1465.3946060399714</v>
      </c>
      <c r="GJ257" s="54">
        <v>98685.623248624484</v>
      </c>
      <c r="GK257" s="54">
        <v>216389.81653779375</v>
      </c>
      <c r="GL257" s="54">
        <v>211753.31265927615</v>
      </c>
      <c r="GM257" s="54">
        <v>151834.25042968206</v>
      </c>
      <c r="GN257" s="54">
        <v>5468.279082199293</v>
      </c>
      <c r="GO257" s="54">
        <v>52411.505763358713</v>
      </c>
      <c r="GP257" s="54">
        <v>19668.838186192435</v>
      </c>
      <c r="GQ257" s="54">
        <v>145555.83876009111</v>
      </c>
      <c r="GR257" s="54">
        <v>131100.15703381412</v>
      </c>
      <c r="GS257" s="54">
        <v>1323567.6320488749</v>
      </c>
      <c r="GT257" s="54">
        <v>17254.322398363234</v>
      </c>
      <c r="GU257" s="54">
        <v>1185569.8787279709</v>
      </c>
      <c r="GV257" s="54">
        <v>6584.5367424466831</v>
      </c>
      <c r="GW257" s="54">
        <v>1893.877108848536</v>
      </c>
      <c r="GX257" s="54">
        <v>99573.313985144836</v>
      </c>
      <c r="GY257" s="54">
        <v>32002.628729993423</v>
      </c>
      <c r="GZ257" s="54">
        <v>2480.6209193670088</v>
      </c>
      <c r="HA257" s="54">
        <v>330878.44554558117</v>
      </c>
      <c r="HB257" s="54">
        <v>592569.43945035979</v>
      </c>
      <c r="HC257" s="54">
        <v>729893.66467820096</v>
      </c>
      <c r="HD257" s="54">
        <v>310021.97776643455</v>
      </c>
      <c r="HE257" s="54">
        <v>17336.760028032291</v>
      </c>
      <c r="HF257" s="54">
        <v>86608.601452288291</v>
      </c>
      <c r="HG257" s="54">
        <v>82731.786811390368</v>
      </c>
      <c r="HH257" s="54">
        <v>155809.04472265419</v>
      </c>
      <c r="HI257" s="54">
        <v>227335.28826971297</v>
      </c>
      <c r="HJ257" s="54">
        <v>258549.04973760556</v>
      </c>
      <c r="HK257" s="54">
        <v>12263.03119659983</v>
      </c>
      <c r="HL257" s="54">
        <v>19445.28876334216</v>
      </c>
      <c r="HM257" s="54">
        <v>89196.364649804644</v>
      </c>
      <c r="HN257" s="54">
        <v>26138.715337398109</v>
      </c>
      <c r="HO257" s="54">
        <v>109966.63326083065</v>
      </c>
      <c r="HP257" s="54">
        <v>188474.90680575793</v>
      </c>
      <c r="HQ257" s="54">
        <v>29422.464549314551</v>
      </c>
      <c r="HR257" s="54">
        <v>62744.405076924908</v>
      </c>
      <c r="HS257" s="54">
        <v>105226.84108486903</v>
      </c>
      <c r="HT257" s="54">
        <v>64502.456850558541</v>
      </c>
      <c r="HU257" s="54">
        <v>85298.266580959826</v>
      </c>
      <c r="HV257" s="54">
        <v>1409727.1129233236</v>
      </c>
      <c r="HW257" s="54">
        <v>27407.980236912463</v>
      </c>
      <c r="HX257" s="54">
        <v>74904.096339368392</v>
      </c>
      <c r="HY257" s="54">
        <v>61391.783441931868</v>
      </c>
      <c r="HZ257" s="54">
        <v>101320.52539420697</v>
      </c>
      <c r="IA257" s="54">
        <v>30213.536698056774</v>
      </c>
      <c r="IB257" s="54">
        <v>1977.4625577060995</v>
      </c>
      <c r="IC257" s="54">
        <v>99698.474971681935</v>
      </c>
      <c r="ID257" s="54">
        <v>70731.48170590878</v>
      </c>
      <c r="IE257" s="54">
        <v>48209.750160133306</v>
      </c>
      <c r="IF257" s="54">
        <v>5796.0753737894838</v>
      </c>
      <c r="IG257" s="54">
        <v>226816.24115726727</v>
      </c>
      <c r="IH257" s="54">
        <v>11941.921671389206</v>
      </c>
      <c r="II257" s="54">
        <v>4953.686151810949</v>
      </c>
      <c r="IJ257" s="54">
        <v>498731.49369561771</v>
      </c>
      <c r="IK257" s="54">
        <v>200241.69825954593</v>
      </c>
      <c r="IL257" s="54">
        <v>293487.52078936651</v>
      </c>
      <c r="IM257" s="54">
        <v>212482.93755330495</v>
      </c>
      <c r="IN257" s="54">
        <v>177539.83080423524</v>
      </c>
      <c r="IO257" s="54">
        <v>0</v>
      </c>
      <c r="IP257" s="30">
        <v>49604904.508333392</v>
      </c>
      <c r="IQ257" s="31">
        <v>42650666</v>
      </c>
      <c r="IR257" s="31">
        <v>11726752</v>
      </c>
      <c r="IS257" s="31">
        <v>878911</v>
      </c>
      <c r="IT257" s="31">
        <v>17903577</v>
      </c>
      <c r="IU257" s="31">
        <v>-7668</v>
      </c>
      <c r="IV257" s="31">
        <v>25125609</v>
      </c>
      <c r="IW257" s="38"/>
    </row>
    <row r="258" spans="1:257" ht="30" customHeight="1" x14ac:dyDescent="0.25">
      <c r="B258" s="4"/>
      <c r="C258" s="4"/>
      <c r="D258" s="65" t="s">
        <v>503</v>
      </c>
      <c r="E258" s="55">
        <v>5616.0662468862211</v>
      </c>
      <c r="F258" s="56">
        <v>1130.4923470663934</v>
      </c>
      <c r="G258" s="56">
        <v>1119.8046303658186</v>
      </c>
      <c r="H258" s="56">
        <v>-6.9397706395635499</v>
      </c>
      <c r="I258" s="56">
        <v>-72.27576812338063</v>
      </c>
      <c r="J258" s="56">
        <v>-256.19809539986136</v>
      </c>
      <c r="K258" s="56">
        <v>-566.99823157983008</v>
      </c>
      <c r="L258" s="56">
        <v>-17.503657589844838</v>
      </c>
      <c r="M258" s="56">
        <v>-1.1723621440973413</v>
      </c>
      <c r="N258" s="56">
        <v>-3.8395101654042296</v>
      </c>
      <c r="O258" s="56">
        <v>4428.5010569704345</v>
      </c>
      <c r="P258" s="56">
        <v>644.28822984132341</v>
      </c>
      <c r="Q258" s="56">
        <v>61.040090833689639</v>
      </c>
      <c r="R258" s="56">
        <v>3209.4545709788854</v>
      </c>
      <c r="S258" s="56">
        <v>23.932216748352037</v>
      </c>
      <c r="T258" s="56">
        <v>1153.4882208732595</v>
      </c>
      <c r="U258" s="56">
        <v>141.61972490886217</v>
      </c>
      <c r="V258" s="56">
        <v>313.8758400111758</v>
      </c>
      <c r="W258" s="56">
        <v>481.6255833186317</v>
      </c>
      <c r="X258" s="56">
        <v>6.271819602536346</v>
      </c>
      <c r="Y258" s="56">
        <v>218.52687818768885</v>
      </c>
      <c r="Z258" s="56">
        <v>583.33644154642082</v>
      </c>
      <c r="AA258" s="56">
        <v>40.706614281593396</v>
      </c>
      <c r="AB258" s="56">
        <v>36.880409207905231</v>
      </c>
      <c r="AC258" s="56">
        <v>9.403039273447618</v>
      </c>
      <c r="AD258" s="56">
        <v>141.429327406429</v>
      </c>
      <c r="AE258" s="56">
        <v>211.61392351608242</v>
      </c>
      <c r="AF258" s="56">
        <v>100.9923510539831</v>
      </c>
      <c r="AG258" s="56">
        <v>232.34892785755906</v>
      </c>
      <c r="AH258" s="56">
        <v>396.73553403161503</v>
      </c>
      <c r="AI258" s="56">
        <v>336.15855341575417</v>
      </c>
      <c r="AJ258" s="56">
        <v>215.97322375107768</v>
      </c>
      <c r="AK258" s="56">
        <v>639.80049049138256</v>
      </c>
      <c r="AL258" s="56">
        <v>209.13526492047416</v>
      </c>
      <c r="AM258" s="56">
        <v>18.361972823140121</v>
      </c>
      <c r="AN258" s="56">
        <v>228.25470257108702</v>
      </c>
      <c r="AO258" s="56">
        <v>145.00446579104792</v>
      </c>
      <c r="AP258" s="56">
        <v>548.41991145143083</v>
      </c>
      <c r="AQ258" s="56">
        <v>217.79357408674147</v>
      </c>
      <c r="AR258" s="56">
        <v>352.06193067433441</v>
      </c>
      <c r="AS258" s="56">
        <v>307.8875388136936</v>
      </c>
      <c r="AT258" s="56">
        <v>-6835.8736281871243</v>
      </c>
      <c r="AU258" s="56">
        <v>-871.71197629930134</v>
      </c>
      <c r="AV258" s="56">
        <v>-412.87354114916781</v>
      </c>
      <c r="AW258" s="56">
        <v>-265.80395712880869</v>
      </c>
      <c r="AX258" s="56">
        <v>-13727.298183908653</v>
      </c>
      <c r="AY258" s="56">
        <v>-2258.3708589844455</v>
      </c>
      <c r="AZ258" s="56">
        <v>-352.67027139450511</v>
      </c>
      <c r="BA258" s="56">
        <v>-647.07607217707016</v>
      </c>
      <c r="BB258" s="56">
        <v>-14272.06816751662</v>
      </c>
      <c r="BC258" s="56">
        <v>-2342.2579167606546</v>
      </c>
      <c r="BD258" s="56">
        <v>2124.2903102422547</v>
      </c>
      <c r="BE258" s="56">
        <v>-17853.59862390281</v>
      </c>
      <c r="BF258" s="56">
        <v>-610.54425883831743</v>
      </c>
      <c r="BG258" s="56">
        <v>-40.560597085914324</v>
      </c>
      <c r="BH258" s="56">
        <v>-3629.2849012063466</v>
      </c>
      <c r="BI258" s="56">
        <v>-460.12577403362621</v>
      </c>
      <c r="BJ258" s="56">
        <v>-3037.0884142485688</v>
      </c>
      <c r="BK258" s="56">
        <v>-579.06711761085057</v>
      </c>
      <c r="BL258" s="56">
        <v>-5.0488852996379538</v>
      </c>
      <c r="BM258" s="56">
        <v>-2647.4088822461617</v>
      </c>
      <c r="BN258" s="56">
        <v>-167.43913073126274</v>
      </c>
      <c r="BO258" s="56">
        <v>0.10506674205860375</v>
      </c>
      <c r="BP258" s="56">
        <v>6855.8663563157206</v>
      </c>
      <c r="BQ258" s="56">
        <v>1008.7039938987805</v>
      </c>
      <c r="BR258" s="56">
        <v>38.906679924287204</v>
      </c>
      <c r="BS258" s="56">
        <v>62.382691225813616</v>
      </c>
      <c r="BT258" s="56">
        <v>-12249.139716321359</v>
      </c>
      <c r="BU258" s="56">
        <v>-70269.783660880261</v>
      </c>
      <c r="BV258" s="56">
        <v>-47772.515098231961</v>
      </c>
      <c r="BW258" s="56">
        <v>-24059.651334036902</v>
      </c>
      <c r="BX258" s="56">
        <v>-2217.2876984049849</v>
      </c>
      <c r="BY258" s="56">
        <v>2265.634136383092</v>
      </c>
      <c r="BZ258" s="56">
        <v>1656.5713623951867</v>
      </c>
      <c r="CA258" s="56">
        <v>-75400.190655611746</v>
      </c>
      <c r="CB258" s="56">
        <v>-326.76075630804934</v>
      </c>
      <c r="CC258" s="56">
        <v>5248.8022807799171</v>
      </c>
      <c r="CD258" s="56">
        <v>3113.4648712230924</v>
      </c>
      <c r="CE258" s="56">
        <v>226.14410062204749</v>
      </c>
      <c r="CF258" s="56">
        <v>38.242347911922955</v>
      </c>
      <c r="CG258" s="56">
        <v>-4325.1731538142694</v>
      </c>
      <c r="CH258" s="56">
        <v>-432.607774753451</v>
      </c>
      <c r="CI258" s="56">
        <v>599.86323222784858</v>
      </c>
      <c r="CJ258" s="56">
        <v>53.094322019614815</v>
      </c>
      <c r="CK258" s="56">
        <v>15.230779819394815</v>
      </c>
      <c r="CL258" s="56">
        <v>2391.6747371996335</v>
      </c>
      <c r="CM258" s="56">
        <v>1606.1772883278645</v>
      </c>
      <c r="CN258" s="56">
        <v>955.15030848313859</v>
      </c>
      <c r="CO258" s="56">
        <v>1864.186140704948</v>
      </c>
      <c r="CP258" s="56">
        <v>156.11896229306203</v>
      </c>
      <c r="CQ258" s="56">
        <v>597.81268518959018</v>
      </c>
      <c r="CR258" s="56">
        <v>-305.07219105157816</v>
      </c>
      <c r="CS258" s="56">
        <v>609.27002758520769</v>
      </c>
      <c r="CT258" s="56">
        <v>2634.0846096019859</v>
      </c>
      <c r="CU258" s="56">
        <v>3503.7175992413695</v>
      </c>
      <c r="CV258" s="56">
        <v>5266.502388028146</v>
      </c>
      <c r="CW258" s="56">
        <v>424.60326351794038</v>
      </c>
      <c r="CX258" s="56">
        <v>7752.4867777993995</v>
      </c>
      <c r="CY258" s="56">
        <v>6588.562247531564</v>
      </c>
      <c r="CZ258" s="56">
        <v>659.31891503728514</v>
      </c>
      <c r="DA258" s="56">
        <v>809.28172197533695</v>
      </c>
      <c r="DB258" s="56">
        <v>1986.6755445605838</v>
      </c>
      <c r="DC258" s="56">
        <v>3.7253155887624931</v>
      </c>
      <c r="DD258" s="56">
        <v>7857.1788556976708</v>
      </c>
      <c r="DE258" s="56">
        <v>-307.3639412641329</v>
      </c>
      <c r="DF258" s="56">
        <v>4442.7525550468026</v>
      </c>
      <c r="DG258" s="56">
        <v>20680.756924582798</v>
      </c>
      <c r="DH258" s="56">
        <v>6064.4091586177501</v>
      </c>
      <c r="DI258" s="56">
        <v>3913.7717209885104</v>
      </c>
      <c r="DJ258" s="56">
        <v>6715.2649746307079</v>
      </c>
      <c r="DK258" s="56">
        <v>839.45753917149864</v>
      </c>
      <c r="DL258" s="56">
        <v>14103.895078172111</v>
      </c>
      <c r="DM258" s="56">
        <v>3634.1615531957668</v>
      </c>
      <c r="DN258" s="56">
        <v>30886.831402714692</v>
      </c>
      <c r="DO258" s="56">
        <v>1790.6684863614812</v>
      </c>
      <c r="DP258" s="56">
        <v>1795.0332979406503</v>
      </c>
      <c r="DQ258" s="56">
        <v>4508.5318213476994</v>
      </c>
      <c r="DR258" s="56">
        <v>2904.9447233331734</v>
      </c>
      <c r="DS258" s="56">
        <v>13058.635558247881</v>
      </c>
      <c r="DT258" s="56">
        <v>988.92091387811956</v>
      </c>
      <c r="DU258" s="56">
        <v>419.67545359759833</v>
      </c>
      <c r="DV258" s="56">
        <v>3848.7292812271589</v>
      </c>
      <c r="DW258" s="56">
        <v>1009.1910279641286</v>
      </c>
      <c r="DX258" s="56">
        <v>-330.74427546742004</v>
      </c>
      <c r="DY258" s="56">
        <v>107.29049608168104</v>
      </c>
      <c r="DZ258" s="56">
        <v>207.633909789114</v>
      </c>
      <c r="EA258" s="56">
        <v>5799.0343408899234</v>
      </c>
      <c r="EB258" s="56">
        <v>3975.2416253043848</v>
      </c>
      <c r="EC258" s="56">
        <v>12314.326277366903</v>
      </c>
      <c r="ED258" s="56">
        <v>1191.8415643044648</v>
      </c>
      <c r="EE258" s="56">
        <v>2615.2410980279087</v>
      </c>
      <c r="EF258" s="56">
        <v>4474.7089599046421</v>
      </c>
      <c r="EG258" s="56">
        <v>1871.9024703413995</v>
      </c>
      <c r="EH258" s="56">
        <v>741.77728846447803</v>
      </c>
      <c r="EI258" s="56">
        <v>6119.962816909203</v>
      </c>
      <c r="EJ258" s="56">
        <v>2712.6848606120943</v>
      </c>
      <c r="EK258" s="56">
        <v>683.02063796974323</v>
      </c>
      <c r="EL258" s="56">
        <v>-6386.3457219474203</v>
      </c>
      <c r="EM258" s="56">
        <v>-14893.176388592659</v>
      </c>
      <c r="EN258" s="56">
        <v>-10735.823207880105</v>
      </c>
      <c r="EO258" s="56">
        <v>-1499.4625807488221</v>
      </c>
      <c r="EP258" s="56">
        <v>-4334.2067670421347</v>
      </c>
      <c r="EQ258" s="56">
        <v>-726.48143961593075</v>
      </c>
      <c r="ER258" s="56">
        <v>4542.3190522652776</v>
      </c>
      <c r="ES258" s="56">
        <v>279.21196391698993</v>
      </c>
      <c r="ET258" s="56">
        <v>11330.06812762747</v>
      </c>
      <c r="EU258" s="56">
        <v>-550.52252084236557</v>
      </c>
      <c r="EV258" s="56">
        <v>-1797.6825128454288</v>
      </c>
      <c r="EW258" s="56">
        <v>-3878.8501281803142</v>
      </c>
      <c r="EX258" s="56">
        <v>-29977.716061126765</v>
      </c>
      <c r="EY258" s="56">
        <v>-1413.1090216070916</v>
      </c>
      <c r="EZ258" s="56">
        <v>-2189.0455745193485</v>
      </c>
      <c r="FA258" s="56">
        <v>3626.6855035273334</v>
      </c>
      <c r="FB258" s="56">
        <v>1302.9190566020188</v>
      </c>
      <c r="FC258" s="56">
        <v>2428.3534820908326</v>
      </c>
      <c r="FD258" s="56">
        <v>957.47691481260483</v>
      </c>
      <c r="FE258" s="56">
        <v>921.15877184748456</v>
      </c>
      <c r="FF258" s="56">
        <v>-4.8766885295279794</v>
      </c>
      <c r="FG258" s="56">
        <v>2203.5026013347438</v>
      </c>
      <c r="FH258" s="56">
        <v>10148.287454048675</v>
      </c>
      <c r="FI258" s="56">
        <v>5525.2340892042048</v>
      </c>
      <c r="FJ258" s="56">
        <v>6782.7710619674881</v>
      </c>
      <c r="FK258" s="56">
        <v>1013.4696084996297</v>
      </c>
      <c r="FL258" s="56">
        <v>33.109570642894887</v>
      </c>
      <c r="FM258" s="56">
        <v>5750.985139293557</v>
      </c>
      <c r="FN258" s="56">
        <v>1775.1299381126228</v>
      </c>
      <c r="FO258" s="56">
        <v>710.32013440481387</v>
      </c>
      <c r="FP258" s="56">
        <v>156987.26229035249</v>
      </c>
      <c r="FQ258" s="56">
        <v>4820.9534221120002</v>
      </c>
      <c r="FR258" s="56">
        <v>13066.585686684934</v>
      </c>
      <c r="FS258" s="56">
        <v>2285.4346128423135</v>
      </c>
      <c r="FT258" s="56">
        <v>580.27888705988994</v>
      </c>
      <c r="FU258" s="56">
        <v>4980.7392225543826</v>
      </c>
      <c r="FV258" s="56">
        <v>18870.487757445255</v>
      </c>
      <c r="FW258" s="56">
        <v>-211969.57068005123</v>
      </c>
      <c r="FX258" s="56">
        <v>20831.434019083608</v>
      </c>
      <c r="FY258" s="56">
        <v>5643.0804377357836</v>
      </c>
      <c r="FZ258" s="56">
        <v>194.00925141599222</v>
      </c>
      <c r="GA258" s="56">
        <v>2939.432403526534</v>
      </c>
      <c r="GB258" s="56">
        <v>381649.3277211088</v>
      </c>
      <c r="GC258" s="56">
        <v>183862.18892344911</v>
      </c>
      <c r="GD258" s="56">
        <v>6969.639794267242</v>
      </c>
      <c r="GE258" s="56">
        <v>238.74258796729018</v>
      </c>
      <c r="GF258" s="56">
        <v>-51820.750908976239</v>
      </c>
      <c r="GG258" s="56">
        <v>-251852.18379513</v>
      </c>
      <c r="GH258" s="56">
        <v>-224410.31664278914</v>
      </c>
      <c r="GI258" s="56">
        <v>-407.21961709363381</v>
      </c>
      <c r="GJ258" s="56">
        <v>680.63005116939757</v>
      </c>
      <c r="GK258" s="56">
        <v>-60976.88821352891</v>
      </c>
      <c r="GL258" s="56">
        <v>4088.7419133306912</v>
      </c>
      <c r="GM258" s="56">
        <v>2723.2180524972405</v>
      </c>
      <c r="GN258" s="56">
        <v>101.21711750654683</v>
      </c>
      <c r="GO258" s="56">
        <v>1135.7056306233821</v>
      </c>
      <c r="GP258" s="56">
        <v>366.63163252751957</v>
      </c>
      <c r="GQ258" s="56">
        <v>2689.4223968889723</v>
      </c>
      <c r="GR258" s="56">
        <v>11594.427251160389</v>
      </c>
      <c r="GS258" s="56">
        <v>138328.52532105864</v>
      </c>
      <c r="GT258" s="56">
        <v>1080.1657003052803</v>
      </c>
      <c r="GU258" s="56">
        <v>71406.071921771058</v>
      </c>
      <c r="GV258" s="56">
        <v>374.46325755331424</v>
      </c>
      <c r="GW258" s="56">
        <v>139.74094942336905</v>
      </c>
      <c r="GX258" s="56">
        <v>6146.8336757000861</v>
      </c>
      <c r="GY258" s="56">
        <v>1623.0753569943186</v>
      </c>
      <c r="GZ258" s="56">
        <v>115.37908063299155</v>
      </c>
      <c r="HA258" s="56">
        <v>9683.0466895160316</v>
      </c>
      <c r="HB258" s="56">
        <v>14199.604251218514</v>
      </c>
      <c r="HC258" s="56">
        <v>19279.648398506804</v>
      </c>
      <c r="HD258" s="56">
        <v>7845.5685441842024</v>
      </c>
      <c r="HE258" s="56">
        <v>162.57222917071869</v>
      </c>
      <c r="HF258" s="56">
        <v>886.27159049181353</v>
      </c>
      <c r="HG258" s="56">
        <v>842.81137508732752</v>
      </c>
      <c r="HH258" s="56">
        <v>1591.7743662973182</v>
      </c>
      <c r="HI258" s="56">
        <v>2326.5872537222308</v>
      </c>
      <c r="HJ258" s="56">
        <v>2640.373893005923</v>
      </c>
      <c r="HK258" s="56">
        <v>121.85209964736428</v>
      </c>
      <c r="HL258" s="56">
        <v>194.6241815947879</v>
      </c>
      <c r="HM258" s="56">
        <v>907.34993742155154</v>
      </c>
      <c r="HN258" s="56">
        <v>266.30494485382553</v>
      </c>
      <c r="HO258" s="56">
        <v>1124.7239175531133</v>
      </c>
      <c r="HP258" s="56">
        <v>1931.7724655128361</v>
      </c>
      <c r="HQ258" s="56">
        <v>299.18936079441823</v>
      </c>
      <c r="HR258" s="56">
        <v>636.52397501205371</v>
      </c>
      <c r="HS258" s="56">
        <v>1201.5479711279352</v>
      </c>
      <c r="HT258" s="56">
        <v>658.0495112978947</v>
      </c>
      <c r="HU258" s="56">
        <v>873.23651045637803</v>
      </c>
      <c r="HV258" s="56">
        <v>34299.968123561768</v>
      </c>
      <c r="HW258" s="56">
        <v>1292.643536530707</v>
      </c>
      <c r="HX258" s="56">
        <v>9486.2087407206382</v>
      </c>
      <c r="HY258" s="56">
        <v>7486.5859721756251</v>
      </c>
      <c r="HZ258" s="56">
        <v>14501.25167463487</v>
      </c>
      <c r="IA258" s="56">
        <v>4664.5590118456284</v>
      </c>
      <c r="IB258" s="56">
        <v>304.87767438448333</v>
      </c>
      <c r="IC258" s="56">
        <v>3935.5250283180803</v>
      </c>
      <c r="ID258" s="56">
        <v>3324.5182940912209</v>
      </c>
      <c r="IE258" s="56">
        <v>2071.2498398666899</v>
      </c>
      <c r="IF258" s="56">
        <v>246.92462621051683</v>
      </c>
      <c r="IG258" s="56">
        <v>28456.793901974906</v>
      </c>
      <c r="IH258" s="56">
        <v>1240.4368349835295</v>
      </c>
      <c r="II258" s="56">
        <v>608.33056062615788</v>
      </c>
      <c r="IJ258" s="56">
        <v>17513.006131933078</v>
      </c>
      <c r="IK258" s="56">
        <v>6242.4444587525286</v>
      </c>
      <c r="IL258" s="56">
        <v>8837.0519686978041</v>
      </c>
      <c r="IM258" s="56">
        <v>3456.6940517745456</v>
      </c>
      <c r="IN258" s="56">
        <v>6042.753614590777</v>
      </c>
      <c r="IO258" s="56">
        <v>0</v>
      </c>
      <c r="IP258" s="32">
        <v>394683.90241818683</v>
      </c>
      <c r="IQ258" s="25">
        <v>2793826</v>
      </c>
      <c r="IR258" s="25">
        <v>0</v>
      </c>
      <c r="IS258" s="26">
        <v>0</v>
      </c>
      <c r="IT258" s="26">
        <v>955500</v>
      </c>
      <c r="IU258" s="26">
        <v>17124</v>
      </c>
      <c r="IV258" s="9">
        <v>-92761</v>
      </c>
      <c r="IW258" s="38"/>
    </row>
    <row r="259" spans="1:257" ht="30" customHeight="1" x14ac:dyDescent="0.25">
      <c r="B259" s="4"/>
      <c r="C259" s="4"/>
      <c r="D259" s="66" t="s">
        <v>3</v>
      </c>
      <c r="E259" s="57">
        <v>478546.00467375969</v>
      </c>
      <c r="F259" s="58">
        <v>187144.3625261905</v>
      </c>
      <c r="G259" s="58">
        <v>95268.107903130178</v>
      </c>
      <c r="H259" s="58">
        <v>1119.8449845248738</v>
      </c>
      <c r="I259" s="58">
        <v>11524.954838616541</v>
      </c>
      <c r="J259" s="58">
        <v>41114.303324398847</v>
      </c>
      <c r="K259" s="58">
        <v>91326.667476065544</v>
      </c>
      <c r="L259" s="58">
        <v>3045.5737074434023</v>
      </c>
      <c r="M259" s="58">
        <v>170.83499778926762</v>
      </c>
      <c r="N259" s="58">
        <v>612.72583924137484</v>
      </c>
      <c r="O259" s="58">
        <v>168315.81475758654</v>
      </c>
      <c r="P259" s="58">
        <v>24171.425850410127</v>
      </c>
      <c r="Q259" s="58">
        <v>2311.1949624175504</v>
      </c>
      <c r="R259" s="58">
        <v>108885.24551365706</v>
      </c>
      <c r="S259" s="58">
        <v>424.50499336780325</v>
      </c>
      <c r="T259" s="58">
        <v>29020.103755357712</v>
      </c>
      <c r="U259" s="58">
        <v>3596.0323463541022</v>
      </c>
      <c r="V259" s="58">
        <v>7949.8809100999042</v>
      </c>
      <c r="W259" s="58">
        <v>12079.059478267172</v>
      </c>
      <c r="X259" s="58">
        <v>165.50499336780305</v>
      </c>
      <c r="Y259" s="58">
        <v>5507.3447634516424</v>
      </c>
      <c r="Z259" s="58">
        <v>14636.14472775399</v>
      </c>
      <c r="AA259" s="58">
        <v>1051.1174546799875</v>
      </c>
      <c r="AB259" s="58">
        <v>949.4474591014523</v>
      </c>
      <c r="AC259" s="58">
        <v>238.46623949902147</v>
      </c>
      <c r="AD259" s="58">
        <v>3572.3235969067878</v>
      </c>
      <c r="AE259" s="58">
        <v>5353.1310206365224</v>
      </c>
      <c r="AF259" s="58">
        <v>2547.3323905687507</v>
      </c>
      <c r="AG259" s="58">
        <v>5856.7722490818824</v>
      </c>
      <c r="AH259" s="58">
        <v>9969.698320565245</v>
      </c>
      <c r="AI259" s="58">
        <v>8458.0658857818526</v>
      </c>
      <c r="AJ259" s="58">
        <v>5406.0922667677396</v>
      </c>
      <c r="AK259" s="58">
        <v>15972.51931025152</v>
      </c>
      <c r="AL259" s="58">
        <v>5246.8785239526214</v>
      </c>
      <c r="AM259" s="58">
        <v>467.22372955072615</v>
      </c>
      <c r="AN259" s="58">
        <v>5764.3935040560318</v>
      </c>
      <c r="AO259" s="58">
        <v>3665.2848430380054</v>
      </c>
      <c r="AP259" s="58">
        <v>13814.196906418369</v>
      </c>
      <c r="AQ259" s="58">
        <v>5457.927264557009</v>
      </c>
      <c r="AR259" s="58">
        <v>8800.6196197540448</v>
      </c>
      <c r="AS259" s="58">
        <v>7782.5967075904182</v>
      </c>
      <c r="AT259" s="58">
        <v>35751.104379028242</v>
      </c>
      <c r="AU259" s="58">
        <v>4302.3899248350999</v>
      </c>
      <c r="AV259" s="58">
        <v>1975.3599646282826</v>
      </c>
      <c r="AW259" s="58">
        <v>5079.0587273399924</v>
      </c>
      <c r="AX259" s="58">
        <v>67105.55881504748</v>
      </c>
      <c r="AY259" s="58">
        <v>10893.188554902881</v>
      </c>
      <c r="AZ259" s="58">
        <v>1698.9812196024304</v>
      </c>
      <c r="BA259" s="58">
        <v>3104.5836941790067</v>
      </c>
      <c r="BB259" s="58">
        <v>69777.093768622057</v>
      </c>
      <c r="BC259" s="58">
        <v>11557.812497107623</v>
      </c>
      <c r="BD259" s="58">
        <v>73697.767560885783</v>
      </c>
      <c r="BE259" s="58">
        <v>1026386.9063666798</v>
      </c>
      <c r="BF259" s="58">
        <v>35288.856164334124</v>
      </c>
      <c r="BG259" s="58">
        <v>2016.0874944731697</v>
      </c>
      <c r="BH259" s="58">
        <v>188453.36071555543</v>
      </c>
      <c r="BI259" s="58">
        <v>22362.923685336085</v>
      </c>
      <c r="BJ259" s="58">
        <v>125356.70824025068</v>
      </c>
      <c r="BK259" s="58">
        <v>19987.603667650212</v>
      </c>
      <c r="BL259" s="58">
        <v>259.7087494473169</v>
      </c>
      <c r="BM259" s="58">
        <v>24987.141221820479</v>
      </c>
      <c r="BN259" s="58">
        <v>4233.9324789980428</v>
      </c>
      <c r="BO259" s="58">
        <v>3.9999999999999996</v>
      </c>
      <c r="BP259" s="58">
        <v>134233.76778556805</v>
      </c>
      <c r="BQ259" s="58">
        <v>11065.099867356059</v>
      </c>
      <c r="BR259" s="58">
        <v>2786.0874944731704</v>
      </c>
      <c r="BS259" s="58">
        <v>3041.9758345482646</v>
      </c>
      <c r="BT259" s="58">
        <v>30922.52622701546</v>
      </c>
      <c r="BU259" s="58">
        <v>351484.60954170197</v>
      </c>
      <c r="BV259" s="58">
        <v>24345.694607978585</v>
      </c>
      <c r="BW259" s="58">
        <v>70782.21024563376</v>
      </c>
      <c r="BX259" s="58">
        <v>1194.807423729736</v>
      </c>
      <c r="BY259" s="58">
        <v>37750.504417855598</v>
      </c>
      <c r="BZ259" s="58">
        <v>26979.299910848906</v>
      </c>
      <c r="CA259" s="58">
        <v>3538468.1560005355</v>
      </c>
      <c r="CB259" s="58">
        <v>12301.999999999998</v>
      </c>
      <c r="CC259" s="58">
        <v>336907.99999999988</v>
      </c>
      <c r="CD259" s="58">
        <v>54960.48979219114</v>
      </c>
      <c r="CE259" s="58">
        <v>3958.1362350775576</v>
      </c>
      <c r="CF259" s="58">
        <v>622.83499778926762</v>
      </c>
      <c r="CG259" s="58">
        <v>58237.730666919357</v>
      </c>
      <c r="CH259" s="58">
        <v>5002.1307907536011</v>
      </c>
      <c r="CI259" s="58">
        <v>648680.2959236023</v>
      </c>
      <c r="CJ259" s="58">
        <v>475419.04201911087</v>
      </c>
      <c r="CK259" s="58">
        <v>40056.705337736668</v>
      </c>
      <c r="CL259" s="58">
        <v>185434.75959636385</v>
      </c>
      <c r="CM259" s="58">
        <v>106821.93294363019</v>
      </c>
      <c r="CN259" s="58">
        <v>1340686.4137240283</v>
      </c>
      <c r="CO259" s="58">
        <v>320935.45776040549</v>
      </c>
      <c r="CP259" s="58">
        <v>29046.587422772613</v>
      </c>
      <c r="CQ259" s="58">
        <v>112520.55405740174</v>
      </c>
      <c r="CR259" s="58">
        <v>455805.26236720954</v>
      </c>
      <c r="CS259" s="58">
        <v>41157.381403389532</v>
      </c>
      <c r="CT259" s="58">
        <v>238254.2681910368</v>
      </c>
      <c r="CU259" s="58">
        <v>124759.29003034886</v>
      </c>
      <c r="CV259" s="58">
        <v>206863.7241187701</v>
      </c>
      <c r="CW259" s="58">
        <v>36596.929990574827</v>
      </c>
      <c r="CX259" s="58">
        <v>363873.54959446948</v>
      </c>
      <c r="CY259" s="58">
        <v>401283.37660181226</v>
      </c>
      <c r="CZ259" s="58">
        <v>49781.3979235484</v>
      </c>
      <c r="DA259" s="58">
        <v>749332.44347766484</v>
      </c>
      <c r="DB259" s="58">
        <v>40415.373681335404</v>
      </c>
      <c r="DC259" s="58">
        <v>3134.3154438595147</v>
      </c>
      <c r="DD259" s="58">
        <v>450267.04070702678</v>
      </c>
      <c r="DE259" s="58">
        <v>60473.121792579746</v>
      </c>
      <c r="DF259" s="58">
        <v>302400.2482402859</v>
      </c>
      <c r="DG259" s="58">
        <v>247850.22384071999</v>
      </c>
      <c r="DH259" s="58">
        <v>96550.279704524204</v>
      </c>
      <c r="DI259" s="58">
        <v>91126.273433488503</v>
      </c>
      <c r="DJ259" s="58">
        <v>238388.20785021255</v>
      </c>
      <c r="DK259" s="58">
        <v>139564.06830259727</v>
      </c>
      <c r="DL259" s="58">
        <v>547754.23678109166</v>
      </c>
      <c r="DM259" s="58">
        <v>423807.03398272482</v>
      </c>
      <c r="DN259" s="58">
        <v>317928.18046525895</v>
      </c>
      <c r="DO259" s="58">
        <v>44053.000000000015</v>
      </c>
      <c r="DP259" s="58">
        <v>88669.749447316979</v>
      </c>
      <c r="DQ259" s="58">
        <v>146894.32183863784</v>
      </c>
      <c r="DR259" s="58">
        <v>101457.10310799103</v>
      </c>
      <c r="DS259" s="58">
        <v>368592.28420678835</v>
      </c>
      <c r="DT259" s="58">
        <v>39984.998548424257</v>
      </c>
      <c r="DU259" s="58">
        <v>14908.471347568518</v>
      </c>
      <c r="DV259" s="58">
        <v>156712.59883007294</v>
      </c>
      <c r="DW259" s="58">
        <v>496443.04577894515</v>
      </c>
      <c r="DX259" s="58">
        <v>272103.56164334115</v>
      </c>
      <c r="DY259" s="58">
        <v>26845.84022314235</v>
      </c>
      <c r="DZ259" s="58">
        <v>35977.476736711767</v>
      </c>
      <c r="EA259" s="58">
        <v>139825.63025979945</v>
      </c>
      <c r="EB259" s="58">
        <v>110958.54474465569</v>
      </c>
      <c r="EC259" s="58">
        <v>314670.88143545575</v>
      </c>
      <c r="ED259" s="58">
        <v>476464.8864892156</v>
      </c>
      <c r="EE259" s="58">
        <v>396781.99999999983</v>
      </c>
      <c r="EF259" s="58">
        <v>248624.70169211723</v>
      </c>
      <c r="EG259" s="58">
        <v>146590.61756199598</v>
      </c>
      <c r="EH259" s="58">
        <v>69985.000000000058</v>
      </c>
      <c r="EI259" s="58">
        <v>38983.946206085646</v>
      </c>
      <c r="EJ259" s="58">
        <v>62779.583283311702</v>
      </c>
      <c r="EK259" s="58">
        <v>11242.46643194344</v>
      </c>
      <c r="EL259" s="58">
        <v>55374.302505413048</v>
      </c>
      <c r="EM259" s="58">
        <v>119795.06677175607</v>
      </c>
      <c r="EN259" s="58">
        <v>79843.081294730917</v>
      </c>
      <c r="EO259" s="58">
        <v>10943.20549766886</v>
      </c>
      <c r="EP259" s="58">
        <v>18746.719777708782</v>
      </c>
      <c r="EQ259" s="58">
        <v>40402.95296229102</v>
      </c>
      <c r="ER259" s="58">
        <v>40188.619428109698</v>
      </c>
      <c r="ES259" s="58">
        <v>8735.5084144419725</v>
      </c>
      <c r="ET259" s="58">
        <v>107445.58650253859</v>
      </c>
      <c r="EU259" s="58">
        <v>25971.340299937783</v>
      </c>
      <c r="EV259" s="58">
        <v>27009.561643341225</v>
      </c>
      <c r="EW259" s="58">
        <v>86137.300378872635</v>
      </c>
      <c r="EX259" s="58">
        <v>469640.60281869397</v>
      </c>
      <c r="EY259" s="58">
        <v>36470.903932965564</v>
      </c>
      <c r="EZ259" s="58">
        <v>22324.801435607515</v>
      </c>
      <c r="FA259" s="58">
        <v>133252.10328355501</v>
      </c>
      <c r="FB259" s="58">
        <v>290991.30534469173</v>
      </c>
      <c r="FC259" s="58">
        <v>105319.12229303163</v>
      </c>
      <c r="FD259" s="58">
        <v>286324.14643264154</v>
      </c>
      <c r="FE259" s="58">
        <v>39024.626574370908</v>
      </c>
      <c r="FF259" s="58">
        <v>2186.1949624175481</v>
      </c>
      <c r="FG259" s="58">
        <v>109538.53080587453</v>
      </c>
      <c r="FH259" s="58">
        <v>158214.37015368958</v>
      </c>
      <c r="FI259" s="58">
        <v>63648.450555541618</v>
      </c>
      <c r="FJ259" s="58">
        <v>147359.07885376658</v>
      </c>
      <c r="FK259" s="58">
        <v>22316.063335318559</v>
      </c>
      <c r="FL259" s="58">
        <v>689.96243920486177</v>
      </c>
      <c r="FM259" s="58">
        <v>97890.423088126525</v>
      </c>
      <c r="FN259" s="58">
        <v>36175.776874914045</v>
      </c>
      <c r="FO259" s="58">
        <v>14111.976756088576</v>
      </c>
      <c r="FP259" s="58">
        <v>442557.43651801319</v>
      </c>
      <c r="FQ259" s="58">
        <v>14804.965953551971</v>
      </c>
      <c r="FR259" s="58">
        <v>708694.598757072</v>
      </c>
      <c r="FS259" s="58">
        <v>27746.135350784643</v>
      </c>
      <c r="FT259" s="58">
        <v>5464.6042935379419</v>
      </c>
      <c r="FU259" s="58">
        <v>58648.29481362064</v>
      </c>
      <c r="FV259" s="58">
        <v>173076.42613832763</v>
      </c>
      <c r="FW259" s="58">
        <v>496360.97903212125</v>
      </c>
      <c r="FX259" s="58">
        <v>1108486.9518002525</v>
      </c>
      <c r="FY259" s="58">
        <v>79551.424091015986</v>
      </c>
      <c r="FZ259" s="58">
        <v>2442.2724701551142</v>
      </c>
      <c r="GA259" s="58">
        <v>36140.309558956156</v>
      </c>
      <c r="GB259" s="58">
        <v>5658598.3039916428</v>
      </c>
      <c r="GC259" s="58">
        <v>3956947.192534911</v>
      </c>
      <c r="GD259" s="58">
        <v>100293.36724921784</v>
      </c>
      <c r="GE259" s="58">
        <v>188619.42782453346</v>
      </c>
      <c r="GF259" s="58">
        <v>970757.97959398618</v>
      </c>
      <c r="GG259" s="58">
        <v>686865.22230215895</v>
      </c>
      <c r="GH259" s="58">
        <v>846163.96372763789</v>
      </c>
      <c r="GI259" s="58">
        <v>1058.1749889463376</v>
      </c>
      <c r="GJ259" s="58">
        <v>99366.253299793883</v>
      </c>
      <c r="GK259" s="58">
        <v>155412.92832426485</v>
      </c>
      <c r="GL259" s="58">
        <v>215842.05457260684</v>
      </c>
      <c r="GM259" s="58">
        <v>154557.46848217931</v>
      </c>
      <c r="GN259" s="58">
        <v>5569.4961997058399</v>
      </c>
      <c r="GO259" s="58">
        <v>53547.211393982092</v>
      </c>
      <c r="GP259" s="58">
        <v>20035.469818719954</v>
      </c>
      <c r="GQ259" s="58">
        <v>148245.26115698009</v>
      </c>
      <c r="GR259" s="58">
        <v>142694.58428497449</v>
      </c>
      <c r="GS259" s="58">
        <v>1461896.1573699336</v>
      </c>
      <c r="GT259" s="58">
        <v>18334.488098668513</v>
      </c>
      <c r="GU259" s="58">
        <v>1256975.950649742</v>
      </c>
      <c r="GV259" s="58">
        <v>6958.9999999999973</v>
      </c>
      <c r="GW259" s="58">
        <v>2033.6180582719051</v>
      </c>
      <c r="GX259" s="58">
        <v>105720.14766084492</v>
      </c>
      <c r="GY259" s="58">
        <v>33625.704086987738</v>
      </c>
      <c r="GZ259" s="58">
        <v>2596.0000000000005</v>
      </c>
      <c r="HA259" s="58">
        <v>340561.49223509722</v>
      </c>
      <c r="HB259" s="58">
        <v>606769.04370157828</v>
      </c>
      <c r="HC259" s="58">
        <v>749173.31307670777</v>
      </c>
      <c r="HD259" s="58">
        <v>317867.54631061875</v>
      </c>
      <c r="HE259" s="58">
        <v>17499.332257203008</v>
      </c>
      <c r="HF259" s="58">
        <v>87494.873042780106</v>
      </c>
      <c r="HG259" s="58">
        <v>83574.598186477699</v>
      </c>
      <c r="HH259" s="58">
        <v>157400.81908895151</v>
      </c>
      <c r="HI259" s="58">
        <v>229661.87552343518</v>
      </c>
      <c r="HJ259" s="58">
        <v>261189.42363061148</v>
      </c>
      <c r="HK259" s="58">
        <v>12384.883296247193</v>
      </c>
      <c r="HL259" s="58">
        <v>19639.912944936947</v>
      </c>
      <c r="HM259" s="58">
        <v>90103.71458722619</v>
      </c>
      <c r="HN259" s="58">
        <v>26405.020282251935</v>
      </c>
      <c r="HO259" s="58">
        <v>111091.35717838377</v>
      </c>
      <c r="HP259" s="58">
        <v>190406.67927127075</v>
      </c>
      <c r="HQ259" s="58">
        <v>29721.653910108969</v>
      </c>
      <c r="HR259" s="58">
        <v>63380.929051936961</v>
      </c>
      <c r="HS259" s="58">
        <v>106428.38905599696</v>
      </c>
      <c r="HT259" s="58">
        <v>65160.506361856438</v>
      </c>
      <c r="HU259" s="58">
        <v>86171.503091416205</v>
      </c>
      <c r="HV259" s="58">
        <v>1444027.0810468853</v>
      </c>
      <c r="HW259" s="58">
        <v>28700.623773443171</v>
      </c>
      <c r="HX259" s="58">
        <v>84390.305080089034</v>
      </c>
      <c r="HY259" s="58">
        <v>68878.369414107496</v>
      </c>
      <c r="HZ259" s="58">
        <v>115821.77706884184</v>
      </c>
      <c r="IA259" s="58">
        <v>34878.095709902402</v>
      </c>
      <c r="IB259" s="58">
        <v>2282.340232090583</v>
      </c>
      <c r="IC259" s="58">
        <v>103634.00000000001</v>
      </c>
      <c r="ID259" s="58">
        <v>74056</v>
      </c>
      <c r="IE259" s="58">
        <v>50280.999999999993</v>
      </c>
      <c r="IF259" s="58">
        <v>6043.0000000000009</v>
      </c>
      <c r="IG259" s="58">
        <v>255273.03505924219</v>
      </c>
      <c r="IH259" s="58">
        <v>13182.358506372735</v>
      </c>
      <c r="II259" s="58">
        <v>5562.0167124371073</v>
      </c>
      <c r="IJ259" s="58">
        <v>516244.49982755078</v>
      </c>
      <c r="IK259" s="58">
        <v>206484.14271829845</v>
      </c>
      <c r="IL259" s="58">
        <v>302324.57275806431</v>
      </c>
      <c r="IM259" s="58">
        <v>215939.63160507948</v>
      </c>
      <c r="IN259" s="58">
        <v>183582.58441882601</v>
      </c>
      <c r="IO259" s="58">
        <v>0</v>
      </c>
      <c r="IP259" s="33">
        <v>49999588.410751581</v>
      </c>
      <c r="IQ259" s="34">
        <v>45444492</v>
      </c>
      <c r="IR259" s="34">
        <v>11726752</v>
      </c>
      <c r="IS259" s="34">
        <v>878911</v>
      </c>
      <c r="IT259" s="34">
        <v>18859077</v>
      </c>
      <c r="IU259" s="34">
        <v>9456</v>
      </c>
      <c r="IV259" s="34">
        <v>25032848</v>
      </c>
      <c r="IW259" s="38"/>
    </row>
    <row r="260" spans="1:257" ht="30" customHeight="1" thickBot="1" x14ac:dyDescent="0.3">
      <c r="B260" s="4"/>
      <c r="C260" s="4"/>
      <c r="D260" s="11" t="s">
        <v>504</v>
      </c>
      <c r="E260" s="59">
        <v>90307</v>
      </c>
      <c r="F260" s="60">
        <v>24893</v>
      </c>
      <c r="G260" s="60">
        <v>17781</v>
      </c>
      <c r="H260" s="60">
        <v>122</v>
      </c>
      <c r="I260" s="60">
        <v>1258</v>
      </c>
      <c r="J260" s="60">
        <v>4477</v>
      </c>
      <c r="K260" s="60">
        <v>9931</v>
      </c>
      <c r="L260" s="60">
        <v>332</v>
      </c>
      <c r="M260" s="60">
        <v>18</v>
      </c>
      <c r="N260" s="60">
        <v>67</v>
      </c>
      <c r="O260" s="60">
        <v>18792</v>
      </c>
      <c r="P260" s="60">
        <v>2708</v>
      </c>
      <c r="Q260" s="60">
        <v>258</v>
      </c>
      <c r="R260" s="60">
        <v>13763</v>
      </c>
      <c r="S260" s="60">
        <v>214</v>
      </c>
      <c r="T260" s="60">
        <v>3017</v>
      </c>
      <c r="U260" s="60">
        <v>374</v>
      </c>
      <c r="V260" s="60">
        <v>823</v>
      </c>
      <c r="W260" s="60">
        <v>1266</v>
      </c>
      <c r="X260" s="60">
        <v>85</v>
      </c>
      <c r="Y260" s="60">
        <v>642</v>
      </c>
      <c r="Z260" s="60">
        <v>1520</v>
      </c>
      <c r="AA260" s="60">
        <v>112</v>
      </c>
      <c r="AB260" s="60">
        <v>99</v>
      </c>
      <c r="AC260" s="60">
        <v>24</v>
      </c>
      <c r="AD260" s="60">
        <v>374</v>
      </c>
      <c r="AE260" s="60">
        <v>558</v>
      </c>
      <c r="AF260" s="60">
        <v>266</v>
      </c>
      <c r="AG260" s="60">
        <v>629</v>
      </c>
      <c r="AH260" s="60">
        <v>1041</v>
      </c>
      <c r="AI260" s="60">
        <v>886</v>
      </c>
      <c r="AJ260" s="60">
        <v>583</v>
      </c>
      <c r="AK260" s="60">
        <v>1673</v>
      </c>
      <c r="AL260" s="60">
        <v>549</v>
      </c>
      <c r="AM260" s="60">
        <v>47</v>
      </c>
      <c r="AN260" s="60">
        <v>598</v>
      </c>
      <c r="AO260" s="60">
        <v>401</v>
      </c>
      <c r="AP260" s="60">
        <v>1462</v>
      </c>
      <c r="AQ260" s="60">
        <v>573</v>
      </c>
      <c r="AR260" s="60">
        <v>923</v>
      </c>
      <c r="AS260" s="60">
        <v>801</v>
      </c>
      <c r="AT260" s="60">
        <v>36348</v>
      </c>
      <c r="AU260" s="60">
        <v>4897</v>
      </c>
      <c r="AV260" s="60">
        <v>2132</v>
      </c>
      <c r="AW260" s="60">
        <v>1374</v>
      </c>
      <c r="AX260" s="60">
        <v>71197</v>
      </c>
      <c r="AY260" s="60">
        <v>11718</v>
      </c>
      <c r="AZ260" s="60">
        <v>1834</v>
      </c>
      <c r="BA260" s="60">
        <v>3349</v>
      </c>
      <c r="BB260" s="60">
        <v>74005</v>
      </c>
      <c r="BC260" s="60">
        <v>12568</v>
      </c>
      <c r="BD260" s="60">
        <v>3592</v>
      </c>
      <c r="BE260" s="60">
        <v>101478</v>
      </c>
      <c r="BF260" s="60">
        <v>3312</v>
      </c>
      <c r="BG260" s="60">
        <v>222</v>
      </c>
      <c r="BH260" s="60">
        <v>32075</v>
      </c>
      <c r="BI260" s="60">
        <v>2494</v>
      </c>
      <c r="BJ260" s="60">
        <v>24822</v>
      </c>
      <c r="BK260" s="60">
        <v>6548</v>
      </c>
      <c r="BL260" s="60">
        <v>29</v>
      </c>
      <c r="BM260" s="60">
        <v>21317</v>
      </c>
      <c r="BN260" s="60">
        <v>4749</v>
      </c>
      <c r="BO260" s="60">
        <v>0</v>
      </c>
      <c r="BP260" s="60">
        <v>427</v>
      </c>
      <c r="BQ260" s="60">
        <v>10220</v>
      </c>
      <c r="BR260" s="60">
        <v>22</v>
      </c>
      <c r="BS260" s="60">
        <v>22</v>
      </c>
      <c r="BT260" s="60">
        <v>14742</v>
      </c>
      <c r="BU260" s="60">
        <v>132404</v>
      </c>
      <c r="BV260" s="60">
        <v>64815</v>
      </c>
      <c r="BW260" s="60">
        <v>32471</v>
      </c>
      <c r="BX260" s="60">
        <v>3340</v>
      </c>
      <c r="BY260" s="60">
        <v>8767</v>
      </c>
      <c r="BZ260" s="60">
        <v>6451</v>
      </c>
      <c r="CA260" s="60">
        <v>437277</v>
      </c>
      <c r="CB260" s="60">
        <v>1496</v>
      </c>
      <c r="CC260" s="60">
        <v>107015</v>
      </c>
      <c r="CD260" s="60">
        <v>4555</v>
      </c>
      <c r="CE260" s="60">
        <v>333</v>
      </c>
      <c r="CF260" s="60">
        <v>116</v>
      </c>
      <c r="CG260" s="60">
        <v>10860</v>
      </c>
      <c r="CH260" s="60">
        <v>874</v>
      </c>
      <c r="CI260" s="60">
        <v>3364.709508256341</v>
      </c>
      <c r="CJ260" s="60">
        <v>1449</v>
      </c>
      <c r="CK260" s="60">
        <v>101</v>
      </c>
      <c r="CL260" s="60">
        <v>95947.290491743654</v>
      </c>
      <c r="CM260" s="60">
        <v>7485</v>
      </c>
      <c r="CN260" s="60">
        <v>23906</v>
      </c>
      <c r="CO260" s="60">
        <v>7327</v>
      </c>
      <c r="CP260" s="60">
        <v>943</v>
      </c>
      <c r="CQ260" s="60">
        <v>3640</v>
      </c>
      <c r="CR260" s="60">
        <v>95799</v>
      </c>
      <c r="CS260" s="60">
        <v>2655</v>
      </c>
      <c r="CT260" s="60">
        <v>12560</v>
      </c>
      <c r="CU260" s="60">
        <v>133618</v>
      </c>
      <c r="CV260" s="60">
        <v>51683</v>
      </c>
      <c r="CW260" s="60">
        <v>1906</v>
      </c>
      <c r="CX260" s="60">
        <v>23622.853854100886</v>
      </c>
      <c r="CY260" s="60">
        <v>35530.146145899118</v>
      </c>
      <c r="CZ260" s="60">
        <v>191909.44960929791</v>
      </c>
      <c r="DA260" s="60">
        <v>235.01650803764323</v>
      </c>
      <c r="DB260" s="60">
        <v>2101.5046063317513</v>
      </c>
      <c r="DC260" s="60">
        <v>2.9276332705649177E-2</v>
      </c>
      <c r="DD260" s="60">
        <v>41781</v>
      </c>
      <c r="DE260" s="60">
        <v>5152</v>
      </c>
      <c r="DF260" s="60">
        <v>12544</v>
      </c>
      <c r="DG260" s="60">
        <v>27029</v>
      </c>
      <c r="DH260" s="60">
        <v>33408.704705640004</v>
      </c>
      <c r="DI260" s="60">
        <v>2299.2952943599994</v>
      </c>
      <c r="DJ260" s="60">
        <v>154186</v>
      </c>
      <c r="DK260" s="60">
        <v>7724</v>
      </c>
      <c r="DL260" s="60">
        <v>50724</v>
      </c>
      <c r="DM260" s="60">
        <v>31576</v>
      </c>
      <c r="DN260" s="60">
        <v>69479</v>
      </c>
      <c r="DO260" s="60">
        <v>1889</v>
      </c>
      <c r="DP260" s="60">
        <v>60675</v>
      </c>
      <c r="DQ260" s="60">
        <v>67680</v>
      </c>
      <c r="DR260" s="60">
        <v>36698</v>
      </c>
      <c r="DS260" s="60">
        <v>105001</v>
      </c>
      <c r="DT260" s="60">
        <v>1564</v>
      </c>
      <c r="DU260" s="60">
        <v>1748</v>
      </c>
      <c r="DV260" s="60">
        <v>41752</v>
      </c>
      <c r="DW260" s="60">
        <v>30590</v>
      </c>
      <c r="DX260" s="60">
        <v>11925</v>
      </c>
      <c r="DY260" s="60">
        <v>2617</v>
      </c>
      <c r="DZ260" s="60">
        <v>1524</v>
      </c>
      <c r="EA260" s="60">
        <v>29434</v>
      </c>
      <c r="EB260" s="60">
        <v>40574</v>
      </c>
      <c r="EC260" s="60">
        <v>244656</v>
      </c>
      <c r="ED260" s="60">
        <v>1913251</v>
      </c>
      <c r="EE260" s="60">
        <v>103514</v>
      </c>
      <c r="EF260" s="60">
        <v>74641</v>
      </c>
      <c r="EG260" s="60">
        <v>45569</v>
      </c>
      <c r="EH260" s="60">
        <v>36363</v>
      </c>
      <c r="EI260" s="60">
        <v>72376</v>
      </c>
      <c r="EJ260" s="60">
        <v>52457</v>
      </c>
      <c r="EK260" s="60">
        <v>25109</v>
      </c>
      <c r="EL260" s="60">
        <v>68853</v>
      </c>
      <c r="EM260" s="60">
        <v>219615</v>
      </c>
      <c r="EN260" s="60">
        <v>131129</v>
      </c>
      <c r="EO260" s="60">
        <v>12643</v>
      </c>
      <c r="EP260" s="60">
        <v>44492</v>
      </c>
      <c r="EQ260" s="60">
        <v>64657</v>
      </c>
      <c r="ER260" s="60">
        <v>62080</v>
      </c>
      <c r="ES260" s="60">
        <v>2452</v>
      </c>
      <c r="ET260" s="60">
        <v>600746</v>
      </c>
      <c r="EU260" s="60">
        <v>6037</v>
      </c>
      <c r="EV260" s="60">
        <v>1111</v>
      </c>
      <c r="EW260" s="60">
        <v>21578</v>
      </c>
      <c r="EX260" s="60">
        <v>118021</v>
      </c>
      <c r="EY260" s="60">
        <v>8274</v>
      </c>
      <c r="EZ260" s="60">
        <v>13463</v>
      </c>
      <c r="FA260" s="60">
        <v>208391</v>
      </c>
      <c r="FB260" s="60">
        <v>278</v>
      </c>
      <c r="FC260" s="60">
        <v>145932</v>
      </c>
      <c r="FD260" s="60">
        <v>234967</v>
      </c>
      <c r="FE260" s="60">
        <v>27053</v>
      </c>
      <c r="FF260" s="60">
        <v>835</v>
      </c>
      <c r="FG260" s="60">
        <v>287707</v>
      </c>
      <c r="FH260" s="60">
        <v>66183</v>
      </c>
      <c r="FI260" s="60">
        <v>37134.1</v>
      </c>
      <c r="FJ260" s="60">
        <v>36968.26</v>
      </c>
      <c r="FK260" s="60">
        <v>10900.9</v>
      </c>
      <c r="FL260" s="60">
        <v>393</v>
      </c>
      <c r="FM260" s="60">
        <v>37636</v>
      </c>
      <c r="FN260" s="60">
        <v>7901.74</v>
      </c>
      <c r="FO260" s="60">
        <v>13911</v>
      </c>
      <c r="FP260" s="60">
        <v>553028</v>
      </c>
      <c r="FQ260" s="60">
        <v>17156</v>
      </c>
      <c r="FR260" s="60">
        <v>53724</v>
      </c>
      <c r="FS260" s="60">
        <v>11801</v>
      </c>
      <c r="FT260" s="60">
        <v>2718</v>
      </c>
      <c r="FU260" s="60">
        <v>26592</v>
      </c>
      <c r="FV260" s="60">
        <v>79911</v>
      </c>
      <c r="FW260" s="60">
        <v>261611</v>
      </c>
      <c r="FX260" s="60">
        <v>41872</v>
      </c>
      <c r="FY260" s="60">
        <v>10670</v>
      </c>
      <c r="FZ260" s="60">
        <v>303</v>
      </c>
      <c r="GA260" s="60">
        <v>5804</v>
      </c>
      <c r="GB260" s="60">
        <v>814816</v>
      </c>
      <c r="GC260" s="60">
        <v>750756</v>
      </c>
      <c r="GD260" s="60">
        <v>37183</v>
      </c>
      <c r="GE260" s="60">
        <v>49505</v>
      </c>
      <c r="GF260" s="60">
        <v>185768</v>
      </c>
      <c r="GG260" s="60">
        <v>665765</v>
      </c>
      <c r="GH260" s="60">
        <v>590451</v>
      </c>
      <c r="GI260" s="60">
        <v>1161.01</v>
      </c>
      <c r="GJ260" s="60">
        <v>17947</v>
      </c>
      <c r="GK260" s="60">
        <v>150027</v>
      </c>
      <c r="GL260" s="60">
        <v>95333.989999999991</v>
      </c>
      <c r="GM260" s="60">
        <v>59326</v>
      </c>
      <c r="GN260" s="60">
        <v>1423</v>
      </c>
      <c r="GO260" s="60">
        <v>13868</v>
      </c>
      <c r="GP260" s="60">
        <v>5119</v>
      </c>
      <c r="GQ260" s="60">
        <v>37785</v>
      </c>
      <c r="GR260" s="60">
        <v>172</v>
      </c>
      <c r="GS260" s="60">
        <v>170407</v>
      </c>
      <c r="GT260" s="60">
        <v>510</v>
      </c>
      <c r="GU260" s="60">
        <v>29515</v>
      </c>
      <c r="GV260" s="60">
        <v>167</v>
      </c>
      <c r="GW260" s="60">
        <v>47</v>
      </c>
      <c r="GX260" s="60">
        <v>2540</v>
      </c>
      <c r="GY260" s="60">
        <v>122574</v>
      </c>
      <c r="GZ260" s="60">
        <v>1777</v>
      </c>
      <c r="HA260" s="60">
        <v>63784</v>
      </c>
      <c r="HB260" s="60">
        <v>10214</v>
      </c>
      <c r="HC260" s="60">
        <v>23004</v>
      </c>
      <c r="HD260" s="60">
        <v>6233</v>
      </c>
      <c r="HE260" s="60">
        <v>2283</v>
      </c>
      <c r="HF260" s="60">
        <v>11138</v>
      </c>
      <c r="HG260" s="60">
        <v>10641</v>
      </c>
      <c r="HH260" s="60">
        <v>19464</v>
      </c>
      <c r="HI260" s="60">
        <v>29160</v>
      </c>
      <c r="HJ260" s="60">
        <v>33269</v>
      </c>
      <c r="HK260" s="60">
        <v>1582</v>
      </c>
      <c r="HL260" s="60">
        <v>1622</v>
      </c>
      <c r="HM260" s="60">
        <v>8842</v>
      </c>
      <c r="HN260" s="60">
        <v>3384</v>
      </c>
      <c r="HO260" s="60">
        <v>14143</v>
      </c>
      <c r="HP260" s="60">
        <v>24236</v>
      </c>
      <c r="HQ260" s="60">
        <v>3787</v>
      </c>
      <c r="HR260" s="60">
        <v>7081</v>
      </c>
      <c r="HS260" s="60">
        <v>13597</v>
      </c>
      <c r="HT260" s="60">
        <v>8297</v>
      </c>
      <c r="HU260" s="60">
        <v>10969</v>
      </c>
      <c r="HV260" s="60">
        <v>185596</v>
      </c>
      <c r="HW260" s="60">
        <v>110</v>
      </c>
      <c r="HX260" s="60">
        <v>70539</v>
      </c>
      <c r="HY260" s="60">
        <v>58666</v>
      </c>
      <c r="HZ260" s="60">
        <v>124846</v>
      </c>
      <c r="IA260" s="60">
        <v>42420</v>
      </c>
      <c r="IB260" s="60">
        <v>2358</v>
      </c>
      <c r="IC260" s="60">
        <v>69</v>
      </c>
      <c r="ID260" s="60">
        <v>43</v>
      </c>
      <c r="IE260" s="60">
        <v>28</v>
      </c>
      <c r="IF260" s="60">
        <v>4</v>
      </c>
      <c r="IG260" s="60">
        <v>222501</v>
      </c>
      <c r="IH260" s="60">
        <v>8496</v>
      </c>
      <c r="II260" s="60">
        <v>4763</v>
      </c>
      <c r="IJ260" s="60">
        <v>158002</v>
      </c>
      <c r="IK260" s="60">
        <v>75923</v>
      </c>
      <c r="IL260" s="60">
        <v>41904</v>
      </c>
      <c r="IM260" s="60">
        <v>42302</v>
      </c>
      <c r="IN260" s="60">
        <v>28543</v>
      </c>
      <c r="IO260" s="60">
        <v>0</v>
      </c>
      <c r="IP260" s="35">
        <v>14328125</v>
      </c>
      <c r="IQ260" s="35">
        <v>6657992</v>
      </c>
      <c r="IR260" s="35">
        <v>0</v>
      </c>
      <c r="IS260" s="36">
        <v>0</v>
      </c>
      <c r="IT260" s="35">
        <v>4848761</v>
      </c>
      <c r="IU260" s="35">
        <v>670030</v>
      </c>
      <c r="IV260" s="12">
        <v>1281995</v>
      </c>
      <c r="IW260" s="38"/>
    </row>
    <row r="261" spans="1:257" ht="30" customHeight="1" thickBot="1" x14ac:dyDescent="0.3">
      <c r="B261" s="4"/>
      <c r="C261" s="4"/>
      <c r="D261" s="67" t="s">
        <v>4</v>
      </c>
      <c r="E261" s="61">
        <v>568853.00467375969</v>
      </c>
      <c r="F261" s="62">
        <v>212037.3625261905</v>
      </c>
      <c r="G261" s="62">
        <v>113049.10790313018</v>
      </c>
      <c r="H261" s="62">
        <v>1241.8449845248738</v>
      </c>
      <c r="I261" s="62">
        <v>12782.954838616541</v>
      </c>
      <c r="J261" s="62">
        <v>45591.303324398847</v>
      </c>
      <c r="K261" s="62">
        <v>101257.66747606554</v>
      </c>
      <c r="L261" s="62">
        <v>3377.5737074434023</v>
      </c>
      <c r="M261" s="62">
        <v>188.83499778926762</v>
      </c>
      <c r="N261" s="62">
        <v>679.72583924137484</v>
      </c>
      <c r="O261" s="62">
        <v>187107.81475758654</v>
      </c>
      <c r="P261" s="62">
        <v>26879.425850410127</v>
      </c>
      <c r="Q261" s="62">
        <v>2569.1949624175504</v>
      </c>
      <c r="R261" s="62">
        <v>122648.24551365706</v>
      </c>
      <c r="S261" s="62">
        <v>638.50499336780331</v>
      </c>
      <c r="T261" s="62">
        <v>32037.103755357712</v>
      </c>
      <c r="U261" s="62">
        <v>3970.0323463541022</v>
      </c>
      <c r="V261" s="62">
        <v>8772.8809100999042</v>
      </c>
      <c r="W261" s="62">
        <v>13345.059478267172</v>
      </c>
      <c r="X261" s="62">
        <v>250.50499336780305</v>
      </c>
      <c r="Y261" s="62">
        <v>6149.3447634516424</v>
      </c>
      <c r="Z261" s="62">
        <v>16156.14472775399</v>
      </c>
      <c r="AA261" s="62">
        <v>1163.1174546799875</v>
      </c>
      <c r="AB261" s="62">
        <v>1048.4474591014523</v>
      </c>
      <c r="AC261" s="62">
        <v>262.46623949902147</v>
      </c>
      <c r="AD261" s="62">
        <v>3946.3235969067878</v>
      </c>
      <c r="AE261" s="62">
        <v>5911.1310206365224</v>
      </c>
      <c r="AF261" s="62">
        <v>2813.3323905687507</v>
      </c>
      <c r="AG261" s="62">
        <v>6485.7722490818824</v>
      </c>
      <c r="AH261" s="62">
        <v>11010.698320565245</v>
      </c>
      <c r="AI261" s="62">
        <v>9344.0658857818526</v>
      </c>
      <c r="AJ261" s="62">
        <v>5989.0922667677396</v>
      </c>
      <c r="AK261" s="62">
        <v>17645.519310251519</v>
      </c>
      <c r="AL261" s="62">
        <v>5795.8785239526214</v>
      </c>
      <c r="AM261" s="62">
        <v>514.22372955072615</v>
      </c>
      <c r="AN261" s="62">
        <v>6362.3935040560318</v>
      </c>
      <c r="AO261" s="62">
        <v>4066.2848430380054</v>
      </c>
      <c r="AP261" s="62">
        <v>15276.196906418369</v>
      </c>
      <c r="AQ261" s="62">
        <v>6030.927264557009</v>
      </c>
      <c r="AR261" s="62">
        <v>9723.6196197540448</v>
      </c>
      <c r="AS261" s="62">
        <v>8583.5967075904191</v>
      </c>
      <c r="AT261" s="62">
        <v>72099.104379028242</v>
      </c>
      <c r="AU261" s="62">
        <v>9199.3899248351008</v>
      </c>
      <c r="AV261" s="62">
        <v>4107.3599646282828</v>
      </c>
      <c r="AW261" s="62">
        <v>6453.0587273399924</v>
      </c>
      <c r="AX261" s="62">
        <v>138302.55881504749</v>
      </c>
      <c r="AY261" s="62">
        <v>22611.188554902881</v>
      </c>
      <c r="AZ261" s="62">
        <v>3532.9812196024304</v>
      </c>
      <c r="BA261" s="62">
        <v>6453.5836941790067</v>
      </c>
      <c r="BB261" s="62">
        <v>143782.09376862206</v>
      </c>
      <c r="BC261" s="62">
        <v>24125.812497107625</v>
      </c>
      <c r="BD261" s="62">
        <v>77289.767560885783</v>
      </c>
      <c r="BE261" s="62">
        <v>1127864.9063666798</v>
      </c>
      <c r="BF261" s="62">
        <v>38600.856164334124</v>
      </c>
      <c r="BG261" s="62">
        <v>2238.0874944731695</v>
      </c>
      <c r="BH261" s="62">
        <v>220528.36071555543</v>
      </c>
      <c r="BI261" s="62">
        <v>24856.923685336085</v>
      </c>
      <c r="BJ261" s="62">
        <v>150178.70824025068</v>
      </c>
      <c r="BK261" s="62">
        <v>26535.603667650212</v>
      </c>
      <c r="BL261" s="62">
        <v>288.7087494473169</v>
      </c>
      <c r="BM261" s="62">
        <v>46304.141221820479</v>
      </c>
      <c r="BN261" s="62">
        <v>8982.9324789980419</v>
      </c>
      <c r="BO261" s="62">
        <v>3.9999999999999996</v>
      </c>
      <c r="BP261" s="62">
        <v>134660.76778556805</v>
      </c>
      <c r="BQ261" s="62">
        <v>21285.099867356061</v>
      </c>
      <c r="BR261" s="62">
        <v>2808.0874944731704</v>
      </c>
      <c r="BS261" s="62">
        <v>3063.9758345482646</v>
      </c>
      <c r="BT261" s="62">
        <v>45664.526227015464</v>
      </c>
      <c r="BU261" s="62">
        <v>483888.60954170197</v>
      </c>
      <c r="BV261" s="62">
        <v>89160.694607978585</v>
      </c>
      <c r="BW261" s="62">
        <v>103253.21024563376</v>
      </c>
      <c r="BX261" s="62">
        <v>4534.807423729736</v>
      </c>
      <c r="BY261" s="62">
        <v>46517.504417855598</v>
      </c>
      <c r="BZ261" s="62">
        <v>33430.299910848902</v>
      </c>
      <c r="CA261" s="62">
        <v>3975745.1560005355</v>
      </c>
      <c r="CB261" s="62">
        <v>13797.999999999998</v>
      </c>
      <c r="CC261" s="62">
        <v>443922.99999999988</v>
      </c>
      <c r="CD261" s="62">
        <v>59515.48979219114</v>
      </c>
      <c r="CE261" s="62">
        <v>4291.136235077558</v>
      </c>
      <c r="CF261" s="62">
        <v>738.83499778926762</v>
      </c>
      <c r="CG261" s="62">
        <v>69097.730666919349</v>
      </c>
      <c r="CH261" s="62">
        <v>5876.1307907536011</v>
      </c>
      <c r="CI261" s="62">
        <v>652045.00543185859</v>
      </c>
      <c r="CJ261" s="62">
        <v>476868.04201911087</v>
      </c>
      <c r="CK261" s="62">
        <v>40157.705337736668</v>
      </c>
      <c r="CL261" s="62">
        <v>281382.05008810747</v>
      </c>
      <c r="CM261" s="62">
        <v>114306.93294363019</v>
      </c>
      <c r="CN261" s="62">
        <v>1364592.4137240283</v>
      </c>
      <c r="CO261" s="62">
        <v>328262.45776040549</v>
      </c>
      <c r="CP261" s="62">
        <v>29989.587422772613</v>
      </c>
      <c r="CQ261" s="62">
        <v>116160.55405740174</v>
      </c>
      <c r="CR261" s="62">
        <v>551604.26236720954</v>
      </c>
      <c r="CS261" s="62">
        <v>43812.381403389532</v>
      </c>
      <c r="CT261" s="62">
        <v>250814.2681910368</v>
      </c>
      <c r="CU261" s="62">
        <v>258377.29003034887</v>
      </c>
      <c r="CV261" s="62">
        <v>258546.7241187701</v>
      </c>
      <c r="CW261" s="62">
        <v>38502.929990574827</v>
      </c>
      <c r="CX261" s="62">
        <v>387496.40344857035</v>
      </c>
      <c r="CY261" s="62">
        <v>436813.52274771139</v>
      </c>
      <c r="CZ261" s="62">
        <v>241690.84753284632</v>
      </c>
      <c r="DA261" s="62">
        <v>749567.45998570253</v>
      </c>
      <c r="DB261" s="62">
        <v>42516.878287667154</v>
      </c>
      <c r="DC261" s="62">
        <v>3134.3447201922204</v>
      </c>
      <c r="DD261" s="62">
        <v>492048.04070702678</v>
      </c>
      <c r="DE261" s="62">
        <v>65625.121792579739</v>
      </c>
      <c r="DF261" s="62">
        <v>314944.2482402859</v>
      </c>
      <c r="DG261" s="62">
        <v>274879.22384072002</v>
      </c>
      <c r="DH261" s="62">
        <v>129958.984410164</v>
      </c>
      <c r="DI261" s="62">
        <v>93425.568727848004</v>
      </c>
      <c r="DJ261" s="62">
        <v>392574.20785021258</v>
      </c>
      <c r="DK261" s="62">
        <v>147288.06830259727</v>
      </c>
      <c r="DL261" s="62">
        <v>598478.23678109166</v>
      </c>
      <c r="DM261" s="62">
        <v>455383.03398272482</v>
      </c>
      <c r="DN261" s="62">
        <v>387407.18046525895</v>
      </c>
      <c r="DO261" s="62">
        <v>45942.000000000015</v>
      </c>
      <c r="DP261" s="62">
        <v>149344.74944731698</v>
      </c>
      <c r="DQ261" s="62">
        <v>214574.32183863784</v>
      </c>
      <c r="DR261" s="62">
        <v>138155.10310799105</v>
      </c>
      <c r="DS261" s="62">
        <v>473593.28420678835</v>
      </c>
      <c r="DT261" s="62">
        <v>41548.998548424257</v>
      </c>
      <c r="DU261" s="62">
        <v>16656.47134756852</v>
      </c>
      <c r="DV261" s="62">
        <v>198464.59883007294</v>
      </c>
      <c r="DW261" s="62">
        <v>527033.04577894509</v>
      </c>
      <c r="DX261" s="62">
        <v>284028.56164334115</v>
      </c>
      <c r="DY261" s="62">
        <v>29462.84022314235</v>
      </c>
      <c r="DZ261" s="62">
        <v>37501.476736711767</v>
      </c>
      <c r="EA261" s="62">
        <v>169259.63025979945</v>
      </c>
      <c r="EB261" s="62">
        <v>151532.54474465569</v>
      </c>
      <c r="EC261" s="62">
        <v>559326.88143545575</v>
      </c>
      <c r="ED261" s="62">
        <v>2389715.8864892158</v>
      </c>
      <c r="EE261" s="62">
        <v>500295.99999999983</v>
      </c>
      <c r="EF261" s="62">
        <v>323265.70169211726</v>
      </c>
      <c r="EG261" s="62">
        <v>192159.61756199598</v>
      </c>
      <c r="EH261" s="62">
        <v>106348.00000000006</v>
      </c>
      <c r="EI261" s="62">
        <v>111359.94620608565</v>
      </c>
      <c r="EJ261" s="62">
        <v>115236.5832833117</v>
      </c>
      <c r="EK261" s="62">
        <v>36351.466431943438</v>
      </c>
      <c r="EL261" s="62">
        <v>124227.30250541304</v>
      </c>
      <c r="EM261" s="62">
        <v>339410.06677175604</v>
      </c>
      <c r="EN261" s="62">
        <v>210972.08129473092</v>
      </c>
      <c r="EO261" s="62">
        <v>23586.20549766886</v>
      </c>
      <c r="EP261" s="62">
        <v>63238.719777708786</v>
      </c>
      <c r="EQ261" s="62">
        <v>105059.95296229102</v>
      </c>
      <c r="ER261" s="62">
        <v>102268.6194281097</v>
      </c>
      <c r="ES261" s="62">
        <v>11187.508414441972</v>
      </c>
      <c r="ET261" s="62">
        <v>708191.58650253853</v>
      </c>
      <c r="EU261" s="62">
        <v>32008.340299937783</v>
      </c>
      <c r="EV261" s="62">
        <v>28120.561643341225</v>
      </c>
      <c r="EW261" s="62">
        <v>107715.30037887263</v>
      </c>
      <c r="EX261" s="62">
        <v>587661.60281869397</v>
      </c>
      <c r="EY261" s="62">
        <v>44744.903932965564</v>
      </c>
      <c r="EZ261" s="62">
        <v>35787.801435607515</v>
      </c>
      <c r="FA261" s="62">
        <v>341643.10328355501</v>
      </c>
      <c r="FB261" s="62">
        <v>291269.30534469173</v>
      </c>
      <c r="FC261" s="62">
        <v>251251.12229303163</v>
      </c>
      <c r="FD261" s="62">
        <v>521291.14643264154</v>
      </c>
      <c r="FE261" s="62">
        <v>66077.626574370908</v>
      </c>
      <c r="FF261" s="62">
        <v>3021.1949624175481</v>
      </c>
      <c r="FG261" s="62">
        <v>397245.5308058745</v>
      </c>
      <c r="FH261" s="62">
        <v>224397.37015368958</v>
      </c>
      <c r="FI261" s="62">
        <v>100782.55055554162</v>
      </c>
      <c r="FJ261" s="62">
        <v>184327.33885376659</v>
      </c>
      <c r="FK261" s="62">
        <v>33216.963335318556</v>
      </c>
      <c r="FL261" s="62">
        <v>1082.9624392048618</v>
      </c>
      <c r="FM261" s="62">
        <v>135526.42308812652</v>
      </c>
      <c r="FN261" s="62">
        <v>44077.516874914043</v>
      </c>
      <c r="FO261" s="62">
        <v>28022.976756088574</v>
      </c>
      <c r="FP261" s="62">
        <v>995585.43651801324</v>
      </c>
      <c r="FQ261" s="62">
        <v>31960.965953551971</v>
      </c>
      <c r="FR261" s="62">
        <v>762418.598757072</v>
      </c>
      <c r="FS261" s="62">
        <v>39547.135350784643</v>
      </c>
      <c r="FT261" s="62">
        <v>8182.6042935379419</v>
      </c>
      <c r="FU261" s="62">
        <v>85240.29481362064</v>
      </c>
      <c r="FV261" s="62">
        <v>252987.42613832763</v>
      </c>
      <c r="FW261" s="62">
        <v>757971.97903212125</v>
      </c>
      <c r="FX261" s="62">
        <v>1150358.9518002525</v>
      </c>
      <c r="FY261" s="62">
        <v>90221.424091015986</v>
      </c>
      <c r="FZ261" s="62">
        <v>2745.2724701551142</v>
      </c>
      <c r="GA261" s="62">
        <v>41944.309558956156</v>
      </c>
      <c r="GB261" s="62">
        <v>6473414.3039916428</v>
      </c>
      <c r="GC261" s="62">
        <v>4707703.1925349105</v>
      </c>
      <c r="GD261" s="62">
        <v>137476.36724921784</v>
      </c>
      <c r="GE261" s="62">
        <v>238124.42782453346</v>
      </c>
      <c r="GF261" s="62">
        <v>1156525.9795939862</v>
      </c>
      <c r="GG261" s="62">
        <v>1352630.2223021588</v>
      </c>
      <c r="GH261" s="62">
        <v>1436614.9637276379</v>
      </c>
      <c r="GI261" s="62">
        <v>2219.1849889463374</v>
      </c>
      <c r="GJ261" s="62">
        <v>117313.25329979388</v>
      </c>
      <c r="GK261" s="62">
        <v>305439.92832426482</v>
      </c>
      <c r="GL261" s="62">
        <v>311176.0445726068</v>
      </c>
      <c r="GM261" s="62">
        <v>213883.46848217931</v>
      </c>
      <c r="GN261" s="62">
        <v>6992.4961997058399</v>
      </c>
      <c r="GO261" s="62">
        <v>67415.211393982085</v>
      </c>
      <c r="GP261" s="62">
        <v>25154.469818719954</v>
      </c>
      <c r="GQ261" s="62">
        <v>186030.26115698009</v>
      </c>
      <c r="GR261" s="62">
        <v>142866.58428497449</v>
      </c>
      <c r="GS261" s="62">
        <v>1632303.1573699336</v>
      </c>
      <c r="GT261" s="62">
        <v>18844.488098668513</v>
      </c>
      <c r="GU261" s="62">
        <v>1286490.950649742</v>
      </c>
      <c r="GV261" s="62">
        <v>7125.9999999999973</v>
      </c>
      <c r="GW261" s="62">
        <v>2080.6180582719053</v>
      </c>
      <c r="GX261" s="62">
        <v>108260.14766084492</v>
      </c>
      <c r="GY261" s="62">
        <v>156199.70408698774</v>
      </c>
      <c r="GZ261" s="62">
        <v>4373</v>
      </c>
      <c r="HA261" s="62">
        <v>404345.49223509722</v>
      </c>
      <c r="HB261" s="62">
        <v>616983.04370157828</v>
      </c>
      <c r="HC261" s="62">
        <v>772177.31307670777</v>
      </c>
      <c r="HD261" s="62">
        <v>324100.54631061875</v>
      </c>
      <c r="HE261" s="62">
        <v>19782.332257203008</v>
      </c>
      <c r="HF261" s="62">
        <v>98632.873042780106</v>
      </c>
      <c r="HG261" s="62">
        <v>94215.598186477699</v>
      </c>
      <c r="HH261" s="62">
        <v>176864.81908895151</v>
      </c>
      <c r="HI261" s="62">
        <v>258821.87552343518</v>
      </c>
      <c r="HJ261" s="62">
        <v>294458.42363061151</v>
      </c>
      <c r="HK261" s="62">
        <v>13966.883296247193</v>
      </c>
      <c r="HL261" s="62">
        <v>21261.912944936947</v>
      </c>
      <c r="HM261" s="62">
        <v>98945.71458722619</v>
      </c>
      <c r="HN261" s="62">
        <v>29789.020282251935</v>
      </c>
      <c r="HO261" s="62">
        <v>125234.35717838377</v>
      </c>
      <c r="HP261" s="62">
        <v>214642.67927127075</v>
      </c>
      <c r="HQ261" s="62">
        <v>33508.653910108973</v>
      </c>
      <c r="HR261" s="62">
        <v>70461.929051936953</v>
      </c>
      <c r="HS261" s="62">
        <v>120025.38905599696</v>
      </c>
      <c r="HT261" s="62">
        <v>73457.506361856445</v>
      </c>
      <c r="HU261" s="62">
        <v>97140.503091416205</v>
      </c>
      <c r="HV261" s="62">
        <v>1629623.0810468853</v>
      </c>
      <c r="HW261" s="62">
        <v>28810.623773443171</v>
      </c>
      <c r="HX261" s="62">
        <v>154929.30508008902</v>
      </c>
      <c r="HY261" s="62">
        <v>127544.3694141075</v>
      </c>
      <c r="HZ261" s="62">
        <v>240667.77706884185</v>
      </c>
      <c r="IA261" s="62">
        <v>77298.095709902409</v>
      </c>
      <c r="IB261" s="62">
        <v>4640.3402320905825</v>
      </c>
      <c r="IC261" s="62">
        <v>103703.00000000001</v>
      </c>
      <c r="ID261" s="62">
        <v>74099</v>
      </c>
      <c r="IE261" s="62">
        <v>50308.999999999993</v>
      </c>
      <c r="IF261" s="62">
        <v>6047.0000000000009</v>
      </c>
      <c r="IG261" s="62">
        <v>477774.03505924216</v>
      </c>
      <c r="IH261" s="62">
        <v>21678.358506372737</v>
      </c>
      <c r="II261" s="62">
        <v>10325.016712437107</v>
      </c>
      <c r="IJ261" s="62">
        <v>674246.49982755072</v>
      </c>
      <c r="IK261" s="62">
        <v>282407.14271829848</v>
      </c>
      <c r="IL261" s="62">
        <v>344228.57275806431</v>
      </c>
      <c r="IM261" s="62">
        <v>258241.63160507948</v>
      </c>
      <c r="IN261" s="62">
        <v>212125.58441882601</v>
      </c>
      <c r="IO261" s="62">
        <v>0</v>
      </c>
      <c r="IP261" s="13">
        <v>64327713.410751581</v>
      </c>
      <c r="IQ261" s="13">
        <v>52102484</v>
      </c>
      <c r="IR261" s="13">
        <v>11726752</v>
      </c>
      <c r="IS261" s="13">
        <v>878911</v>
      </c>
      <c r="IT261" s="13">
        <v>23707838</v>
      </c>
      <c r="IU261" s="13">
        <v>679486</v>
      </c>
      <c r="IV261" s="13">
        <v>26314843</v>
      </c>
      <c r="IW261" s="38"/>
    </row>
    <row r="262" spans="1:257" ht="30" customHeight="1" thickBot="1" x14ac:dyDescent="0.3">
      <c r="B262" s="14"/>
      <c r="C262" s="14"/>
      <c r="D262" s="68" t="s">
        <v>5</v>
      </c>
      <c r="E262" s="63">
        <v>1298549.9953262403</v>
      </c>
      <c r="F262" s="64">
        <v>47143.637473809504</v>
      </c>
      <c r="G262" s="64">
        <v>258944.89209686988</v>
      </c>
      <c r="H262" s="64">
        <v>5118.1550154751258</v>
      </c>
      <c r="I262" s="64">
        <v>52445.045161383459</v>
      </c>
      <c r="J262" s="64">
        <v>186677.6966756011</v>
      </c>
      <c r="K262" s="64">
        <v>413892.33252393443</v>
      </c>
      <c r="L262" s="64">
        <v>13900.426292556598</v>
      </c>
      <c r="M262" s="64">
        <v>795.16500221073238</v>
      </c>
      <c r="N262" s="64">
        <v>2802.2741607586249</v>
      </c>
      <c r="O262" s="64">
        <v>393593.18524241343</v>
      </c>
      <c r="P262" s="64">
        <v>57703.574149589855</v>
      </c>
      <c r="Q262" s="64">
        <v>5349.8050375824496</v>
      </c>
      <c r="R262" s="64">
        <v>297934.75448634295</v>
      </c>
      <c r="S262" s="64">
        <v>816.49500663219669</v>
      </c>
      <c r="T262" s="64">
        <v>111319.8962446423</v>
      </c>
      <c r="U262" s="64">
        <v>13720.967653645897</v>
      </c>
      <c r="V262" s="64">
        <v>30358.119089900094</v>
      </c>
      <c r="W262" s="64">
        <v>46749.940521732831</v>
      </c>
      <c r="X262" s="64">
        <v>544.49500663219692</v>
      </c>
      <c r="Y262" s="64">
        <v>21109.655236548359</v>
      </c>
      <c r="Z262" s="64">
        <v>56514.855272245994</v>
      </c>
      <c r="AA262" s="64">
        <v>4056.8825453200125</v>
      </c>
      <c r="AB262" s="64">
        <v>3670.5525408985477</v>
      </c>
      <c r="AC262" s="64">
        <v>932.53376050097836</v>
      </c>
      <c r="AD262" s="64">
        <v>13719.676403093212</v>
      </c>
      <c r="AE262" s="64">
        <v>20492.868979363477</v>
      </c>
      <c r="AF262" s="64">
        <v>9806.6676094312497</v>
      </c>
      <c r="AG262" s="64">
        <v>22410.227750918119</v>
      </c>
      <c r="AH262" s="64">
        <v>38468.301679434757</v>
      </c>
      <c r="AI262" s="64">
        <v>32635.934114218147</v>
      </c>
      <c r="AJ262" s="64">
        <v>20879.907733232259</v>
      </c>
      <c r="AK262" s="64">
        <v>61835.480689748481</v>
      </c>
      <c r="AL262" s="64">
        <v>20271.121476047385</v>
      </c>
      <c r="AM262" s="64">
        <v>1794.7762704492739</v>
      </c>
      <c r="AN262" s="64">
        <v>21972.606495943968</v>
      </c>
      <c r="AO262" s="64">
        <v>14073.715156961995</v>
      </c>
      <c r="AP262" s="64">
        <v>53006.803093581635</v>
      </c>
      <c r="AQ262" s="64">
        <v>21102.072735442991</v>
      </c>
      <c r="AR262" s="64">
        <v>34058.380380245959</v>
      </c>
      <c r="AS262" s="64">
        <v>29930.403292409574</v>
      </c>
      <c r="AT262" s="64">
        <v>180386.89562097174</v>
      </c>
      <c r="AU262" s="64">
        <v>22905.610075164899</v>
      </c>
      <c r="AV262" s="64">
        <v>11054.640035371718</v>
      </c>
      <c r="AW262" s="64">
        <v>3312.9412726600058</v>
      </c>
      <c r="AX262" s="64">
        <v>368676.44118495251</v>
      </c>
      <c r="AY262" s="64">
        <v>60864.811445097133</v>
      </c>
      <c r="AZ262" s="64">
        <v>9503.0187803975678</v>
      </c>
      <c r="BA262" s="64">
        <v>17361.416305820992</v>
      </c>
      <c r="BB262" s="64">
        <v>383135.90623137797</v>
      </c>
      <c r="BC262" s="64">
        <v>63531.187502892375</v>
      </c>
      <c r="BD262" s="64">
        <v>242010.23243911416</v>
      </c>
      <c r="BE262" s="64">
        <v>277514.09363332018</v>
      </c>
      <c r="BF262" s="64">
        <v>7098.1438356658691</v>
      </c>
      <c r="BG262" s="64">
        <v>785.91250552683005</v>
      </c>
      <c r="BH262" s="64">
        <v>63192.639284444507</v>
      </c>
      <c r="BI262" s="64">
        <v>9543.0763146639219</v>
      </c>
      <c r="BJ262" s="64">
        <v>85477.291759749321</v>
      </c>
      <c r="BK262" s="64">
        <v>17315.396332349781</v>
      </c>
      <c r="BL262" s="64">
        <v>107.2912505526831</v>
      </c>
      <c r="BM262" s="64">
        <v>80664.858778179521</v>
      </c>
      <c r="BN262" s="64">
        <v>2302.0675210019563</v>
      </c>
      <c r="BO262" s="64">
        <v>11</v>
      </c>
      <c r="BP262" s="64">
        <v>795224.23221443221</v>
      </c>
      <c r="BQ262" s="64">
        <v>106711.90013264393</v>
      </c>
      <c r="BR262" s="64">
        <v>2494.9125055268296</v>
      </c>
      <c r="BS262" s="64">
        <v>5390.0241654517358</v>
      </c>
      <c r="BT262" s="64">
        <v>102268.47377298454</v>
      </c>
      <c r="BU262" s="64">
        <v>363404.39045829827</v>
      </c>
      <c r="BV262" s="64">
        <v>321935.30539202143</v>
      </c>
      <c r="BW262" s="64">
        <v>103788.78975436624</v>
      </c>
      <c r="BX262" s="64">
        <v>14533.192576270263</v>
      </c>
      <c r="BY262" s="64">
        <v>71654.495582144402</v>
      </c>
      <c r="BZ262" s="64">
        <v>52961.700089151098</v>
      </c>
      <c r="CA262" s="64">
        <v>9751687.8439994641</v>
      </c>
      <c r="CB262" s="64">
        <v>33902.999999999993</v>
      </c>
      <c r="CC262" s="64">
        <v>1156511</v>
      </c>
      <c r="CD262" s="64">
        <v>175556.51020780887</v>
      </c>
      <c r="CE262" s="64">
        <v>12794.863764922442</v>
      </c>
      <c r="CF262" s="64">
        <v>1909.1650022107324</v>
      </c>
      <c r="CG262" s="64">
        <v>89516.269333080621</v>
      </c>
      <c r="CH262" s="64">
        <v>8692.8692092463989</v>
      </c>
      <c r="CI262" s="64">
        <v>127713.99456814141</v>
      </c>
      <c r="CJ262" s="64">
        <v>121986.95798088913</v>
      </c>
      <c r="CK262" s="64">
        <v>24300.294662263332</v>
      </c>
      <c r="CL262" s="64">
        <v>147858.94991189247</v>
      </c>
      <c r="CM262" s="64">
        <v>158136.06705636991</v>
      </c>
      <c r="CN262" s="64">
        <v>53215.58627597196</v>
      </c>
      <c r="CO262" s="64">
        <v>120949.54223959451</v>
      </c>
      <c r="CP262" s="64">
        <v>12480.41257722738</v>
      </c>
      <c r="CQ262" s="64">
        <v>49297.445942598235</v>
      </c>
      <c r="CR262" s="64">
        <v>686759.7376327914</v>
      </c>
      <c r="CS262" s="64">
        <v>38377.618596610468</v>
      </c>
      <c r="CT262" s="64">
        <v>132478.73180896326</v>
      </c>
      <c r="CU262" s="64">
        <v>55562.709969651245</v>
      </c>
      <c r="CV262" s="64">
        <v>109583.27588123013</v>
      </c>
      <c r="CW262" s="64">
        <v>18057.070009425188</v>
      </c>
      <c r="CX262" s="64">
        <v>170693.59655142989</v>
      </c>
      <c r="CY262" s="64">
        <v>135252.47725228861</v>
      </c>
      <c r="CZ262" s="64">
        <v>77878.152467153617</v>
      </c>
      <c r="DA262" s="64">
        <v>122817.5400142977</v>
      </c>
      <c r="DB262" s="64">
        <v>29879.121712332832</v>
      </c>
      <c r="DC262" s="64">
        <v>1385.6552798077778</v>
      </c>
      <c r="DD262" s="64">
        <v>322755.95929297345</v>
      </c>
      <c r="DE262" s="64">
        <v>22203.878207420275</v>
      </c>
      <c r="DF262" s="64">
        <v>125385.7517597141</v>
      </c>
      <c r="DG262" s="64">
        <v>7815.7761592798997</v>
      </c>
      <c r="DH262" s="64">
        <v>4622.0155898358007</v>
      </c>
      <c r="DI262" s="64">
        <v>2387.4312721515998</v>
      </c>
      <c r="DJ262" s="64">
        <v>431580.79214978707</v>
      </c>
      <c r="DK262" s="64">
        <v>106989.93169740279</v>
      </c>
      <c r="DL262" s="64">
        <v>306775.76321890799</v>
      </c>
      <c r="DM262" s="64">
        <v>397704.96601727518</v>
      </c>
      <c r="DN262" s="64">
        <v>250804.81953474105</v>
      </c>
      <c r="DO262" s="64">
        <v>39988.999999999985</v>
      </c>
      <c r="DP262" s="64">
        <v>45690.250552682992</v>
      </c>
      <c r="DQ262" s="64">
        <v>126196.67816136216</v>
      </c>
      <c r="DR262" s="64">
        <v>119750.89689200907</v>
      </c>
      <c r="DS262" s="64">
        <v>396562.71579321165</v>
      </c>
      <c r="DT262" s="64">
        <v>11733.001451575743</v>
      </c>
      <c r="DU262" s="64">
        <v>9281.5286524314761</v>
      </c>
      <c r="DV262" s="64">
        <v>176893.401169927</v>
      </c>
      <c r="DW262" s="64">
        <v>348562.95422105491</v>
      </c>
      <c r="DX262" s="64">
        <v>151851.43835665885</v>
      </c>
      <c r="DY262" s="64">
        <v>32792.159776857705</v>
      </c>
      <c r="DZ262" s="64">
        <v>17270.523263288233</v>
      </c>
      <c r="EA262" s="64">
        <v>148960.36974020055</v>
      </c>
      <c r="EB262" s="64">
        <v>63163.455255344306</v>
      </c>
      <c r="EC262" s="64">
        <v>299803.11856454448</v>
      </c>
      <c r="ED262" s="64">
        <v>-920129.88648921577</v>
      </c>
      <c r="EE262" s="64">
        <v>-85760.999999999825</v>
      </c>
      <c r="EF262" s="64">
        <v>1099761.2983078826</v>
      </c>
      <c r="EG262" s="64">
        <v>307383.38243800402</v>
      </c>
      <c r="EH262" s="64">
        <v>-37679.000000000058</v>
      </c>
      <c r="EI262" s="64">
        <v>95047.053793914441</v>
      </c>
      <c r="EJ262" s="64">
        <v>91155.416716688298</v>
      </c>
      <c r="EK262" s="64">
        <v>46629.533568056548</v>
      </c>
      <c r="EL262" s="64">
        <v>138039.69749458708</v>
      </c>
      <c r="EM262" s="64">
        <v>187610.93322824407</v>
      </c>
      <c r="EN262" s="64">
        <v>331179.91870526923</v>
      </c>
      <c r="EO262" s="64">
        <v>46692.79450233114</v>
      </c>
      <c r="EP262" s="64">
        <v>111381.28022229119</v>
      </c>
      <c r="EQ262" s="64">
        <v>57076.04703770898</v>
      </c>
      <c r="ER262" s="64">
        <v>83617.38057189039</v>
      </c>
      <c r="ES262" s="64">
        <v>9570.4915855580311</v>
      </c>
      <c r="ET262" s="64">
        <v>138374.41349746147</v>
      </c>
      <c r="EU262" s="64">
        <v>29141.65970006221</v>
      </c>
      <c r="EV262" s="64">
        <v>27034.438356658775</v>
      </c>
      <c r="EW262" s="64">
        <v>125492.69962112737</v>
      </c>
      <c r="EX262" s="64">
        <v>442984.39718130673</v>
      </c>
      <c r="EY262" s="64">
        <v>22932.096067034436</v>
      </c>
      <c r="EZ262" s="64">
        <v>35187.198564392471</v>
      </c>
      <c r="FA262" s="64">
        <v>163361.8967164451</v>
      </c>
      <c r="FB262" s="64">
        <v>106861.69465530838</v>
      </c>
      <c r="FC262" s="64">
        <v>106682.87770696837</v>
      </c>
      <c r="FD262" s="64">
        <v>206677.85356735822</v>
      </c>
      <c r="FE262" s="64">
        <v>18359.373425629092</v>
      </c>
      <c r="FF262" s="64">
        <v>869.80503758245186</v>
      </c>
      <c r="FG262" s="64">
        <v>76896.469194125617</v>
      </c>
      <c r="FH262" s="64">
        <v>147136.62984631059</v>
      </c>
      <c r="FI262" s="64">
        <v>63554.449444458412</v>
      </c>
      <c r="FJ262" s="64">
        <v>60835.661146233382</v>
      </c>
      <c r="FK262" s="64">
        <v>39904.036664681429</v>
      </c>
      <c r="FL262" s="64">
        <v>1585.0375607951378</v>
      </c>
      <c r="FM262" s="64">
        <v>98295.576911873533</v>
      </c>
      <c r="FN262" s="64">
        <v>12863.483125085942</v>
      </c>
      <c r="FO262" s="64">
        <v>4653.0232439114261</v>
      </c>
      <c r="FP262" s="64">
        <v>118888.56348198676</v>
      </c>
      <c r="FQ262" s="64">
        <v>2134.0340464480214</v>
      </c>
      <c r="FR262" s="64">
        <v>315735.401242928</v>
      </c>
      <c r="FS262" s="64">
        <v>37705.864649215357</v>
      </c>
      <c r="FT262" s="64">
        <v>11680.395706462052</v>
      </c>
      <c r="FU262" s="64">
        <v>63988.70518637936</v>
      </c>
      <c r="FV262" s="64">
        <v>307583.57386167237</v>
      </c>
      <c r="FW262" s="64">
        <v>77625.020967878751</v>
      </c>
      <c r="FX262" s="64">
        <v>612036.04819974792</v>
      </c>
      <c r="FY262" s="64">
        <v>341580.575908984</v>
      </c>
      <c r="FZ262" s="64">
        <v>6389.7275298448858</v>
      </c>
      <c r="GA262" s="64">
        <v>44992.690441043858</v>
      </c>
      <c r="GB262" s="64">
        <v>9470355.6960083619</v>
      </c>
      <c r="GC262" s="64">
        <v>8878355.8074650895</v>
      </c>
      <c r="GD262" s="64">
        <v>929567.63275078195</v>
      </c>
      <c r="GE262" s="64">
        <v>243863.57217546654</v>
      </c>
      <c r="GF262" s="64">
        <v>1320550.0204060143</v>
      </c>
      <c r="GG262" s="64">
        <v>1343414.7776978412</v>
      </c>
      <c r="GH262" s="64">
        <v>889383.03627236257</v>
      </c>
      <c r="GI262" s="64">
        <v>1974.8150110536617</v>
      </c>
      <c r="GJ262" s="64">
        <v>185697.74670020613</v>
      </c>
      <c r="GK262" s="64">
        <v>326718.07167573518</v>
      </c>
      <c r="GL262" s="64">
        <v>321575.95542739308</v>
      </c>
      <c r="GM262" s="64">
        <v>246393.53151782064</v>
      </c>
      <c r="GN262" s="64">
        <v>12053.50380029416</v>
      </c>
      <c r="GO262" s="64">
        <v>87871.788606017915</v>
      </c>
      <c r="GP262" s="64">
        <v>43291.530181280046</v>
      </c>
      <c r="GQ262" s="64">
        <v>320578.73884301982</v>
      </c>
      <c r="GR262" s="64">
        <v>128029.41571502551</v>
      </c>
      <c r="GS262" s="64">
        <v>1839060.8426300664</v>
      </c>
      <c r="GT262" s="64">
        <v>36346.511901331469</v>
      </c>
      <c r="GU262" s="64">
        <v>1924549.049350258</v>
      </c>
      <c r="GV262" s="64">
        <v>11256.000000000004</v>
      </c>
      <c r="GW262" s="64">
        <v>2466.3819417280938</v>
      </c>
      <c r="GX262" s="64">
        <v>154116.8523391551</v>
      </c>
      <c r="GY262" s="64">
        <v>13092.295913012291</v>
      </c>
      <c r="GZ262" s="64">
        <v>74310</v>
      </c>
      <c r="HA262" s="64">
        <v>490705.50776490278</v>
      </c>
      <c r="HB262" s="64">
        <v>831491.95629842172</v>
      </c>
      <c r="HC262" s="64">
        <v>2491855.6869232925</v>
      </c>
      <c r="HD262" s="64">
        <v>780675.45368938125</v>
      </c>
      <c r="HE262" s="64">
        <v>62208.667742796992</v>
      </c>
      <c r="HF262" s="64">
        <v>308657.12695721991</v>
      </c>
      <c r="HG262" s="64">
        <v>294828.40181352233</v>
      </c>
      <c r="HH262" s="64">
        <v>555825.18091104855</v>
      </c>
      <c r="HI262" s="64">
        <v>810223.12447656482</v>
      </c>
      <c r="HJ262" s="64">
        <v>921348.57636938849</v>
      </c>
      <c r="HK262" s="64">
        <v>43688.116703752807</v>
      </c>
      <c r="HL262" s="64">
        <v>70199.08705506305</v>
      </c>
      <c r="HM262" s="64">
        <v>320489.28541277384</v>
      </c>
      <c r="HN262" s="64">
        <v>93145.979717748065</v>
      </c>
      <c r="HO262" s="64">
        <v>391883.64282161626</v>
      </c>
      <c r="HP262" s="64">
        <v>671681.32072872925</v>
      </c>
      <c r="HQ262" s="64">
        <v>104875.346089891</v>
      </c>
      <c r="HR262" s="64">
        <v>224597.07094806299</v>
      </c>
      <c r="HS262" s="64">
        <v>375870.61094400304</v>
      </c>
      <c r="HT262" s="64">
        <v>229852.49363814355</v>
      </c>
      <c r="HU262" s="64">
        <v>303996.49690858374</v>
      </c>
      <c r="HV262" s="64">
        <v>5159765.9189531151</v>
      </c>
      <c r="HW262" s="64">
        <v>113498.37622655684</v>
      </c>
      <c r="HX262" s="64">
        <v>330930.69491991098</v>
      </c>
      <c r="HY262" s="64">
        <v>284605.63058589248</v>
      </c>
      <c r="HZ262" s="64">
        <v>370150.22293115803</v>
      </c>
      <c r="IA262" s="64">
        <v>95303.904290097591</v>
      </c>
      <c r="IB262" s="64">
        <v>4126.6597679094175</v>
      </c>
      <c r="IC262" s="64">
        <v>1590288</v>
      </c>
      <c r="ID262" s="64">
        <v>978398</v>
      </c>
      <c r="IE262" s="64">
        <v>662611.99999999988</v>
      </c>
      <c r="IF262" s="64">
        <v>85686</v>
      </c>
      <c r="IG262" s="64">
        <v>725558.96494075784</v>
      </c>
      <c r="IH262" s="64">
        <v>65290.641493627249</v>
      </c>
      <c r="II262" s="64">
        <v>16134.983287562893</v>
      </c>
      <c r="IJ262" s="64">
        <v>1719645.5001724493</v>
      </c>
      <c r="IK262" s="64">
        <v>51135.857281701698</v>
      </c>
      <c r="IL262" s="64">
        <v>353606.42724193569</v>
      </c>
      <c r="IM262" s="64">
        <v>585442.36839492037</v>
      </c>
      <c r="IN262" s="64">
        <v>233582.41558117399</v>
      </c>
      <c r="IO262" s="64">
        <v>333711</v>
      </c>
      <c r="IP262" s="37">
        <v>83555038.589248419</v>
      </c>
      <c r="IQ262" s="38"/>
      <c r="IR262" s="38"/>
      <c r="IV262" s="15"/>
      <c r="IW262" s="38"/>
    </row>
    <row r="263" spans="1:257" ht="30" customHeight="1" thickBot="1" x14ac:dyDescent="0.3">
      <c r="B263" s="4"/>
      <c r="C263" s="4"/>
      <c r="D263" s="69" t="s">
        <v>505</v>
      </c>
      <c r="E263" s="61">
        <v>1867403</v>
      </c>
      <c r="F263" s="62">
        <v>259181</v>
      </c>
      <c r="G263" s="62">
        <v>371994.00000000006</v>
      </c>
      <c r="H263" s="62">
        <v>6359.9999999999991</v>
      </c>
      <c r="I263" s="62">
        <v>65228</v>
      </c>
      <c r="J263" s="62">
        <v>232268.99999999994</v>
      </c>
      <c r="K263" s="62">
        <v>515150</v>
      </c>
      <c r="L263" s="62">
        <v>17278</v>
      </c>
      <c r="M263" s="62">
        <v>984</v>
      </c>
      <c r="N263" s="62">
        <v>3482</v>
      </c>
      <c r="O263" s="62">
        <v>580701</v>
      </c>
      <c r="P263" s="62">
        <v>84582.999999999985</v>
      </c>
      <c r="Q263" s="62">
        <v>7919</v>
      </c>
      <c r="R263" s="62">
        <v>420583</v>
      </c>
      <c r="S263" s="62">
        <v>1455</v>
      </c>
      <c r="T263" s="62">
        <v>143357</v>
      </c>
      <c r="U263" s="62">
        <v>17691</v>
      </c>
      <c r="V263" s="62">
        <v>39131</v>
      </c>
      <c r="W263" s="62">
        <v>60095</v>
      </c>
      <c r="X263" s="62">
        <v>795</v>
      </c>
      <c r="Y263" s="62">
        <v>27259</v>
      </c>
      <c r="Z263" s="62">
        <v>72670.999999999985</v>
      </c>
      <c r="AA263" s="62">
        <v>5220</v>
      </c>
      <c r="AB263" s="62">
        <v>4719</v>
      </c>
      <c r="AC263" s="62">
        <v>1194.9999999999998</v>
      </c>
      <c r="AD263" s="62">
        <v>17666</v>
      </c>
      <c r="AE263" s="62">
        <v>26404</v>
      </c>
      <c r="AF263" s="62">
        <v>12620</v>
      </c>
      <c r="AG263" s="62">
        <v>28896</v>
      </c>
      <c r="AH263" s="62">
        <v>49479</v>
      </c>
      <c r="AI263" s="62">
        <v>41980</v>
      </c>
      <c r="AJ263" s="62">
        <v>26869</v>
      </c>
      <c r="AK263" s="62">
        <v>79481</v>
      </c>
      <c r="AL263" s="62">
        <v>26067.000000000007</v>
      </c>
      <c r="AM263" s="62">
        <v>2309</v>
      </c>
      <c r="AN263" s="62">
        <v>28335</v>
      </c>
      <c r="AO263" s="62">
        <v>18140</v>
      </c>
      <c r="AP263" s="62">
        <v>68283</v>
      </c>
      <c r="AQ263" s="62">
        <v>27133</v>
      </c>
      <c r="AR263" s="62">
        <v>43782</v>
      </c>
      <c r="AS263" s="62">
        <v>38513.999999999993</v>
      </c>
      <c r="AT263" s="62">
        <v>252485.99999999997</v>
      </c>
      <c r="AU263" s="62">
        <v>32105</v>
      </c>
      <c r="AV263" s="62">
        <v>15162</v>
      </c>
      <c r="AW263" s="62">
        <v>9765.9999999999982</v>
      </c>
      <c r="AX263" s="62">
        <v>506979</v>
      </c>
      <c r="AY263" s="62">
        <v>83476.000000000015</v>
      </c>
      <c r="AZ263" s="62">
        <v>13035.999999999998</v>
      </c>
      <c r="BA263" s="62">
        <v>23815</v>
      </c>
      <c r="BB263" s="62">
        <v>526918</v>
      </c>
      <c r="BC263" s="62">
        <v>87657</v>
      </c>
      <c r="BD263" s="62">
        <v>319299.99999999994</v>
      </c>
      <c r="BE263" s="62">
        <v>1405379</v>
      </c>
      <c r="BF263" s="62">
        <v>45698.999999999993</v>
      </c>
      <c r="BG263" s="62">
        <v>3023.9999999999995</v>
      </c>
      <c r="BH263" s="62">
        <v>283720.99999999994</v>
      </c>
      <c r="BI263" s="62">
        <v>34400.000000000007</v>
      </c>
      <c r="BJ263" s="62">
        <v>235656</v>
      </c>
      <c r="BK263" s="62">
        <v>43850.999999999993</v>
      </c>
      <c r="BL263" s="62">
        <v>396</v>
      </c>
      <c r="BM263" s="62">
        <v>126969</v>
      </c>
      <c r="BN263" s="62">
        <v>11284.999999999998</v>
      </c>
      <c r="BO263" s="62">
        <v>15</v>
      </c>
      <c r="BP263" s="62">
        <v>929885.00000000023</v>
      </c>
      <c r="BQ263" s="62">
        <v>127996.99999999999</v>
      </c>
      <c r="BR263" s="62">
        <v>5303</v>
      </c>
      <c r="BS263" s="62">
        <v>8454</v>
      </c>
      <c r="BT263" s="62">
        <v>147933</v>
      </c>
      <c r="BU263" s="62">
        <v>847293.00000000023</v>
      </c>
      <c r="BV263" s="62">
        <v>411096</v>
      </c>
      <c r="BW263" s="62">
        <v>207042</v>
      </c>
      <c r="BX263" s="62">
        <v>19068</v>
      </c>
      <c r="BY263" s="62">
        <v>118172</v>
      </c>
      <c r="BZ263" s="62">
        <v>86392</v>
      </c>
      <c r="CA263" s="62">
        <v>13727433</v>
      </c>
      <c r="CB263" s="62">
        <v>47700.999999999993</v>
      </c>
      <c r="CC263" s="62">
        <v>1600434</v>
      </c>
      <c r="CD263" s="62">
        <v>235072</v>
      </c>
      <c r="CE263" s="62">
        <v>17086</v>
      </c>
      <c r="CF263" s="62">
        <v>2648</v>
      </c>
      <c r="CG263" s="62">
        <v>158613.99999999997</v>
      </c>
      <c r="CH263" s="62">
        <v>14569</v>
      </c>
      <c r="CI263" s="62">
        <v>779759</v>
      </c>
      <c r="CJ263" s="62">
        <v>598855</v>
      </c>
      <c r="CK263" s="62">
        <v>64458</v>
      </c>
      <c r="CL263" s="62">
        <v>429240.99999999994</v>
      </c>
      <c r="CM263" s="62">
        <v>272443.00000000012</v>
      </c>
      <c r="CN263" s="62">
        <v>1417808.0000000002</v>
      </c>
      <c r="CO263" s="62">
        <v>449212</v>
      </c>
      <c r="CP263" s="62">
        <v>42469.999999999993</v>
      </c>
      <c r="CQ263" s="62">
        <v>165457.99999999997</v>
      </c>
      <c r="CR263" s="62">
        <v>1238364.0000000009</v>
      </c>
      <c r="CS263" s="62">
        <v>82190</v>
      </c>
      <c r="CT263" s="62">
        <v>383293.00000000006</v>
      </c>
      <c r="CU263" s="62">
        <v>313940.00000000012</v>
      </c>
      <c r="CV263" s="62">
        <v>368130.00000000023</v>
      </c>
      <c r="CW263" s="62">
        <v>56560.000000000015</v>
      </c>
      <c r="CX263" s="62">
        <v>558190.00000000023</v>
      </c>
      <c r="CY263" s="62">
        <v>572066</v>
      </c>
      <c r="CZ263" s="62">
        <v>319568.99999999994</v>
      </c>
      <c r="DA263" s="62">
        <v>872385.00000000023</v>
      </c>
      <c r="DB263" s="62">
        <v>72395.999999999985</v>
      </c>
      <c r="DC263" s="62">
        <v>4519.9999999999982</v>
      </c>
      <c r="DD263" s="62">
        <v>814804.00000000023</v>
      </c>
      <c r="DE263" s="62">
        <v>87829.000000000015</v>
      </c>
      <c r="DF263" s="62">
        <v>440330</v>
      </c>
      <c r="DG263" s="62">
        <v>282695</v>
      </c>
      <c r="DH263" s="62">
        <v>134581</v>
      </c>
      <c r="DI263" s="62">
        <v>95813.000000000044</v>
      </c>
      <c r="DJ263" s="62">
        <v>824154.99999999965</v>
      </c>
      <c r="DK263" s="62">
        <v>254278.00000000006</v>
      </c>
      <c r="DL263" s="62">
        <v>905253.99999999965</v>
      </c>
      <c r="DM263" s="62">
        <v>853088</v>
      </c>
      <c r="DN263" s="62">
        <v>638212</v>
      </c>
      <c r="DO263" s="62">
        <v>85931</v>
      </c>
      <c r="DP263" s="62">
        <v>195034.99999999997</v>
      </c>
      <c r="DQ263" s="62">
        <v>340771</v>
      </c>
      <c r="DR263" s="62">
        <v>257906.00000000012</v>
      </c>
      <c r="DS263" s="62">
        <v>870156</v>
      </c>
      <c r="DT263" s="62">
        <v>53282</v>
      </c>
      <c r="DU263" s="62">
        <v>25937.999999999996</v>
      </c>
      <c r="DV263" s="62">
        <v>375357.99999999994</v>
      </c>
      <c r="DW263" s="62">
        <v>875596</v>
      </c>
      <c r="DX263" s="62">
        <v>435880</v>
      </c>
      <c r="DY263" s="62">
        <v>62255.000000000058</v>
      </c>
      <c r="DZ263" s="62">
        <v>54772</v>
      </c>
      <c r="EA263" s="62">
        <v>318220</v>
      </c>
      <c r="EB263" s="62">
        <v>214696</v>
      </c>
      <c r="EC263" s="62">
        <v>859130.00000000023</v>
      </c>
      <c r="ED263" s="62">
        <v>1469586</v>
      </c>
      <c r="EE263" s="62">
        <v>414535</v>
      </c>
      <c r="EF263" s="62">
        <v>1423027</v>
      </c>
      <c r="EG263" s="62">
        <v>499543</v>
      </c>
      <c r="EH263" s="62">
        <v>68669</v>
      </c>
      <c r="EI263" s="62">
        <v>206407.00000000009</v>
      </c>
      <c r="EJ263" s="62">
        <v>206392</v>
      </c>
      <c r="EK263" s="62">
        <v>82980.999999999985</v>
      </c>
      <c r="EL263" s="62">
        <v>262267.00000000012</v>
      </c>
      <c r="EM263" s="62">
        <v>527021.00000000012</v>
      </c>
      <c r="EN263" s="62">
        <v>542152.00000000012</v>
      </c>
      <c r="EO263" s="62">
        <v>70279</v>
      </c>
      <c r="EP263" s="62">
        <v>174619.99999999997</v>
      </c>
      <c r="EQ263" s="62">
        <v>162136</v>
      </c>
      <c r="ER263" s="62">
        <v>185886.00000000009</v>
      </c>
      <c r="ES263" s="62">
        <v>20758.000000000004</v>
      </c>
      <c r="ET263" s="62">
        <v>846566</v>
      </c>
      <c r="EU263" s="62">
        <v>61149.999999999993</v>
      </c>
      <c r="EV263" s="62">
        <v>55155</v>
      </c>
      <c r="EW263" s="62">
        <v>233208</v>
      </c>
      <c r="EX263" s="62">
        <v>1030646.0000000007</v>
      </c>
      <c r="EY263" s="62">
        <v>67677</v>
      </c>
      <c r="EZ263" s="62">
        <v>70974.999999999985</v>
      </c>
      <c r="FA263" s="62">
        <v>505005.00000000012</v>
      </c>
      <c r="FB263" s="62">
        <v>398131.00000000012</v>
      </c>
      <c r="FC263" s="62">
        <v>357934</v>
      </c>
      <c r="FD263" s="62">
        <v>727968.99999999977</v>
      </c>
      <c r="FE263" s="62">
        <v>84437</v>
      </c>
      <c r="FF263" s="62">
        <v>3891</v>
      </c>
      <c r="FG263" s="62">
        <v>474142.00000000012</v>
      </c>
      <c r="FH263" s="62">
        <v>371534.00000000017</v>
      </c>
      <c r="FI263" s="62">
        <v>164337.00000000003</v>
      </c>
      <c r="FJ263" s="62">
        <v>245162.99999999997</v>
      </c>
      <c r="FK263" s="62">
        <v>73120.999999999985</v>
      </c>
      <c r="FL263" s="62">
        <v>2667.9999999999995</v>
      </c>
      <c r="FM263" s="62">
        <v>233822.00000000006</v>
      </c>
      <c r="FN263" s="62">
        <v>56940.999999999985</v>
      </c>
      <c r="FO263" s="62">
        <v>32676</v>
      </c>
      <c r="FP263" s="62">
        <v>1114474</v>
      </c>
      <c r="FQ263" s="62">
        <v>34094.999999999993</v>
      </c>
      <c r="FR263" s="62">
        <v>1078154</v>
      </c>
      <c r="FS263" s="62">
        <v>77253</v>
      </c>
      <c r="FT263" s="62">
        <v>19862.999999999993</v>
      </c>
      <c r="FU263" s="62">
        <v>149229</v>
      </c>
      <c r="FV263" s="62">
        <v>560571</v>
      </c>
      <c r="FW263" s="62">
        <v>835597</v>
      </c>
      <c r="FX263" s="62">
        <v>1762395.0000000005</v>
      </c>
      <c r="FY263" s="62">
        <v>431802</v>
      </c>
      <c r="FZ263" s="62">
        <v>9135</v>
      </c>
      <c r="GA263" s="62">
        <v>86937.000000000015</v>
      </c>
      <c r="GB263" s="62">
        <v>15943770.000000004</v>
      </c>
      <c r="GC263" s="62">
        <v>13586059</v>
      </c>
      <c r="GD263" s="62">
        <v>1067043.9999999998</v>
      </c>
      <c r="GE263" s="62">
        <v>481988</v>
      </c>
      <c r="GF263" s="62">
        <v>2477076.0000000005</v>
      </c>
      <c r="GG263" s="62">
        <v>2696045</v>
      </c>
      <c r="GH263" s="62">
        <v>2325998.0000000005</v>
      </c>
      <c r="GI263" s="62">
        <v>4193.9999999999991</v>
      </c>
      <c r="GJ263" s="62">
        <v>303011</v>
      </c>
      <c r="GK263" s="62">
        <v>632158</v>
      </c>
      <c r="GL263" s="62">
        <v>632751.99999999988</v>
      </c>
      <c r="GM263" s="62">
        <v>460276.99999999994</v>
      </c>
      <c r="GN263" s="62">
        <v>19046</v>
      </c>
      <c r="GO263" s="62">
        <v>155287</v>
      </c>
      <c r="GP263" s="62">
        <v>68446</v>
      </c>
      <c r="GQ263" s="62">
        <v>506608.99999999994</v>
      </c>
      <c r="GR263" s="62">
        <v>270896</v>
      </c>
      <c r="GS263" s="62">
        <v>3471364</v>
      </c>
      <c r="GT263" s="62">
        <v>55190.999999999985</v>
      </c>
      <c r="GU263" s="62">
        <v>3211040</v>
      </c>
      <c r="GV263" s="62">
        <v>18382</v>
      </c>
      <c r="GW263" s="62">
        <v>4546.9999999999991</v>
      </c>
      <c r="GX263" s="62">
        <v>262377</v>
      </c>
      <c r="GY263" s="62">
        <v>169292.00000000003</v>
      </c>
      <c r="GZ263" s="62">
        <v>78683</v>
      </c>
      <c r="HA263" s="62">
        <v>895051</v>
      </c>
      <c r="HB263" s="62">
        <v>1448475</v>
      </c>
      <c r="HC263" s="62">
        <v>3264033</v>
      </c>
      <c r="HD263" s="62">
        <v>1104776</v>
      </c>
      <c r="HE263" s="62">
        <v>81991</v>
      </c>
      <c r="HF263" s="62">
        <v>407290</v>
      </c>
      <c r="HG263" s="62">
        <v>389044.00000000006</v>
      </c>
      <c r="HH263" s="62">
        <v>732690</v>
      </c>
      <c r="HI263" s="62">
        <v>1069045</v>
      </c>
      <c r="HJ263" s="62">
        <v>1215807</v>
      </c>
      <c r="HK263" s="62">
        <v>57655</v>
      </c>
      <c r="HL263" s="62">
        <v>91461</v>
      </c>
      <c r="HM263" s="62">
        <v>419435</v>
      </c>
      <c r="HN263" s="62">
        <v>122935</v>
      </c>
      <c r="HO263" s="62">
        <v>517118</v>
      </c>
      <c r="HP263" s="62">
        <v>886324</v>
      </c>
      <c r="HQ263" s="62">
        <v>138383.99999999997</v>
      </c>
      <c r="HR263" s="62">
        <v>295058.99999999994</v>
      </c>
      <c r="HS263" s="62">
        <v>495896</v>
      </c>
      <c r="HT263" s="62">
        <v>303310</v>
      </c>
      <c r="HU263" s="62">
        <v>401136.99999999994</v>
      </c>
      <c r="HV263" s="62">
        <v>6789389</v>
      </c>
      <c r="HW263" s="62">
        <v>142309</v>
      </c>
      <c r="HX263" s="62">
        <v>485860</v>
      </c>
      <c r="HY263" s="62">
        <v>412150</v>
      </c>
      <c r="HZ263" s="62">
        <v>610817.99999999988</v>
      </c>
      <c r="IA263" s="62">
        <v>172602</v>
      </c>
      <c r="IB263" s="62">
        <v>8767</v>
      </c>
      <c r="IC263" s="62">
        <v>1693991</v>
      </c>
      <c r="ID263" s="62">
        <v>1052497</v>
      </c>
      <c r="IE263" s="62">
        <v>712920.99999999988</v>
      </c>
      <c r="IF263" s="62">
        <v>91733</v>
      </c>
      <c r="IG263" s="62">
        <v>1203333</v>
      </c>
      <c r="IH263" s="62">
        <v>86968.999999999985</v>
      </c>
      <c r="II263" s="62">
        <v>26460</v>
      </c>
      <c r="IJ263" s="62">
        <v>2393892</v>
      </c>
      <c r="IK263" s="62">
        <v>333543.00000000017</v>
      </c>
      <c r="IL263" s="62">
        <v>697835</v>
      </c>
      <c r="IM263" s="62">
        <v>843683.99999999988</v>
      </c>
      <c r="IN263" s="62">
        <v>445708</v>
      </c>
      <c r="IO263" s="62">
        <v>333711</v>
      </c>
      <c r="IP263" s="13">
        <v>147882752</v>
      </c>
      <c r="IQ263" s="38"/>
      <c r="IR263" s="38"/>
      <c r="IS263" s="38"/>
      <c r="IT263" s="38"/>
      <c r="IU263" s="38"/>
      <c r="IV263" s="15"/>
      <c r="IW263" s="38"/>
    </row>
    <row r="265" spans="1:257" ht="30" customHeight="1" x14ac:dyDescent="0.25">
      <c r="D265" s="100" t="s">
        <v>1975</v>
      </c>
      <c r="E265" s="100"/>
    </row>
    <row r="266" spans="1:257" ht="30" customHeight="1" x14ac:dyDescent="0.25">
      <c r="D266" s="101" t="s">
        <v>1976</v>
      </c>
      <c r="E266" s="100"/>
    </row>
    <row r="267" spans="1:257" ht="30" customHeight="1" x14ac:dyDescent="0.25">
      <c r="D267" s="102" t="s">
        <v>1977</v>
      </c>
      <c r="E267" s="103">
        <v>1000</v>
      </c>
    </row>
    <row r="268" spans="1:257" ht="30" customHeight="1" x14ac:dyDescent="0.25">
      <c r="D268" s="106" t="s">
        <v>1979</v>
      </c>
      <c r="E268" s="107">
        <v>0.02</v>
      </c>
    </row>
    <row r="269" spans="1:257" ht="30" customHeight="1" x14ac:dyDescent="0.25">
      <c r="D269" s="104" t="s">
        <v>1978</v>
      </c>
      <c r="E269" s="105">
        <v>1</v>
      </c>
    </row>
    <row r="271" spans="1:257" ht="30" customHeight="1" x14ac:dyDescent="0.25">
      <c r="C271" s="122" t="s">
        <v>2389</v>
      </c>
      <c r="D271" s="18" t="s">
        <v>2419</v>
      </c>
    </row>
    <row r="272" spans="1:257" ht="30" customHeight="1" x14ac:dyDescent="0.25">
      <c r="C272" s="122">
        <v>999</v>
      </c>
      <c r="D272" s="18" t="s">
        <v>2126</v>
      </c>
    </row>
    <row r="273" spans="3:4" ht="30" customHeight="1" x14ac:dyDescent="0.25">
      <c r="C273" s="122">
        <v>998</v>
      </c>
      <c r="D273" s="18" t="s">
        <v>2397</v>
      </c>
    </row>
    <row r="274" spans="3:4" ht="30" customHeight="1" x14ac:dyDescent="0.25">
      <c r="C274" s="122">
        <v>997</v>
      </c>
      <c r="D274" s="18" t="s">
        <v>2402</v>
      </c>
    </row>
    <row r="275" spans="3:4" ht="30" customHeight="1" x14ac:dyDescent="0.25">
      <c r="C275" s="122" t="s">
        <v>2123</v>
      </c>
      <c r="D275" s="18" t="s">
        <v>2398</v>
      </c>
    </row>
    <row r="276" spans="3:4" ht="30" customHeight="1" x14ac:dyDescent="0.25">
      <c r="C276" s="122">
        <v>996</v>
      </c>
      <c r="D276" s="18" t="s">
        <v>2413</v>
      </c>
    </row>
    <row r="277" spans="3:4" ht="30" customHeight="1" x14ac:dyDescent="0.25">
      <c r="C277" s="122"/>
    </row>
  </sheetData>
  <mergeCells count="5">
    <mergeCell ref="C3:C5"/>
    <mergeCell ref="D3:D5"/>
    <mergeCell ref="B3:B5"/>
    <mergeCell ref="A3:A5"/>
    <mergeCell ref="IQ4:IV4"/>
  </mergeCells>
  <conditionalFormatting sqref="E6:IV263">
    <cfRule type="expression" dxfId="13" priority="14">
      <formula>E6&gt;$E$269</formula>
    </cfRule>
  </conditionalFormatting>
  <conditionalFormatting sqref="E82:IO82 E137:IO137 E139:IO139 E141:IO141 E143:IO143 E145:IO145">
    <cfRule type="cellIs" dxfId="12" priority="13" operator="greaterThan">
      <formula>$E$268</formula>
    </cfRule>
  </conditionalFormatting>
  <conditionalFormatting sqref="B266:C266 B267:D267 B268:C269 B270:D271 B272:B303 D271:D275 B6:D265">
    <cfRule type="expression" dxfId="11" priority="4321">
      <formula>$B6</formula>
    </cfRule>
  </conditionalFormatting>
  <conditionalFormatting sqref="D6:D256">
    <cfRule type="expression" dxfId="10" priority="17">
      <formula>$IQ6&lt;$E$267</formula>
    </cfRule>
  </conditionalFormatting>
  <conditionalFormatting sqref="E3:IO5">
    <cfRule type="expression" dxfId="9" priority="9" stopIfTrue="1">
      <formula>OR(E$137&gt;$E$268,E$139&gt;$E$268,E$141&gt;$E$268,E$143&gt;$E$268,E$145&gt;$E$268)</formula>
    </cfRule>
  </conditionalFormatting>
  <conditionalFormatting sqref="A6:A256">
    <cfRule type="expression" dxfId="8" priority="8">
      <formula>$A6</formula>
    </cfRule>
  </conditionalFormatting>
  <conditionalFormatting sqref="E6:IO256">
    <cfRule type="colorScale" priority="6">
      <colorScale>
        <cfvo type="num" val="0"/>
        <cfvo type="num" val="5000"/>
        <color theme="0"/>
        <color rgb="FFC00000"/>
      </colorScale>
    </cfRule>
  </conditionalFormatting>
  <conditionalFormatting sqref="C272 C279:C302 C276">
    <cfRule type="expression" dxfId="7" priority="9747">
      <formula>$B273</formula>
    </cfRule>
  </conditionalFormatting>
  <conditionalFormatting sqref="C272:C277">
    <cfRule type="expression" dxfId="6" priority="9749">
      <formula>$B274</formula>
    </cfRule>
  </conditionalFormatting>
  <conditionalFormatting sqref="D275:D304">
    <cfRule type="expression" dxfId="5" priority="9751">
      <formula>$B274</formula>
    </cfRule>
  </conditionalFormatting>
  <conditionalFormatting sqref="D2">
    <cfRule type="expression" dxfId="4" priority="5">
      <formula>$B2</formula>
    </cfRule>
  </conditionalFormatting>
  <conditionalFormatting sqref="E266:F271">
    <cfRule type="top10" dxfId="3" priority="4" percent="1" rank="10"/>
  </conditionalFormatting>
  <conditionalFormatting sqref="D273">
    <cfRule type="expression" dxfId="2" priority="3">
      <formula>$B272</formula>
    </cfRule>
  </conditionalFormatting>
  <conditionalFormatting sqref="C271 C275">
    <cfRule type="expression" dxfId="1" priority="2">
      <formula>$B272</formula>
    </cfRule>
  </conditionalFormatting>
  <conditionalFormatting sqref="D272">
    <cfRule type="expression" dxfId="0" priority="1">
      <formula>$B271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BM for paper</vt:lpstr>
      <vt:lpstr>Bridge matrix</vt:lpstr>
      <vt:lpstr>&gt;&gt;Dictionaries&gt;&gt;</vt:lpstr>
      <vt:lpstr>Dictionary ENI-IOT</vt:lpstr>
      <vt:lpstr>Dictionary Categories</vt:lpstr>
      <vt:lpstr>Dictionary Subcategories</vt:lpstr>
      <vt:lpstr>&gt;&gt;data&gt;&gt;</vt:lpstr>
      <vt:lpstr>ENIGHUR Consumption items</vt:lpstr>
      <vt:lpstr>symmetric IOT 245 2012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2018-08-11T10:04:32Z</dcterms:modified>
</cp:coreProperties>
</file>